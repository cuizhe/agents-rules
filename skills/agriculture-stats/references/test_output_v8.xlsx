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当月项目明细数据" sheetId="1" state="visible" r:id="rId1"/>
    <sheet xmlns:r="http://schemas.openxmlformats.org/officeDocument/2006/relationships" name="2026年项目明细数据" sheetId="2" state="visible" r:id="rId2"/>
    <sheet xmlns:r="http://schemas.openxmlformats.org/officeDocument/2006/relationships" name="当月汇总毛利率" sheetId="3" state="visible" r:id="rId3"/>
    <sheet xmlns:r="http://schemas.openxmlformats.org/officeDocument/2006/relationships" name="2026年汇总毛利率" sheetId="4" state="visible" r:id="rId4"/>
  </sheets>
  <definedNames/>
  <calcPr calcId="124519" fullCalcOnLoad="1"/>
</workbook>
</file>

<file path=xl/styles.xml><?xml version="1.0" encoding="utf-8"?>
<styleSheet xmlns="http://schemas.openxmlformats.org/spreadsheetml/2006/main">
  <numFmts count="2">
    <numFmt numFmtId="164" formatCode="_ * #,##0.00_ ;_ * \-#,##0.00_ ;_ * &quot;-&quot;??_ ;_ @_ "/>
    <numFmt numFmtId="165" formatCode="0.0%"/>
  </numFmts>
  <fonts count="13">
    <font>
      <name val="Calibri"/>
      <family val="2"/>
      <color theme="1"/>
      <sz val="11"/>
      <scheme val="minor"/>
    </font>
    <font>
      <name val="微软雅黑"/>
      <charset val="134"/>
      <b val="1"/>
      <sz val="9"/>
    </font>
    <font>
      <name val="微软雅黑"/>
      <charset val="134"/>
      <b val="1"/>
      <color rgb="FFFF0000"/>
      <sz val="9"/>
    </font>
    <font>
      <name val="微软雅黑"/>
      <charset val="134"/>
      <sz val="9"/>
    </font>
    <font>
      <name val="微软雅黑"/>
      <charset val="134"/>
      <color rgb="FF000000"/>
      <sz val="9"/>
    </font>
    <font>
      <name val="微软雅黑"/>
      <charset val="134"/>
      <color theme="1"/>
      <sz val="9"/>
    </font>
    <font>
      <name val="微软雅黑"/>
      <charset val="134"/>
      <color rgb="FFFF0000"/>
      <sz val="9"/>
    </font>
    <font>
      <name val="微软雅黑"/>
      <charset val="134"/>
      <b val="1"/>
      <color theme="1"/>
      <sz val="9"/>
    </font>
    <font>
      <name val="微软雅黑"/>
      <charset val="134"/>
      <color theme="1"/>
      <sz val="11"/>
    </font>
    <font>
      <name val="等线"/>
      <charset val="134"/>
      <color theme="1"/>
      <sz val="11"/>
      <scheme val="minor"/>
    </font>
    <font>
      <name val="微软雅黑"/>
      <charset val="134"/>
      <b val="1"/>
      <color theme="1"/>
      <sz val="12"/>
    </font>
    <font>
      <name val="微软雅黑"/>
      <charset val="134"/>
      <b val="1"/>
      <color rgb="FF000000"/>
      <sz val="9"/>
    </font>
    <font>
      <name val="宋体"/>
      <charset val="134"/>
      <color theme="1"/>
      <sz val="11"/>
      <scheme val="minor"/>
    </font>
  </fonts>
  <fills count="10">
    <fill>
      <patternFill/>
    </fill>
    <fill>
      <patternFill patternType="gray125"/>
    </fill>
    <fill>
      <patternFill patternType="solid">
        <fgColor theme="4" tint="0.599993896298105"/>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799462874233222"/>
        <bgColor indexed="64"/>
      </patternFill>
    </fill>
    <fill>
      <patternFill patternType="solid">
        <fgColor theme="0" tint="-0.25"/>
        <bgColor indexed="64"/>
      </patternFill>
    </fill>
    <fill>
      <patternFill patternType="solid">
        <fgColor rgb="FFBDD7EE"/>
        <bgColor indexed="64"/>
      </patternFill>
    </fill>
    <fill>
      <patternFill patternType="solid">
        <fgColor rgb="FFFFC000"/>
        <bgColor indexed="64"/>
      </patternFill>
    </fill>
    <fill>
      <patternFill patternType="solid">
        <fgColor theme="8" tint="0.6"/>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medium">
        <color auto="1"/>
      </top>
      <bottom style="thin">
        <color auto="1"/>
      </bottom>
      <diagonal/>
    </border>
    <border>
      <left style="thin">
        <color rgb="FF000000"/>
      </left>
      <right style="thin">
        <color rgb="FF000000"/>
      </right>
      <top style="thin">
        <color rgb="FF000000"/>
      </top>
      <bottom/>
      <diagonal/>
    </border>
    <border>
      <left style="thin">
        <color auto="1"/>
      </left>
      <right style="thin">
        <color auto="1"/>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top style="thin">
        <color rgb="FF000000"/>
      </top>
      <bottom style="thin">
        <color rgb="FF000000"/>
      </bottom>
      <diagonal/>
    </border>
    <border>
      <left style="thin">
        <color auto="1"/>
      </left>
      <right/>
      <top style="thin">
        <color auto="1"/>
      </top>
      <bottom style="thin">
        <color auto="1"/>
      </bottom>
      <diagonal/>
    </border>
    <border>
      <left style="thin">
        <color rgb="FF000000"/>
      </left>
      <right/>
      <top/>
      <bottom/>
      <diagonal/>
    </border>
    <border>
      <left style="thin">
        <color auto="1"/>
      </left>
      <right/>
      <top/>
      <bottom/>
      <diagonal/>
    </border>
    <border>
      <left style="thin">
        <color rgb="FF000000"/>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78">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1" fillId="2" borderId="2" applyAlignment="1" pivotButton="0" quotePrefix="0" xfId="0">
      <alignment horizontal="center" vertical="center"/>
    </xf>
    <xf numFmtId="0" fontId="1" fillId="2" borderId="2" applyAlignment="1" pivotButton="0" quotePrefix="0" xfId="0">
      <alignment horizontal="center" vertical="center" wrapText="1"/>
    </xf>
    <xf numFmtId="0" fontId="1" fillId="4" borderId="1" applyAlignment="1" pivotButton="0" quotePrefix="0" xfId="0">
      <alignment horizontal="center" vertical="center"/>
    </xf>
    <xf numFmtId="0" fontId="1" fillId="5" borderId="1" applyAlignment="1" pivotButton="0" quotePrefix="0" xfId="0">
      <alignment horizontal="center" vertical="center"/>
    </xf>
    <xf numFmtId="0" fontId="1" fillId="2" borderId="1" applyAlignment="1" pivotButton="0" quotePrefix="0" xfId="0">
      <alignment horizontal="center" vertical="center" wrapText="1"/>
    </xf>
    <xf numFmtId="0" fontId="1" fillId="3" borderId="3" applyAlignment="1" pivotButton="0" quotePrefix="0" xfId="0">
      <alignment horizontal="center" vertical="center" wrapText="1"/>
    </xf>
    <xf numFmtId="0" fontId="1" fillId="3" borderId="3" applyAlignment="1" pivotButton="0" quotePrefix="0" xfId="0">
      <alignment horizontal="center" vertical="center"/>
    </xf>
    <xf numFmtId="0" fontId="2" fillId="3" borderId="4" applyAlignment="1" pivotButton="0" quotePrefix="0" xfId="0">
      <alignment horizontal="center" vertical="center"/>
    </xf>
    <xf numFmtId="0" fontId="1" fillId="6" borderId="1"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left" vertical="center" wrapText="1"/>
    </xf>
    <xf numFmtId="14" fontId="4" fillId="0" borderId="1" applyAlignment="1" pivotButton="0" quotePrefix="0" xfId="0">
      <alignment horizontal="center" vertical="center" wrapText="1"/>
    </xf>
    <xf numFmtId="164"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5" applyAlignment="1" pivotButton="0" quotePrefix="0" xfId="0">
      <alignment horizontal="left" vertical="center" wrapText="1"/>
    </xf>
    <xf numFmtId="0" fontId="4" fillId="0" borderId="5" applyAlignment="1" pivotButton="0" quotePrefix="0" xfId="0">
      <alignment horizontal="center" vertical="center" wrapText="1"/>
    </xf>
    <xf numFmtId="0" fontId="4" fillId="0" borderId="1" applyAlignment="1" pivotButton="0" quotePrefix="0" xfId="0">
      <alignment horizontal="center" vertical="center"/>
    </xf>
    <xf numFmtId="164" fontId="5" fillId="0" borderId="1" applyAlignment="1" pivotButton="0" quotePrefix="0" xfId="0">
      <alignment horizontal="right" vertical="center"/>
    </xf>
    <xf numFmtId="164" fontId="5" fillId="6" borderId="1" applyAlignment="1" pivotButton="0" quotePrefix="0" xfId="0">
      <alignment horizontal="right" vertical="center"/>
    </xf>
    <xf numFmtId="9" fontId="5" fillId="0" borderId="1" applyAlignment="1" pivotButton="0" quotePrefix="0" xfId="0">
      <alignment horizontal="center" vertical="center"/>
    </xf>
    <xf numFmtId="0" fontId="5" fillId="0" borderId="5" applyAlignment="1" pivotButton="0" quotePrefix="0" xfId="0">
      <alignment horizontal="center" vertical="center" wrapText="1"/>
    </xf>
    <xf numFmtId="164" fontId="5" fillId="0" borderId="1" applyAlignment="1" pivotButton="0" quotePrefix="0" xfId="0">
      <alignment horizontal="center"/>
    </xf>
    <xf numFmtId="164" fontId="7" fillId="6" borderId="1" applyAlignment="1" pivotButton="0" quotePrefix="0" xfId="0">
      <alignment horizontal="center" vertical="center"/>
    </xf>
    <xf numFmtId="164" fontId="5" fillId="6" borderId="6" applyAlignment="1" pivotButton="0" quotePrefix="0" xfId="0">
      <alignment horizontal="right" vertical="center"/>
    </xf>
    <xf numFmtId="0" fontId="8" fillId="0" borderId="1" applyAlignment="1" pivotButton="0" quotePrefix="0" xfId="0">
      <alignment horizontal="right" vertical="center"/>
    </xf>
    <xf numFmtId="0" fontId="0" fillId="0" borderId="7" pivotButton="0" quotePrefix="0" xfId="0"/>
    <xf numFmtId="0" fontId="3" fillId="0" borderId="1" applyAlignment="1" pivotButton="0" quotePrefix="0" xfId="0">
      <alignment horizontal="center" vertical="center"/>
    </xf>
    <xf numFmtId="164" fontId="3" fillId="0" borderId="1" applyAlignment="1" pivotButton="0" quotePrefix="0" xfId="0">
      <alignment horizontal="right" vertical="center"/>
    </xf>
    <xf numFmtId="164" fontId="3" fillId="6" borderId="1" applyAlignment="1" pivotButton="0" quotePrefix="0" xfId="0">
      <alignment horizontal="right" vertical="center"/>
    </xf>
    <xf numFmtId="0" fontId="8" fillId="0" borderId="7" applyAlignment="1" pivotButton="0" quotePrefix="0" xfId="0">
      <alignment horizontal="center" vertical="center"/>
    </xf>
    <xf numFmtId="9" fontId="5" fillId="0" borderId="1" applyAlignment="1" pivotButton="0" quotePrefix="0" xfId="0">
      <alignment horizontal="center"/>
    </xf>
    <xf numFmtId="164" fontId="5" fillId="6" borderId="8" applyAlignment="1" pivotButton="0" quotePrefix="0" xfId="0">
      <alignment horizontal="right" vertical="center"/>
    </xf>
    <xf numFmtId="0" fontId="2" fillId="0" borderId="1" applyAlignment="1" pivotButton="0" quotePrefix="0" xfId="0">
      <alignment horizontal="center" vertical="center"/>
    </xf>
    <xf numFmtId="10" fontId="7" fillId="0" borderId="1" applyAlignment="1" pivotButton="0" quotePrefix="0" xfId="0">
      <alignment horizontal="center" vertical="center"/>
    </xf>
    <xf numFmtId="10" fontId="7" fillId="6" borderId="1" applyAlignment="1" pivotButton="0" quotePrefix="0" xfId="0">
      <alignment horizontal="center" vertical="center"/>
    </xf>
    <xf numFmtId="165" fontId="5" fillId="0" borderId="1" applyAlignment="1" pivotButton="0" quotePrefix="0" xfId="0">
      <alignment horizontal="center"/>
    </xf>
    <xf numFmtId="10" fontId="1" fillId="6" borderId="1" applyAlignment="1" pivotButton="0" quotePrefix="0" xfId="0">
      <alignment horizontal="right" vertical="center"/>
    </xf>
    <xf numFmtId="10" fontId="7" fillId="6" borderId="8" applyAlignment="1" pivotButton="0" quotePrefix="0" xfId="0">
      <alignment horizontal="center" vertical="center"/>
    </xf>
    <xf numFmtId="0" fontId="0" fillId="0" borderId="5" pivotButton="0" quotePrefix="0" xfId="0"/>
    <xf numFmtId="0" fontId="4" fillId="0" borderId="5" applyAlignment="1" pivotButton="0" quotePrefix="0" xfId="0">
      <alignment horizontal="center" vertical="center"/>
    </xf>
    <xf numFmtId="0" fontId="4" fillId="0" borderId="5" applyAlignment="1" pivotButton="0" quotePrefix="0" xfId="0">
      <alignment horizontal="left" vertical="center" wrapText="1"/>
    </xf>
    <xf numFmtId="14" fontId="4" fillId="0" borderId="5" applyAlignment="1" pivotButton="0" quotePrefix="0" xfId="0">
      <alignment horizontal="center" vertical="center"/>
    </xf>
    <xf numFmtId="14" fontId="3" fillId="0" borderId="9" applyAlignment="1" pivotButton="0" quotePrefix="0" xfId="0">
      <alignment horizontal="left" vertical="center" wrapText="1"/>
    </xf>
    <xf numFmtId="14" fontId="3" fillId="0" borderId="9" applyAlignment="1" pivotButton="0" quotePrefix="0" xfId="0">
      <alignment horizontal="center" vertical="center" wrapText="1"/>
    </xf>
    <xf numFmtId="0" fontId="3" fillId="0" borderId="5" applyAlignment="1" pivotButton="0" quotePrefix="0" xfId="0">
      <alignment horizontal="center" vertical="center"/>
    </xf>
    <xf numFmtId="0" fontId="5" fillId="0" borderId="5" applyAlignment="1" pivotButton="0" quotePrefix="0" xfId="0">
      <alignment horizontal="left" vertical="center" wrapText="1"/>
    </xf>
    <xf numFmtId="164" fontId="4" fillId="6" borderId="10" applyAlignment="1" pivotButton="0" quotePrefix="0" xfId="0">
      <alignment horizontal="center" vertical="center"/>
    </xf>
    <xf numFmtId="0" fontId="5" fillId="6" borderId="6" applyAlignment="1" pivotButton="0" quotePrefix="0" xfId="0">
      <alignment horizontal="right" vertical="center"/>
    </xf>
    <xf numFmtId="0" fontId="8" fillId="0" borderId="1" applyAlignment="1" pivotButton="0" quotePrefix="0" xfId="0">
      <alignment horizontal="center" vertical="center"/>
    </xf>
    <xf numFmtId="0" fontId="0" fillId="0" borderId="4" pivotButton="0" quotePrefix="0" xfId="0"/>
    <xf numFmtId="164" fontId="3" fillId="6" borderId="10" applyAlignment="1" pivotButton="0" quotePrefix="0" xfId="0">
      <alignment horizontal="right" vertical="center"/>
    </xf>
    <xf numFmtId="164" fontId="3" fillId="6" borderId="6" applyAlignment="1" pivotButton="0" quotePrefix="0" xfId="0">
      <alignment horizontal="right" vertical="center"/>
    </xf>
    <xf numFmtId="164" fontId="5" fillId="6" borderId="11" applyAlignment="1" pivotButton="0" quotePrefix="0" xfId="0">
      <alignment horizontal="right" vertical="center"/>
    </xf>
    <xf numFmtId="10" fontId="7" fillId="6" borderId="10" applyAlignment="1" pivotButton="0" quotePrefix="0" xfId="0">
      <alignment horizontal="center" vertical="center"/>
    </xf>
    <xf numFmtId="0" fontId="0" fillId="0" borderId="9" pivotButton="0" quotePrefix="0" xfId="0"/>
    <xf numFmtId="10" fontId="6" fillId="0" borderId="5" applyAlignment="1" pivotButton="0" quotePrefix="0" xfId="0">
      <alignment horizontal="center" vertical="center" wrapText="1"/>
    </xf>
    <xf numFmtId="164" fontId="5" fillId="6" borderId="10" applyAlignment="1" pivotButton="0" quotePrefix="0" xfId="0">
      <alignment horizontal="right" vertical="center"/>
    </xf>
    <xf numFmtId="10" fontId="5" fillId="0" borderId="1" applyAlignment="1" pivotButton="0" quotePrefix="0" xfId="0">
      <alignment horizontal="center" vertical="center" wrapText="1"/>
    </xf>
    <xf numFmtId="0" fontId="8" fillId="6" borderId="6" applyAlignment="1" pivotButton="0" quotePrefix="0" xfId="0">
      <alignment horizontal="right" vertical="center"/>
    </xf>
    <xf numFmtId="10" fontId="1" fillId="0" borderId="1" applyAlignment="1" pivotButton="0" quotePrefix="0" xfId="0">
      <alignment horizontal="right" vertical="center"/>
    </xf>
    <xf numFmtId="0" fontId="10" fillId="0" borderId="0" applyAlignment="1" pivotButton="0" quotePrefix="0" xfId="0">
      <alignment vertical="center"/>
    </xf>
    <xf numFmtId="0" fontId="11" fillId="7" borderId="5" applyAlignment="1" pivotButton="0" quotePrefix="0" xfId="0">
      <alignment horizontal="center" vertical="center" wrapText="1"/>
    </xf>
    <xf numFmtId="0" fontId="2" fillId="7" borderId="5" applyAlignment="1" pivotButton="0" quotePrefix="0" xfId="0">
      <alignment horizontal="center" vertical="center" wrapText="1"/>
    </xf>
    <xf numFmtId="0" fontId="11" fillId="8" borderId="5" applyAlignment="1" pivotButton="0" quotePrefix="0" xfId="0">
      <alignment horizontal="center" vertical="center" wrapText="1"/>
    </xf>
    <xf numFmtId="49" fontId="7" fillId="9" borderId="14" applyAlignment="1" pivotButton="0" quotePrefix="0" xfId="0">
      <alignment horizontal="center" vertical="center"/>
    </xf>
    <xf numFmtId="0" fontId="1" fillId="0" borderId="1" applyAlignment="1" pivotButton="0" quotePrefix="0" xfId="0">
      <alignment horizontal="center" vertical="center" wrapText="1"/>
    </xf>
    <xf numFmtId="164" fontId="3" fillId="0" borderId="15" applyAlignment="1" pivotButton="0" quotePrefix="0" xfId="0">
      <alignment horizontal="center" vertical="center"/>
    </xf>
    <xf numFmtId="0" fontId="4" fillId="0" borderId="1" applyAlignment="1" pivotButton="0" quotePrefix="0" xfId="0">
      <alignment vertical="center" wrapText="1"/>
    </xf>
    <xf numFmtId="164" fontId="3" fillId="0" borderId="15" applyAlignment="1" pivotButton="0" quotePrefix="0" xfId="0">
      <alignment horizontal="right" vertical="center"/>
    </xf>
    <xf numFmtId="164" fontId="5" fillId="0" borderId="15" applyAlignment="1" pivotButton="0" quotePrefix="0" xfId="0">
      <alignment horizontal="center" vertical="center"/>
    </xf>
    <xf numFmtId="10" fontId="7" fillId="0" borderId="15" applyAlignment="1" pivotButton="0" quotePrefix="0" xfId="0">
      <alignment horizontal="center" vertical="center"/>
    </xf>
    <xf numFmtId="0" fontId="10" fillId="0" borderId="0" applyAlignment="1" pivotButton="0" quotePrefix="0" xfId="0">
      <alignment horizontal="center" vertical="center"/>
    </xf>
    <xf numFmtId="0" fontId="11" fillId="7" borderId="1" applyAlignment="1" pivotButton="0" quotePrefix="0" xfId="0">
      <alignment horizontal="center" vertical="center" wrapText="1"/>
    </xf>
    <xf numFmtId="0" fontId="2" fillId="7" borderId="1" applyAlignment="1" pivotButton="0" quotePrefix="0" xfId="0">
      <alignment horizontal="center" vertical="center" wrapText="1"/>
    </xf>
    <xf numFmtId="0" fontId="11"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111"/>
  <sheetViews>
    <sheetView workbookViewId="0">
      <selection activeCell="A1" sqref="A1"/>
    </sheetView>
  </sheetViews>
  <sheetFormatPr baseColWidth="8" defaultRowHeight="15"/>
  <sheetData>
    <row r="1">
      <c r="A1" s="1" t="inlineStr">
        <is>
          <t>项目编码</t>
        </is>
      </c>
      <c r="B1" s="1" t="inlineStr">
        <is>
          <t>项目名称</t>
        </is>
      </c>
      <c r="C1" s="1" t="inlineStr">
        <is>
          <t>项目开始时间</t>
        </is>
      </c>
      <c r="D1" s="1" t="inlineStr">
        <is>
          <t>项目结束时间</t>
        </is>
      </c>
      <c r="E1" s="1" t="inlineStr">
        <is>
          <t>1月项目人数</t>
        </is>
      </c>
      <c r="F1" s="2" t="inlineStr">
        <is>
          <t>2月项目人数</t>
        </is>
      </c>
      <c r="G1" s="1" t="inlineStr">
        <is>
          <t>3月项目人数</t>
        </is>
      </c>
      <c r="H1" s="1" t="inlineStr">
        <is>
          <t>4月项目人数</t>
        </is>
      </c>
      <c r="I1" s="1" t="inlineStr">
        <is>
          <t>5月项目人数</t>
        </is>
      </c>
      <c r="J1" s="1" t="inlineStr">
        <is>
          <t>6月项目人数</t>
        </is>
      </c>
      <c r="K1" s="1" t="inlineStr">
        <is>
          <t>7月项目人数</t>
        </is>
      </c>
      <c r="L1" s="1" t="inlineStr">
        <is>
          <t>8月项目人数</t>
        </is>
      </c>
      <c r="M1" s="1" t="inlineStr">
        <is>
          <t>9月项目人数</t>
        </is>
      </c>
      <c r="N1" s="1" t="inlineStr">
        <is>
          <t>10月项目人数</t>
        </is>
      </c>
      <c r="O1" s="1" t="inlineStr">
        <is>
          <t>11月项目人数</t>
        </is>
      </c>
      <c r="P1" s="1" t="inlineStr">
        <is>
          <t>12月项目人数</t>
        </is>
      </c>
      <c r="Q1" s="1" t="inlineStr">
        <is>
          <t>结算方式</t>
        </is>
      </c>
      <c r="R1" s="1" t="inlineStr">
        <is>
          <t>类别</t>
        </is>
      </c>
      <c r="S1" s="3" t="inlineStr">
        <is>
          <t>项目整体毛利目标预算</t>
        </is>
      </c>
      <c r="T1" s="4" t="inlineStr">
        <is>
          <t>项目开始-当前实际累计</t>
        </is>
      </c>
      <c r="U1" s="5" t="inlineStr">
        <is>
          <t>项目开始-25年实际累计</t>
        </is>
      </c>
      <c r="V1" s="6" t="inlineStr">
        <is>
          <t>26年YTD实际累计12月</t>
        </is>
      </c>
      <c r="W1" s="6" t="inlineStr">
        <is>
          <t>26年YTD实际累计11月</t>
        </is>
      </c>
      <c r="X1" s="6" t="inlineStr">
        <is>
          <t>26年YTD实际累计10月</t>
        </is>
      </c>
      <c r="Y1" s="6" t="inlineStr">
        <is>
          <t>26年YTD实际累计9月</t>
        </is>
      </c>
      <c r="Z1" s="6" t="inlineStr">
        <is>
          <t>26年YTD实际累计8月</t>
        </is>
      </c>
      <c r="AA1" s="6" t="inlineStr">
        <is>
          <t>26年YTD实际累计7月</t>
        </is>
      </c>
      <c r="AB1" s="6" t="inlineStr">
        <is>
          <t>26年YTD实际累计6月</t>
        </is>
      </c>
      <c r="AC1" s="6" t="inlineStr">
        <is>
          <t>26年YTD实际累计5月</t>
        </is>
      </c>
      <c r="AD1" s="6" t="inlineStr">
        <is>
          <t>26年YTD实际累计4月</t>
        </is>
      </c>
      <c r="AE1" s="6" t="inlineStr">
        <is>
          <t>26年YTD实际累计3月</t>
        </is>
      </c>
      <c r="AF1" s="2" t="inlineStr">
        <is>
          <t>26年YTD实际累计2月</t>
        </is>
      </c>
      <c r="AG1" s="6" t="inlineStr">
        <is>
          <t>26年YTD实际累计1月</t>
        </is>
      </c>
      <c r="AH1" s="7" t="inlineStr">
        <is>
          <t>项目周期偏差（实际-预估）</t>
        </is>
      </c>
      <c r="AI1" s="7" t="inlineStr">
        <is>
          <t>YTD当年偏差（实际-预估）</t>
        </is>
      </c>
      <c r="AJ1" s="8" t="inlineStr">
        <is>
          <t>项目周期偏差原因分析（截止25年底毛利偏差原因）</t>
        </is>
      </c>
      <c r="AK1" s="9" t="inlineStr">
        <is>
          <t>YTD当年偏差原因分析</t>
        </is>
      </c>
      <c r="AL1" s="9" t="inlineStr">
        <is>
          <t>改进措施</t>
        </is>
      </c>
      <c r="AM1" s="9" t="inlineStr">
        <is>
          <t>进展</t>
        </is>
      </c>
      <c r="AN1" s="10" t="inlineStr">
        <is>
          <t>真实经营数据</t>
        </is>
      </c>
      <c r="AO1" s="6" t="n">
        <v>202612</v>
      </c>
      <c r="AP1" s="6" t="n">
        <v>202611</v>
      </c>
      <c r="AQ1" s="6" t="n">
        <v>202610</v>
      </c>
      <c r="AR1" s="6" t="n">
        <v>202609</v>
      </c>
      <c r="AS1" s="6" t="n">
        <v>202608</v>
      </c>
      <c r="AT1" s="6" t="n">
        <v>202607</v>
      </c>
      <c r="AU1" s="6" t="n">
        <v>202606</v>
      </c>
      <c r="AV1" s="6" t="n">
        <v>202605</v>
      </c>
      <c r="AW1" s="6" t="n">
        <v>202604</v>
      </c>
      <c r="AX1" s="6" t="n">
        <v>202603</v>
      </c>
      <c r="AY1" s="6" t="n">
        <v>202602</v>
      </c>
      <c r="AZ1" s="6" t="n">
        <v>202601</v>
      </c>
      <c r="BA1" s="11" t="inlineStr">
        <is>
          <t>2025年</t>
        </is>
      </c>
      <c r="BB1" s="11" t="inlineStr">
        <is>
          <t>2024年</t>
        </is>
      </c>
      <c r="BC1" s="11" t="inlineStr">
        <is>
          <t>2023年</t>
        </is>
      </c>
      <c r="BD1" s="6" t="inlineStr">
        <is>
          <t>备注</t>
        </is>
      </c>
    </row>
    <row r="2">
      <c r="A2" s="12" t="inlineStr">
        <is>
          <t>P202212000496</t>
        </is>
      </c>
      <c r="B2" s="13" t="inlineStr">
        <is>
          <t>东部地区畜禽遗传资源基因库建设项目仪器设备采购-软件</t>
        </is>
      </c>
      <c r="C2" s="14" t="n">
        <v>44917</v>
      </c>
      <c r="D2" s="14" t="n">
        <v>46326</v>
      </c>
      <c r="E2" s="15" t="n"/>
      <c r="F2" s="16" t="inlineStr">
        <is>
          <t xml:space="preserve"> -   </t>
        </is>
      </c>
      <c r="G2" s="17" t="n">
        <v>0.727</v>
      </c>
      <c r="H2" s="18" t="n"/>
      <c r="I2" s="18" t="n"/>
      <c r="J2" s="18" t="n"/>
      <c r="K2" s="18" t="n"/>
      <c r="L2" s="18" t="n"/>
      <c r="M2" s="18" t="n"/>
      <c r="N2" s="18" t="n"/>
      <c r="O2" s="18" t="n"/>
      <c r="P2" s="15" t="n"/>
      <c r="Q2" s="18" t="inlineStr"/>
      <c r="R2" s="19" t="inlineStr">
        <is>
          <t>累计收入（NR）</t>
        </is>
      </c>
      <c r="S2" s="20" t="n">
        <v>351886.79</v>
      </c>
      <c r="T2" s="20">
        <f>SUM(AO2:BC2)</f>
        <v/>
      </c>
      <c r="U2" s="21">
        <f>SUM(BA2:BC2)</f>
        <v/>
      </c>
      <c r="V2" s="20">
        <f>SUM(AO2:AZ2)</f>
        <v/>
      </c>
      <c r="W2" s="20">
        <f>SUM(AP2:AZ2)</f>
        <v/>
      </c>
      <c r="X2" s="20">
        <f>SUM(AQ2:AZ2)</f>
        <v/>
      </c>
      <c r="Y2" s="20">
        <f>SUM(AR2:AZ2)</f>
        <v/>
      </c>
      <c r="Z2" s="20">
        <f>SUM(AS2:AZ2)</f>
        <v/>
      </c>
      <c r="AA2" s="20">
        <f>SUM(AT2:AZ2)</f>
        <v/>
      </c>
      <c r="AB2" s="20">
        <f>SUM(AU2:AZ2)</f>
        <v/>
      </c>
      <c r="AC2" s="20">
        <f>SUM(AV2:AZ2)</f>
        <v/>
      </c>
      <c r="AD2" s="20">
        <f>SUM(AW2:AZ2)</f>
        <v/>
      </c>
      <c r="AE2" s="20">
        <f>SUM(AX2:AZ2)</f>
        <v/>
      </c>
      <c r="AF2" s="20">
        <f>SUM(AY2:AZ2)</f>
        <v/>
      </c>
      <c r="AG2" s="20">
        <f>SUM(AZ2:AZ2)</f>
        <v/>
      </c>
      <c r="AH2" s="22" t="n">
        <v>0</v>
      </c>
      <c r="AI2" s="22" t="n">
        <v>0</v>
      </c>
      <c r="AJ2" s="23" t="inlineStr"/>
      <c r="AK2" s="13" t="inlineStr">
        <is>
          <t>项目全周期毛利率达标；
农业老项目，24年已交付完，当前在运维期，25年8~12月为报剩余产出填报工时与进度；
25年7月成本为农业采集运维项目部分运维人力成本，该项目于6.底结项，续期合同7月才开始招标故7月无法立项。</t>
        </is>
      </c>
      <c r="AL2" s="24" t="inlineStr"/>
      <c r="AM2" s="24" t="inlineStr"/>
      <c r="AN2" s="16" t="n"/>
      <c r="AO2" s="20" t="n">
        <v>0</v>
      </c>
      <c r="AP2" s="20" t="n">
        <v>0</v>
      </c>
      <c r="AQ2" s="20" t="n">
        <v>0</v>
      </c>
      <c r="AR2" s="20" t="n">
        <v>0</v>
      </c>
      <c r="AS2" s="20" t="n">
        <v>0</v>
      </c>
      <c r="AT2" s="20" t="n">
        <v>0</v>
      </c>
      <c r="AU2" s="20" t="n">
        <v>0</v>
      </c>
      <c r="AV2" s="20" t="n">
        <v>0</v>
      </c>
      <c r="AW2" s="20" t="n">
        <v>0</v>
      </c>
      <c r="AX2" s="20" t="n">
        <v>22438.46</v>
      </c>
      <c r="AY2" s="20" t="n">
        <v>66560.5</v>
      </c>
      <c r="AZ2" s="20" t="n">
        <v>0</v>
      </c>
      <c r="BA2" s="25" t="n">
        <v>32200.04</v>
      </c>
      <c r="BB2" s="21" t="n">
        <v>7052.56</v>
      </c>
      <c r="BC2" s="26" t="n">
        <v>221738.07</v>
      </c>
      <c r="BD2" s="27" t="inlineStr"/>
    </row>
    <row r="3">
      <c r="A3" s="28" t="n"/>
      <c r="B3" s="28" t="n"/>
      <c r="C3" s="28" t="n"/>
      <c r="D3" s="28" t="n"/>
      <c r="E3" s="28" t="n"/>
      <c r="F3" s="28" t="n"/>
      <c r="G3" s="28" t="n"/>
      <c r="H3" s="28" t="n"/>
      <c r="I3" s="28" t="n"/>
      <c r="J3" s="28" t="n"/>
      <c r="K3" s="28" t="n"/>
      <c r="L3" s="28" t="n"/>
      <c r="M3" s="28" t="n"/>
      <c r="N3" s="28" t="n"/>
      <c r="O3" s="28" t="n"/>
      <c r="P3" s="28" t="n"/>
      <c r="Q3" s="28" t="n"/>
      <c r="R3" s="19" t="inlineStr">
        <is>
          <t>人工成本（成本１）</t>
        </is>
      </c>
      <c r="S3" s="20" t="n">
        <v>235685.1</v>
      </c>
      <c r="T3" s="20">
        <f>SUM(AO3:BC3)</f>
        <v/>
      </c>
      <c r="U3" s="21">
        <f>SUM(BA3:BC3)</f>
        <v/>
      </c>
      <c r="V3" s="20">
        <f>SUM(AO3:AZ3)</f>
        <v/>
      </c>
      <c r="W3" s="20">
        <f>SUM(AP3:AZ3)</f>
        <v/>
      </c>
      <c r="X3" s="20">
        <f>SUM(AQ3:AZ3)</f>
        <v/>
      </c>
      <c r="Y3" s="20">
        <f>SUM(AR3:AZ3)</f>
        <v/>
      </c>
      <c r="Z3" s="20">
        <f>SUM(AS3:AZ3)</f>
        <v/>
      </c>
      <c r="AA3" s="20">
        <f>SUM(AT3:AZ3)</f>
        <v/>
      </c>
      <c r="AB3" s="20">
        <f>SUM(AU3:AZ3)</f>
        <v/>
      </c>
      <c r="AC3" s="20">
        <f>SUM(AV3:AZ3)</f>
        <v/>
      </c>
      <c r="AD3" s="20">
        <f>SUM(AW3:AZ3)</f>
        <v/>
      </c>
      <c r="AE3" s="20">
        <f>SUM(AX3:AZ3)</f>
        <v/>
      </c>
      <c r="AF3" s="20">
        <f>SUM(AY3:AZ3)</f>
        <v/>
      </c>
      <c r="AG3" s="20">
        <f>SUM(AZ3:AZ3)</f>
        <v/>
      </c>
      <c r="AH3" s="22" t="n">
        <v>0</v>
      </c>
      <c r="AI3" s="22" t="n">
        <v>0</v>
      </c>
      <c r="AJ3" s="28" t="n"/>
      <c r="AK3" s="28" t="n"/>
      <c r="AL3" s="28" t="n"/>
      <c r="AM3" s="28" t="n"/>
      <c r="AN3" s="28" t="n"/>
      <c r="AO3" s="20" t="n">
        <v>0</v>
      </c>
      <c r="AP3" s="20" t="n">
        <v>0</v>
      </c>
      <c r="AQ3" s="20" t="n">
        <v>0</v>
      </c>
      <c r="AR3" s="20" t="n">
        <v>0</v>
      </c>
      <c r="AS3" s="20" t="n">
        <v>0</v>
      </c>
      <c r="AT3" s="20" t="n">
        <v>0</v>
      </c>
      <c r="AU3" s="20" t="n">
        <v>0</v>
      </c>
      <c r="AV3" s="20" t="n">
        <v>0</v>
      </c>
      <c r="AW3" s="20" t="n">
        <v>0</v>
      </c>
      <c r="AX3" s="20" t="n">
        <v>13506.6</v>
      </c>
      <c r="AY3" s="20" t="n">
        <v>0</v>
      </c>
      <c r="AZ3" s="20" t="n">
        <v>20617.93</v>
      </c>
      <c r="BA3" s="25" t="n">
        <v>91878.25999999999</v>
      </c>
      <c r="BB3" s="21" t="n">
        <v>2631.75</v>
      </c>
      <c r="BC3" s="26" t="n">
        <v>103048.84</v>
      </c>
      <c r="BD3" s="27" t="inlineStr"/>
    </row>
    <row r="4">
      <c r="A4" s="28" t="n"/>
      <c r="B4" s="28" t="n"/>
      <c r="C4" s="28" t="n"/>
      <c r="D4" s="28" t="n"/>
      <c r="E4" s="28" t="n"/>
      <c r="F4" s="28" t="n"/>
      <c r="G4" s="28" t="n"/>
      <c r="H4" s="28" t="n"/>
      <c r="I4" s="28" t="n"/>
      <c r="J4" s="28" t="n"/>
      <c r="K4" s="28" t="n"/>
      <c r="L4" s="28" t="n"/>
      <c r="M4" s="28" t="n"/>
      <c r="N4" s="28" t="n"/>
      <c r="O4" s="28" t="n"/>
      <c r="P4" s="28" t="n"/>
      <c r="Q4" s="28" t="n"/>
      <c r="R4" s="29" t="inlineStr">
        <is>
          <t>闲置成本（成本2）</t>
        </is>
      </c>
      <c r="S4" s="20" t="n">
        <v>0</v>
      </c>
      <c r="T4" s="20" t="n">
        <v>0</v>
      </c>
      <c r="U4" s="21" t="n">
        <v>0</v>
      </c>
      <c r="V4" s="20" t="n">
        <v>0</v>
      </c>
      <c r="W4" s="20" t="n">
        <v>0</v>
      </c>
      <c r="X4" s="20" t="n">
        <v>0</v>
      </c>
      <c r="Y4" s="20" t="n">
        <v>0</v>
      </c>
      <c r="Z4" s="20" t="n">
        <v>0</v>
      </c>
      <c r="AA4" s="20" t="n">
        <v>0</v>
      </c>
      <c r="AB4" s="20" t="n">
        <v>0</v>
      </c>
      <c r="AC4" s="20" t="n">
        <v>0</v>
      </c>
      <c r="AD4" s="20" t="n">
        <v>0</v>
      </c>
      <c r="AE4" s="20" t="n">
        <v>0</v>
      </c>
      <c r="AF4" s="20" t="n">
        <v>0</v>
      </c>
      <c r="AG4" s="20" t="n">
        <v>0</v>
      </c>
      <c r="AH4" s="22" t="n">
        <v>0</v>
      </c>
      <c r="AI4" s="22" t="n">
        <v>0</v>
      </c>
      <c r="AJ4" s="28" t="n"/>
      <c r="AK4" s="28" t="n"/>
      <c r="AL4" s="28" t="n"/>
      <c r="AM4" s="28" t="n"/>
      <c r="AN4" s="28" t="n"/>
      <c r="AO4" s="20" t="n">
        <v>0</v>
      </c>
      <c r="AP4" s="20" t="n">
        <v>0</v>
      </c>
      <c r="AQ4" s="20" t="n">
        <v>0</v>
      </c>
      <c r="AR4" s="20" t="n">
        <v>0</v>
      </c>
      <c r="AS4" s="20" t="n">
        <v>0</v>
      </c>
      <c r="AT4" s="20" t="n">
        <v>0</v>
      </c>
      <c r="AU4" s="20" t="n">
        <v>0</v>
      </c>
      <c r="AV4" s="20" t="n">
        <v>0</v>
      </c>
      <c r="AW4" s="20" t="n">
        <v>0</v>
      </c>
      <c r="AX4" s="20" t="n">
        <v>0</v>
      </c>
      <c r="AY4" s="20" t="n">
        <v>0</v>
      </c>
      <c r="AZ4" s="20" t="n">
        <v>0</v>
      </c>
      <c r="BA4" s="25" t="n">
        <v>0</v>
      </c>
      <c r="BB4" s="21" t="n">
        <v>0</v>
      </c>
      <c r="BC4" s="26" t="n">
        <v>0</v>
      </c>
      <c r="BD4" s="27" t="inlineStr"/>
    </row>
    <row r="5">
      <c r="A5" s="28" t="n"/>
      <c r="B5" s="28" t="n"/>
      <c r="C5" s="28" t="n"/>
      <c r="D5" s="28" t="n"/>
      <c r="E5" s="28" t="n"/>
      <c r="F5" s="28" t="n"/>
      <c r="G5" s="28" t="n"/>
      <c r="H5" s="28" t="n"/>
      <c r="I5" s="28" t="n"/>
      <c r="J5" s="28" t="n"/>
      <c r="K5" s="28" t="n"/>
      <c r="L5" s="28" t="n"/>
      <c r="M5" s="28" t="n"/>
      <c r="N5" s="28" t="n"/>
      <c r="O5" s="28" t="n"/>
      <c r="P5" s="28" t="n"/>
      <c r="Q5" s="28" t="n"/>
      <c r="R5" s="19" t="inlineStr">
        <is>
          <t>差旅费（成本３）</t>
        </is>
      </c>
      <c r="S5" s="20" t="n">
        <v>24000</v>
      </c>
      <c r="T5" s="20">
        <f>SUM(AO5:BC5)</f>
        <v/>
      </c>
      <c r="U5" s="21">
        <f>SUM(BA5:BC5)</f>
        <v/>
      </c>
      <c r="V5" s="20">
        <f>SUM(AO5:AZ5)</f>
        <v/>
      </c>
      <c r="W5" s="20">
        <f>SUM(AP5:AZ5)</f>
        <v/>
      </c>
      <c r="X5" s="20">
        <f>SUM(AQ5:AZ5)</f>
        <v/>
      </c>
      <c r="Y5" s="20">
        <f>SUM(AR5:AZ5)</f>
        <v/>
      </c>
      <c r="Z5" s="20">
        <f>SUM(AS5:AZ5)</f>
        <v/>
      </c>
      <c r="AA5" s="20">
        <f>SUM(AT5:AZ5)</f>
        <v/>
      </c>
      <c r="AB5" s="20">
        <f>SUM(AU5:AZ5)</f>
        <v/>
      </c>
      <c r="AC5" s="20">
        <f>SUM(AV5:AZ5)</f>
        <v/>
      </c>
      <c r="AD5" s="20">
        <f>SUM(AW5:AZ5)</f>
        <v/>
      </c>
      <c r="AE5" s="20">
        <f>SUM(AX5:AZ5)</f>
        <v/>
      </c>
      <c r="AF5" s="20">
        <f>SUM(AY5:AZ5)</f>
        <v/>
      </c>
      <c r="AG5" s="20">
        <f>SUM(AZ5:AZ5)</f>
        <v/>
      </c>
      <c r="AH5" s="22" t="n">
        <v>0</v>
      </c>
      <c r="AI5" s="22" t="n">
        <v>0</v>
      </c>
      <c r="AJ5" s="28" t="n"/>
      <c r="AK5" s="28" t="n"/>
      <c r="AL5" s="28" t="n"/>
      <c r="AM5" s="28" t="n"/>
      <c r="AN5" s="28" t="n"/>
      <c r="AO5" s="20" t="n">
        <v>0</v>
      </c>
      <c r="AP5" s="20" t="n">
        <v>0</v>
      </c>
      <c r="AQ5" s="20" t="n">
        <v>0</v>
      </c>
      <c r="AR5" s="20" t="n">
        <v>0</v>
      </c>
      <c r="AS5" s="20" t="n">
        <v>0</v>
      </c>
      <c r="AT5" s="20" t="n">
        <v>0</v>
      </c>
      <c r="AU5" s="20" t="n">
        <v>0</v>
      </c>
      <c r="AV5" s="20" t="n">
        <v>0</v>
      </c>
      <c r="AW5" s="20" t="n">
        <v>0</v>
      </c>
      <c r="AX5" s="20" t="n">
        <v>0</v>
      </c>
      <c r="AY5" s="20" t="n">
        <v>0</v>
      </c>
      <c r="AZ5" s="20" t="n">
        <v>0</v>
      </c>
      <c r="BA5" s="25" t="n">
        <v>306.5</v>
      </c>
      <c r="BB5" s="21" t="n">
        <v>0</v>
      </c>
      <c r="BC5" s="26" t="n">
        <v>5324.09</v>
      </c>
      <c r="BD5" s="27" t="inlineStr"/>
    </row>
    <row r="6">
      <c r="A6" s="28" t="n"/>
      <c r="B6" s="28" t="n"/>
      <c r="C6" s="28" t="n"/>
      <c r="D6" s="28" t="n"/>
      <c r="E6" s="28" t="n"/>
      <c r="F6" s="28" t="n"/>
      <c r="G6" s="28" t="n"/>
      <c r="H6" s="28" t="n"/>
      <c r="I6" s="28" t="n"/>
      <c r="J6" s="28" t="n"/>
      <c r="K6" s="28" t="n"/>
      <c r="L6" s="28" t="n"/>
      <c r="M6" s="28" t="n"/>
      <c r="N6" s="28" t="n"/>
      <c r="O6" s="28" t="n"/>
      <c r="P6" s="28" t="n"/>
      <c r="Q6" s="28" t="n"/>
      <c r="R6" s="19" t="inlineStr">
        <is>
          <t>其他成本（成本３）</t>
        </is>
      </c>
      <c r="S6" s="20" t="n">
        <v>6700</v>
      </c>
      <c r="T6" s="20">
        <f>SUM(AO6:BC6)</f>
        <v/>
      </c>
      <c r="U6" s="21">
        <f>SUM(BA6:BC6)</f>
        <v/>
      </c>
      <c r="V6" s="20">
        <f>SUM(AO6:AZ6)</f>
        <v/>
      </c>
      <c r="W6" s="20">
        <f>SUM(AP6:AZ6)</f>
        <v/>
      </c>
      <c r="X6" s="20">
        <f>SUM(AQ6:AZ6)</f>
        <v/>
      </c>
      <c r="Y6" s="20">
        <f>SUM(AR6:AZ6)</f>
        <v/>
      </c>
      <c r="Z6" s="20">
        <f>SUM(AS6:AZ6)</f>
        <v/>
      </c>
      <c r="AA6" s="20">
        <f>SUM(AT6:AZ6)</f>
        <v/>
      </c>
      <c r="AB6" s="20">
        <f>SUM(AU6:AZ6)</f>
        <v/>
      </c>
      <c r="AC6" s="20">
        <f>SUM(AV6:AZ6)</f>
        <v/>
      </c>
      <c r="AD6" s="20">
        <f>SUM(AW6:AZ6)</f>
        <v/>
      </c>
      <c r="AE6" s="20">
        <f>SUM(AX6:AZ6)</f>
        <v/>
      </c>
      <c r="AF6" s="20">
        <f>SUM(AY6:AZ6)</f>
        <v/>
      </c>
      <c r="AG6" s="20">
        <f>SUM(AZ6:AZ6)</f>
        <v/>
      </c>
      <c r="AH6" s="22" t="n">
        <v>0</v>
      </c>
      <c r="AI6" s="22" t="n">
        <v>0</v>
      </c>
      <c r="AJ6" s="28" t="n"/>
      <c r="AK6" s="28" t="n"/>
      <c r="AL6" s="28" t="n"/>
      <c r="AM6" s="28" t="n"/>
      <c r="AN6" s="28" t="n"/>
      <c r="AO6" s="20" t="n">
        <v>0</v>
      </c>
      <c r="AP6" s="20" t="n">
        <v>0</v>
      </c>
      <c r="AQ6" s="20" t="n">
        <v>0</v>
      </c>
      <c r="AR6" s="20" t="n">
        <v>0</v>
      </c>
      <c r="AS6" s="20" t="n">
        <v>0</v>
      </c>
      <c r="AT6" s="20" t="n">
        <v>0</v>
      </c>
      <c r="AU6" s="20" t="n">
        <v>0</v>
      </c>
      <c r="AV6" s="20" t="n">
        <v>0</v>
      </c>
      <c r="AW6" s="20" t="n">
        <v>0</v>
      </c>
      <c r="AX6" s="20" t="n">
        <v>19814.03</v>
      </c>
      <c r="AY6" s="20" t="n">
        <v>-11.9</v>
      </c>
      <c r="AZ6" s="20" t="n">
        <v>-82.98999999999999</v>
      </c>
      <c r="BA6" s="25" t="n">
        <v>2153.11</v>
      </c>
      <c r="BB6" s="21" t="n">
        <v>336.02</v>
      </c>
      <c r="BC6" s="26" t="n">
        <v>34582.147</v>
      </c>
      <c r="BD6" s="27" t="inlineStr"/>
    </row>
    <row r="7">
      <c r="A7" s="28" t="n"/>
      <c r="B7" s="28" t="n"/>
      <c r="C7" s="28" t="n"/>
      <c r="D7" s="28" t="n"/>
      <c r="E7" s="28" t="n"/>
      <c r="F7" s="28" t="n"/>
      <c r="G7" s="28" t="n"/>
      <c r="H7" s="28" t="n"/>
      <c r="I7" s="28" t="n"/>
      <c r="J7" s="28" t="n"/>
      <c r="K7" s="28" t="n"/>
      <c r="L7" s="28" t="n"/>
      <c r="M7" s="28" t="n"/>
      <c r="N7" s="28" t="n"/>
      <c r="O7" s="28" t="n"/>
      <c r="P7" s="28" t="n"/>
      <c r="Q7" s="28" t="n"/>
      <c r="R7" s="29" t="inlineStr">
        <is>
          <t>累计成本</t>
        </is>
      </c>
      <c r="S7" s="30">
        <f>SUM(S3:S6)</f>
        <v/>
      </c>
      <c r="T7" s="30">
        <f>SUM(T3:T6)</f>
        <v/>
      </c>
      <c r="U7" s="31">
        <f>SUM(U3:U6)</f>
        <v/>
      </c>
      <c r="V7" s="30">
        <f>SUM(V3:V6)</f>
        <v/>
      </c>
      <c r="W7" s="30">
        <f>SUM(W3:W6)</f>
        <v/>
      </c>
      <c r="X7" s="30">
        <f>SUM(X3:X6)</f>
        <v/>
      </c>
      <c r="Y7" s="30">
        <f>SUM(Y3:Y6)</f>
        <v/>
      </c>
      <c r="Z7" s="30">
        <f>SUM(Z3:Z6)</f>
        <v/>
      </c>
      <c r="AA7" s="30">
        <f>SUM(AA3:AA6)</f>
        <v/>
      </c>
      <c r="AB7" s="30">
        <f>SUM(AB3:AB6)</f>
        <v/>
      </c>
      <c r="AC7" s="30">
        <f>SUM(AC3:AC6)</f>
        <v/>
      </c>
      <c r="AD7" s="30">
        <f>SUM(AD3:AD6)</f>
        <v/>
      </c>
      <c r="AE7" s="30">
        <f>SUM(AE3:AE6)</f>
        <v/>
      </c>
      <c r="AF7" s="30">
        <f>SUM(AF3:AF6)</f>
        <v/>
      </c>
      <c r="AG7" s="30">
        <f>SUM(AG3:AG6)</f>
        <v/>
      </c>
      <c r="AH7" s="30">
        <f>SUM(AH3:AH6)</f>
        <v/>
      </c>
      <c r="AI7" s="30">
        <f>SUM(AI3:AI6)</f>
        <v/>
      </c>
      <c r="AJ7" s="28" t="n"/>
      <c r="AK7" s="28" t="n"/>
      <c r="AL7" s="28" t="n"/>
      <c r="AM7" s="28" t="n"/>
      <c r="AN7" s="28" t="n"/>
      <c r="AO7" s="30">
        <f>SUM(AO3:AO6)</f>
        <v/>
      </c>
      <c r="AP7" s="30">
        <f>SUM(AP3:AP6)</f>
        <v/>
      </c>
      <c r="AQ7" s="30">
        <f>SUM(AQ3:AQ6)</f>
        <v/>
      </c>
      <c r="AR7" s="30">
        <f>SUM(AR3:AR6)</f>
        <v/>
      </c>
      <c r="AS7" s="30">
        <f>SUM(AS3:AS6)</f>
        <v/>
      </c>
      <c r="AT7" s="30">
        <f>SUM(AT3:AT6)</f>
        <v/>
      </c>
      <c r="AU7" s="30">
        <f>SUM(AU3:AU6)</f>
        <v/>
      </c>
      <c r="AV7" s="30">
        <f>SUM(AV3:AV6)</f>
        <v/>
      </c>
      <c r="AW7" s="30">
        <f>SUM(AW3:AW6)</f>
        <v/>
      </c>
      <c r="AX7" s="30">
        <f>SUM(AX3:AX6)</f>
        <v/>
      </c>
      <c r="AY7" s="30" t="n">
        <v>-11.9</v>
      </c>
      <c r="AZ7" s="30">
        <f>SUM(AZ3:AZ6)</f>
        <v/>
      </c>
      <c r="BA7" s="31">
        <f>SUM(BA3:BA6)</f>
        <v/>
      </c>
      <c r="BB7" s="31">
        <f>SUM(BB3:BB6)</f>
        <v/>
      </c>
      <c r="BC7" s="31">
        <f>SUM(BC3:BC6)</f>
        <v/>
      </c>
      <c r="BD7" s="32" t="inlineStr"/>
    </row>
    <row r="8">
      <c r="A8" s="28" t="n"/>
      <c r="B8" s="28" t="n"/>
      <c r="C8" s="28" t="n"/>
      <c r="D8" s="28" t="n"/>
      <c r="E8" s="28" t="n"/>
      <c r="F8" s="28" t="n"/>
      <c r="G8" s="28" t="n"/>
      <c r="H8" s="28" t="n"/>
      <c r="I8" s="28" t="n"/>
      <c r="J8" s="28" t="n"/>
      <c r="K8" s="28" t="n"/>
      <c r="L8" s="28" t="n"/>
      <c r="M8" s="28" t="n"/>
      <c r="N8" s="28" t="n"/>
      <c r="O8" s="28" t="n"/>
      <c r="P8" s="28" t="n"/>
      <c r="Q8" s="28" t="n"/>
      <c r="R8" s="19" t="inlineStr">
        <is>
          <t>GP1毛利</t>
        </is>
      </c>
      <c r="S8" s="20">
        <f>S2-S3</f>
        <v/>
      </c>
      <c r="T8" s="20">
        <f>T2-T3</f>
        <v/>
      </c>
      <c r="U8" s="21">
        <f>U2-U3</f>
        <v/>
      </c>
      <c r="V8" s="20">
        <f>V2-V3</f>
        <v/>
      </c>
      <c r="W8" s="20">
        <f>W2-W3</f>
        <v/>
      </c>
      <c r="X8" s="20">
        <f>X2-X3</f>
        <v/>
      </c>
      <c r="Y8" s="20">
        <f>Y2-Y3</f>
        <v/>
      </c>
      <c r="Z8" s="20">
        <f>Z2-Z3</f>
        <v/>
      </c>
      <c r="AA8" s="20">
        <f>AA2-AA3</f>
        <v/>
      </c>
      <c r="AB8" s="20">
        <f>AB2-AB3</f>
        <v/>
      </c>
      <c r="AC8" s="20">
        <f>AC2-AC3</f>
        <v/>
      </c>
      <c r="AD8" s="20">
        <f>AD2-AD3</f>
        <v/>
      </c>
      <c r="AE8" s="20">
        <f>AE2-AE3</f>
        <v/>
      </c>
      <c r="AF8" s="20">
        <f>AF2-AF3</f>
        <v/>
      </c>
      <c r="AG8" s="20">
        <f>AG2-AG3</f>
        <v/>
      </c>
      <c r="AH8" s="33" t="n">
        <v>0</v>
      </c>
      <c r="AI8" s="33" t="n">
        <v>0</v>
      </c>
      <c r="AJ8" s="28" t="n"/>
      <c r="AK8" s="28" t="n"/>
      <c r="AL8" s="28" t="n"/>
      <c r="AM8" s="28" t="n"/>
      <c r="AN8" s="28" t="n"/>
      <c r="AO8" s="20">
        <f>AO2-AO3</f>
        <v/>
      </c>
      <c r="AP8" s="20">
        <f>AP2-AP3</f>
        <v/>
      </c>
      <c r="AQ8" s="20">
        <f>AQ2-AQ3</f>
        <v/>
      </c>
      <c r="AR8" s="20">
        <f>AR2-AR3</f>
        <v/>
      </c>
      <c r="AS8" s="20">
        <f>AS2-AS3</f>
        <v/>
      </c>
      <c r="AT8" s="20">
        <f>AT2-AT3</f>
        <v/>
      </c>
      <c r="AU8" s="20">
        <f>AU2-AU3</f>
        <v/>
      </c>
      <c r="AV8" s="20">
        <f>AV2-AV3</f>
        <v/>
      </c>
      <c r="AW8" s="20">
        <f>AW2-AW3</f>
        <v/>
      </c>
      <c r="AX8" s="20">
        <f>AX2-AX3</f>
        <v/>
      </c>
      <c r="AY8" s="20">
        <f>AY2-AY3</f>
        <v/>
      </c>
      <c r="AZ8" s="20">
        <f>AZ2-AZ3</f>
        <v/>
      </c>
      <c r="BA8" s="25" t="n">
        <v>-59678.22</v>
      </c>
      <c r="BB8" s="31" t="n">
        <v>4420.81</v>
      </c>
      <c r="BC8" s="34">
        <f>BC2-BC3</f>
        <v/>
      </c>
      <c r="BD8" s="27" t="inlineStr"/>
    </row>
    <row r="9">
      <c r="A9" s="28" t="n"/>
      <c r="B9" s="28" t="n"/>
      <c r="C9" s="28" t="n"/>
      <c r="D9" s="28" t="n"/>
      <c r="E9" s="28" t="n"/>
      <c r="F9" s="28" t="n"/>
      <c r="G9" s="28" t="n"/>
      <c r="H9" s="28" t="n"/>
      <c r="I9" s="28" t="n"/>
      <c r="J9" s="28" t="n"/>
      <c r="K9" s="28" t="n"/>
      <c r="L9" s="28" t="n"/>
      <c r="M9" s="28" t="n"/>
      <c r="N9" s="28" t="n"/>
      <c r="O9" s="28" t="n"/>
      <c r="P9" s="28" t="n"/>
      <c r="Q9" s="28" t="n"/>
      <c r="R9" s="35" t="inlineStr">
        <is>
          <t>GP1毛利率(%)</t>
        </is>
      </c>
      <c r="S9" s="36">
        <f>S8/S2</f>
        <v/>
      </c>
      <c r="T9" s="36">
        <f>T8/T2</f>
        <v/>
      </c>
      <c r="U9" s="37">
        <f>U8/U2</f>
        <v/>
      </c>
      <c r="V9" s="36">
        <f>V8/V2</f>
        <v/>
      </c>
      <c r="W9" s="36">
        <f>W8/W2</f>
        <v/>
      </c>
      <c r="X9" s="36">
        <f>X8/X2</f>
        <v/>
      </c>
      <c r="Y9" s="36">
        <f>Y8/Y2</f>
        <v/>
      </c>
      <c r="Z9" s="36">
        <f>Z8/Z2</f>
        <v/>
      </c>
      <c r="AA9" s="36">
        <f>AA8/AA2</f>
        <v/>
      </c>
      <c r="AB9" s="36">
        <f>AB8/AB2</f>
        <v/>
      </c>
      <c r="AC9" s="36">
        <f>AC8/AC2</f>
        <v/>
      </c>
      <c r="AD9" s="36">
        <f>AD8/AD2</f>
        <v/>
      </c>
      <c r="AE9" s="36">
        <f>AE8/AE2</f>
        <v/>
      </c>
      <c r="AF9" s="36">
        <f>AF8/AF2</f>
        <v/>
      </c>
      <c r="AG9" s="36">
        <f>AG8/AG2</f>
        <v/>
      </c>
      <c r="AH9" s="38">
        <f>T9-S9</f>
        <v/>
      </c>
      <c r="AI9" s="38">
        <f>AF9-S9</f>
        <v/>
      </c>
      <c r="AJ9" s="28" t="n"/>
      <c r="AK9" s="28" t="n"/>
      <c r="AL9" s="28" t="n"/>
      <c r="AM9" s="28" t="n"/>
      <c r="AN9" s="28" t="n"/>
      <c r="AO9" s="36">
        <f>AO8/AO2</f>
        <v/>
      </c>
      <c r="AP9" s="36">
        <f>AP8/AP2</f>
        <v/>
      </c>
      <c r="AQ9" s="36">
        <f>AQ8/AQ2</f>
        <v/>
      </c>
      <c r="AR9" s="36">
        <f>AR8/AR2</f>
        <v/>
      </c>
      <c r="AS9" s="36">
        <f>AS8/AS2</f>
        <v/>
      </c>
      <c r="AT9" s="36">
        <f>AT8/AT2</f>
        <v/>
      </c>
      <c r="AU9" s="36">
        <f>AU8/AU2</f>
        <v/>
      </c>
      <c r="AV9" s="36">
        <f>AV8/AV2</f>
        <v/>
      </c>
      <c r="AW9" s="36">
        <f>AW8/AW2</f>
        <v/>
      </c>
      <c r="AX9" s="36">
        <f>AX8/AX2</f>
        <v/>
      </c>
      <c r="AY9" s="36">
        <f>AY8/AY2</f>
        <v/>
      </c>
      <c r="AZ9" s="36">
        <f>AZ8/AZ2</f>
        <v/>
      </c>
      <c r="BA9" s="37" t="n">
        <v>-1.85335856725644</v>
      </c>
      <c r="BB9" s="39" t="n">
        <v>0.626837630590878</v>
      </c>
      <c r="BC9" s="40">
        <f>BC8/BC2</f>
        <v/>
      </c>
      <c r="BD9" s="27" t="inlineStr"/>
    </row>
    <row r="10">
      <c r="A10" s="28" t="n"/>
      <c r="B10" s="28" t="n"/>
      <c r="C10" s="28" t="n"/>
      <c r="D10" s="28" t="n"/>
      <c r="E10" s="28" t="n"/>
      <c r="F10" s="28" t="n"/>
      <c r="G10" s="28" t="n"/>
      <c r="H10" s="28" t="n"/>
      <c r="I10" s="28" t="n"/>
      <c r="J10" s="28" t="n"/>
      <c r="K10" s="28" t="n"/>
      <c r="L10" s="28" t="n"/>
      <c r="M10" s="28" t="n"/>
      <c r="N10" s="28" t="n"/>
      <c r="O10" s="28" t="n"/>
      <c r="P10" s="28" t="n"/>
      <c r="Q10" s="28" t="n"/>
      <c r="R10" s="19" t="inlineStr">
        <is>
          <t>GP3毛利</t>
        </is>
      </c>
      <c r="S10" s="20">
        <f>S2-S7</f>
        <v/>
      </c>
      <c r="T10" s="20">
        <f>T2-T7</f>
        <v/>
      </c>
      <c r="U10" s="20">
        <f>U2-U7</f>
        <v/>
      </c>
      <c r="V10" s="20">
        <f>V2-V7</f>
        <v/>
      </c>
      <c r="W10" s="20">
        <f>W2-W7</f>
        <v/>
      </c>
      <c r="X10" s="20">
        <f>X2-X7</f>
        <v/>
      </c>
      <c r="Y10" s="20">
        <f>Y2-Y7</f>
        <v/>
      </c>
      <c r="Z10" s="20">
        <f>Z2-Z7</f>
        <v/>
      </c>
      <c r="AA10" s="20">
        <f>AA2-AA7</f>
        <v/>
      </c>
      <c r="AB10" s="20">
        <f>AB2-AB7</f>
        <v/>
      </c>
      <c r="AC10" s="20">
        <f>AC2-AC7</f>
        <v/>
      </c>
      <c r="AD10" s="20">
        <f>AD2-AD7</f>
        <v/>
      </c>
      <c r="AE10" s="20">
        <f>AE2-AE7</f>
        <v/>
      </c>
      <c r="AF10" s="20">
        <f>AF2-AF7</f>
        <v/>
      </c>
      <c r="AG10" s="20">
        <f>AG2-AG7</f>
        <v/>
      </c>
      <c r="AH10" s="38" t="n">
        <v>0</v>
      </c>
      <c r="AI10" s="38" t="n">
        <v>0</v>
      </c>
      <c r="AJ10" s="28" t="n"/>
      <c r="AK10" s="28" t="n"/>
      <c r="AL10" s="28" t="n"/>
      <c r="AM10" s="28" t="n"/>
      <c r="AN10" s="28" t="n"/>
      <c r="AO10" s="20">
        <f>AO2-AO7</f>
        <v/>
      </c>
      <c r="AP10" s="20">
        <f>AP2-AP7</f>
        <v/>
      </c>
      <c r="AQ10" s="20">
        <f>AQ2-AQ7</f>
        <v/>
      </c>
      <c r="AR10" s="20">
        <f>AR2-AR7</f>
        <v/>
      </c>
      <c r="AS10" s="20">
        <f>AS2-AS7</f>
        <v/>
      </c>
      <c r="AT10" s="20">
        <f>AT2-AT7</f>
        <v/>
      </c>
      <c r="AU10" s="20">
        <f>AU2-AU7</f>
        <v/>
      </c>
      <c r="AV10" s="20">
        <f>AV2-AV7</f>
        <v/>
      </c>
      <c r="AW10" s="20">
        <f>AW2-AW7</f>
        <v/>
      </c>
      <c r="AX10" s="20">
        <f>AX2-AX7</f>
        <v/>
      </c>
      <c r="AY10" s="20">
        <f>AY2-AY7</f>
        <v/>
      </c>
      <c r="AZ10" s="20">
        <f>AZ2-AZ7</f>
        <v/>
      </c>
      <c r="BA10" s="20">
        <f>BA2-BA7</f>
        <v/>
      </c>
      <c r="BB10" s="20">
        <f>BB2-BB7</f>
        <v/>
      </c>
      <c r="BC10" s="20">
        <f>BC2-BC7</f>
        <v/>
      </c>
      <c r="BD10" s="27" t="inlineStr"/>
    </row>
    <row r="11">
      <c r="A11" s="41" t="n"/>
      <c r="B11" s="41" t="n"/>
      <c r="C11" s="41" t="n"/>
      <c r="D11" s="41" t="n"/>
      <c r="E11" s="41" t="n"/>
      <c r="F11" s="41" t="n"/>
      <c r="G11" s="41" t="n"/>
      <c r="H11" s="41" t="n"/>
      <c r="I11" s="41" t="n"/>
      <c r="J11" s="41" t="n"/>
      <c r="K11" s="41" t="n"/>
      <c r="L11" s="41" t="n"/>
      <c r="M11" s="41" t="n"/>
      <c r="N11" s="41" t="n"/>
      <c r="O11" s="41" t="n"/>
      <c r="P11" s="41" t="n"/>
      <c r="Q11" s="41" t="n"/>
      <c r="R11" s="35" t="inlineStr">
        <is>
          <t>GP3毛利率(%)</t>
        </is>
      </c>
      <c r="S11" s="36">
        <f>S10/S2</f>
        <v/>
      </c>
      <c r="T11" s="36">
        <f>T10/T2</f>
        <v/>
      </c>
      <c r="U11" s="37">
        <f>U10/U2</f>
        <v/>
      </c>
      <c r="V11" s="36">
        <f>V10/V2</f>
        <v/>
      </c>
      <c r="W11" s="36">
        <f>W10/W2</f>
        <v/>
      </c>
      <c r="X11" s="36">
        <f>X10/X2</f>
        <v/>
      </c>
      <c r="Y11" s="36">
        <f>Y10/Y2</f>
        <v/>
      </c>
      <c r="Z11" s="36">
        <f>Z10/Z2</f>
        <v/>
      </c>
      <c r="AA11" s="36">
        <f>AA10/AA2</f>
        <v/>
      </c>
      <c r="AB11" s="36">
        <f>AB10/AB2</f>
        <v/>
      </c>
      <c r="AC11" s="36">
        <f>AC10/AC2</f>
        <v/>
      </c>
      <c r="AD11" s="36">
        <f>AD10/AD2</f>
        <v/>
      </c>
      <c r="AE11" s="36">
        <f>AE10/AE2</f>
        <v/>
      </c>
      <c r="AF11" s="36">
        <f>AF10/AF2</f>
        <v/>
      </c>
      <c r="AG11" s="36">
        <f>AG10/AG2</f>
        <v/>
      </c>
      <c r="AH11" s="38">
        <f>T11-S11</f>
        <v/>
      </c>
      <c r="AI11" s="38">
        <f>AF11-S11</f>
        <v/>
      </c>
      <c r="AJ11" s="41" t="n"/>
      <c r="AK11" s="41" t="n"/>
      <c r="AL11" s="41" t="n"/>
      <c r="AM11" s="41" t="n"/>
      <c r="AN11" s="41" t="n"/>
      <c r="AO11" s="36">
        <f>AO10/AO2</f>
        <v/>
      </c>
      <c r="AP11" s="36">
        <f>AP10/AP2</f>
        <v/>
      </c>
      <c r="AQ11" s="36">
        <f>AQ10/AQ2</f>
        <v/>
      </c>
      <c r="AR11" s="36">
        <f>AR10/AR2</f>
        <v/>
      </c>
      <c r="AS11" s="36">
        <f>AS10/AS2</f>
        <v/>
      </c>
      <c r="AT11" s="36">
        <f>AT10/AT2</f>
        <v/>
      </c>
      <c r="AU11" s="36">
        <f>AU10/AU2</f>
        <v/>
      </c>
      <c r="AV11" s="36">
        <f>AV10/AV2</f>
        <v/>
      </c>
      <c r="AW11" s="36">
        <f>AW10/AW2</f>
        <v/>
      </c>
      <c r="AX11" s="36">
        <f>AX10/AX2</f>
        <v/>
      </c>
      <c r="AY11" s="36">
        <f>AY10/AY2</f>
        <v/>
      </c>
      <c r="AZ11" s="36">
        <f>AZ10/AZ2</f>
        <v/>
      </c>
      <c r="BA11" s="37" t="n">
        <v>-1.92974387609456</v>
      </c>
      <c r="BB11" s="39" t="n">
        <v>0.579192520162891</v>
      </c>
      <c r="BC11" s="40">
        <f>BC10/BC2</f>
        <v/>
      </c>
      <c r="BD11" s="27" t="inlineStr"/>
    </row>
    <row r="12">
      <c r="A12" s="42" t="inlineStr">
        <is>
          <t>P202504000428</t>
        </is>
      </c>
      <c r="B12" s="43" t="inlineStr">
        <is>
          <t>全国畜牧总站-2025年度畜牧业综合信息平台种畜禽运维项目-fp项目</t>
        </is>
      </c>
      <c r="C12" s="44" t="n">
        <v>45748</v>
      </c>
      <c r="D12" s="44" t="n">
        <v>46112</v>
      </c>
      <c r="E12" s="15" t="n"/>
      <c r="F12" s="16" t="inlineStr">
        <is>
          <t xml:space="preserve"> -   </t>
        </is>
      </c>
      <c r="G12" s="17" t="n"/>
      <c r="H12" s="45" t="n"/>
      <c r="I12" s="46" t="n"/>
      <c r="J12" s="46" t="n"/>
      <c r="K12" s="46" t="n"/>
      <c r="L12" s="18" t="n"/>
      <c r="M12" s="18" t="n"/>
      <c r="N12" s="18" t="n"/>
      <c r="O12" s="18" t="n"/>
      <c r="P12" s="15" t="n"/>
      <c r="Q12" s="18" t="inlineStr"/>
      <c r="R12" s="47" t="inlineStr">
        <is>
          <t>累计收入（NR）</t>
        </is>
      </c>
      <c r="S12" s="20" t="n">
        <v>150943.4</v>
      </c>
      <c r="T12" s="20">
        <f>SUM(AO12:BC12)</f>
        <v/>
      </c>
      <c r="U12" s="21">
        <f>SUM(BA12:BC12)</f>
        <v/>
      </c>
      <c r="V12" s="20">
        <f>SUM(AO12:AZ12)</f>
        <v/>
      </c>
      <c r="W12" s="20">
        <f>SUM(AP12:AZ12)</f>
        <v/>
      </c>
      <c r="X12" s="20">
        <f>SUM(AQ12:AZ12)</f>
        <v/>
      </c>
      <c r="Y12" s="20">
        <f>SUM(AR12:AZ12)</f>
        <v/>
      </c>
      <c r="Z12" s="20">
        <f>SUM(AS12:AZ12)</f>
        <v/>
      </c>
      <c r="AA12" s="20">
        <f>SUM(AT12:AZ12)</f>
        <v/>
      </c>
      <c r="AB12" s="20">
        <f>SUM(AU12:AZ12)</f>
        <v/>
      </c>
      <c r="AC12" s="20">
        <f>SUM(AV12:AZ12)</f>
        <v/>
      </c>
      <c r="AD12" s="20">
        <f>SUM(AW12:AZ12)</f>
        <v/>
      </c>
      <c r="AE12" s="20">
        <f>SUM(AX12:AZ12)</f>
        <v/>
      </c>
      <c r="AF12" s="20">
        <f>SUM(AY12:AZ12)</f>
        <v/>
      </c>
      <c r="AG12" s="20">
        <f>SUM(AZ12:AZ12)</f>
        <v/>
      </c>
      <c r="AH12" s="22" t="n">
        <v>0</v>
      </c>
      <c r="AI12" s="22" t="n">
        <v>0</v>
      </c>
      <c r="AJ12" s="48" t="inlineStr"/>
      <c r="AK12" s="48" t="inlineStr">
        <is>
          <t>周期性运维项目，系统每月自动计入收入，4~8月每月投入人力成本1.86万超出预算</t>
        </is>
      </c>
      <c r="AL12" s="48" t="inlineStr"/>
      <c r="AM12" s="48" t="inlineStr">
        <is>
          <t>11月投入0.48万成本降低</t>
        </is>
      </c>
      <c r="AN12" s="16" t="n"/>
      <c r="AO12" s="20" t="n">
        <v>0</v>
      </c>
      <c r="AP12" s="20" t="n">
        <v>0</v>
      </c>
      <c r="AQ12" s="20" t="n">
        <v>0</v>
      </c>
      <c r="AR12" s="20" t="n">
        <v>0</v>
      </c>
      <c r="AS12" s="20" t="n">
        <v>0</v>
      </c>
      <c r="AT12" s="20" t="n">
        <v>0</v>
      </c>
      <c r="AU12" s="20" t="n">
        <v>0</v>
      </c>
      <c r="AV12" s="20" t="n">
        <v>0</v>
      </c>
      <c r="AW12" s="20" t="n">
        <v>0</v>
      </c>
      <c r="AX12" s="20" t="n">
        <v>12819.95</v>
      </c>
      <c r="AY12" s="20" t="n">
        <v>11579.17</v>
      </c>
      <c r="AZ12" s="20" t="n">
        <v>12819.77</v>
      </c>
      <c r="BA12" s="49" t="n">
        <v>112589.72</v>
      </c>
      <c r="BB12" s="21" t="n">
        <v>0</v>
      </c>
      <c r="BC12" s="50" t="n">
        <v>0</v>
      </c>
      <c r="BD12" s="51" t="inlineStr">
        <is>
          <t>2026年已结项</t>
        </is>
      </c>
    </row>
    <row r="13">
      <c r="A13" s="28" t="n"/>
      <c r="B13" s="28" t="n"/>
      <c r="C13" s="28" t="n"/>
      <c r="D13" s="28" t="n"/>
      <c r="E13" s="28" t="n"/>
      <c r="F13" s="28" t="n"/>
      <c r="G13" s="28" t="n"/>
      <c r="H13" s="52" t="n"/>
      <c r="I13" s="52" t="n"/>
      <c r="J13" s="52" t="n"/>
      <c r="K13" s="52" t="n"/>
      <c r="L13" s="28" t="n"/>
      <c r="M13" s="28" t="n"/>
      <c r="N13" s="28" t="n"/>
      <c r="O13" s="28" t="n"/>
      <c r="P13" s="28" t="n"/>
      <c r="Q13" s="28" t="n"/>
      <c r="R13" s="29" t="inlineStr">
        <is>
          <t>人工成本（成本１）</t>
        </is>
      </c>
      <c r="S13" s="20" t="n">
        <v>123201.71</v>
      </c>
      <c r="T13" s="20">
        <f>SUM(AO13:BC13)</f>
        <v/>
      </c>
      <c r="U13" s="21">
        <f>SUM(BA13:BC13)</f>
        <v/>
      </c>
      <c r="V13" s="20">
        <f>SUM(AO13:AZ13)</f>
        <v/>
      </c>
      <c r="W13" s="20">
        <f>SUM(AP13:AZ13)</f>
        <v/>
      </c>
      <c r="X13" s="20">
        <f>SUM(AQ13:AZ13)</f>
        <v/>
      </c>
      <c r="Y13" s="20">
        <f>SUM(AR13:AZ13)</f>
        <v/>
      </c>
      <c r="Z13" s="20">
        <f>SUM(AS13:AZ13)</f>
        <v/>
      </c>
      <c r="AA13" s="20">
        <f>SUM(AT13:AZ13)</f>
        <v/>
      </c>
      <c r="AB13" s="20">
        <f>SUM(AU13:AZ13)</f>
        <v/>
      </c>
      <c r="AC13" s="20">
        <f>SUM(AV13:AZ13)</f>
        <v/>
      </c>
      <c r="AD13" s="20">
        <f>SUM(AW13:AZ13)</f>
        <v/>
      </c>
      <c r="AE13" s="20">
        <f>SUM(AX13:AZ13)</f>
        <v/>
      </c>
      <c r="AF13" s="20">
        <f>SUM(AY13:AZ13)</f>
        <v/>
      </c>
      <c r="AG13" s="20">
        <f>SUM(AZ13:AZ13)</f>
        <v/>
      </c>
      <c r="AH13" s="22" t="n">
        <v>0</v>
      </c>
      <c r="AI13" s="22" t="n">
        <v>0</v>
      </c>
      <c r="AJ13" s="28" t="n"/>
      <c r="AK13" s="28" t="n"/>
      <c r="AL13" s="28" t="n"/>
      <c r="AM13" s="28" t="n"/>
      <c r="AN13" s="28" t="n"/>
      <c r="AO13" s="20" t="n">
        <v>0</v>
      </c>
      <c r="AP13" s="20" t="n">
        <v>0</v>
      </c>
      <c r="AQ13" s="20" t="n">
        <v>0</v>
      </c>
      <c r="AR13" s="20" t="n">
        <v>0</v>
      </c>
      <c r="AS13" s="20" t="n">
        <v>0</v>
      </c>
      <c r="AT13" s="20" t="n">
        <v>0</v>
      </c>
      <c r="AU13" s="20" t="n">
        <v>0</v>
      </c>
      <c r="AV13" s="20" t="n">
        <v>0</v>
      </c>
      <c r="AW13" s="20" t="n">
        <v>0</v>
      </c>
      <c r="AX13" s="20" t="n">
        <v>9665.959999999999</v>
      </c>
      <c r="AY13" s="20" t="n">
        <v>0</v>
      </c>
      <c r="AZ13" s="20" t="n">
        <v>7039.31</v>
      </c>
      <c r="BA13" s="49" t="n">
        <v>112560.11</v>
      </c>
      <c r="BB13" s="21" t="n">
        <v>0</v>
      </c>
      <c r="BC13" s="50" t="n">
        <v>0</v>
      </c>
      <c r="BD13" s="28" t="n"/>
    </row>
    <row r="14">
      <c r="A14" s="28" t="n"/>
      <c r="B14" s="28" t="n"/>
      <c r="C14" s="28" t="n"/>
      <c r="D14" s="28" t="n"/>
      <c r="E14" s="28" t="n"/>
      <c r="F14" s="28" t="n"/>
      <c r="G14" s="28" t="n"/>
      <c r="H14" s="52" t="n"/>
      <c r="I14" s="52" t="n"/>
      <c r="J14" s="52" t="n"/>
      <c r="K14" s="52" t="n"/>
      <c r="L14" s="28" t="n"/>
      <c r="M14" s="28" t="n"/>
      <c r="N14" s="28" t="n"/>
      <c r="O14" s="28" t="n"/>
      <c r="P14" s="28" t="n"/>
      <c r="Q14" s="28" t="n"/>
      <c r="R14" s="29" t="inlineStr">
        <is>
          <t>闲置成本（成本2）</t>
        </is>
      </c>
      <c r="S14" s="20" t="n">
        <v>0</v>
      </c>
      <c r="T14" s="20" t="n">
        <v>0</v>
      </c>
      <c r="U14" s="21" t="n">
        <v>0</v>
      </c>
      <c r="V14" s="20" t="n">
        <v>0</v>
      </c>
      <c r="W14" s="20" t="n">
        <v>0</v>
      </c>
      <c r="X14" s="20" t="n">
        <v>0</v>
      </c>
      <c r="Y14" s="20" t="n">
        <v>0</v>
      </c>
      <c r="Z14" s="20" t="n">
        <v>0</v>
      </c>
      <c r="AA14" s="20" t="n">
        <v>0</v>
      </c>
      <c r="AB14" s="20" t="n">
        <v>0</v>
      </c>
      <c r="AC14" s="20" t="n">
        <v>0</v>
      </c>
      <c r="AD14" s="20" t="n">
        <v>0</v>
      </c>
      <c r="AE14" s="20" t="n">
        <v>0</v>
      </c>
      <c r="AF14" s="20" t="n">
        <v>0</v>
      </c>
      <c r="AG14" s="20" t="n">
        <v>0</v>
      </c>
      <c r="AH14" s="22" t="n">
        <v>0</v>
      </c>
      <c r="AI14" s="22" t="n">
        <v>0</v>
      </c>
      <c r="AJ14" s="28" t="n"/>
      <c r="AK14" s="28" t="n"/>
      <c r="AL14" s="28" t="n"/>
      <c r="AM14" s="28" t="n"/>
      <c r="AN14" s="28" t="n"/>
      <c r="AO14" s="20" t="n">
        <v>0</v>
      </c>
      <c r="AP14" s="20" t="n">
        <v>0</v>
      </c>
      <c r="AQ14" s="20" t="n">
        <v>0</v>
      </c>
      <c r="AR14" s="20" t="n">
        <v>0</v>
      </c>
      <c r="AS14" s="20" t="n">
        <v>0</v>
      </c>
      <c r="AT14" s="20" t="n">
        <v>0</v>
      </c>
      <c r="AU14" s="20" t="n">
        <v>0</v>
      </c>
      <c r="AV14" s="20" t="n">
        <v>0</v>
      </c>
      <c r="AW14" s="20" t="n">
        <v>0</v>
      </c>
      <c r="AX14" s="20" t="n">
        <v>11909.61</v>
      </c>
      <c r="AY14" s="20" t="n">
        <v>18638.11</v>
      </c>
      <c r="AZ14" s="20" t="n">
        <v>0</v>
      </c>
      <c r="BA14" s="49" t="n">
        <v>0</v>
      </c>
      <c r="BB14" s="21" t="n">
        <v>0</v>
      </c>
      <c r="BC14" s="50" t="n">
        <v>0</v>
      </c>
      <c r="BD14" s="28" t="n"/>
    </row>
    <row r="15">
      <c r="A15" s="28" t="n"/>
      <c r="B15" s="28" t="n"/>
      <c r="C15" s="28" t="n"/>
      <c r="D15" s="28" t="n"/>
      <c r="E15" s="28" t="n"/>
      <c r="F15" s="28" t="n"/>
      <c r="G15" s="28" t="n"/>
      <c r="H15" s="52" t="n"/>
      <c r="I15" s="52" t="n"/>
      <c r="J15" s="52" t="n"/>
      <c r="K15" s="52" t="n"/>
      <c r="L15" s="28" t="n"/>
      <c r="M15" s="28" t="n"/>
      <c r="N15" s="28" t="n"/>
      <c r="O15" s="28" t="n"/>
      <c r="P15" s="28" t="n"/>
      <c r="Q15" s="28" t="n"/>
      <c r="R15" s="29" t="inlineStr">
        <is>
          <t>差旅费（成本３）</t>
        </is>
      </c>
      <c r="S15" s="20" t="n">
        <v>0</v>
      </c>
      <c r="T15" s="20">
        <f>SUM(AO15:BC15)</f>
        <v/>
      </c>
      <c r="U15" s="21">
        <f>SUM(BA15:BC15)</f>
        <v/>
      </c>
      <c r="V15" s="20">
        <f>SUM(AO15:AZ15)</f>
        <v/>
      </c>
      <c r="W15" s="20">
        <f>SUM(AP15:AZ15)</f>
        <v/>
      </c>
      <c r="X15" s="20">
        <f>SUM(AQ15:AZ15)</f>
        <v/>
      </c>
      <c r="Y15" s="20">
        <f>SUM(AR15:AZ15)</f>
        <v/>
      </c>
      <c r="Z15" s="20">
        <f>SUM(AS15:AZ15)</f>
        <v/>
      </c>
      <c r="AA15" s="20">
        <f>SUM(AT15:AZ15)</f>
        <v/>
      </c>
      <c r="AB15" s="20">
        <f>SUM(AU15:AZ15)</f>
        <v/>
      </c>
      <c r="AC15" s="20">
        <f>SUM(AV15:AZ15)</f>
        <v/>
      </c>
      <c r="AD15" s="20">
        <f>SUM(AW15:AZ15)</f>
        <v/>
      </c>
      <c r="AE15" s="20">
        <f>SUM(AX15:AZ15)</f>
        <v/>
      </c>
      <c r="AF15" s="20">
        <f>SUM(AY15:AZ15)</f>
        <v/>
      </c>
      <c r="AG15" s="20">
        <f>SUM(AZ15:AZ15)</f>
        <v/>
      </c>
      <c r="AH15" s="22" t="n">
        <v>0</v>
      </c>
      <c r="AI15" s="22" t="n">
        <v>0</v>
      </c>
      <c r="AJ15" s="28" t="n"/>
      <c r="AK15" s="28" t="n"/>
      <c r="AL15" s="28" t="n"/>
      <c r="AM15" s="28" t="n"/>
      <c r="AN15" s="28" t="n"/>
      <c r="AO15" s="20" t="n">
        <v>0</v>
      </c>
      <c r="AP15" s="20" t="n">
        <v>0</v>
      </c>
      <c r="AQ15" s="20" t="n">
        <v>0</v>
      </c>
      <c r="AR15" s="20" t="n">
        <v>0</v>
      </c>
      <c r="AS15" s="20" t="n">
        <v>0</v>
      </c>
      <c r="AT15" s="20" t="n">
        <v>0</v>
      </c>
      <c r="AU15" s="20" t="n">
        <v>0</v>
      </c>
      <c r="AV15" s="20" t="n">
        <v>0</v>
      </c>
      <c r="AW15" s="20" t="n">
        <v>0</v>
      </c>
      <c r="AX15" s="20" t="n">
        <v>0</v>
      </c>
      <c r="AY15" s="20" t="n">
        <v>0</v>
      </c>
      <c r="AZ15" s="20" t="n">
        <v>0</v>
      </c>
      <c r="BA15" s="49" t="n">
        <v>0</v>
      </c>
      <c r="BB15" s="21" t="n">
        <v>0</v>
      </c>
      <c r="BC15" s="50" t="n">
        <v>0</v>
      </c>
      <c r="BD15" s="28" t="n"/>
    </row>
    <row r="16">
      <c r="A16" s="28" t="n"/>
      <c r="B16" s="28" t="n"/>
      <c r="C16" s="28" t="n"/>
      <c r="D16" s="28" t="n"/>
      <c r="E16" s="28" t="n"/>
      <c r="F16" s="28" t="n"/>
      <c r="G16" s="28" t="n"/>
      <c r="H16" s="52" t="n"/>
      <c r="I16" s="52" t="n"/>
      <c r="J16" s="52" t="n"/>
      <c r="K16" s="52" t="n"/>
      <c r="L16" s="28" t="n"/>
      <c r="M16" s="28" t="n"/>
      <c r="N16" s="28" t="n"/>
      <c r="O16" s="28" t="n"/>
      <c r="P16" s="28" t="n"/>
      <c r="Q16" s="28" t="n"/>
      <c r="R16" s="29" t="inlineStr">
        <is>
          <t>其他成本（成本３）</t>
        </is>
      </c>
      <c r="S16" s="20" t="n">
        <v>0</v>
      </c>
      <c r="T16" s="20">
        <f>SUM(AO16:BC16)</f>
        <v/>
      </c>
      <c r="U16" s="21">
        <f>SUM(BA16:BC16)</f>
        <v/>
      </c>
      <c r="V16" s="20">
        <f>SUM(AO16:AZ16)</f>
        <v/>
      </c>
      <c r="W16" s="20">
        <f>SUM(AP16:AZ16)</f>
        <v/>
      </c>
      <c r="X16" s="20">
        <f>SUM(AQ16:AZ16)</f>
        <v/>
      </c>
      <c r="Y16" s="20">
        <f>SUM(AR16:AZ16)</f>
        <v/>
      </c>
      <c r="Z16" s="20">
        <f>SUM(AS16:AZ16)</f>
        <v/>
      </c>
      <c r="AA16" s="20">
        <f>SUM(AT16:AZ16)</f>
        <v/>
      </c>
      <c r="AB16" s="20">
        <f>SUM(AU16:AZ16)</f>
        <v/>
      </c>
      <c r="AC16" s="20">
        <f>SUM(AV16:AZ16)</f>
        <v/>
      </c>
      <c r="AD16" s="20">
        <f>SUM(AW16:AZ16)</f>
        <v/>
      </c>
      <c r="AE16" s="20">
        <f>SUM(AX16:AZ16)</f>
        <v/>
      </c>
      <c r="AF16" s="20">
        <f>SUM(AY16:AZ16)</f>
        <v/>
      </c>
      <c r="AG16" s="20">
        <f>SUM(AZ16:AZ16)</f>
        <v/>
      </c>
      <c r="AH16" s="22" t="n">
        <v>0</v>
      </c>
      <c r="AI16" s="22" t="n">
        <v>0</v>
      </c>
      <c r="AJ16" s="28" t="n"/>
      <c r="AK16" s="28" t="n"/>
      <c r="AL16" s="28" t="n"/>
      <c r="AM16" s="28" t="n"/>
      <c r="AN16" s="28" t="n"/>
      <c r="AO16" s="20" t="n">
        <v>0</v>
      </c>
      <c r="AP16" s="20" t="n">
        <v>0</v>
      </c>
      <c r="AQ16" s="20" t="n">
        <v>0</v>
      </c>
      <c r="AR16" s="20" t="n">
        <v>0</v>
      </c>
      <c r="AS16" s="20" t="n">
        <v>0</v>
      </c>
      <c r="AT16" s="20" t="n">
        <v>0</v>
      </c>
      <c r="AU16" s="20" t="n">
        <v>0</v>
      </c>
      <c r="AV16" s="20" t="n">
        <v>0</v>
      </c>
      <c r="AW16" s="20" t="n">
        <v>0</v>
      </c>
      <c r="AX16" s="20" t="n">
        <v>0</v>
      </c>
      <c r="AY16" s="20" t="n">
        <v>-12.82</v>
      </c>
      <c r="AZ16" s="20" t="n">
        <v>-24.4</v>
      </c>
      <c r="BA16" s="49" t="n">
        <v>-790.7</v>
      </c>
      <c r="BB16" s="21" t="n">
        <v>0</v>
      </c>
      <c r="BC16" s="50" t="n">
        <v>0</v>
      </c>
      <c r="BD16" s="28" t="n"/>
    </row>
    <row r="17">
      <c r="A17" s="28" t="n"/>
      <c r="B17" s="28" t="n"/>
      <c r="C17" s="28" t="n"/>
      <c r="D17" s="28" t="n"/>
      <c r="E17" s="28" t="n"/>
      <c r="F17" s="28" t="n"/>
      <c r="G17" s="28" t="n"/>
      <c r="H17" s="52" t="n"/>
      <c r="I17" s="52" t="n"/>
      <c r="J17" s="52" t="n"/>
      <c r="K17" s="52" t="n"/>
      <c r="L17" s="28" t="n"/>
      <c r="M17" s="28" t="n"/>
      <c r="N17" s="28" t="n"/>
      <c r="O17" s="28" t="n"/>
      <c r="P17" s="28" t="n"/>
      <c r="Q17" s="28" t="n"/>
      <c r="R17" s="29" t="inlineStr">
        <is>
          <t>累计成本</t>
        </is>
      </c>
      <c r="S17" s="30">
        <f>SUM(S13:S16)</f>
        <v/>
      </c>
      <c r="T17" s="30">
        <f>SUM(T13:T16)</f>
        <v/>
      </c>
      <c r="U17" s="31">
        <f>SUM(U13:U16)</f>
        <v/>
      </c>
      <c r="V17" s="30">
        <f>SUM(V13:V16)</f>
        <v/>
      </c>
      <c r="W17" s="30">
        <f>SUM(W13:W16)</f>
        <v/>
      </c>
      <c r="X17" s="30">
        <f>SUM(X13:X16)</f>
        <v/>
      </c>
      <c r="Y17" s="30">
        <f>SUM(Y13:Y16)</f>
        <v/>
      </c>
      <c r="Z17" s="30">
        <f>SUM(Z13:Z16)</f>
        <v/>
      </c>
      <c r="AA17" s="30">
        <f>SUM(AA13:AA16)</f>
        <v/>
      </c>
      <c r="AB17" s="30">
        <f>SUM(AB13:AB16)</f>
        <v/>
      </c>
      <c r="AC17" s="30">
        <f>SUM(AC13:AC16)</f>
        <v/>
      </c>
      <c r="AD17" s="30">
        <f>SUM(AD13:AD16)</f>
        <v/>
      </c>
      <c r="AE17" s="30">
        <f>SUM(AE13:AE16)</f>
        <v/>
      </c>
      <c r="AF17" s="30">
        <f>SUM(AF13:AF16)</f>
        <v/>
      </c>
      <c r="AG17" s="30">
        <f>SUM(AG13:AG16)</f>
        <v/>
      </c>
      <c r="AH17" s="30">
        <f>SUM(AH13:AH16)</f>
        <v/>
      </c>
      <c r="AI17" s="30">
        <f>SUM(AI13:AI16)</f>
        <v/>
      </c>
      <c r="AJ17" s="28" t="n"/>
      <c r="AK17" s="28" t="n"/>
      <c r="AL17" s="28" t="n"/>
      <c r="AM17" s="28" t="n"/>
      <c r="AN17" s="28" t="n"/>
      <c r="AO17" s="30">
        <f>SUM(AO13:AO16)</f>
        <v/>
      </c>
      <c r="AP17" s="30">
        <f>SUM(AP13:AP16)</f>
        <v/>
      </c>
      <c r="AQ17" s="30">
        <f>SUM(AQ13:AQ16)</f>
        <v/>
      </c>
      <c r="AR17" s="30">
        <f>SUM(AR13:AR16)</f>
        <v/>
      </c>
      <c r="AS17" s="30">
        <f>SUM(AS13:AS16)</f>
        <v/>
      </c>
      <c r="AT17" s="30">
        <f>SUM(AT13:AT16)</f>
        <v/>
      </c>
      <c r="AU17" s="30">
        <f>SUM(AU13:AU16)</f>
        <v/>
      </c>
      <c r="AV17" s="30">
        <f>SUM(AV13:AV16)</f>
        <v/>
      </c>
      <c r="AW17" s="30">
        <f>SUM(AW13:AW16)</f>
        <v/>
      </c>
      <c r="AX17" s="30">
        <f>SUM(AX13:AX16)</f>
        <v/>
      </c>
      <c r="AY17" s="30" t="n">
        <v>-12.82</v>
      </c>
      <c r="AZ17" s="30">
        <f>SUM(AZ13:AZ16)</f>
        <v/>
      </c>
      <c r="BA17" s="53" t="n">
        <v>111769.41</v>
      </c>
      <c r="BB17" s="31">
        <f>SUM(BB13:BB16)</f>
        <v/>
      </c>
      <c r="BC17" s="54">
        <f>SUM(BC13:BC16)</f>
        <v/>
      </c>
      <c r="BD17" s="28" t="n"/>
    </row>
    <row r="18">
      <c r="A18" s="28" t="n"/>
      <c r="B18" s="28" t="n"/>
      <c r="C18" s="28" t="n"/>
      <c r="D18" s="28" t="n"/>
      <c r="E18" s="28" t="n"/>
      <c r="F18" s="28" t="n"/>
      <c r="G18" s="28" t="n"/>
      <c r="H18" s="52" t="n"/>
      <c r="I18" s="52" t="n"/>
      <c r="J18" s="52" t="n"/>
      <c r="K18" s="52" t="n"/>
      <c r="L18" s="28" t="n"/>
      <c r="M18" s="28" t="n"/>
      <c r="N18" s="28" t="n"/>
      <c r="O18" s="28" t="n"/>
      <c r="P18" s="28" t="n"/>
      <c r="Q18" s="28" t="n"/>
      <c r="R18" s="29" t="inlineStr">
        <is>
          <t>GP1毛利</t>
        </is>
      </c>
      <c r="S18" s="20">
        <f>S12-S13</f>
        <v/>
      </c>
      <c r="T18" s="20">
        <f>T12-T13</f>
        <v/>
      </c>
      <c r="U18" s="21">
        <f>U12-U13</f>
        <v/>
      </c>
      <c r="V18" s="20">
        <f>V12-V13</f>
        <v/>
      </c>
      <c r="W18" s="20">
        <f>W12-W13</f>
        <v/>
      </c>
      <c r="X18" s="20">
        <f>X12-X13</f>
        <v/>
      </c>
      <c r="Y18" s="20">
        <f>Y12-Y13</f>
        <v/>
      </c>
      <c r="Z18" s="20">
        <f>Z12-Z13</f>
        <v/>
      </c>
      <c r="AA18" s="20">
        <f>AA12-AA13</f>
        <v/>
      </c>
      <c r="AB18" s="20">
        <f>AB12-AB13</f>
        <v/>
      </c>
      <c r="AC18" s="20">
        <f>AC12-AC13</f>
        <v/>
      </c>
      <c r="AD18" s="20">
        <f>AD12-AD13</f>
        <v/>
      </c>
      <c r="AE18" s="20">
        <f>AE12-AE13</f>
        <v/>
      </c>
      <c r="AF18" s="20">
        <f>AF12-AF13</f>
        <v/>
      </c>
      <c r="AG18" s="20">
        <f>AG12-AG13</f>
        <v/>
      </c>
      <c r="AH18" s="33" t="n">
        <v>0</v>
      </c>
      <c r="AI18" s="33" t="n">
        <v>0</v>
      </c>
      <c r="AJ18" s="28" t="n"/>
      <c r="AK18" s="28" t="n"/>
      <c r="AL18" s="28" t="n"/>
      <c r="AM18" s="28" t="n"/>
      <c r="AN18" s="28" t="n"/>
      <c r="AO18" s="20">
        <f>AO12-AO13</f>
        <v/>
      </c>
      <c r="AP18" s="20">
        <f>AP12-AP13</f>
        <v/>
      </c>
      <c r="AQ18" s="20">
        <f>AQ12-AQ13</f>
        <v/>
      </c>
      <c r="AR18" s="20">
        <f>AR12-AR13</f>
        <v/>
      </c>
      <c r="AS18" s="20">
        <f>AS12-AS13</f>
        <v/>
      </c>
      <c r="AT18" s="20">
        <f>AT12-AT13</f>
        <v/>
      </c>
      <c r="AU18" s="20">
        <f>AU12-AU13</f>
        <v/>
      </c>
      <c r="AV18" s="20">
        <f>AV12-AV13</f>
        <v/>
      </c>
      <c r="AW18" s="20">
        <f>AW12-AW13</f>
        <v/>
      </c>
      <c r="AX18" s="20">
        <f>AX12-AX13</f>
        <v/>
      </c>
      <c r="AY18" s="20">
        <f>AY12-AY13</f>
        <v/>
      </c>
      <c r="AZ18" s="20">
        <f>AZ12-AZ13</f>
        <v/>
      </c>
      <c r="BA18" s="55" t="n">
        <v>29.609999999986</v>
      </c>
      <c r="BB18" s="31" t="n">
        <v>0</v>
      </c>
      <c r="BC18" s="50" t="n">
        <v>0</v>
      </c>
      <c r="BD18" s="28" t="n"/>
    </row>
    <row r="19">
      <c r="A19" s="28" t="n"/>
      <c r="B19" s="28" t="n"/>
      <c r="C19" s="28" t="n"/>
      <c r="D19" s="28" t="n"/>
      <c r="E19" s="28" t="n"/>
      <c r="F19" s="28" t="n"/>
      <c r="G19" s="28" t="n"/>
      <c r="H19" s="52" t="n"/>
      <c r="I19" s="52" t="n"/>
      <c r="J19" s="52" t="n"/>
      <c r="K19" s="52" t="n"/>
      <c r="L19" s="28" t="n"/>
      <c r="M19" s="28" t="n"/>
      <c r="N19" s="28" t="n"/>
      <c r="O19" s="28" t="n"/>
      <c r="P19" s="28" t="n"/>
      <c r="Q19" s="28" t="n"/>
      <c r="R19" s="35" t="inlineStr">
        <is>
          <t>GP1毛利率(%)</t>
        </is>
      </c>
      <c r="S19" s="36">
        <f>S18/S12</f>
        <v/>
      </c>
      <c r="T19" s="36">
        <f>T18/T12</f>
        <v/>
      </c>
      <c r="U19" s="37">
        <f>U18/U12</f>
        <v/>
      </c>
      <c r="V19" s="36">
        <f>V18/V12</f>
        <v/>
      </c>
      <c r="W19" s="36">
        <f>W18/W12</f>
        <v/>
      </c>
      <c r="X19" s="36">
        <f>X18/X12</f>
        <v/>
      </c>
      <c r="Y19" s="36">
        <f>Y18/Y12</f>
        <v/>
      </c>
      <c r="Z19" s="36">
        <f>Z18/Z12</f>
        <v/>
      </c>
      <c r="AA19" s="36">
        <f>AA18/AA12</f>
        <v/>
      </c>
      <c r="AB19" s="36">
        <f>AB18/AB12</f>
        <v/>
      </c>
      <c r="AC19" s="36">
        <f>AC18/AC12</f>
        <v/>
      </c>
      <c r="AD19" s="36">
        <f>AD18/AD12</f>
        <v/>
      </c>
      <c r="AE19" s="36">
        <f>AE18/AE12</f>
        <v/>
      </c>
      <c r="AF19" s="36">
        <f>AF18/AF12</f>
        <v/>
      </c>
      <c r="AG19" s="36">
        <f>AG18/AG12</f>
        <v/>
      </c>
      <c r="AH19" s="38">
        <f>T19-S19</f>
        <v/>
      </c>
      <c r="AI19" s="38">
        <f>AF19-S19</f>
        <v/>
      </c>
      <c r="AJ19" s="28" t="n"/>
      <c r="AK19" s="28" t="n"/>
      <c r="AL19" s="28" t="n"/>
      <c r="AM19" s="28" t="n"/>
      <c r="AN19" s="28" t="n"/>
      <c r="AO19" s="36">
        <f>AO18/AO12</f>
        <v/>
      </c>
      <c r="AP19" s="36">
        <f>AP18/AP12</f>
        <v/>
      </c>
      <c r="AQ19" s="36">
        <f>AQ18/AQ12</f>
        <v/>
      </c>
      <c r="AR19" s="36">
        <f>AR18/AR12</f>
        <v/>
      </c>
      <c r="AS19" s="36">
        <f>AS18/AS12</f>
        <v/>
      </c>
      <c r="AT19" s="36">
        <f>AT18/AT12</f>
        <v/>
      </c>
      <c r="AU19" s="36">
        <f>AU18/AU12</f>
        <v/>
      </c>
      <c r="AV19" s="36">
        <f>AV18/AV12</f>
        <v/>
      </c>
      <c r="AW19" s="36">
        <f>AW18/AW12</f>
        <v/>
      </c>
      <c r="AX19" s="36">
        <f>AX18/AX12</f>
        <v/>
      </c>
      <c r="AY19" s="36">
        <f>AY18/AY12</f>
        <v/>
      </c>
      <c r="AZ19" s="36">
        <f>AZ18/AZ12</f>
        <v/>
      </c>
      <c r="BA19" s="56" t="n">
        <v>0.000262990262343543</v>
      </c>
      <c r="BB19" s="39" t="n">
        <v>0</v>
      </c>
      <c r="BC19" s="50" t="n">
        <v>0</v>
      </c>
      <c r="BD19" s="28" t="n"/>
    </row>
    <row r="20">
      <c r="A20" s="28" t="n"/>
      <c r="B20" s="28" t="n"/>
      <c r="C20" s="28" t="n"/>
      <c r="D20" s="28" t="n"/>
      <c r="E20" s="28" t="n"/>
      <c r="F20" s="28" t="n"/>
      <c r="G20" s="28" t="n"/>
      <c r="H20" s="52" t="n"/>
      <c r="I20" s="52" t="n"/>
      <c r="J20" s="52" t="n"/>
      <c r="K20" s="52" t="n"/>
      <c r="L20" s="28" t="n"/>
      <c r="M20" s="28" t="n"/>
      <c r="N20" s="28" t="n"/>
      <c r="O20" s="28" t="n"/>
      <c r="P20" s="28" t="n"/>
      <c r="Q20" s="28" t="n"/>
      <c r="R20" s="29" t="inlineStr">
        <is>
          <t>GP3毛利</t>
        </is>
      </c>
      <c r="S20" s="20">
        <f>S12-S17</f>
        <v/>
      </c>
      <c r="T20" s="20">
        <f>T12-T17</f>
        <v/>
      </c>
      <c r="U20" s="20">
        <f>U12-U17</f>
        <v/>
      </c>
      <c r="V20" s="20">
        <f>V12-V17</f>
        <v/>
      </c>
      <c r="W20" s="20">
        <f>W12-W17</f>
        <v/>
      </c>
      <c r="X20" s="20">
        <f>X12-X17</f>
        <v/>
      </c>
      <c r="Y20" s="20">
        <f>Y12-Y17</f>
        <v/>
      </c>
      <c r="Z20" s="20">
        <f>Z12-Z17</f>
        <v/>
      </c>
      <c r="AA20" s="20">
        <f>AA12-AA17</f>
        <v/>
      </c>
      <c r="AB20" s="20">
        <f>AB12-AB17</f>
        <v/>
      </c>
      <c r="AC20" s="20">
        <f>AC12-AC17</f>
        <v/>
      </c>
      <c r="AD20" s="20">
        <f>AD12-AD17</f>
        <v/>
      </c>
      <c r="AE20" s="20">
        <f>AE12-AE17</f>
        <v/>
      </c>
      <c r="AF20" s="20">
        <f>AF12-AF17</f>
        <v/>
      </c>
      <c r="AG20" s="20">
        <f>AG12-AG17</f>
        <v/>
      </c>
      <c r="AH20" s="38" t="n">
        <v>0</v>
      </c>
      <c r="AI20" s="38" t="n">
        <v>0</v>
      </c>
      <c r="AJ20" s="28" t="n"/>
      <c r="AK20" s="28" t="n"/>
      <c r="AL20" s="28" t="n"/>
      <c r="AM20" s="28" t="n"/>
      <c r="AN20" s="28" t="n"/>
      <c r="AO20" s="20">
        <f>AO12-AO17</f>
        <v/>
      </c>
      <c r="AP20" s="20">
        <f>AP12-AP17</f>
        <v/>
      </c>
      <c r="AQ20" s="20">
        <f>AQ12-AQ17</f>
        <v/>
      </c>
      <c r="AR20" s="20">
        <f>AR12-AR17</f>
        <v/>
      </c>
      <c r="AS20" s="20">
        <f>AS12-AS17</f>
        <v/>
      </c>
      <c r="AT20" s="20">
        <f>AT12-AT17</f>
        <v/>
      </c>
      <c r="AU20" s="20">
        <f>AU12-AU17</f>
        <v/>
      </c>
      <c r="AV20" s="20">
        <f>AV12-AV17</f>
        <v/>
      </c>
      <c r="AW20" s="20">
        <f>AW12-AW17</f>
        <v/>
      </c>
      <c r="AX20" s="20">
        <f>AX12-AX17</f>
        <v/>
      </c>
      <c r="AY20" s="20">
        <f>AY12-AY17</f>
        <v/>
      </c>
      <c r="AZ20" s="20">
        <f>AZ12-AZ17</f>
        <v/>
      </c>
      <c r="BA20" s="20">
        <f>BA12-BA17</f>
        <v/>
      </c>
      <c r="BB20" s="20">
        <f>BB12-BB17</f>
        <v/>
      </c>
      <c r="BC20" s="20">
        <f>BC12-BC17</f>
        <v/>
      </c>
      <c r="BD20" s="28" t="n"/>
    </row>
    <row r="21">
      <c r="A21" s="41" t="n"/>
      <c r="B21" s="41" t="n"/>
      <c r="C21" s="41" t="n"/>
      <c r="D21" s="41" t="n"/>
      <c r="E21" s="41" t="n"/>
      <c r="F21" s="41" t="n"/>
      <c r="G21" s="41" t="n"/>
      <c r="H21" s="57" t="n"/>
      <c r="I21" s="57" t="n"/>
      <c r="J21" s="57" t="n"/>
      <c r="K21" s="57" t="n"/>
      <c r="L21" s="41" t="n"/>
      <c r="M21" s="41" t="n"/>
      <c r="N21" s="41" t="n"/>
      <c r="O21" s="41" t="n"/>
      <c r="P21" s="41" t="n"/>
      <c r="Q21" s="41" t="n"/>
      <c r="R21" s="35" t="inlineStr">
        <is>
          <t>GP3毛利率(%)</t>
        </is>
      </c>
      <c r="S21" s="36">
        <f>S20/S12</f>
        <v/>
      </c>
      <c r="T21" s="36">
        <f>T20/T12</f>
        <v/>
      </c>
      <c r="U21" s="37">
        <f>U20/U12</f>
        <v/>
      </c>
      <c r="V21" s="36">
        <f>V20/V12</f>
        <v/>
      </c>
      <c r="W21" s="36">
        <f>W20/W12</f>
        <v/>
      </c>
      <c r="X21" s="36">
        <f>X20/X12</f>
        <v/>
      </c>
      <c r="Y21" s="36">
        <f>Y20/Y12</f>
        <v/>
      </c>
      <c r="Z21" s="36">
        <f>Z20/Z12</f>
        <v/>
      </c>
      <c r="AA21" s="36">
        <f>AA20/AA12</f>
        <v/>
      </c>
      <c r="AB21" s="36">
        <f>AB20/AB12</f>
        <v/>
      </c>
      <c r="AC21" s="36">
        <f>AC20/AC12</f>
        <v/>
      </c>
      <c r="AD21" s="36">
        <f>AD20/AD12</f>
        <v/>
      </c>
      <c r="AE21" s="36">
        <f>AE20/AE12</f>
        <v/>
      </c>
      <c r="AF21" s="36">
        <f>AF20/AF12</f>
        <v/>
      </c>
      <c r="AG21" s="36">
        <f>AG20/AG12</f>
        <v/>
      </c>
      <c r="AH21" s="38">
        <f>T21-S21</f>
        <v/>
      </c>
      <c r="AI21" s="38">
        <f>AF21-S21</f>
        <v/>
      </c>
      <c r="AJ21" s="41" t="n"/>
      <c r="AK21" s="41" t="n"/>
      <c r="AL21" s="41" t="n"/>
      <c r="AM21" s="41" t="n"/>
      <c r="AN21" s="41" t="n"/>
      <c r="AO21" s="36">
        <f>AO20/AO12</f>
        <v/>
      </c>
      <c r="AP21" s="36">
        <f>AP20/AP12</f>
        <v/>
      </c>
      <c r="AQ21" s="36">
        <f>AQ20/AQ12</f>
        <v/>
      </c>
      <c r="AR21" s="36">
        <f>AR20/AR12</f>
        <v/>
      </c>
      <c r="AS21" s="36">
        <f>AS20/AS12</f>
        <v/>
      </c>
      <c r="AT21" s="36">
        <f>AT20/AT12</f>
        <v/>
      </c>
      <c r="AU21" s="36">
        <f>AU20/AU12</f>
        <v/>
      </c>
      <c r="AV21" s="36">
        <f>AV20/AV12</f>
        <v/>
      </c>
      <c r="AW21" s="36">
        <f>AW20/AW12</f>
        <v/>
      </c>
      <c r="AX21" s="36">
        <f>AX20/AX12</f>
        <v/>
      </c>
      <c r="AY21" s="36">
        <f>AY20/AY12</f>
        <v/>
      </c>
      <c r="AZ21" s="36">
        <f>AZ20/AZ12</f>
        <v/>
      </c>
      <c r="BA21" s="56" t="n">
        <v>0.00728583391094663</v>
      </c>
      <c r="BB21" s="39" t="n">
        <v>0</v>
      </c>
      <c r="BC21" s="50" t="n">
        <v>0</v>
      </c>
      <c r="BD21" s="41" t="n"/>
    </row>
    <row r="22">
      <c r="A22" s="42" t="inlineStr">
        <is>
          <t>P202506000290</t>
        </is>
      </c>
      <c r="B22" s="43" t="inlineStr">
        <is>
          <t>中监所-2025年OA办公系统升级改造项目-研究生管理模块-FP项目</t>
        </is>
      </c>
      <c r="C22" s="44" t="n">
        <v>45807</v>
      </c>
      <c r="D22" s="44" t="n">
        <v>46275</v>
      </c>
      <c r="E22" s="15" t="n"/>
      <c r="F22" s="16" t="n">
        <v>0.8100000000000001</v>
      </c>
      <c r="G22" s="17" t="n">
        <v>0</v>
      </c>
      <c r="H22" s="43" t="n"/>
      <c r="I22" s="43" t="n"/>
      <c r="J22" s="18" t="n"/>
      <c r="K22" s="18" t="n"/>
      <c r="L22" s="18" t="n"/>
      <c r="M22" s="18" t="n"/>
      <c r="N22" s="18" t="n"/>
      <c r="O22" s="18" t="n"/>
      <c r="P22" s="15" t="n"/>
      <c r="Q22" s="18" t="inlineStr"/>
      <c r="R22" s="47" t="inlineStr">
        <is>
          <t>累计收入（NR）</t>
        </is>
      </c>
      <c r="S22" s="20" t="n">
        <v>181603.77</v>
      </c>
      <c r="T22" s="20">
        <f>SUM(AO22:BC22)</f>
        <v/>
      </c>
      <c r="U22" s="21">
        <f>SUM(BA22:BC22)</f>
        <v/>
      </c>
      <c r="V22" s="20">
        <f>SUM(AO22:AZ22)</f>
        <v/>
      </c>
      <c r="W22" s="20">
        <f>SUM(AP22:AZ22)</f>
        <v/>
      </c>
      <c r="X22" s="20">
        <f>SUM(AQ22:AZ22)</f>
        <v/>
      </c>
      <c r="Y22" s="20">
        <f>SUM(AR22:AZ22)</f>
        <v/>
      </c>
      <c r="Z22" s="20">
        <f>SUM(AS22:AZ22)</f>
        <v/>
      </c>
      <c r="AA22" s="20">
        <f>SUM(AT22:AZ22)</f>
        <v/>
      </c>
      <c r="AB22" s="20">
        <f>SUM(AU22:AZ22)</f>
        <v/>
      </c>
      <c r="AC22" s="20">
        <f>SUM(AV22:AZ22)</f>
        <v/>
      </c>
      <c r="AD22" s="20">
        <f>SUM(AW22:AZ22)</f>
        <v/>
      </c>
      <c r="AE22" s="20">
        <f>SUM(AX22:AZ22)</f>
        <v/>
      </c>
      <c r="AF22" s="20">
        <f>SUM(AY22:AZ22)</f>
        <v/>
      </c>
      <c r="AG22" s="20">
        <f>SUM(AZ22:AZ22)</f>
        <v/>
      </c>
      <c r="AH22" s="22" t="n">
        <v>0</v>
      </c>
      <c r="AI22" s="22" t="n">
        <v>0</v>
      </c>
      <c r="AJ22" s="48" t="inlineStr"/>
      <c r="AK22" s="17" t="inlineStr">
        <is>
          <t>固定投入1人，人力成本已超出预算</t>
        </is>
      </c>
      <c r="AL22" s="48" t="inlineStr">
        <is>
          <t>建议项目经理及时变更后续月份成本投入计划</t>
        </is>
      </c>
      <c r="AM22" s="48" t="inlineStr"/>
      <c r="AN22" s="58" t="n"/>
      <c r="AO22" s="20" t="n">
        <v>0</v>
      </c>
      <c r="AP22" s="20" t="n">
        <v>0</v>
      </c>
      <c r="AQ22" s="20" t="n">
        <v>0</v>
      </c>
      <c r="AR22" s="20" t="n">
        <v>0</v>
      </c>
      <c r="AS22" s="20" t="n">
        <v>0</v>
      </c>
      <c r="AT22" s="20" t="n">
        <v>0</v>
      </c>
      <c r="AU22" s="20" t="n">
        <v>0</v>
      </c>
      <c r="AV22" s="20" t="n">
        <v>0</v>
      </c>
      <c r="AW22" s="20" t="n">
        <v>0</v>
      </c>
      <c r="AX22" s="20" t="n">
        <v>0</v>
      </c>
      <c r="AY22" s="20" t="n">
        <v>36407.37</v>
      </c>
      <c r="AZ22" s="20" t="n">
        <v>3848.19</v>
      </c>
      <c r="BA22" s="59" t="n">
        <v>139982.95</v>
      </c>
      <c r="BB22" s="21" t="n">
        <v>0</v>
      </c>
      <c r="BC22" s="50" t="n">
        <v>0</v>
      </c>
      <c r="BD22" s="27" t="inlineStr"/>
    </row>
    <row r="23">
      <c r="A23" s="28" t="n"/>
      <c r="B23" s="28" t="n"/>
      <c r="C23" s="28" t="n"/>
      <c r="D23" s="28" t="n"/>
      <c r="E23" s="28" t="n"/>
      <c r="F23" s="28" t="n"/>
      <c r="G23" s="28" t="n"/>
      <c r="H23" s="28" t="n"/>
      <c r="I23" s="28" t="n"/>
      <c r="J23" s="28" t="n"/>
      <c r="K23" s="28" t="n"/>
      <c r="L23" s="28" t="n"/>
      <c r="M23" s="28" t="n"/>
      <c r="N23" s="28" t="n"/>
      <c r="O23" s="28" t="n"/>
      <c r="P23" s="28" t="n"/>
      <c r="Q23" s="28" t="n"/>
      <c r="R23" s="29" t="inlineStr">
        <is>
          <t>人工成本（成本１）</t>
        </is>
      </c>
      <c r="S23" s="20" t="n">
        <v>148783.99</v>
      </c>
      <c r="T23" s="20">
        <f>SUM(AO23:BC23)</f>
        <v/>
      </c>
      <c r="U23" s="21">
        <f>SUM(BA23:BC23)</f>
        <v/>
      </c>
      <c r="V23" s="20">
        <f>SUM(AO23:AZ23)</f>
        <v/>
      </c>
      <c r="W23" s="20">
        <f>SUM(AP23:AZ23)</f>
        <v/>
      </c>
      <c r="X23" s="20">
        <f>SUM(AQ23:AZ23)</f>
        <v/>
      </c>
      <c r="Y23" s="20">
        <f>SUM(AR23:AZ23)</f>
        <v/>
      </c>
      <c r="Z23" s="20">
        <f>SUM(AS23:AZ23)</f>
        <v/>
      </c>
      <c r="AA23" s="20">
        <f>SUM(AT23:AZ23)</f>
        <v/>
      </c>
      <c r="AB23" s="20">
        <f>SUM(AU23:AZ23)</f>
        <v/>
      </c>
      <c r="AC23" s="20">
        <f>SUM(AV23:AZ23)</f>
        <v/>
      </c>
      <c r="AD23" s="20">
        <f>SUM(AW23:AZ23)</f>
        <v/>
      </c>
      <c r="AE23" s="20">
        <f>SUM(AX23:AZ23)</f>
        <v/>
      </c>
      <c r="AF23" s="20">
        <f>SUM(AY23:AZ23)</f>
        <v/>
      </c>
      <c r="AG23" s="20">
        <f>SUM(AZ23:AZ23)</f>
        <v/>
      </c>
      <c r="AH23" s="22" t="n">
        <v>0</v>
      </c>
      <c r="AI23" s="22" t="n">
        <v>0</v>
      </c>
      <c r="AJ23" s="28" t="n"/>
      <c r="AK23" s="28" t="n"/>
      <c r="AL23" s="28" t="n"/>
      <c r="AM23" s="28" t="n"/>
      <c r="AN23" s="28" t="n"/>
      <c r="AO23" s="20" t="n">
        <v>0</v>
      </c>
      <c r="AP23" s="20" t="n">
        <v>0</v>
      </c>
      <c r="AQ23" s="20" t="n">
        <v>0</v>
      </c>
      <c r="AR23" s="20" t="n">
        <v>0</v>
      </c>
      <c r="AS23" s="20" t="n">
        <v>0</v>
      </c>
      <c r="AT23" s="20" t="n">
        <v>0</v>
      </c>
      <c r="AU23" s="20" t="n">
        <v>0</v>
      </c>
      <c r="AV23" s="20" t="n">
        <v>0</v>
      </c>
      <c r="AW23" s="20" t="n">
        <v>0</v>
      </c>
      <c r="AX23" s="20" t="n">
        <v>0.01</v>
      </c>
      <c r="AY23" s="20" t="n">
        <v>17923.23</v>
      </c>
      <c r="AZ23" s="20" t="n">
        <v>0</v>
      </c>
      <c r="BA23" s="59" t="n">
        <v>154415.59</v>
      </c>
      <c r="BB23" s="21" t="n">
        <v>0</v>
      </c>
      <c r="BC23" s="50" t="n">
        <v>0</v>
      </c>
      <c r="BD23" s="27" t="inlineStr"/>
    </row>
    <row r="24">
      <c r="A24" s="28" t="n"/>
      <c r="B24" s="28" t="n"/>
      <c r="C24" s="28" t="n"/>
      <c r="D24" s="28" t="n"/>
      <c r="E24" s="28" t="n"/>
      <c r="F24" s="28" t="n"/>
      <c r="G24" s="28" t="n"/>
      <c r="H24" s="28" t="n"/>
      <c r="I24" s="28" t="n"/>
      <c r="J24" s="28" t="n"/>
      <c r="K24" s="28" t="n"/>
      <c r="L24" s="28" t="n"/>
      <c r="M24" s="28" t="n"/>
      <c r="N24" s="28" t="n"/>
      <c r="O24" s="28" t="n"/>
      <c r="P24" s="28" t="n"/>
      <c r="Q24" s="28" t="n"/>
      <c r="R24" s="29" t="inlineStr">
        <is>
          <t>闲置成本（成本2）</t>
        </is>
      </c>
      <c r="S24" s="20" t="n">
        <v>0</v>
      </c>
      <c r="T24" s="20" t="n">
        <v>0</v>
      </c>
      <c r="U24" s="21" t="n">
        <v>0</v>
      </c>
      <c r="V24" s="20" t="n">
        <v>0</v>
      </c>
      <c r="W24" s="20" t="n">
        <v>0</v>
      </c>
      <c r="X24" s="20" t="n">
        <v>0</v>
      </c>
      <c r="Y24" s="20" t="n">
        <v>0</v>
      </c>
      <c r="Z24" s="20" t="n">
        <v>0</v>
      </c>
      <c r="AA24" s="20" t="n">
        <v>0</v>
      </c>
      <c r="AB24" s="20" t="n">
        <v>0</v>
      </c>
      <c r="AC24" s="20" t="n">
        <v>0</v>
      </c>
      <c r="AD24" s="20" t="n">
        <v>0</v>
      </c>
      <c r="AE24" s="20" t="n">
        <v>0</v>
      </c>
      <c r="AF24" s="20" t="n">
        <v>0</v>
      </c>
      <c r="AG24" s="20" t="n">
        <v>0</v>
      </c>
      <c r="AH24" s="22" t="n">
        <v>0</v>
      </c>
      <c r="AI24" s="22" t="n">
        <v>0</v>
      </c>
      <c r="AJ24" s="28" t="n"/>
      <c r="AK24" s="28" t="n"/>
      <c r="AL24" s="28" t="n"/>
      <c r="AM24" s="28" t="n"/>
      <c r="AN24" s="28" t="n"/>
      <c r="AO24" s="20" t="n">
        <v>0</v>
      </c>
      <c r="AP24" s="20" t="n">
        <v>0</v>
      </c>
      <c r="AQ24" s="20" t="n">
        <v>0</v>
      </c>
      <c r="AR24" s="20" t="n">
        <v>0</v>
      </c>
      <c r="AS24" s="20" t="n">
        <v>0</v>
      </c>
      <c r="AT24" s="20" t="n">
        <v>0</v>
      </c>
      <c r="AU24" s="20" t="n">
        <v>0</v>
      </c>
      <c r="AV24" s="20" t="n">
        <v>0</v>
      </c>
      <c r="AW24" s="20" t="n">
        <v>0</v>
      </c>
      <c r="AX24" s="20" t="n">
        <v>0</v>
      </c>
      <c r="AY24" s="20" t="n">
        <v>0</v>
      </c>
      <c r="AZ24" s="20" t="n">
        <v>0</v>
      </c>
      <c r="BA24" s="59" t="n">
        <v>0</v>
      </c>
      <c r="BB24" s="21" t="n">
        <v>0</v>
      </c>
      <c r="BC24" s="50" t="n">
        <v>0</v>
      </c>
      <c r="BD24" s="27" t="inlineStr"/>
    </row>
    <row r="25">
      <c r="A25" s="28" t="n"/>
      <c r="B25" s="28" t="n"/>
      <c r="C25" s="28" t="n"/>
      <c r="D25" s="28" t="n"/>
      <c r="E25" s="28" t="n"/>
      <c r="F25" s="28" t="n"/>
      <c r="G25" s="28" t="n"/>
      <c r="H25" s="28" t="n"/>
      <c r="I25" s="28" t="n"/>
      <c r="J25" s="28" t="n"/>
      <c r="K25" s="28" t="n"/>
      <c r="L25" s="28" t="n"/>
      <c r="M25" s="28" t="n"/>
      <c r="N25" s="28" t="n"/>
      <c r="O25" s="28" t="n"/>
      <c r="P25" s="28" t="n"/>
      <c r="Q25" s="28" t="n"/>
      <c r="R25" s="29" t="inlineStr">
        <is>
          <t>差旅费（成本３）</t>
        </is>
      </c>
      <c r="S25" s="20" t="n">
        <v>0</v>
      </c>
      <c r="T25" s="20">
        <f>SUM(AO25:BC25)</f>
        <v/>
      </c>
      <c r="U25" s="21">
        <f>SUM(BA25:BC25)</f>
        <v/>
      </c>
      <c r="V25" s="20">
        <f>SUM(AO25:AZ25)</f>
        <v/>
      </c>
      <c r="W25" s="20">
        <f>SUM(AP25:AZ25)</f>
        <v/>
      </c>
      <c r="X25" s="20">
        <f>SUM(AQ25:AZ25)</f>
        <v/>
      </c>
      <c r="Y25" s="20">
        <f>SUM(AR25:AZ25)</f>
        <v/>
      </c>
      <c r="Z25" s="20">
        <f>SUM(AS25:AZ25)</f>
        <v/>
      </c>
      <c r="AA25" s="20">
        <f>SUM(AT25:AZ25)</f>
        <v/>
      </c>
      <c r="AB25" s="20">
        <f>SUM(AU25:AZ25)</f>
        <v/>
      </c>
      <c r="AC25" s="20">
        <f>SUM(AV25:AZ25)</f>
        <v/>
      </c>
      <c r="AD25" s="20">
        <f>SUM(AW25:AZ25)</f>
        <v/>
      </c>
      <c r="AE25" s="20">
        <f>SUM(AX25:AZ25)</f>
        <v/>
      </c>
      <c r="AF25" s="20">
        <f>SUM(AY25:AZ25)</f>
        <v/>
      </c>
      <c r="AG25" s="20">
        <f>SUM(AZ25:AZ25)</f>
        <v/>
      </c>
      <c r="AH25" s="22" t="n">
        <v>0</v>
      </c>
      <c r="AI25" s="22" t="n">
        <v>0</v>
      </c>
      <c r="AJ25" s="28" t="n"/>
      <c r="AK25" s="28" t="n"/>
      <c r="AL25" s="28" t="n"/>
      <c r="AM25" s="28" t="n"/>
      <c r="AN25" s="28" t="n"/>
      <c r="AO25" s="20" t="n">
        <v>0</v>
      </c>
      <c r="AP25" s="20" t="n">
        <v>0</v>
      </c>
      <c r="AQ25" s="20" t="n">
        <v>0</v>
      </c>
      <c r="AR25" s="20" t="n">
        <v>0</v>
      </c>
      <c r="AS25" s="20" t="n">
        <v>0</v>
      </c>
      <c r="AT25" s="20" t="n">
        <v>0</v>
      </c>
      <c r="AU25" s="20" t="n">
        <v>0</v>
      </c>
      <c r="AV25" s="20" t="n">
        <v>0</v>
      </c>
      <c r="AW25" s="20" t="n">
        <v>0</v>
      </c>
      <c r="AX25" s="20" t="n">
        <v>0</v>
      </c>
      <c r="AY25" s="20" t="n">
        <v>0</v>
      </c>
      <c r="AZ25" s="20" t="n">
        <v>0</v>
      </c>
      <c r="BA25" s="59" t="n">
        <v>0</v>
      </c>
      <c r="BB25" s="21" t="n">
        <v>0</v>
      </c>
      <c r="BC25" s="50" t="n">
        <v>0</v>
      </c>
      <c r="BD25" s="27" t="inlineStr"/>
    </row>
    <row r="26">
      <c r="A26" s="28" t="n"/>
      <c r="B26" s="28" t="n"/>
      <c r="C26" s="28" t="n"/>
      <c r="D26" s="28" t="n"/>
      <c r="E26" s="28" t="n"/>
      <c r="F26" s="28" t="n"/>
      <c r="G26" s="28" t="n"/>
      <c r="H26" s="28" t="n"/>
      <c r="I26" s="28" t="n"/>
      <c r="J26" s="28" t="n"/>
      <c r="K26" s="28" t="n"/>
      <c r="L26" s="28" t="n"/>
      <c r="M26" s="28" t="n"/>
      <c r="N26" s="28" t="n"/>
      <c r="O26" s="28" t="n"/>
      <c r="P26" s="28" t="n"/>
      <c r="Q26" s="28" t="n"/>
      <c r="R26" s="29" t="inlineStr">
        <is>
          <t>其他成本（成本３）</t>
        </is>
      </c>
      <c r="S26" s="20" t="n">
        <v>0</v>
      </c>
      <c r="T26" s="20">
        <f>SUM(AO26:BC26)</f>
        <v/>
      </c>
      <c r="U26" s="21">
        <f>SUM(BA26:BC26)</f>
        <v/>
      </c>
      <c r="V26" s="20">
        <f>SUM(AO26:AZ26)</f>
        <v/>
      </c>
      <c r="W26" s="20">
        <f>SUM(AP26:AZ26)</f>
        <v/>
      </c>
      <c r="X26" s="20">
        <f>SUM(AQ26:AZ26)</f>
        <v/>
      </c>
      <c r="Y26" s="20">
        <f>SUM(AR26:AZ26)</f>
        <v/>
      </c>
      <c r="Z26" s="20">
        <f>SUM(AS26:AZ26)</f>
        <v/>
      </c>
      <c r="AA26" s="20">
        <f>SUM(AT26:AZ26)</f>
        <v/>
      </c>
      <c r="AB26" s="20">
        <f>SUM(AU26:AZ26)</f>
        <v/>
      </c>
      <c r="AC26" s="20">
        <f>SUM(AV26:AZ26)</f>
        <v/>
      </c>
      <c r="AD26" s="20">
        <f>SUM(AW26:AZ26)</f>
        <v/>
      </c>
      <c r="AE26" s="20">
        <f>SUM(AX26:AZ26)</f>
        <v/>
      </c>
      <c r="AF26" s="20">
        <f>SUM(AY26:AZ26)</f>
        <v/>
      </c>
      <c r="AG26" s="20">
        <f>SUM(AZ26:AZ26)</f>
        <v/>
      </c>
      <c r="AH26" s="22" t="n">
        <v>0</v>
      </c>
      <c r="AI26" s="22" t="n">
        <v>0</v>
      </c>
      <c r="AJ26" s="28" t="n"/>
      <c r="AK26" s="28" t="n"/>
      <c r="AL26" s="28" t="n"/>
      <c r="AM26" s="28" t="n"/>
      <c r="AN26" s="28" t="n"/>
      <c r="AO26" s="20" t="n">
        <v>0</v>
      </c>
      <c r="AP26" s="20" t="n">
        <v>0</v>
      </c>
      <c r="AQ26" s="20" t="n">
        <v>0</v>
      </c>
      <c r="AR26" s="20" t="n">
        <v>0</v>
      </c>
      <c r="AS26" s="20" t="n">
        <v>0</v>
      </c>
      <c r="AT26" s="20" t="n">
        <v>0</v>
      </c>
      <c r="AU26" s="20" t="n">
        <v>0</v>
      </c>
      <c r="AV26" s="20" t="n">
        <v>0</v>
      </c>
      <c r="AW26" s="20" t="n">
        <v>0</v>
      </c>
      <c r="AX26" s="20" t="n">
        <v>0</v>
      </c>
      <c r="AY26" s="20" t="n">
        <v>0</v>
      </c>
      <c r="AZ26" s="20" t="n">
        <v>-36.41</v>
      </c>
      <c r="BA26" s="59" t="n">
        <v>-195.24</v>
      </c>
      <c r="BB26" s="21" t="n">
        <v>0</v>
      </c>
      <c r="BC26" s="50" t="n">
        <v>0</v>
      </c>
      <c r="BD26" s="27" t="inlineStr"/>
    </row>
    <row r="27">
      <c r="A27" s="28" t="n"/>
      <c r="B27" s="28" t="n"/>
      <c r="C27" s="28" t="n"/>
      <c r="D27" s="28" t="n"/>
      <c r="E27" s="28" t="n"/>
      <c r="F27" s="28" t="n"/>
      <c r="G27" s="28" t="n"/>
      <c r="H27" s="28" t="n"/>
      <c r="I27" s="28" t="n"/>
      <c r="J27" s="28" t="n"/>
      <c r="K27" s="28" t="n"/>
      <c r="L27" s="28" t="n"/>
      <c r="M27" s="28" t="n"/>
      <c r="N27" s="28" t="n"/>
      <c r="O27" s="28" t="n"/>
      <c r="P27" s="28" t="n"/>
      <c r="Q27" s="28" t="n"/>
      <c r="R27" s="29" t="inlineStr">
        <is>
          <t>累计成本</t>
        </is>
      </c>
      <c r="S27" s="30">
        <f>SUM(S23:S26)</f>
        <v/>
      </c>
      <c r="T27" s="30">
        <f>SUM(T23:T26)</f>
        <v/>
      </c>
      <c r="U27" s="31">
        <f>SUM(U23:U26)</f>
        <v/>
      </c>
      <c r="V27" s="30">
        <f>SUM(V23:V26)</f>
        <v/>
      </c>
      <c r="W27" s="30">
        <f>SUM(W23:W26)</f>
        <v/>
      </c>
      <c r="X27" s="30">
        <f>SUM(X23:X26)</f>
        <v/>
      </c>
      <c r="Y27" s="30">
        <f>SUM(Y23:Y26)</f>
        <v/>
      </c>
      <c r="Z27" s="30">
        <f>SUM(Z23:Z26)</f>
        <v/>
      </c>
      <c r="AA27" s="30">
        <f>SUM(AA23:AA26)</f>
        <v/>
      </c>
      <c r="AB27" s="30">
        <f>SUM(AB23:AB26)</f>
        <v/>
      </c>
      <c r="AC27" s="30">
        <f>SUM(AC23:AC26)</f>
        <v/>
      </c>
      <c r="AD27" s="30">
        <f>SUM(AD23:AD26)</f>
        <v/>
      </c>
      <c r="AE27" s="30">
        <f>SUM(AE23:AE26)</f>
        <v/>
      </c>
      <c r="AF27" s="30">
        <f>SUM(AF23:AF26)</f>
        <v/>
      </c>
      <c r="AG27" s="30">
        <f>SUM(AG23:AG26)</f>
        <v/>
      </c>
      <c r="AH27" s="30">
        <f>SUM(AH23:AH26)</f>
        <v/>
      </c>
      <c r="AI27" s="30">
        <f>SUM(AI23:AI26)</f>
        <v/>
      </c>
      <c r="AJ27" s="28" t="n"/>
      <c r="AK27" s="28" t="n"/>
      <c r="AL27" s="28" t="n"/>
      <c r="AM27" s="28" t="n"/>
      <c r="AN27" s="28" t="n"/>
      <c r="AO27" s="30">
        <f>SUM(AO23:AO26)</f>
        <v/>
      </c>
      <c r="AP27" s="30">
        <f>SUM(AP23:AP26)</f>
        <v/>
      </c>
      <c r="AQ27" s="30">
        <f>SUM(AQ23:AQ26)</f>
        <v/>
      </c>
      <c r="AR27" s="30">
        <f>SUM(AR23:AR26)</f>
        <v/>
      </c>
      <c r="AS27" s="30">
        <f>SUM(AS23:AS26)</f>
        <v/>
      </c>
      <c r="AT27" s="30">
        <f>SUM(AT23:AT26)</f>
        <v/>
      </c>
      <c r="AU27" s="30">
        <f>SUM(AU23:AU26)</f>
        <v/>
      </c>
      <c r="AV27" s="30">
        <f>SUM(AV23:AV26)</f>
        <v/>
      </c>
      <c r="AW27" s="30">
        <f>SUM(AW23:AW26)</f>
        <v/>
      </c>
      <c r="AX27" s="30">
        <f>SUM(AX23:AX26)</f>
        <v/>
      </c>
      <c r="AY27" s="30" t="n">
        <v>17923.23</v>
      </c>
      <c r="AZ27" s="30">
        <f>SUM(AZ23:AZ26)</f>
        <v/>
      </c>
      <c r="BA27" s="53" t="n">
        <v>154220.35</v>
      </c>
      <c r="BB27" s="31">
        <f>SUM(BB23:BB26)</f>
        <v/>
      </c>
      <c r="BC27" s="54">
        <f>SUM(BC23:BC26)</f>
        <v/>
      </c>
      <c r="BD27" s="32" t="inlineStr"/>
    </row>
    <row r="28">
      <c r="A28" s="28" t="n"/>
      <c r="B28" s="28" t="n"/>
      <c r="C28" s="28" t="n"/>
      <c r="D28" s="28" t="n"/>
      <c r="E28" s="28" t="n"/>
      <c r="F28" s="28" t="n"/>
      <c r="G28" s="28" t="n"/>
      <c r="H28" s="28" t="n"/>
      <c r="I28" s="28" t="n"/>
      <c r="J28" s="28" t="n"/>
      <c r="K28" s="28" t="n"/>
      <c r="L28" s="28" t="n"/>
      <c r="M28" s="28" t="n"/>
      <c r="N28" s="28" t="n"/>
      <c r="O28" s="28" t="n"/>
      <c r="P28" s="28" t="n"/>
      <c r="Q28" s="28" t="n"/>
      <c r="R28" s="29" t="inlineStr">
        <is>
          <t>GP1毛利</t>
        </is>
      </c>
      <c r="S28" s="20">
        <f>S22-S23</f>
        <v/>
      </c>
      <c r="T28" s="20">
        <f>T22-T23</f>
        <v/>
      </c>
      <c r="U28" s="21">
        <f>U22-U23</f>
        <v/>
      </c>
      <c r="V28" s="20">
        <f>V22-V23</f>
        <v/>
      </c>
      <c r="W28" s="20">
        <f>W22-W23</f>
        <v/>
      </c>
      <c r="X28" s="20">
        <f>X22-X23</f>
        <v/>
      </c>
      <c r="Y28" s="20">
        <f>Y22-Y23</f>
        <v/>
      </c>
      <c r="Z28" s="20">
        <f>Z22-Z23</f>
        <v/>
      </c>
      <c r="AA28" s="20">
        <f>AA22-AA23</f>
        <v/>
      </c>
      <c r="AB28" s="20">
        <f>AB22-AB23</f>
        <v/>
      </c>
      <c r="AC28" s="20">
        <f>AC22-AC23</f>
        <v/>
      </c>
      <c r="AD28" s="20">
        <f>AD22-AD23</f>
        <v/>
      </c>
      <c r="AE28" s="20">
        <f>AE22-AE23</f>
        <v/>
      </c>
      <c r="AF28" s="20">
        <f>AF22-AF23</f>
        <v/>
      </c>
      <c r="AG28" s="20">
        <f>AG22-AG23</f>
        <v/>
      </c>
      <c r="AH28" s="33" t="n">
        <v>0</v>
      </c>
      <c r="AI28" s="33" t="n">
        <v>0</v>
      </c>
      <c r="AJ28" s="28" t="n"/>
      <c r="AK28" s="28" t="n"/>
      <c r="AL28" s="28" t="n"/>
      <c r="AM28" s="28" t="n"/>
      <c r="AN28" s="28" t="n"/>
      <c r="AO28" s="20">
        <f>AO22-AO23</f>
        <v/>
      </c>
      <c r="AP28" s="20">
        <f>AP22-AP23</f>
        <v/>
      </c>
      <c r="AQ28" s="20">
        <f>AQ22-AQ23</f>
        <v/>
      </c>
      <c r="AR28" s="20">
        <f>AR22-AR23</f>
        <v/>
      </c>
      <c r="AS28" s="20">
        <f>AS22-AS23</f>
        <v/>
      </c>
      <c r="AT28" s="20">
        <f>AT22-AT23</f>
        <v/>
      </c>
      <c r="AU28" s="20">
        <f>AU22-AU23</f>
        <v/>
      </c>
      <c r="AV28" s="20">
        <f>AV22-AV23</f>
        <v/>
      </c>
      <c r="AW28" s="20">
        <f>AW22-AW23</f>
        <v/>
      </c>
      <c r="AX28" s="20">
        <f>AX22-AX23</f>
        <v/>
      </c>
      <c r="AY28" s="20">
        <f>AY22-AY23</f>
        <v/>
      </c>
      <c r="AZ28" s="20">
        <f>AZ22-AZ23</f>
        <v/>
      </c>
      <c r="BA28" s="59" t="n">
        <v>-14432.64</v>
      </c>
      <c r="BB28" s="31" t="n">
        <v>0</v>
      </c>
      <c r="BC28" s="50" t="n">
        <v>0</v>
      </c>
      <c r="BD28" s="27" t="inlineStr"/>
    </row>
    <row r="29">
      <c r="A29" s="28" t="n"/>
      <c r="B29" s="28" t="n"/>
      <c r="C29" s="28" t="n"/>
      <c r="D29" s="28" t="n"/>
      <c r="E29" s="28" t="n"/>
      <c r="F29" s="28" t="n"/>
      <c r="G29" s="28" t="n"/>
      <c r="H29" s="28" t="n"/>
      <c r="I29" s="28" t="n"/>
      <c r="J29" s="28" t="n"/>
      <c r="K29" s="28" t="n"/>
      <c r="L29" s="28" t="n"/>
      <c r="M29" s="28" t="n"/>
      <c r="N29" s="28" t="n"/>
      <c r="O29" s="28" t="n"/>
      <c r="P29" s="28" t="n"/>
      <c r="Q29" s="28" t="n"/>
      <c r="R29" s="35" t="inlineStr">
        <is>
          <t>GP1毛利率(%)</t>
        </is>
      </c>
      <c r="S29" s="36">
        <f>S28/S22</f>
        <v/>
      </c>
      <c r="T29" s="36">
        <f>T28/T22</f>
        <v/>
      </c>
      <c r="U29" s="37">
        <f>U28/U22</f>
        <v/>
      </c>
      <c r="V29" s="36">
        <f>V28/V22</f>
        <v/>
      </c>
      <c r="W29" s="36">
        <f>W28/W22</f>
        <v/>
      </c>
      <c r="X29" s="36">
        <f>X28/X22</f>
        <v/>
      </c>
      <c r="Y29" s="36">
        <f>Y28/Y22</f>
        <v/>
      </c>
      <c r="Z29" s="36">
        <f>Z28/Z22</f>
        <v/>
      </c>
      <c r="AA29" s="36">
        <f>AA28/AA22</f>
        <v/>
      </c>
      <c r="AB29" s="36">
        <f>AB28/AB22</f>
        <v/>
      </c>
      <c r="AC29" s="36">
        <f>AC28/AC22</f>
        <v/>
      </c>
      <c r="AD29" s="36">
        <f>AD28/AD22</f>
        <v/>
      </c>
      <c r="AE29" s="36">
        <f>AE28/AE22</f>
        <v/>
      </c>
      <c r="AF29" s="36">
        <f>AF28/AF22</f>
        <v/>
      </c>
      <c r="AG29" s="36">
        <f>AG28/AG22</f>
        <v/>
      </c>
      <c r="AH29" s="38">
        <f>T29-S29</f>
        <v/>
      </c>
      <c r="AI29" s="38">
        <f>AF29-S29</f>
        <v/>
      </c>
      <c r="AJ29" s="28" t="n"/>
      <c r="AK29" s="28" t="n"/>
      <c r="AL29" s="28" t="n"/>
      <c r="AM29" s="28" t="n"/>
      <c r="AN29" s="28" t="n"/>
      <c r="AO29" s="36">
        <f>AO28/AO22</f>
        <v/>
      </c>
      <c r="AP29" s="36">
        <f>AP28/AP22</f>
        <v/>
      </c>
      <c r="AQ29" s="36">
        <f>AQ28/AQ22</f>
        <v/>
      </c>
      <c r="AR29" s="36">
        <f>AR28/AR22</f>
        <v/>
      </c>
      <c r="AS29" s="36">
        <f>AS28/AS22</f>
        <v/>
      </c>
      <c r="AT29" s="36">
        <f>AT28/AT22</f>
        <v/>
      </c>
      <c r="AU29" s="36">
        <f>AU28/AU22</f>
        <v/>
      </c>
      <c r="AV29" s="36">
        <f>AV28/AV22</f>
        <v/>
      </c>
      <c r="AW29" s="36">
        <f>AW28/AW22</f>
        <v/>
      </c>
      <c r="AX29" s="36">
        <f>AX28/AX22</f>
        <v/>
      </c>
      <c r="AY29" s="36">
        <f>AY28/AY22</f>
        <v/>
      </c>
      <c r="AZ29" s="36">
        <f>AZ28/AZ22</f>
        <v/>
      </c>
      <c r="BA29" s="56" t="n">
        <v>-0.103102842167564</v>
      </c>
      <c r="BB29" s="39" t="n">
        <v>0</v>
      </c>
      <c r="BC29" s="50" t="n">
        <v>0</v>
      </c>
      <c r="BD29" s="27" t="inlineStr"/>
    </row>
    <row r="30">
      <c r="A30" s="28" t="n"/>
      <c r="B30" s="28" t="n"/>
      <c r="C30" s="28" t="n"/>
      <c r="D30" s="28" t="n"/>
      <c r="E30" s="28" t="n"/>
      <c r="F30" s="28" t="n"/>
      <c r="G30" s="28" t="n"/>
      <c r="H30" s="28" t="n"/>
      <c r="I30" s="28" t="n"/>
      <c r="J30" s="28" t="n"/>
      <c r="K30" s="28" t="n"/>
      <c r="L30" s="28" t="n"/>
      <c r="M30" s="28" t="n"/>
      <c r="N30" s="28" t="n"/>
      <c r="O30" s="28" t="n"/>
      <c r="P30" s="28" t="n"/>
      <c r="Q30" s="28" t="n"/>
      <c r="R30" s="29" t="inlineStr">
        <is>
          <t>GP3毛利</t>
        </is>
      </c>
      <c r="S30" s="20">
        <f>S22-S27</f>
        <v/>
      </c>
      <c r="T30" s="20">
        <f>T22-T27</f>
        <v/>
      </c>
      <c r="U30" s="20">
        <f>U22-U27</f>
        <v/>
      </c>
      <c r="V30" s="20">
        <f>V22-V27</f>
        <v/>
      </c>
      <c r="W30" s="20">
        <f>W22-W27</f>
        <v/>
      </c>
      <c r="X30" s="20">
        <f>X22-X27</f>
        <v/>
      </c>
      <c r="Y30" s="20">
        <f>Y22-Y27</f>
        <v/>
      </c>
      <c r="Z30" s="20">
        <f>Z22-Z27</f>
        <v/>
      </c>
      <c r="AA30" s="20">
        <f>AA22-AA27</f>
        <v/>
      </c>
      <c r="AB30" s="20">
        <f>AB22-AB27</f>
        <v/>
      </c>
      <c r="AC30" s="20">
        <f>AC22-AC27</f>
        <v/>
      </c>
      <c r="AD30" s="20">
        <f>AD22-AD27</f>
        <v/>
      </c>
      <c r="AE30" s="20">
        <f>AE22-AE27</f>
        <v/>
      </c>
      <c r="AF30" s="20">
        <f>AF22-AF27</f>
        <v/>
      </c>
      <c r="AG30" s="20">
        <f>AG22-AG27</f>
        <v/>
      </c>
      <c r="AH30" s="38" t="n">
        <v>0</v>
      </c>
      <c r="AI30" s="38" t="n">
        <v>0</v>
      </c>
      <c r="AJ30" s="28" t="n"/>
      <c r="AK30" s="28" t="n"/>
      <c r="AL30" s="28" t="n"/>
      <c r="AM30" s="28" t="n"/>
      <c r="AN30" s="28" t="n"/>
      <c r="AO30" s="20">
        <f>AO22-AO27</f>
        <v/>
      </c>
      <c r="AP30" s="20">
        <f>AP22-AP27</f>
        <v/>
      </c>
      <c r="AQ30" s="20">
        <f>AQ22-AQ27</f>
        <v/>
      </c>
      <c r="AR30" s="20">
        <f>AR22-AR27</f>
        <v/>
      </c>
      <c r="AS30" s="20">
        <f>AS22-AS27</f>
        <v/>
      </c>
      <c r="AT30" s="20">
        <f>AT22-AT27</f>
        <v/>
      </c>
      <c r="AU30" s="20">
        <f>AU22-AU27</f>
        <v/>
      </c>
      <c r="AV30" s="20">
        <f>AV22-AV27</f>
        <v/>
      </c>
      <c r="AW30" s="20">
        <f>AW22-AW27</f>
        <v/>
      </c>
      <c r="AX30" s="20">
        <f>AX22-AX27</f>
        <v/>
      </c>
      <c r="AY30" s="20">
        <f>AY22-AY27</f>
        <v/>
      </c>
      <c r="AZ30" s="20">
        <f>AZ22-AZ27</f>
        <v/>
      </c>
      <c r="BA30" s="20">
        <f>BA22-BA27</f>
        <v/>
      </c>
      <c r="BB30" s="20">
        <f>BB22-BB27</f>
        <v/>
      </c>
      <c r="BC30" s="20">
        <f>BC22-BC27</f>
        <v/>
      </c>
      <c r="BD30" s="27" t="inlineStr"/>
    </row>
    <row r="31">
      <c r="A31" s="41" t="n"/>
      <c r="B31" s="41" t="n"/>
      <c r="C31" s="41" t="n"/>
      <c r="D31" s="41" t="n"/>
      <c r="E31" s="41" t="n"/>
      <c r="F31" s="41" t="n"/>
      <c r="G31" s="41" t="n"/>
      <c r="H31" s="41" t="n"/>
      <c r="I31" s="41" t="n"/>
      <c r="J31" s="41" t="n"/>
      <c r="K31" s="41" t="n"/>
      <c r="L31" s="41" t="n"/>
      <c r="M31" s="41" t="n"/>
      <c r="N31" s="41" t="n"/>
      <c r="O31" s="41" t="n"/>
      <c r="P31" s="41" t="n"/>
      <c r="Q31" s="41" t="n"/>
      <c r="R31" s="35" t="inlineStr">
        <is>
          <t>GP3毛利率(%)</t>
        </is>
      </c>
      <c r="S31" s="36">
        <f>S30/S22</f>
        <v/>
      </c>
      <c r="T31" s="36">
        <f>T30/T22</f>
        <v/>
      </c>
      <c r="U31" s="37">
        <f>U30/U22</f>
        <v/>
      </c>
      <c r="V31" s="36">
        <f>V30/V22</f>
        <v/>
      </c>
      <c r="W31" s="36">
        <f>W30/W22</f>
        <v/>
      </c>
      <c r="X31" s="36">
        <f>X30/X22</f>
        <v/>
      </c>
      <c r="Y31" s="36">
        <f>Y30/Y22</f>
        <v/>
      </c>
      <c r="Z31" s="36">
        <f>Z30/Z22</f>
        <v/>
      </c>
      <c r="AA31" s="36">
        <f>AA30/AA22</f>
        <v/>
      </c>
      <c r="AB31" s="36">
        <f>AB30/AB22</f>
        <v/>
      </c>
      <c r="AC31" s="36">
        <f>AC30/AC22</f>
        <v/>
      </c>
      <c r="AD31" s="36">
        <f>AD30/AD22</f>
        <v/>
      </c>
      <c r="AE31" s="36">
        <f>AE30/AE22</f>
        <v/>
      </c>
      <c r="AF31" s="36">
        <f>AF30/AF22</f>
        <v/>
      </c>
      <c r="AG31" s="36">
        <f>AG30/AG22</f>
        <v/>
      </c>
      <c r="AH31" s="38">
        <f>T31-S31</f>
        <v/>
      </c>
      <c r="AI31" s="38">
        <f>AF31-S31</f>
        <v/>
      </c>
      <c r="AJ31" s="41" t="n"/>
      <c r="AK31" s="41" t="n"/>
      <c r="AL31" s="41" t="n"/>
      <c r="AM31" s="41" t="n"/>
      <c r="AN31" s="41" t="n"/>
      <c r="AO31" s="36">
        <f>AO30/AO22</f>
        <v/>
      </c>
      <c r="AP31" s="36">
        <f>AP30/AP22</f>
        <v/>
      </c>
      <c r="AQ31" s="36">
        <f>AQ30/AQ22</f>
        <v/>
      </c>
      <c r="AR31" s="36">
        <f>AR30/AR22</f>
        <v/>
      </c>
      <c r="AS31" s="36">
        <f>AS30/AS22</f>
        <v/>
      </c>
      <c r="AT31" s="36">
        <f>AT30/AT22</f>
        <v/>
      </c>
      <c r="AU31" s="36">
        <f>AU30/AU22</f>
        <v/>
      </c>
      <c r="AV31" s="36">
        <f>AV30/AV22</f>
        <v/>
      </c>
      <c r="AW31" s="36">
        <f>AW30/AW22</f>
        <v/>
      </c>
      <c r="AX31" s="36">
        <f>AX30/AX22</f>
        <v/>
      </c>
      <c r="AY31" s="36">
        <f>AY30/AY22</f>
        <v/>
      </c>
      <c r="AZ31" s="36">
        <f>AZ30/AZ22</f>
        <v/>
      </c>
      <c r="BA31" s="56" t="n">
        <v>-0.101708100879428</v>
      </c>
      <c r="BB31" s="39" t="n">
        <v>0</v>
      </c>
      <c r="BC31" s="50" t="n">
        <v>0</v>
      </c>
      <c r="BD31" s="27" t="inlineStr"/>
    </row>
    <row r="32">
      <c r="A32" s="42" t="inlineStr">
        <is>
          <t>P202507000656</t>
        </is>
      </c>
      <c r="B32" s="43" t="inlineStr">
        <is>
          <t>全国畜牧总站-畜牧核心数据查询APP开发-FP项目</t>
        </is>
      </c>
      <c r="C32" s="44" t="n">
        <v>45839</v>
      </c>
      <c r="D32" s="44" t="n">
        <v>46203</v>
      </c>
      <c r="E32" s="15" t="n"/>
      <c r="F32" s="16" t="inlineStr">
        <is>
          <t xml:space="preserve"> -   </t>
        </is>
      </c>
      <c r="G32" s="18" t="n">
        <v>0</v>
      </c>
      <c r="H32" s="18" t="n"/>
      <c r="I32" s="18" t="n"/>
      <c r="J32" s="18" t="n"/>
      <c r="K32" s="18" t="n"/>
      <c r="L32" s="18" t="n"/>
      <c r="M32" s="18" t="n"/>
      <c r="N32" s="18" t="n"/>
      <c r="O32" s="18" t="n"/>
      <c r="P32" s="15" t="n"/>
      <c r="Q32" s="18" t="inlineStr"/>
      <c r="R32" s="47" t="inlineStr">
        <is>
          <t>累计收入（NR）</t>
        </is>
      </c>
      <c r="S32" s="20" t="n">
        <v>188679.25</v>
      </c>
      <c r="T32" s="20">
        <f>SUM(AO32:BC32)</f>
        <v/>
      </c>
      <c r="U32" s="21">
        <f>SUM(BA32:BC32)</f>
        <v/>
      </c>
      <c r="V32" s="20">
        <f>SUM(AO32:AZ32)</f>
        <v/>
      </c>
      <c r="W32" s="20">
        <f>SUM(AP32:AZ32)</f>
        <v/>
      </c>
      <c r="X32" s="20">
        <f>SUM(AQ32:AZ32)</f>
        <v/>
      </c>
      <c r="Y32" s="20">
        <f>SUM(AR32:AZ32)</f>
        <v/>
      </c>
      <c r="Z32" s="20">
        <f>SUM(AS32:AZ32)</f>
        <v/>
      </c>
      <c r="AA32" s="20">
        <f>SUM(AT32:AZ32)</f>
        <v/>
      </c>
      <c r="AB32" s="20">
        <f>SUM(AU32:AZ32)</f>
        <v/>
      </c>
      <c r="AC32" s="20">
        <f>SUM(AV32:AZ32)</f>
        <v/>
      </c>
      <c r="AD32" s="20">
        <f>SUM(AW32:AZ32)</f>
        <v/>
      </c>
      <c r="AE32" s="20">
        <f>SUM(AX32:AZ32)</f>
        <v/>
      </c>
      <c r="AF32" s="20">
        <f>SUM(AY32:AZ32)</f>
        <v/>
      </c>
      <c r="AG32" s="20">
        <f>SUM(AZ32:AZ32)</f>
        <v/>
      </c>
      <c r="AH32" s="22" t="n">
        <v>0</v>
      </c>
      <c r="AI32" s="22" t="n">
        <v>0</v>
      </c>
      <c r="AJ32" s="43" t="inlineStr"/>
      <c r="AK32" s="48" t="inlineStr">
        <is>
          <t>项目已于12月中旬上线了并验收回款，后面不再投入。已投入成本超出预算2W，预计全周期GP3%毛利率7.55%</t>
        </is>
      </c>
      <c r="AL32" s="48" t="inlineStr">
        <is>
          <t>后续不再投入人力，随着交付进度提升毛利率</t>
        </is>
      </c>
      <c r="AM32" s="48" t="inlineStr"/>
      <c r="AN32" s="60" t="n"/>
      <c r="AO32" s="20" t="n">
        <v>0</v>
      </c>
      <c r="AP32" s="20" t="n">
        <v>0</v>
      </c>
      <c r="AQ32" s="20" t="n">
        <v>0</v>
      </c>
      <c r="AR32" s="20" t="n">
        <v>0</v>
      </c>
      <c r="AS32" s="20" t="n">
        <v>0</v>
      </c>
      <c r="AT32" s="20" t="n">
        <v>0</v>
      </c>
      <c r="AU32" s="20" t="n">
        <v>0</v>
      </c>
      <c r="AV32" s="20" t="n">
        <v>0</v>
      </c>
      <c r="AW32" s="20" t="n">
        <v>0</v>
      </c>
      <c r="AX32" s="20" t="n">
        <v>9609.059999999999</v>
      </c>
      <c r="AY32" s="20" t="n">
        <v>8055.28</v>
      </c>
      <c r="AZ32" s="20" t="n">
        <v>7201.51</v>
      </c>
      <c r="BA32" s="49" t="n">
        <v>127263.98</v>
      </c>
      <c r="BB32" s="21" t="n">
        <v>0</v>
      </c>
      <c r="BC32" s="61" t="n">
        <v>0</v>
      </c>
      <c r="BD32" s="27" t="inlineStr"/>
    </row>
    <row r="33">
      <c r="A33" s="28" t="n"/>
      <c r="B33" s="28" t="n"/>
      <c r="C33" s="28" t="n"/>
      <c r="D33" s="28" t="n"/>
      <c r="E33" s="28" t="n"/>
      <c r="F33" s="28" t="n"/>
      <c r="G33" s="28" t="n"/>
      <c r="H33" s="28" t="n"/>
      <c r="I33" s="28" t="n"/>
      <c r="J33" s="28" t="n"/>
      <c r="K33" s="28" t="n"/>
      <c r="L33" s="28" t="n"/>
      <c r="M33" s="28" t="n"/>
      <c r="N33" s="28" t="n"/>
      <c r="O33" s="28" t="n"/>
      <c r="P33" s="28" t="n"/>
      <c r="Q33" s="28" t="n"/>
      <c r="R33" s="29" t="inlineStr">
        <is>
          <t>人工成本（成本１）</t>
        </is>
      </c>
      <c r="S33" s="20" t="n">
        <v>154705.8</v>
      </c>
      <c r="T33" s="20">
        <f>SUM(AO33:BC33)</f>
        <v/>
      </c>
      <c r="U33" s="21">
        <f>SUM(BA33:BC33)</f>
        <v/>
      </c>
      <c r="V33" s="20">
        <f>SUM(AO33:AZ33)</f>
        <v/>
      </c>
      <c r="W33" s="20">
        <f>SUM(AP33:AZ33)</f>
        <v/>
      </c>
      <c r="X33" s="20">
        <f>SUM(AQ33:AZ33)</f>
        <v/>
      </c>
      <c r="Y33" s="20">
        <f>SUM(AR33:AZ33)</f>
        <v/>
      </c>
      <c r="Z33" s="20">
        <f>SUM(AS33:AZ33)</f>
        <v/>
      </c>
      <c r="AA33" s="20">
        <f>SUM(AT33:AZ33)</f>
        <v/>
      </c>
      <c r="AB33" s="20">
        <f>SUM(AU33:AZ33)</f>
        <v/>
      </c>
      <c r="AC33" s="20">
        <f>SUM(AV33:AZ33)</f>
        <v/>
      </c>
      <c r="AD33" s="20">
        <f>SUM(AW33:AZ33)</f>
        <v/>
      </c>
      <c r="AE33" s="20">
        <f>SUM(AX33:AZ33)</f>
        <v/>
      </c>
      <c r="AF33" s="20">
        <f>SUM(AY33:AZ33)</f>
        <v/>
      </c>
      <c r="AG33" s="20">
        <f>SUM(AZ33:AZ33)</f>
        <v/>
      </c>
      <c r="AH33" s="22" t="n">
        <v>0</v>
      </c>
      <c r="AI33" s="22" t="n">
        <v>0</v>
      </c>
      <c r="AJ33" s="28" t="n"/>
      <c r="AK33" s="28" t="n"/>
      <c r="AL33" s="28" t="n"/>
      <c r="AM33" s="28" t="n"/>
      <c r="AN33" s="28" t="n"/>
      <c r="AO33" s="20" t="n">
        <v>0</v>
      </c>
      <c r="AP33" s="20" t="n">
        <v>0</v>
      </c>
      <c r="AQ33" s="20" t="n">
        <v>0</v>
      </c>
      <c r="AR33" s="20" t="n">
        <v>0</v>
      </c>
      <c r="AS33" s="20" t="n">
        <v>0</v>
      </c>
      <c r="AT33" s="20" t="n">
        <v>0</v>
      </c>
      <c r="AU33" s="20" t="n">
        <v>0</v>
      </c>
      <c r="AV33" s="20" t="n">
        <v>0</v>
      </c>
      <c r="AW33" s="20" t="n">
        <v>0</v>
      </c>
      <c r="AX33" s="20" t="n">
        <v>0</v>
      </c>
      <c r="AY33" s="20" t="n">
        <v>0</v>
      </c>
      <c r="AZ33" s="20" t="n">
        <v>0</v>
      </c>
      <c r="BA33" s="49" t="n">
        <v>174002.79</v>
      </c>
      <c r="BB33" s="21" t="n">
        <v>0</v>
      </c>
      <c r="BC33" s="61" t="n">
        <v>0</v>
      </c>
      <c r="BD33" s="27" t="inlineStr"/>
    </row>
    <row r="34">
      <c r="A34" s="28" t="n"/>
      <c r="B34" s="28" t="n"/>
      <c r="C34" s="28" t="n"/>
      <c r="D34" s="28" t="n"/>
      <c r="E34" s="28" t="n"/>
      <c r="F34" s="28" t="n"/>
      <c r="G34" s="28" t="n"/>
      <c r="H34" s="28" t="n"/>
      <c r="I34" s="28" t="n"/>
      <c r="J34" s="28" t="n"/>
      <c r="K34" s="28" t="n"/>
      <c r="L34" s="28" t="n"/>
      <c r="M34" s="28" t="n"/>
      <c r="N34" s="28" t="n"/>
      <c r="O34" s="28" t="n"/>
      <c r="P34" s="28" t="n"/>
      <c r="Q34" s="28" t="n"/>
      <c r="R34" s="29" t="inlineStr">
        <is>
          <t>闲置成本（成本2）</t>
        </is>
      </c>
      <c r="S34" s="20" t="n">
        <v>0</v>
      </c>
      <c r="T34" s="20" t="n">
        <v>0</v>
      </c>
      <c r="U34" s="21" t="n">
        <v>0</v>
      </c>
      <c r="V34" s="20" t="n">
        <v>0</v>
      </c>
      <c r="W34" s="20" t="n">
        <v>0</v>
      </c>
      <c r="X34" s="20" t="n">
        <v>0</v>
      </c>
      <c r="Y34" s="20" t="n">
        <v>0</v>
      </c>
      <c r="Z34" s="20" t="n">
        <v>0</v>
      </c>
      <c r="AA34" s="20" t="n">
        <v>0</v>
      </c>
      <c r="AB34" s="20" t="n">
        <v>0</v>
      </c>
      <c r="AC34" s="20" t="n">
        <v>0</v>
      </c>
      <c r="AD34" s="20" t="n">
        <v>0</v>
      </c>
      <c r="AE34" s="20" t="n">
        <v>0</v>
      </c>
      <c r="AF34" s="20" t="n">
        <v>0</v>
      </c>
      <c r="AG34" s="20" t="n">
        <v>0</v>
      </c>
      <c r="AH34" s="22" t="n">
        <v>0</v>
      </c>
      <c r="AI34" s="22" t="n">
        <v>0</v>
      </c>
      <c r="AJ34" s="28" t="n"/>
      <c r="AK34" s="28" t="n"/>
      <c r="AL34" s="28" t="n"/>
      <c r="AM34" s="28" t="n"/>
      <c r="AN34" s="28" t="n"/>
      <c r="AO34" s="20" t="n">
        <v>0</v>
      </c>
      <c r="AP34" s="20" t="n">
        <v>0</v>
      </c>
      <c r="AQ34" s="20" t="n">
        <v>0</v>
      </c>
      <c r="AR34" s="20" t="n">
        <v>0</v>
      </c>
      <c r="AS34" s="20" t="n">
        <v>0</v>
      </c>
      <c r="AT34" s="20" t="n">
        <v>0</v>
      </c>
      <c r="AU34" s="20" t="n">
        <v>0</v>
      </c>
      <c r="AV34" s="20" t="n">
        <v>0</v>
      </c>
      <c r="AW34" s="20" t="n">
        <v>0</v>
      </c>
      <c r="AX34" s="20" t="n">
        <v>0</v>
      </c>
      <c r="AY34" s="20" t="n">
        <v>0</v>
      </c>
      <c r="AZ34" s="20" t="n">
        <v>0</v>
      </c>
      <c r="BA34" s="49" t="n">
        <v>0</v>
      </c>
      <c r="BB34" s="21" t="n">
        <v>0</v>
      </c>
      <c r="BC34" s="61" t="n">
        <v>0</v>
      </c>
      <c r="BD34" s="27" t="inlineStr"/>
    </row>
    <row r="35">
      <c r="A35" s="28" t="n"/>
      <c r="B35" s="28" t="n"/>
      <c r="C35" s="28" t="n"/>
      <c r="D35" s="28" t="n"/>
      <c r="E35" s="28" t="n"/>
      <c r="F35" s="28" t="n"/>
      <c r="G35" s="28" t="n"/>
      <c r="H35" s="28" t="n"/>
      <c r="I35" s="28" t="n"/>
      <c r="J35" s="28" t="n"/>
      <c r="K35" s="28" t="n"/>
      <c r="L35" s="28" t="n"/>
      <c r="M35" s="28" t="n"/>
      <c r="N35" s="28" t="n"/>
      <c r="O35" s="28" t="n"/>
      <c r="P35" s="28" t="n"/>
      <c r="Q35" s="28" t="n"/>
      <c r="R35" s="29" t="inlineStr">
        <is>
          <t>差旅费（成本３）</t>
        </is>
      </c>
      <c r="S35" s="20" t="n">
        <v>0</v>
      </c>
      <c r="T35" s="20">
        <f>SUM(AO35:BC35)</f>
        <v/>
      </c>
      <c r="U35" s="21">
        <f>SUM(BA35:BC35)</f>
        <v/>
      </c>
      <c r="V35" s="20">
        <f>SUM(AO35:AZ35)</f>
        <v/>
      </c>
      <c r="W35" s="20">
        <f>SUM(AP35:AZ35)</f>
        <v/>
      </c>
      <c r="X35" s="20">
        <f>SUM(AQ35:AZ35)</f>
        <v/>
      </c>
      <c r="Y35" s="20">
        <f>SUM(AR35:AZ35)</f>
        <v/>
      </c>
      <c r="Z35" s="20">
        <f>SUM(AS35:AZ35)</f>
        <v/>
      </c>
      <c r="AA35" s="20">
        <f>SUM(AT35:AZ35)</f>
        <v/>
      </c>
      <c r="AB35" s="20">
        <f>SUM(AU35:AZ35)</f>
        <v/>
      </c>
      <c r="AC35" s="20">
        <f>SUM(AV35:AZ35)</f>
        <v/>
      </c>
      <c r="AD35" s="20">
        <f>SUM(AW35:AZ35)</f>
        <v/>
      </c>
      <c r="AE35" s="20">
        <f>SUM(AX35:AZ35)</f>
        <v/>
      </c>
      <c r="AF35" s="20">
        <f>SUM(AY35:AZ35)</f>
        <v/>
      </c>
      <c r="AG35" s="20">
        <f>SUM(AZ35:AZ35)</f>
        <v/>
      </c>
      <c r="AH35" s="22" t="n">
        <v>0</v>
      </c>
      <c r="AI35" s="22" t="n">
        <v>0</v>
      </c>
      <c r="AJ35" s="28" t="n"/>
      <c r="AK35" s="28" t="n"/>
      <c r="AL35" s="28" t="n"/>
      <c r="AM35" s="28" t="n"/>
      <c r="AN35" s="28" t="n"/>
      <c r="AO35" s="20" t="n">
        <v>0</v>
      </c>
      <c r="AP35" s="20" t="n">
        <v>0</v>
      </c>
      <c r="AQ35" s="20" t="n">
        <v>0</v>
      </c>
      <c r="AR35" s="20" t="n">
        <v>0</v>
      </c>
      <c r="AS35" s="20" t="n">
        <v>0</v>
      </c>
      <c r="AT35" s="20" t="n">
        <v>0</v>
      </c>
      <c r="AU35" s="20" t="n">
        <v>0</v>
      </c>
      <c r="AV35" s="20" t="n">
        <v>0</v>
      </c>
      <c r="AW35" s="20" t="n">
        <v>0</v>
      </c>
      <c r="AX35" s="20" t="n">
        <v>0</v>
      </c>
      <c r="AY35" s="20" t="n">
        <v>0</v>
      </c>
      <c r="AZ35" s="20" t="n">
        <v>0</v>
      </c>
      <c r="BA35" s="49" t="n">
        <v>0</v>
      </c>
      <c r="BB35" s="21" t="n">
        <v>0</v>
      </c>
      <c r="BC35" s="61" t="n">
        <v>0</v>
      </c>
      <c r="BD35" s="27" t="inlineStr"/>
    </row>
    <row r="36">
      <c r="A36" s="28" t="n"/>
      <c r="B36" s="28" t="n"/>
      <c r="C36" s="28" t="n"/>
      <c r="D36" s="28" t="n"/>
      <c r="E36" s="28" t="n"/>
      <c r="F36" s="28" t="n"/>
      <c r="G36" s="28" t="n"/>
      <c r="H36" s="28" t="n"/>
      <c r="I36" s="28" t="n"/>
      <c r="J36" s="28" t="n"/>
      <c r="K36" s="28" t="n"/>
      <c r="L36" s="28" t="n"/>
      <c r="M36" s="28" t="n"/>
      <c r="N36" s="28" t="n"/>
      <c r="O36" s="28" t="n"/>
      <c r="P36" s="28" t="n"/>
      <c r="Q36" s="28" t="n"/>
      <c r="R36" s="29" t="inlineStr">
        <is>
          <t>其他成本（成本３）</t>
        </is>
      </c>
      <c r="S36" s="20" t="n">
        <v>0</v>
      </c>
      <c r="T36" s="20">
        <f>SUM(AO36:BC36)</f>
        <v/>
      </c>
      <c r="U36" s="21">
        <f>SUM(BA36:BC36)</f>
        <v/>
      </c>
      <c r="V36" s="20">
        <f>SUM(AO36:AZ36)</f>
        <v/>
      </c>
      <c r="W36" s="20">
        <f>SUM(AP36:AZ36)</f>
        <v/>
      </c>
      <c r="X36" s="20">
        <f>SUM(AQ36:AZ36)</f>
        <v/>
      </c>
      <c r="Y36" s="20">
        <f>SUM(AR36:AZ36)</f>
        <v/>
      </c>
      <c r="Z36" s="20">
        <f>SUM(AS36:AZ36)</f>
        <v/>
      </c>
      <c r="AA36" s="20">
        <f>SUM(AT36:AZ36)</f>
        <v/>
      </c>
      <c r="AB36" s="20">
        <f>SUM(AU36:AZ36)</f>
        <v/>
      </c>
      <c r="AC36" s="20">
        <f>SUM(AV36:AZ36)</f>
        <v/>
      </c>
      <c r="AD36" s="20">
        <f>SUM(AW36:AZ36)</f>
        <v/>
      </c>
      <c r="AE36" s="20">
        <f>SUM(AX36:AZ36)</f>
        <v/>
      </c>
      <c r="AF36" s="20">
        <f>SUM(AY36:AZ36)</f>
        <v/>
      </c>
      <c r="AG36" s="20">
        <f>SUM(AZ36:AZ36)</f>
        <v/>
      </c>
      <c r="AH36" s="22" t="n">
        <v>0</v>
      </c>
      <c r="AI36" s="22" t="n">
        <v>0</v>
      </c>
      <c r="AJ36" s="28" t="n"/>
      <c r="AK36" s="28" t="n"/>
      <c r="AL36" s="28" t="n"/>
      <c r="AM36" s="28" t="n"/>
      <c r="AN36" s="28" t="n"/>
      <c r="AO36" s="20" t="n">
        <v>0</v>
      </c>
      <c r="AP36" s="20" t="n">
        <v>0</v>
      </c>
      <c r="AQ36" s="20" t="n">
        <v>0</v>
      </c>
      <c r="AR36" s="20" t="n">
        <v>0</v>
      </c>
      <c r="AS36" s="20" t="n">
        <v>0</v>
      </c>
      <c r="AT36" s="20" t="n">
        <v>0</v>
      </c>
      <c r="AU36" s="20" t="n">
        <v>0</v>
      </c>
      <c r="AV36" s="20" t="n">
        <v>0</v>
      </c>
      <c r="AW36" s="20" t="n">
        <v>0</v>
      </c>
      <c r="AX36" s="20" t="n">
        <v>-35.13</v>
      </c>
      <c r="AY36" s="20" t="n">
        <v>-44.74</v>
      </c>
      <c r="AZ36" s="20" t="n">
        <v>-52.8</v>
      </c>
      <c r="BA36" s="49" t="n">
        <v>374.87</v>
      </c>
      <c r="BB36" s="21" t="n">
        <v>0</v>
      </c>
      <c r="BC36" s="61" t="n">
        <v>0</v>
      </c>
      <c r="BD36" s="27" t="inlineStr"/>
    </row>
    <row r="37">
      <c r="A37" s="28" t="n"/>
      <c r="B37" s="28" t="n"/>
      <c r="C37" s="28" t="n"/>
      <c r="D37" s="28" t="n"/>
      <c r="E37" s="28" t="n"/>
      <c r="F37" s="28" t="n"/>
      <c r="G37" s="28" t="n"/>
      <c r="H37" s="28" t="n"/>
      <c r="I37" s="28" t="n"/>
      <c r="J37" s="28" t="n"/>
      <c r="K37" s="28" t="n"/>
      <c r="L37" s="28" t="n"/>
      <c r="M37" s="28" t="n"/>
      <c r="N37" s="28" t="n"/>
      <c r="O37" s="28" t="n"/>
      <c r="P37" s="28" t="n"/>
      <c r="Q37" s="28" t="n"/>
      <c r="R37" s="29" t="inlineStr">
        <is>
          <t>累计成本</t>
        </is>
      </c>
      <c r="S37" s="30">
        <f>SUM(S33:S36)</f>
        <v/>
      </c>
      <c r="T37" s="30">
        <f>SUM(T33:T36)</f>
        <v/>
      </c>
      <c r="U37" s="31">
        <f>SUM(U33:U36)</f>
        <v/>
      </c>
      <c r="V37" s="30">
        <f>SUM(V33:V36)</f>
        <v/>
      </c>
      <c r="W37" s="30">
        <f>SUM(W33:W36)</f>
        <v/>
      </c>
      <c r="X37" s="30">
        <f>SUM(X33:X36)</f>
        <v/>
      </c>
      <c r="Y37" s="30">
        <f>SUM(Y33:Y36)</f>
        <v/>
      </c>
      <c r="Z37" s="30">
        <f>SUM(Z33:Z36)</f>
        <v/>
      </c>
      <c r="AA37" s="30">
        <f>SUM(AA33:AA36)</f>
        <v/>
      </c>
      <c r="AB37" s="30">
        <f>SUM(AB33:AB36)</f>
        <v/>
      </c>
      <c r="AC37" s="30">
        <f>SUM(AC33:AC36)</f>
        <v/>
      </c>
      <c r="AD37" s="30">
        <f>SUM(AD33:AD36)</f>
        <v/>
      </c>
      <c r="AE37" s="30">
        <f>SUM(AE33:AE36)</f>
        <v/>
      </c>
      <c r="AF37" s="30">
        <f>SUM(AF33:AF36)</f>
        <v/>
      </c>
      <c r="AG37" s="30">
        <f>SUM(AG33:AG36)</f>
        <v/>
      </c>
      <c r="AH37" s="30">
        <f>SUM(AH33:AH36)</f>
        <v/>
      </c>
      <c r="AI37" s="30">
        <f>SUM(AI33:AI36)</f>
        <v/>
      </c>
      <c r="AJ37" s="28" t="n"/>
      <c r="AK37" s="28" t="n"/>
      <c r="AL37" s="28" t="n"/>
      <c r="AM37" s="28" t="n"/>
      <c r="AN37" s="28" t="n"/>
      <c r="AO37" s="30">
        <f>SUM(AO33:AO36)</f>
        <v/>
      </c>
      <c r="AP37" s="30">
        <f>SUM(AP33:AP36)</f>
        <v/>
      </c>
      <c r="AQ37" s="30">
        <f>SUM(AQ33:AQ36)</f>
        <v/>
      </c>
      <c r="AR37" s="30">
        <f>SUM(AR33:AR36)</f>
        <v/>
      </c>
      <c r="AS37" s="30">
        <f>SUM(AS33:AS36)</f>
        <v/>
      </c>
      <c r="AT37" s="30">
        <f>SUM(AT33:AT36)</f>
        <v/>
      </c>
      <c r="AU37" s="30">
        <f>SUM(AU33:AU36)</f>
        <v/>
      </c>
      <c r="AV37" s="30">
        <f>SUM(AV33:AV36)</f>
        <v/>
      </c>
      <c r="AW37" s="30">
        <f>SUM(AW33:AW36)</f>
        <v/>
      </c>
      <c r="AX37" s="30">
        <f>SUM(AX33:AX36)</f>
        <v/>
      </c>
      <c r="AY37" s="30" t="n">
        <v>-44.74</v>
      </c>
      <c r="AZ37" s="30">
        <f>SUM(AZ33:AZ36)</f>
        <v/>
      </c>
      <c r="BA37" s="53" t="n">
        <v>174377.66</v>
      </c>
      <c r="BB37" s="31">
        <f>SUM(BB33:BB36)</f>
        <v/>
      </c>
      <c r="BC37" s="54">
        <f>SUM(BC33:BC36)</f>
        <v/>
      </c>
      <c r="BD37" s="32" t="inlineStr"/>
    </row>
    <row r="38">
      <c r="A38" s="28" t="n"/>
      <c r="B38" s="28" t="n"/>
      <c r="C38" s="28" t="n"/>
      <c r="D38" s="28" t="n"/>
      <c r="E38" s="28" t="n"/>
      <c r="F38" s="28" t="n"/>
      <c r="G38" s="28" t="n"/>
      <c r="H38" s="28" t="n"/>
      <c r="I38" s="28" t="n"/>
      <c r="J38" s="28" t="n"/>
      <c r="K38" s="28" t="n"/>
      <c r="L38" s="28" t="n"/>
      <c r="M38" s="28" t="n"/>
      <c r="N38" s="28" t="n"/>
      <c r="O38" s="28" t="n"/>
      <c r="P38" s="28" t="n"/>
      <c r="Q38" s="28" t="n"/>
      <c r="R38" s="29" t="inlineStr">
        <is>
          <t>GP1毛利</t>
        </is>
      </c>
      <c r="S38" s="30">
        <f>S32-S33</f>
        <v/>
      </c>
      <c r="T38" s="20">
        <f>T32-T33</f>
        <v/>
      </c>
      <c r="U38" s="21">
        <f>U32-U33</f>
        <v/>
      </c>
      <c r="V38" s="20">
        <f>V32-V33</f>
        <v/>
      </c>
      <c r="W38" s="20">
        <f>W32-W33</f>
        <v/>
      </c>
      <c r="X38" s="20">
        <f>X32-X33</f>
        <v/>
      </c>
      <c r="Y38" s="20">
        <f>Y32-Y33</f>
        <v/>
      </c>
      <c r="Z38" s="20">
        <f>Z32-Z33</f>
        <v/>
      </c>
      <c r="AA38" s="20">
        <f>AA32-AA33</f>
        <v/>
      </c>
      <c r="AB38" s="20">
        <f>AB32-AB33</f>
        <v/>
      </c>
      <c r="AC38" s="20">
        <f>AC32-AC33</f>
        <v/>
      </c>
      <c r="AD38" s="20">
        <f>AD32-AD33</f>
        <v/>
      </c>
      <c r="AE38" s="20">
        <f>AE32-AE33</f>
        <v/>
      </c>
      <c r="AF38" s="20">
        <f>AF32-AF33</f>
        <v/>
      </c>
      <c r="AG38" s="20">
        <f>AG32-AG33</f>
        <v/>
      </c>
      <c r="AH38" s="33" t="n">
        <v>0</v>
      </c>
      <c r="AI38" s="33" t="n">
        <v>0</v>
      </c>
      <c r="AJ38" s="28" t="n"/>
      <c r="AK38" s="28" t="n"/>
      <c r="AL38" s="28" t="n"/>
      <c r="AM38" s="28" t="n"/>
      <c r="AN38" s="28" t="n"/>
      <c r="AO38" s="20">
        <f>AO32-AO33</f>
        <v/>
      </c>
      <c r="AP38" s="20">
        <f>AP32-AP33</f>
        <v/>
      </c>
      <c r="AQ38" s="20">
        <f>AQ32-AQ33</f>
        <v/>
      </c>
      <c r="AR38" s="20">
        <f>AR32-AR33</f>
        <v/>
      </c>
      <c r="AS38" s="20">
        <f>AS32-AS33</f>
        <v/>
      </c>
      <c r="AT38" s="20">
        <f>AT32-AT33</f>
        <v/>
      </c>
      <c r="AU38" s="20">
        <f>AU32-AU33</f>
        <v/>
      </c>
      <c r="AV38" s="20">
        <f>AV32-AV33</f>
        <v/>
      </c>
      <c r="AW38" s="20">
        <f>AW32-AW33</f>
        <v/>
      </c>
      <c r="AX38" s="20">
        <f>AX32-AX33</f>
        <v/>
      </c>
      <c r="AY38" s="20">
        <f>AY32-AY33</f>
        <v/>
      </c>
      <c r="AZ38" s="20">
        <f>AZ32-AZ33</f>
        <v/>
      </c>
      <c r="BA38" s="55" t="n">
        <v>-46738.81</v>
      </c>
      <c r="BB38" s="31" t="n">
        <v>0</v>
      </c>
      <c r="BC38" s="61" t="n">
        <v>0</v>
      </c>
      <c r="BD38" s="27" t="inlineStr"/>
    </row>
    <row r="39">
      <c r="A39" s="28" t="n"/>
      <c r="B39" s="28" t="n"/>
      <c r="C39" s="28" t="n"/>
      <c r="D39" s="28" t="n"/>
      <c r="E39" s="28" t="n"/>
      <c r="F39" s="28" t="n"/>
      <c r="G39" s="28" t="n"/>
      <c r="H39" s="28" t="n"/>
      <c r="I39" s="28" t="n"/>
      <c r="J39" s="28" t="n"/>
      <c r="K39" s="28" t="n"/>
      <c r="L39" s="28" t="n"/>
      <c r="M39" s="28" t="n"/>
      <c r="N39" s="28" t="n"/>
      <c r="O39" s="28" t="n"/>
      <c r="P39" s="28" t="n"/>
      <c r="Q39" s="28" t="n"/>
      <c r="R39" s="35" t="inlineStr">
        <is>
          <t>GP1毛利率(%)</t>
        </is>
      </c>
      <c r="S39" s="62">
        <f>S38/S32</f>
        <v/>
      </c>
      <c r="T39" s="36">
        <f>T38/T32</f>
        <v/>
      </c>
      <c r="U39" s="37">
        <f>U38/U32</f>
        <v/>
      </c>
      <c r="V39" s="36">
        <f>V38/V32</f>
        <v/>
      </c>
      <c r="W39" s="36">
        <f>W38/W32</f>
        <v/>
      </c>
      <c r="X39" s="36">
        <f>X38/X32</f>
        <v/>
      </c>
      <c r="Y39" s="36">
        <f>Y38/Y32</f>
        <v/>
      </c>
      <c r="Z39" s="36">
        <f>Z38/Z32</f>
        <v/>
      </c>
      <c r="AA39" s="36">
        <f>AA38/AA32</f>
        <v/>
      </c>
      <c r="AB39" s="36">
        <f>AB38/AB32</f>
        <v/>
      </c>
      <c r="AC39" s="36">
        <f>AC38/AC32</f>
        <v/>
      </c>
      <c r="AD39" s="36">
        <f>AD38/AD32</f>
        <v/>
      </c>
      <c r="AE39" s="36">
        <f>AE38/AE32</f>
        <v/>
      </c>
      <c r="AF39" s="36">
        <f>AF38/AF32</f>
        <v/>
      </c>
      <c r="AG39" s="36">
        <f>AG38/AG32</f>
        <v/>
      </c>
      <c r="AH39" s="38">
        <f>T39-S39</f>
        <v/>
      </c>
      <c r="AI39" s="38">
        <f>AF39-S39</f>
        <v/>
      </c>
      <c r="AJ39" s="28" t="n"/>
      <c r="AK39" s="28" t="n"/>
      <c r="AL39" s="28" t="n"/>
      <c r="AM39" s="28" t="n"/>
      <c r="AN39" s="28" t="n"/>
      <c r="AO39" s="36">
        <f>AO38/AO32</f>
        <v/>
      </c>
      <c r="AP39" s="36">
        <f>AP38/AP32</f>
        <v/>
      </c>
      <c r="AQ39" s="36">
        <f>AQ38/AQ32</f>
        <v/>
      </c>
      <c r="AR39" s="36">
        <f>AR38/AR32</f>
        <v/>
      </c>
      <c r="AS39" s="36">
        <f>AS38/AS32</f>
        <v/>
      </c>
      <c r="AT39" s="36">
        <f>AT38/AT32</f>
        <v/>
      </c>
      <c r="AU39" s="36">
        <f>AU38/AU32</f>
        <v/>
      </c>
      <c r="AV39" s="36">
        <f>AV38/AV32</f>
        <v/>
      </c>
      <c r="AW39" s="36">
        <f>AW38/AW32</f>
        <v/>
      </c>
      <c r="AX39" s="36">
        <f>AX38/AX32</f>
        <v/>
      </c>
      <c r="AY39" s="36">
        <f>AY38/AY32</f>
        <v/>
      </c>
      <c r="AZ39" s="36">
        <f>AZ38/AZ32</f>
        <v/>
      </c>
      <c r="BA39" s="56" t="n">
        <v>-0.367258748311973</v>
      </c>
      <c r="BB39" s="39" t="n">
        <v>0</v>
      </c>
      <c r="BC39" s="61" t="n">
        <v>0</v>
      </c>
      <c r="BD39" s="27" t="inlineStr"/>
    </row>
    <row r="40">
      <c r="A40" s="28" t="n"/>
      <c r="B40" s="28" t="n"/>
      <c r="C40" s="28" t="n"/>
      <c r="D40" s="28" t="n"/>
      <c r="E40" s="28" t="n"/>
      <c r="F40" s="28" t="n"/>
      <c r="G40" s="28" t="n"/>
      <c r="H40" s="28" t="n"/>
      <c r="I40" s="28" t="n"/>
      <c r="J40" s="28" t="n"/>
      <c r="K40" s="28" t="n"/>
      <c r="L40" s="28" t="n"/>
      <c r="M40" s="28" t="n"/>
      <c r="N40" s="28" t="n"/>
      <c r="O40" s="28" t="n"/>
      <c r="P40" s="28" t="n"/>
      <c r="Q40" s="28" t="n"/>
      <c r="R40" s="29" t="inlineStr">
        <is>
          <t>GP3毛利</t>
        </is>
      </c>
      <c r="S40" s="20">
        <f>S32-S37</f>
        <v/>
      </c>
      <c r="T40" s="20">
        <f>T32-T37</f>
        <v/>
      </c>
      <c r="U40" s="20">
        <f>U32-U37</f>
        <v/>
      </c>
      <c r="V40" s="20">
        <f>V32-V37</f>
        <v/>
      </c>
      <c r="W40" s="20">
        <f>W32-W37</f>
        <v/>
      </c>
      <c r="X40" s="20">
        <f>X32-X37</f>
        <v/>
      </c>
      <c r="Y40" s="20">
        <f>Y32-Y37</f>
        <v/>
      </c>
      <c r="Z40" s="20">
        <f>Z32-Z37</f>
        <v/>
      </c>
      <c r="AA40" s="20">
        <f>AA32-AA37</f>
        <v/>
      </c>
      <c r="AB40" s="20">
        <f>AB32-AB37</f>
        <v/>
      </c>
      <c r="AC40" s="20">
        <f>AC32-AC37</f>
        <v/>
      </c>
      <c r="AD40" s="20">
        <f>AD32-AD37</f>
        <v/>
      </c>
      <c r="AE40" s="20">
        <f>AE32-AE37</f>
        <v/>
      </c>
      <c r="AF40" s="20">
        <f>AF32-AF37</f>
        <v/>
      </c>
      <c r="AG40" s="20">
        <f>AG32-AG37</f>
        <v/>
      </c>
      <c r="AH40" s="38" t="n">
        <v>0</v>
      </c>
      <c r="AI40" s="38" t="n">
        <v>0</v>
      </c>
      <c r="AJ40" s="28" t="n"/>
      <c r="AK40" s="28" t="n"/>
      <c r="AL40" s="28" t="n"/>
      <c r="AM40" s="28" t="n"/>
      <c r="AN40" s="28" t="n"/>
      <c r="AO40" s="20">
        <f>AO32-AO37</f>
        <v/>
      </c>
      <c r="AP40" s="20">
        <f>AP32-AP37</f>
        <v/>
      </c>
      <c r="AQ40" s="20">
        <f>AQ32-AQ37</f>
        <v/>
      </c>
      <c r="AR40" s="20">
        <f>AR32-AR37</f>
        <v/>
      </c>
      <c r="AS40" s="20">
        <f>AS32-AS37</f>
        <v/>
      </c>
      <c r="AT40" s="20">
        <f>AT32-AT37</f>
        <v/>
      </c>
      <c r="AU40" s="20">
        <f>AU32-AU37</f>
        <v/>
      </c>
      <c r="AV40" s="20">
        <f>AV32-AV37</f>
        <v/>
      </c>
      <c r="AW40" s="20">
        <f>AW32-AW37</f>
        <v/>
      </c>
      <c r="AX40" s="20">
        <f>AX32-AX37</f>
        <v/>
      </c>
      <c r="AY40" s="20">
        <f>AY32-AY37</f>
        <v/>
      </c>
      <c r="AZ40" s="20">
        <f>AZ32-AZ37</f>
        <v/>
      </c>
      <c r="BA40" s="20">
        <f>BA32-BA37</f>
        <v/>
      </c>
      <c r="BB40" s="20">
        <f>BB32-BB37</f>
        <v/>
      </c>
      <c r="BC40" s="20">
        <f>BC32-BC37</f>
        <v/>
      </c>
      <c r="BD40" s="27" t="inlineStr"/>
    </row>
    <row r="41">
      <c r="A41" s="41" t="n"/>
      <c r="B41" s="41" t="n"/>
      <c r="C41" s="41" t="n"/>
      <c r="D41" s="41" t="n"/>
      <c r="E41" s="41" t="n"/>
      <c r="F41" s="41" t="n"/>
      <c r="G41" s="41" t="n"/>
      <c r="H41" s="41" t="n"/>
      <c r="I41" s="41" t="n"/>
      <c r="J41" s="41" t="n"/>
      <c r="K41" s="41" t="n"/>
      <c r="L41" s="41" t="n"/>
      <c r="M41" s="41" t="n"/>
      <c r="N41" s="41" t="n"/>
      <c r="O41" s="41" t="n"/>
      <c r="P41" s="41" t="n"/>
      <c r="Q41" s="41" t="n"/>
      <c r="R41" s="35" t="inlineStr">
        <is>
          <t>GP3毛利率(%)</t>
        </is>
      </c>
      <c r="S41" s="62">
        <f>S40/S32</f>
        <v/>
      </c>
      <c r="T41" s="36">
        <f>T40/T32</f>
        <v/>
      </c>
      <c r="U41" s="37">
        <f>U40/U32</f>
        <v/>
      </c>
      <c r="V41" s="36">
        <f>V40/V32</f>
        <v/>
      </c>
      <c r="W41" s="36">
        <f>W40/W32</f>
        <v/>
      </c>
      <c r="X41" s="36">
        <f>X40/X32</f>
        <v/>
      </c>
      <c r="Y41" s="36">
        <f>Y40/Y32</f>
        <v/>
      </c>
      <c r="Z41" s="36">
        <f>Z40/Z32</f>
        <v/>
      </c>
      <c r="AA41" s="36">
        <f>AA40/AA32</f>
        <v/>
      </c>
      <c r="AB41" s="36">
        <f>AB40/AB32</f>
        <v/>
      </c>
      <c r="AC41" s="36">
        <f>AC40/AC32</f>
        <v/>
      </c>
      <c r="AD41" s="36">
        <f>AD40/AD32</f>
        <v/>
      </c>
      <c r="AE41" s="36">
        <f>AE40/AE32</f>
        <v/>
      </c>
      <c r="AF41" s="36">
        <f>AF40/AF32</f>
        <v/>
      </c>
      <c r="AG41" s="36">
        <f>AG40/AG32</f>
        <v/>
      </c>
      <c r="AH41" s="38">
        <f>T41-S41</f>
        <v/>
      </c>
      <c r="AI41" s="38">
        <f>AF41-S41</f>
        <v/>
      </c>
      <c r="AJ41" s="41" t="n"/>
      <c r="AK41" s="41" t="n"/>
      <c r="AL41" s="41" t="n"/>
      <c r="AM41" s="41" t="n"/>
      <c r="AN41" s="41" t="n"/>
      <c r="AO41" s="36">
        <f>AO40/AO32</f>
        <v/>
      </c>
      <c r="AP41" s="36">
        <f>AP40/AP32</f>
        <v/>
      </c>
      <c r="AQ41" s="36">
        <f>AQ40/AQ32</f>
        <v/>
      </c>
      <c r="AR41" s="36">
        <f>AR40/AR32</f>
        <v/>
      </c>
      <c r="AS41" s="36">
        <f>AS40/AS32</f>
        <v/>
      </c>
      <c r="AT41" s="36">
        <f>AT40/AT32</f>
        <v/>
      </c>
      <c r="AU41" s="36">
        <f>AU40/AU32</f>
        <v/>
      </c>
      <c r="AV41" s="36">
        <f>AV40/AV32</f>
        <v/>
      </c>
      <c r="AW41" s="36">
        <f>AW40/AW32</f>
        <v/>
      </c>
      <c r="AX41" s="36">
        <f>AX40/AX32</f>
        <v/>
      </c>
      <c r="AY41" s="36">
        <f>AY40/AY32</f>
        <v/>
      </c>
      <c r="AZ41" s="36">
        <f>AZ40/AZ32</f>
        <v/>
      </c>
      <c r="BA41" s="56" t="n">
        <v>-0.370204357902369</v>
      </c>
      <c r="BB41" s="39" t="n">
        <v>0</v>
      </c>
      <c r="BC41" s="61" t="n">
        <v>0</v>
      </c>
      <c r="BD41" s="27" t="inlineStr"/>
    </row>
    <row r="42">
      <c r="A42" s="42" t="inlineStr">
        <is>
          <t>P202508000162</t>
        </is>
      </c>
      <c r="B42" s="43" t="inlineStr">
        <is>
          <t>农业农村部信息中心-农业信息采集系统2025年度运行维护服务项目-FP运维</t>
        </is>
      </c>
      <c r="C42" s="44" t="n">
        <v>45870</v>
      </c>
      <c r="D42" s="44" t="n">
        <v>46234</v>
      </c>
      <c r="E42" s="15" t="n"/>
      <c r="F42" s="16" t="n">
        <v>5</v>
      </c>
      <c r="G42" s="18" t="n">
        <v>5</v>
      </c>
      <c r="H42" s="18" t="n"/>
      <c r="I42" s="18" t="n"/>
      <c r="J42" s="18" t="n"/>
      <c r="K42" s="18" t="n"/>
      <c r="L42" s="18" t="n"/>
      <c r="M42" s="18" t="n"/>
      <c r="N42" s="18" t="n"/>
      <c r="O42" s="18" t="n"/>
      <c r="P42" s="15" t="n"/>
      <c r="Q42" s="18" t="inlineStr"/>
      <c r="R42" s="47" t="inlineStr">
        <is>
          <t>累计收入（NR）</t>
        </is>
      </c>
      <c r="S42" s="20" t="n">
        <v>1000000</v>
      </c>
      <c r="T42" s="20">
        <f>SUM(AO42:BC42)</f>
        <v/>
      </c>
      <c r="U42" s="21">
        <f>SUM(BA42:BC42)</f>
        <v/>
      </c>
      <c r="V42" s="20">
        <f>SUM(AO42:AZ42)</f>
        <v/>
      </c>
      <c r="W42" s="20">
        <f>SUM(AP42:AZ42)</f>
        <v/>
      </c>
      <c r="X42" s="20">
        <f>SUM(AQ42:AZ42)</f>
        <v/>
      </c>
      <c r="Y42" s="20">
        <f>SUM(AR42:AZ42)</f>
        <v/>
      </c>
      <c r="Z42" s="20">
        <f>SUM(AS42:AZ42)</f>
        <v/>
      </c>
      <c r="AA42" s="20">
        <f>SUM(AT42:AZ42)</f>
        <v/>
      </c>
      <c r="AB42" s="20">
        <f>SUM(AU42:AZ42)</f>
        <v/>
      </c>
      <c r="AC42" s="20">
        <f>SUM(AV42:AZ42)</f>
        <v/>
      </c>
      <c r="AD42" s="20">
        <f>SUM(AW42:AZ42)</f>
        <v/>
      </c>
      <c r="AE42" s="20">
        <f>SUM(AX42:AZ42)</f>
        <v/>
      </c>
      <c r="AF42" s="20">
        <f>SUM(AY42:AZ42)</f>
        <v/>
      </c>
      <c r="AG42" s="20">
        <f>SUM(AZ42:AZ42)</f>
        <v/>
      </c>
      <c r="AH42" s="22" t="n">
        <v>0</v>
      </c>
      <c r="AI42" s="22" t="n">
        <v>0</v>
      </c>
      <c r="AJ42" s="43" t="inlineStr"/>
      <c r="AK42" s="48" t="inlineStr"/>
      <c r="AL42" s="48" t="inlineStr"/>
      <c r="AM42" s="48" t="inlineStr"/>
      <c r="AN42" s="16" t="n"/>
      <c r="AO42" s="20" t="n">
        <v>0</v>
      </c>
      <c r="AP42" s="20" t="n">
        <v>0</v>
      </c>
      <c r="AQ42" s="20" t="n">
        <v>0</v>
      </c>
      <c r="AR42" s="20" t="n">
        <v>0</v>
      </c>
      <c r="AS42" s="20" t="n">
        <v>0</v>
      </c>
      <c r="AT42" s="20" t="n">
        <v>0</v>
      </c>
      <c r="AU42" s="20" t="n">
        <v>0</v>
      </c>
      <c r="AV42" s="20" t="n">
        <v>0</v>
      </c>
      <c r="AW42" s="20" t="n">
        <v>0</v>
      </c>
      <c r="AX42" s="20" t="n">
        <v>84931</v>
      </c>
      <c r="AY42" s="20" t="n">
        <v>76712</v>
      </c>
      <c r="AZ42" s="20" t="n">
        <v>84932</v>
      </c>
      <c r="BA42" s="49" t="n">
        <v>411660</v>
      </c>
      <c r="BB42" s="21" t="n">
        <v>0</v>
      </c>
      <c r="BC42" s="61" t="n">
        <v>0</v>
      </c>
      <c r="BD42" s="27" t="inlineStr"/>
    </row>
    <row r="43">
      <c r="A43" s="28" t="n"/>
      <c r="B43" s="28" t="n"/>
      <c r="C43" s="28" t="n"/>
      <c r="D43" s="28" t="n"/>
      <c r="E43" s="28" t="n"/>
      <c r="F43" s="28" t="n"/>
      <c r="G43" s="28" t="n"/>
      <c r="H43" s="28" t="n"/>
      <c r="I43" s="28" t="n"/>
      <c r="J43" s="28" t="n"/>
      <c r="K43" s="28" t="n"/>
      <c r="L43" s="28" t="n"/>
      <c r="M43" s="28" t="n"/>
      <c r="N43" s="28" t="n"/>
      <c r="O43" s="28" t="n"/>
      <c r="P43" s="28" t="n"/>
      <c r="Q43" s="28" t="n"/>
      <c r="R43" s="29" t="inlineStr">
        <is>
          <t>人工成本（成本１）</t>
        </is>
      </c>
      <c r="S43" s="20" t="n">
        <v>783494.65</v>
      </c>
      <c r="T43" s="20">
        <f>SUM(AO43:BC43)</f>
        <v/>
      </c>
      <c r="U43" s="21">
        <f>SUM(BA43:BC43)</f>
        <v/>
      </c>
      <c r="V43" s="20">
        <f>SUM(AO43:AZ43)</f>
        <v/>
      </c>
      <c r="W43" s="20">
        <f>SUM(AP43:AZ43)</f>
        <v/>
      </c>
      <c r="X43" s="20">
        <f>SUM(AQ43:AZ43)</f>
        <v/>
      </c>
      <c r="Y43" s="20">
        <f>SUM(AR43:AZ43)</f>
        <v/>
      </c>
      <c r="Z43" s="20">
        <f>SUM(AS43:AZ43)</f>
        <v/>
      </c>
      <c r="AA43" s="20">
        <f>SUM(AT43:AZ43)</f>
        <v/>
      </c>
      <c r="AB43" s="20">
        <f>SUM(AU43:AZ43)</f>
        <v/>
      </c>
      <c r="AC43" s="20">
        <f>SUM(AV43:AZ43)</f>
        <v/>
      </c>
      <c r="AD43" s="20">
        <f>SUM(AW43:AZ43)</f>
        <v/>
      </c>
      <c r="AE43" s="20">
        <f>SUM(AX43:AZ43)</f>
        <v/>
      </c>
      <c r="AF43" s="20">
        <f>SUM(AY43:AZ43)</f>
        <v/>
      </c>
      <c r="AG43" s="20">
        <f>SUM(AZ43:AZ43)</f>
        <v/>
      </c>
      <c r="AH43" s="22" t="n">
        <v>0</v>
      </c>
      <c r="AI43" s="22" t="n">
        <v>0</v>
      </c>
      <c r="AJ43" s="28" t="n"/>
      <c r="AK43" s="28" t="n"/>
      <c r="AL43" s="28" t="n"/>
      <c r="AM43" s="28" t="n"/>
      <c r="AN43" s="28" t="n"/>
      <c r="AO43" s="20" t="n">
        <v>0</v>
      </c>
      <c r="AP43" s="20" t="n">
        <v>0</v>
      </c>
      <c r="AQ43" s="20" t="n">
        <v>0</v>
      </c>
      <c r="AR43" s="20" t="n">
        <v>0</v>
      </c>
      <c r="AS43" s="20" t="n">
        <v>0</v>
      </c>
      <c r="AT43" s="20" t="n">
        <v>0</v>
      </c>
      <c r="AU43" s="20" t="n">
        <v>0</v>
      </c>
      <c r="AV43" s="20" t="n">
        <v>0</v>
      </c>
      <c r="AW43" s="20" t="n">
        <v>0</v>
      </c>
      <c r="AX43" s="20" t="n">
        <v>87203.78999999999</v>
      </c>
      <c r="AY43" s="20" t="n">
        <v>87203.78999999999</v>
      </c>
      <c r="AZ43" s="20" t="n">
        <v>66585.86</v>
      </c>
      <c r="BA43" s="49" t="n">
        <v>331483.93</v>
      </c>
      <c r="BB43" s="21" t="n">
        <v>0</v>
      </c>
      <c r="BC43" s="61" t="n">
        <v>0</v>
      </c>
      <c r="BD43" s="27" t="inlineStr"/>
    </row>
    <row r="44">
      <c r="A44" s="28" t="n"/>
      <c r="B44" s="28" t="n"/>
      <c r="C44" s="28" t="n"/>
      <c r="D44" s="28" t="n"/>
      <c r="E44" s="28" t="n"/>
      <c r="F44" s="28" t="n"/>
      <c r="G44" s="28" t="n"/>
      <c r="H44" s="28" t="n"/>
      <c r="I44" s="28" t="n"/>
      <c r="J44" s="28" t="n"/>
      <c r="K44" s="28" t="n"/>
      <c r="L44" s="28" t="n"/>
      <c r="M44" s="28" t="n"/>
      <c r="N44" s="28" t="n"/>
      <c r="O44" s="28" t="n"/>
      <c r="P44" s="28" t="n"/>
      <c r="Q44" s="28" t="n"/>
      <c r="R44" s="29" t="inlineStr">
        <is>
          <t>闲置成本（成本2）</t>
        </is>
      </c>
      <c r="S44" s="20" t="n">
        <v>0</v>
      </c>
      <c r="T44" s="20" t="n">
        <v>0</v>
      </c>
      <c r="U44" s="21" t="n">
        <v>0</v>
      </c>
      <c r="V44" s="20" t="n">
        <v>0</v>
      </c>
      <c r="W44" s="20" t="n">
        <v>0</v>
      </c>
      <c r="X44" s="20" t="n">
        <v>0</v>
      </c>
      <c r="Y44" s="20" t="n">
        <v>0</v>
      </c>
      <c r="Z44" s="20" t="n">
        <v>0</v>
      </c>
      <c r="AA44" s="20" t="n">
        <v>0</v>
      </c>
      <c r="AB44" s="20" t="n">
        <v>0</v>
      </c>
      <c r="AC44" s="20" t="n">
        <v>0</v>
      </c>
      <c r="AD44" s="20" t="n">
        <v>0</v>
      </c>
      <c r="AE44" s="20" t="n">
        <v>0</v>
      </c>
      <c r="AF44" s="20" t="n">
        <v>0</v>
      </c>
      <c r="AG44" s="20" t="n">
        <v>0</v>
      </c>
      <c r="AH44" s="22" t="n">
        <v>0</v>
      </c>
      <c r="AI44" s="22" t="n">
        <v>0</v>
      </c>
      <c r="AJ44" s="28" t="n"/>
      <c r="AK44" s="28" t="n"/>
      <c r="AL44" s="28" t="n"/>
      <c r="AM44" s="28" t="n"/>
      <c r="AN44" s="28" t="n"/>
      <c r="AO44" s="20" t="n">
        <v>0</v>
      </c>
      <c r="AP44" s="20" t="n">
        <v>0</v>
      </c>
      <c r="AQ44" s="20" t="n">
        <v>0</v>
      </c>
      <c r="AR44" s="20" t="n">
        <v>0</v>
      </c>
      <c r="AS44" s="20" t="n">
        <v>0</v>
      </c>
      <c r="AT44" s="20" t="n">
        <v>0</v>
      </c>
      <c r="AU44" s="20" t="n">
        <v>0</v>
      </c>
      <c r="AV44" s="20" t="n">
        <v>0</v>
      </c>
      <c r="AW44" s="20" t="n">
        <v>0</v>
      </c>
      <c r="AX44" s="20" t="n">
        <v>0</v>
      </c>
      <c r="AY44" s="20" t="n">
        <v>0</v>
      </c>
      <c r="AZ44" s="20" t="n">
        <v>0</v>
      </c>
      <c r="BA44" s="49" t="n">
        <v>0</v>
      </c>
      <c r="BB44" s="21" t="n">
        <v>0</v>
      </c>
      <c r="BC44" s="61" t="n">
        <v>0</v>
      </c>
      <c r="BD44" s="27" t="inlineStr"/>
    </row>
    <row r="45">
      <c r="A45" s="28" t="n"/>
      <c r="B45" s="28" t="n"/>
      <c r="C45" s="28" t="n"/>
      <c r="D45" s="28" t="n"/>
      <c r="E45" s="28" t="n"/>
      <c r="F45" s="28" t="n"/>
      <c r="G45" s="28" t="n"/>
      <c r="H45" s="28" t="n"/>
      <c r="I45" s="28" t="n"/>
      <c r="J45" s="28" t="n"/>
      <c r="K45" s="28" t="n"/>
      <c r="L45" s="28" t="n"/>
      <c r="M45" s="28" t="n"/>
      <c r="N45" s="28" t="n"/>
      <c r="O45" s="28" t="n"/>
      <c r="P45" s="28" t="n"/>
      <c r="Q45" s="28" t="n"/>
      <c r="R45" s="29" t="inlineStr">
        <is>
          <t>差旅费（成本３）</t>
        </is>
      </c>
      <c r="S45" s="20" t="n">
        <v>25000</v>
      </c>
      <c r="T45" s="20">
        <f>SUM(AO45:BC45)</f>
        <v/>
      </c>
      <c r="U45" s="21">
        <f>SUM(BA45:BC45)</f>
        <v/>
      </c>
      <c r="V45" s="20">
        <f>SUM(AO45:AZ45)</f>
        <v/>
      </c>
      <c r="W45" s="20">
        <f>SUM(AP45:AZ45)</f>
        <v/>
      </c>
      <c r="X45" s="20">
        <f>SUM(AQ45:AZ45)</f>
        <v/>
      </c>
      <c r="Y45" s="20">
        <f>SUM(AR45:AZ45)</f>
        <v/>
      </c>
      <c r="Z45" s="20">
        <f>SUM(AS45:AZ45)</f>
        <v/>
      </c>
      <c r="AA45" s="20">
        <f>SUM(AT45:AZ45)</f>
        <v/>
      </c>
      <c r="AB45" s="20">
        <f>SUM(AU45:AZ45)</f>
        <v/>
      </c>
      <c r="AC45" s="20">
        <f>SUM(AV45:AZ45)</f>
        <v/>
      </c>
      <c r="AD45" s="20">
        <f>SUM(AW45:AZ45)</f>
        <v/>
      </c>
      <c r="AE45" s="20">
        <f>SUM(AX45:AZ45)</f>
        <v/>
      </c>
      <c r="AF45" s="20">
        <f>SUM(AY45:AZ45)</f>
        <v/>
      </c>
      <c r="AG45" s="20">
        <f>SUM(AZ45:AZ45)</f>
        <v/>
      </c>
      <c r="AH45" s="22" t="n">
        <v>0</v>
      </c>
      <c r="AI45" s="22" t="n">
        <v>0</v>
      </c>
      <c r="AJ45" s="28" t="n"/>
      <c r="AK45" s="28" t="n"/>
      <c r="AL45" s="28" t="n"/>
      <c r="AM45" s="28" t="n"/>
      <c r="AN45" s="28" t="n"/>
      <c r="AO45" s="20" t="n">
        <v>0</v>
      </c>
      <c r="AP45" s="20" t="n">
        <v>0</v>
      </c>
      <c r="AQ45" s="20" t="n">
        <v>0</v>
      </c>
      <c r="AR45" s="20" t="n">
        <v>0</v>
      </c>
      <c r="AS45" s="20" t="n">
        <v>0</v>
      </c>
      <c r="AT45" s="20" t="n">
        <v>0</v>
      </c>
      <c r="AU45" s="20" t="n">
        <v>0</v>
      </c>
      <c r="AV45" s="20" t="n">
        <v>0</v>
      </c>
      <c r="AW45" s="20" t="n">
        <v>0</v>
      </c>
      <c r="AX45" s="20" t="n">
        <v>0</v>
      </c>
      <c r="AY45" s="20" t="n">
        <v>0</v>
      </c>
      <c r="AZ45" s="20" t="n">
        <v>0</v>
      </c>
      <c r="BA45" s="49" t="n">
        <v>0</v>
      </c>
      <c r="BB45" s="21" t="n">
        <v>0</v>
      </c>
      <c r="BC45" s="61" t="n">
        <v>0</v>
      </c>
      <c r="BD45" s="27" t="inlineStr"/>
    </row>
    <row r="46">
      <c r="A46" s="28" t="n"/>
      <c r="B46" s="28" t="n"/>
      <c r="C46" s="28" t="n"/>
      <c r="D46" s="28" t="n"/>
      <c r="E46" s="28" t="n"/>
      <c r="F46" s="28" t="n"/>
      <c r="G46" s="28" t="n"/>
      <c r="H46" s="28" t="n"/>
      <c r="I46" s="28" t="n"/>
      <c r="J46" s="28" t="n"/>
      <c r="K46" s="28" t="n"/>
      <c r="L46" s="28" t="n"/>
      <c r="M46" s="28" t="n"/>
      <c r="N46" s="28" t="n"/>
      <c r="O46" s="28" t="n"/>
      <c r="P46" s="28" t="n"/>
      <c r="Q46" s="28" t="n"/>
      <c r="R46" s="29" t="inlineStr">
        <is>
          <t>其他成本（成本３）</t>
        </is>
      </c>
      <c r="S46" s="20" t="n">
        <v>35000</v>
      </c>
      <c r="T46" s="20">
        <f>SUM(AO46:BC46)</f>
        <v/>
      </c>
      <c r="U46" s="21">
        <f>SUM(BA46:BC46)</f>
        <v/>
      </c>
      <c r="V46" s="20">
        <f>SUM(AO46:AZ46)</f>
        <v/>
      </c>
      <c r="W46" s="20">
        <f>SUM(AP46:AZ46)</f>
        <v/>
      </c>
      <c r="X46" s="20">
        <f>SUM(AQ46:AZ46)</f>
        <v/>
      </c>
      <c r="Y46" s="20">
        <f>SUM(AR46:AZ46)</f>
        <v/>
      </c>
      <c r="Z46" s="20">
        <f>SUM(AS46:AZ46)</f>
        <v/>
      </c>
      <c r="AA46" s="20">
        <f>SUM(AT46:AZ46)</f>
        <v/>
      </c>
      <c r="AB46" s="20">
        <f>SUM(AU46:AZ46)</f>
        <v/>
      </c>
      <c r="AC46" s="20">
        <f>SUM(AV46:AZ46)</f>
        <v/>
      </c>
      <c r="AD46" s="20">
        <f>SUM(AW46:AZ46)</f>
        <v/>
      </c>
      <c r="AE46" s="20">
        <f>SUM(AX46:AZ46)</f>
        <v/>
      </c>
      <c r="AF46" s="20">
        <f>SUM(AY46:AZ46)</f>
        <v/>
      </c>
      <c r="AG46" s="20">
        <f>SUM(AZ46:AZ46)</f>
        <v/>
      </c>
      <c r="AH46" s="22" t="n">
        <v>0</v>
      </c>
      <c r="AI46" s="22" t="n">
        <v>0</v>
      </c>
      <c r="AJ46" s="28" t="n"/>
      <c r="AK46" s="28" t="n"/>
      <c r="AL46" s="28" t="n"/>
      <c r="AM46" s="28" t="n"/>
      <c r="AN46" s="28" t="n"/>
      <c r="AO46" s="20" t="n">
        <v>0</v>
      </c>
      <c r="AP46" s="20" t="n">
        <v>0</v>
      </c>
      <c r="AQ46" s="20" t="n">
        <v>0</v>
      </c>
      <c r="AR46" s="20" t="n">
        <v>0</v>
      </c>
      <c r="AS46" s="20" t="n">
        <v>0</v>
      </c>
      <c r="AT46" s="20" t="n">
        <v>0</v>
      </c>
      <c r="AU46" s="20" t="n">
        <v>0</v>
      </c>
      <c r="AV46" s="20" t="n">
        <v>0</v>
      </c>
      <c r="AW46" s="20" t="n">
        <v>0</v>
      </c>
      <c r="AX46" s="20" t="n">
        <v>-334.25</v>
      </c>
      <c r="AY46" s="20" t="n">
        <v>-419.18</v>
      </c>
      <c r="AZ46" s="20" t="n">
        <v>-495.89</v>
      </c>
      <c r="BA46" s="49" t="n">
        <v>-3142.47</v>
      </c>
      <c r="BB46" s="21" t="n">
        <v>0</v>
      </c>
      <c r="BC46" s="61" t="n">
        <v>0</v>
      </c>
      <c r="BD46" s="27" t="inlineStr"/>
    </row>
    <row r="47">
      <c r="A47" s="28" t="n"/>
      <c r="B47" s="28" t="n"/>
      <c r="C47" s="28" t="n"/>
      <c r="D47" s="28" t="n"/>
      <c r="E47" s="28" t="n"/>
      <c r="F47" s="28" t="n"/>
      <c r="G47" s="28" t="n"/>
      <c r="H47" s="28" t="n"/>
      <c r="I47" s="28" t="n"/>
      <c r="J47" s="28" t="n"/>
      <c r="K47" s="28" t="n"/>
      <c r="L47" s="28" t="n"/>
      <c r="M47" s="28" t="n"/>
      <c r="N47" s="28" t="n"/>
      <c r="O47" s="28" t="n"/>
      <c r="P47" s="28" t="n"/>
      <c r="Q47" s="28" t="n"/>
      <c r="R47" s="29" t="inlineStr">
        <is>
          <t>累计成本</t>
        </is>
      </c>
      <c r="S47" s="30">
        <f>SUM(S43:S46)</f>
        <v/>
      </c>
      <c r="T47" s="30">
        <f>SUM(T43:T46)</f>
        <v/>
      </c>
      <c r="U47" s="31">
        <f>SUM(U43:U46)</f>
        <v/>
      </c>
      <c r="V47" s="30">
        <f>SUM(V43:V46)</f>
        <v/>
      </c>
      <c r="W47" s="30">
        <f>SUM(W43:W46)</f>
        <v/>
      </c>
      <c r="X47" s="30">
        <f>SUM(X43:X46)</f>
        <v/>
      </c>
      <c r="Y47" s="30">
        <f>SUM(Y43:Y46)</f>
        <v/>
      </c>
      <c r="Z47" s="30">
        <f>SUM(Z43:Z46)</f>
        <v/>
      </c>
      <c r="AA47" s="30">
        <f>SUM(AA43:AA46)</f>
        <v/>
      </c>
      <c r="AB47" s="30">
        <f>SUM(AB43:AB46)</f>
        <v/>
      </c>
      <c r="AC47" s="30">
        <f>SUM(AC43:AC46)</f>
        <v/>
      </c>
      <c r="AD47" s="30">
        <f>SUM(AD43:AD46)</f>
        <v/>
      </c>
      <c r="AE47" s="30">
        <f>SUM(AE43:AE46)</f>
        <v/>
      </c>
      <c r="AF47" s="30">
        <f>SUM(AF43:AF46)</f>
        <v/>
      </c>
      <c r="AG47" s="30">
        <f>SUM(AG43:AG46)</f>
        <v/>
      </c>
      <c r="AH47" s="30">
        <f>SUM(AH43:AH46)</f>
        <v/>
      </c>
      <c r="AI47" s="30">
        <f>SUM(AI43:AI46)</f>
        <v/>
      </c>
      <c r="AJ47" s="28" t="n"/>
      <c r="AK47" s="28" t="n"/>
      <c r="AL47" s="28" t="n"/>
      <c r="AM47" s="28" t="n"/>
      <c r="AN47" s="28" t="n"/>
      <c r="AO47" s="30">
        <f>SUM(AO43:AO46)</f>
        <v/>
      </c>
      <c r="AP47" s="30">
        <f>SUM(AP43:AP46)</f>
        <v/>
      </c>
      <c r="AQ47" s="30">
        <f>SUM(AQ43:AQ46)</f>
        <v/>
      </c>
      <c r="AR47" s="30">
        <f>SUM(AR43:AR46)</f>
        <v/>
      </c>
      <c r="AS47" s="30">
        <f>SUM(AS43:AS46)</f>
        <v/>
      </c>
      <c r="AT47" s="30">
        <f>SUM(AT43:AT46)</f>
        <v/>
      </c>
      <c r="AU47" s="30">
        <f>SUM(AU43:AU46)</f>
        <v/>
      </c>
      <c r="AV47" s="30">
        <f>SUM(AV43:AV46)</f>
        <v/>
      </c>
      <c r="AW47" s="30">
        <f>SUM(AW43:AW46)</f>
        <v/>
      </c>
      <c r="AX47" s="30">
        <f>SUM(AX43:AX46)</f>
        <v/>
      </c>
      <c r="AY47" s="30" t="n">
        <v>86784.61</v>
      </c>
      <c r="AZ47" s="30">
        <f>SUM(AZ43:AZ46)</f>
        <v/>
      </c>
      <c r="BA47" s="53" t="n">
        <v>328341.46</v>
      </c>
      <c r="BB47" s="31">
        <f>SUM(BB43:BB46)</f>
        <v/>
      </c>
      <c r="BC47" s="54">
        <f>SUM(BC43:BC46)</f>
        <v/>
      </c>
      <c r="BD47" s="32" t="inlineStr"/>
    </row>
    <row r="48">
      <c r="A48" s="28" t="n"/>
      <c r="B48" s="28" t="n"/>
      <c r="C48" s="28" t="n"/>
      <c r="D48" s="28" t="n"/>
      <c r="E48" s="28" t="n"/>
      <c r="F48" s="28" t="n"/>
      <c r="G48" s="28" t="n"/>
      <c r="H48" s="28" t="n"/>
      <c r="I48" s="28" t="n"/>
      <c r="J48" s="28" t="n"/>
      <c r="K48" s="28" t="n"/>
      <c r="L48" s="28" t="n"/>
      <c r="M48" s="28" t="n"/>
      <c r="N48" s="28" t="n"/>
      <c r="O48" s="28" t="n"/>
      <c r="P48" s="28" t="n"/>
      <c r="Q48" s="28" t="n"/>
      <c r="R48" s="29" t="inlineStr">
        <is>
          <t>GP1毛利</t>
        </is>
      </c>
      <c r="S48" s="20">
        <f>S42-S43</f>
        <v/>
      </c>
      <c r="T48" s="20">
        <f>T42-T43</f>
        <v/>
      </c>
      <c r="U48" s="21">
        <f>U42-U43</f>
        <v/>
      </c>
      <c r="V48" s="20">
        <f>V42-V43</f>
        <v/>
      </c>
      <c r="W48" s="20">
        <f>W42-W43</f>
        <v/>
      </c>
      <c r="X48" s="20">
        <f>X42-X43</f>
        <v/>
      </c>
      <c r="Y48" s="20">
        <f>Y42-Y43</f>
        <v/>
      </c>
      <c r="Z48" s="20">
        <f>Z42-Z43</f>
        <v/>
      </c>
      <c r="AA48" s="20">
        <f>AA42-AA43</f>
        <v/>
      </c>
      <c r="AB48" s="20">
        <f>AB42-AB43</f>
        <v/>
      </c>
      <c r="AC48" s="20">
        <f>AC42-AC43</f>
        <v/>
      </c>
      <c r="AD48" s="20">
        <f>AD42-AD43</f>
        <v/>
      </c>
      <c r="AE48" s="20">
        <f>AE42-AE43</f>
        <v/>
      </c>
      <c r="AF48" s="20">
        <f>AF42-AF43</f>
        <v/>
      </c>
      <c r="AG48" s="20">
        <f>AG42-AG43</f>
        <v/>
      </c>
      <c r="AH48" s="33" t="n">
        <v>0</v>
      </c>
      <c r="AI48" s="33" t="n">
        <v>0</v>
      </c>
      <c r="AJ48" s="28" t="n"/>
      <c r="AK48" s="28" t="n"/>
      <c r="AL48" s="28" t="n"/>
      <c r="AM48" s="28" t="n"/>
      <c r="AN48" s="28" t="n"/>
      <c r="AO48" s="20">
        <f>AO42-AO43</f>
        <v/>
      </c>
      <c r="AP48" s="20">
        <f>AP42-AP43</f>
        <v/>
      </c>
      <c r="AQ48" s="20">
        <f>AQ42-AQ43</f>
        <v/>
      </c>
      <c r="AR48" s="20">
        <f>AR42-AR43</f>
        <v/>
      </c>
      <c r="AS48" s="20">
        <f>AS42-AS43</f>
        <v/>
      </c>
      <c r="AT48" s="20">
        <f>AT42-AT43</f>
        <v/>
      </c>
      <c r="AU48" s="20">
        <f>AU42-AU43</f>
        <v/>
      </c>
      <c r="AV48" s="20">
        <f>AV42-AV43</f>
        <v/>
      </c>
      <c r="AW48" s="20">
        <f>AW42-AW43</f>
        <v/>
      </c>
      <c r="AX48" s="20">
        <f>AX42-AX43</f>
        <v/>
      </c>
      <c r="AY48" s="20">
        <f>AY42-AY43</f>
        <v/>
      </c>
      <c r="AZ48" s="20">
        <f>AZ42-AZ43</f>
        <v/>
      </c>
      <c r="BA48" s="55" t="n">
        <v>80176.07000000001</v>
      </c>
      <c r="BB48" s="31" t="n">
        <v>0</v>
      </c>
      <c r="BC48" s="61" t="n">
        <v>0</v>
      </c>
      <c r="BD48" s="27" t="inlineStr"/>
    </row>
    <row r="49">
      <c r="A49" s="28" t="n"/>
      <c r="B49" s="28" t="n"/>
      <c r="C49" s="28" t="n"/>
      <c r="D49" s="28" t="n"/>
      <c r="E49" s="28" t="n"/>
      <c r="F49" s="28" t="n"/>
      <c r="G49" s="28" t="n"/>
      <c r="H49" s="28" t="n"/>
      <c r="I49" s="28" t="n"/>
      <c r="J49" s="28" t="n"/>
      <c r="K49" s="28" t="n"/>
      <c r="L49" s="28" t="n"/>
      <c r="M49" s="28" t="n"/>
      <c r="N49" s="28" t="n"/>
      <c r="O49" s="28" t="n"/>
      <c r="P49" s="28" t="n"/>
      <c r="Q49" s="28" t="n"/>
      <c r="R49" s="35" t="inlineStr">
        <is>
          <t>GP1毛利率(%)</t>
        </is>
      </c>
      <c r="S49" s="36">
        <f>S48/S42</f>
        <v/>
      </c>
      <c r="T49" s="36">
        <f>T48/T42</f>
        <v/>
      </c>
      <c r="U49" s="37">
        <f>U48/U42</f>
        <v/>
      </c>
      <c r="V49" s="36">
        <f>V48/V42</f>
        <v/>
      </c>
      <c r="W49" s="36">
        <f>W48/W42</f>
        <v/>
      </c>
      <c r="X49" s="36">
        <f>X48/X42</f>
        <v/>
      </c>
      <c r="Y49" s="36">
        <f>Y48/Y42</f>
        <v/>
      </c>
      <c r="Z49" s="36">
        <f>Z48/Z42</f>
        <v/>
      </c>
      <c r="AA49" s="36">
        <f>AA48/AA42</f>
        <v/>
      </c>
      <c r="AB49" s="36">
        <f>AB48/AB42</f>
        <v/>
      </c>
      <c r="AC49" s="36">
        <f>AC48/AC42</f>
        <v/>
      </c>
      <c r="AD49" s="36">
        <f>AD48/AD42</f>
        <v/>
      </c>
      <c r="AE49" s="36">
        <f>AE48/AE42</f>
        <v/>
      </c>
      <c r="AF49" s="36">
        <f>AF48/AF42</f>
        <v/>
      </c>
      <c r="AG49" s="36">
        <f>AG48/AG42</f>
        <v/>
      </c>
      <c r="AH49" s="38">
        <f>T49-S49</f>
        <v/>
      </c>
      <c r="AI49" s="38">
        <f>AF49-S49</f>
        <v/>
      </c>
      <c r="AJ49" s="28" t="n"/>
      <c r="AK49" s="28" t="n"/>
      <c r="AL49" s="28" t="n"/>
      <c r="AM49" s="28" t="n"/>
      <c r="AN49" s="28" t="n"/>
      <c r="AO49" s="36">
        <f>AO48/AO42</f>
        <v/>
      </c>
      <c r="AP49" s="36">
        <f>AP48/AP42</f>
        <v/>
      </c>
      <c r="AQ49" s="36">
        <f>AQ48/AQ42</f>
        <v/>
      </c>
      <c r="AR49" s="36">
        <f>AR48/AR42</f>
        <v/>
      </c>
      <c r="AS49" s="36">
        <f>AS48/AS42</f>
        <v/>
      </c>
      <c r="AT49" s="36">
        <f>AT48/AT42</f>
        <v/>
      </c>
      <c r="AU49" s="36">
        <f>AU48/AU42</f>
        <v/>
      </c>
      <c r="AV49" s="36">
        <f>AV48/AV42</f>
        <v/>
      </c>
      <c r="AW49" s="36">
        <f>AW48/AW42</f>
        <v/>
      </c>
      <c r="AX49" s="36">
        <f>AX48/AX42</f>
        <v/>
      </c>
      <c r="AY49" s="36">
        <f>AY48/AY42</f>
        <v/>
      </c>
      <c r="AZ49" s="36">
        <f>AZ48/AZ42</f>
        <v/>
      </c>
      <c r="BA49" s="56" t="n">
        <v>0.194762838264587</v>
      </c>
      <c r="BB49" s="39" t="n">
        <v>0</v>
      </c>
      <c r="BC49" s="61" t="n">
        <v>0</v>
      </c>
      <c r="BD49" s="27" t="inlineStr"/>
    </row>
    <row r="50">
      <c r="A50" s="28" t="n"/>
      <c r="B50" s="28" t="n"/>
      <c r="C50" s="28" t="n"/>
      <c r="D50" s="28" t="n"/>
      <c r="E50" s="28" t="n"/>
      <c r="F50" s="28" t="n"/>
      <c r="G50" s="28" t="n"/>
      <c r="H50" s="28" t="n"/>
      <c r="I50" s="28" t="n"/>
      <c r="J50" s="28" t="n"/>
      <c r="K50" s="28" t="n"/>
      <c r="L50" s="28" t="n"/>
      <c r="M50" s="28" t="n"/>
      <c r="N50" s="28" t="n"/>
      <c r="O50" s="28" t="n"/>
      <c r="P50" s="28" t="n"/>
      <c r="Q50" s="28" t="n"/>
      <c r="R50" s="29" t="inlineStr">
        <is>
          <t>GP3毛利</t>
        </is>
      </c>
      <c r="S50" s="20">
        <f>S42-S47</f>
        <v/>
      </c>
      <c r="T50" s="20">
        <f>T42-T47</f>
        <v/>
      </c>
      <c r="U50" s="20">
        <f>U42-U47</f>
        <v/>
      </c>
      <c r="V50" s="20">
        <f>V42-V47</f>
        <v/>
      </c>
      <c r="W50" s="20">
        <f>W42-W47</f>
        <v/>
      </c>
      <c r="X50" s="20">
        <f>X42-X47</f>
        <v/>
      </c>
      <c r="Y50" s="20">
        <f>Y42-Y47</f>
        <v/>
      </c>
      <c r="Z50" s="20">
        <f>Z42-Z47</f>
        <v/>
      </c>
      <c r="AA50" s="20">
        <f>AA42-AA47</f>
        <v/>
      </c>
      <c r="AB50" s="20">
        <f>AB42-AB47</f>
        <v/>
      </c>
      <c r="AC50" s="20">
        <f>AC42-AC47</f>
        <v/>
      </c>
      <c r="AD50" s="20">
        <f>AD42-AD47</f>
        <v/>
      </c>
      <c r="AE50" s="20">
        <f>AE42-AE47</f>
        <v/>
      </c>
      <c r="AF50" s="20">
        <f>AF42-AF47</f>
        <v/>
      </c>
      <c r="AG50" s="20">
        <f>AG42-AG47</f>
        <v/>
      </c>
      <c r="AH50" s="38" t="n">
        <v>0</v>
      </c>
      <c r="AI50" s="38" t="n">
        <v>0</v>
      </c>
      <c r="AJ50" s="28" t="n"/>
      <c r="AK50" s="28" t="n"/>
      <c r="AL50" s="28" t="n"/>
      <c r="AM50" s="28" t="n"/>
      <c r="AN50" s="28" t="n"/>
      <c r="AO50" s="20">
        <f>AO42-AO47</f>
        <v/>
      </c>
      <c r="AP50" s="20">
        <f>AP42-AP47</f>
        <v/>
      </c>
      <c r="AQ50" s="20">
        <f>AQ42-AQ47</f>
        <v/>
      </c>
      <c r="AR50" s="20">
        <f>AR42-AR47</f>
        <v/>
      </c>
      <c r="AS50" s="20">
        <f>AS42-AS47</f>
        <v/>
      </c>
      <c r="AT50" s="20">
        <f>AT42-AT47</f>
        <v/>
      </c>
      <c r="AU50" s="20">
        <f>AU42-AU47</f>
        <v/>
      </c>
      <c r="AV50" s="20">
        <f>AV42-AV47</f>
        <v/>
      </c>
      <c r="AW50" s="20">
        <f>AW42-AW47</f>
        <v/>
      </c>
      <c r="AX50" s="20">
        <f>AX42-AX47</f>
        <v/>
      </c>
      <c r="AY50" s="20">
        <f>AY42-AY47</f>
        <v/>
      </c>
      <c r="AZ50" s="20">
        <f>AZ42-AZ47</f>
        <v/>
      </c>
      <c r="BA50" s="20">
        <f>BA42-BA47</f>
        <v/>
      </c>
      <c r="BB50" s="20">
        <f>BB42-BB47</f>
        <v/>
      </c>
      <c r="BC50" s="20">
        <f>BC42-BC47</f>
        <v/>
      </c>
      <c r="BD50" s="27" t="inlineStr"/>
    </row>
    <row r="51">
      <c r="A51" s="41" t="n"/>
      <c r="B51" s="41" t="n"/>
      <c r="C51" s="41" t="n"/>
      <c r="D51" s="41" t="n"/>
      <c r="E51" s="41" t="n"/>
      <c r="F51" s="41" t="n"/>
      <c r="G51" s="41" t="n"/>
      <c r="H51" s="41" t="n"/>
      <c r="I51" s="41" t="n"/>
      <c r="J51" s="41" t="n"/>
      <c r="K51" s="41" t="n"/>
      <c r="L51" s="41" t="n"/>
      <c r="M51" s="41" t="n"/>
      <c r="N51" s="41" t="n"/>
      <c r="O51" s="41" t="n"/>
      <c r="P51" s="41" t="n"/>
      <c r="Q51" s="41" t="n"/>
      <c r="R51" s="35" t="inlineStr">
        <is>
          <t>GP3毛利率(%)</t>
        </is>
      </c>
      <c r="S51" s="36">
        <f>S50/S42</f>
        <v/>
      </c>
      <c r="T51" s="36">
        <f>T50/T42</f>
        <v/>
      </c>
      <c r="U51" s="37">
        <f>U50/U42</f>
        <v/>
      </c>
      <c r="V51" s="36">
        <f>V50/V42</f>
        <v/>
      </c>
      <c r="W51" s="36">
        <f>W50/W42</f>
        <v/>
      </c>
      <c r="X51" s="36">
        <f>X50/X42</f>
        <v/>
      </c>
      <c r="Y51" s="36">
        <f>Y50/Y42</f>
        <v/>
      </c>
      <c r="Z51" s="36">
        <f>Z50/Z42</f>
        <v/>
      </c>
      <c r="AA51" s="36">
        <f>AA50/AA42</f>
        <v/>
      </c>
      <c r="AB51" s="36">
        <f>AB50/AB42</f>
        <v/>
      </c>
      <c r="AC51" s="36">
        <f>AC50/AC42</f>
        <v/>
      </c>
      <c r="AD51" s="36">
        <f>AD50/AD42</f>
        <v/>
      </c>
      <c r="AE51" s="36">
        <f>AE50/AE42</f>
        <v/>
      </c>
      <c r="AF51" s="36">
        <f>AF50/AF42</f>
        <v/>
      </c>
      <c r="AG51" s="36">
        <f>AG50/AG42</f>
        <v/>
      </c>
      <c r="AH51" s="38">
        <f>T51-S51</f>
        <v/>
      </c>
      <c r="AI51" s="38">
        <f>AF51-S51</f>
        <v/>
      </c>
      <c r="AJ51" s="41" t="n"/>
      <c r="AK51" s="41" t="n"/>
      <c r="AL51" s="41" t="n"/>
      <c r="AM51" s="41" t="n"/>
      <c r="AN51" s="41" t="n"/>
      <c r="AO51" s="36">
        <f>AO50/AO42</f>
        <v/>
      </c>
      <c r="AP51" s="36">
        <f>AP50/AP42</f>
        <v/>
      </c>
      <c r="AQ51" s="36">
        <f>AQ50/AQ42</f>
        <v/>
      </c>
      <c r="AR51" s="36">
        <f>AR50/AR42</f>
        <v/>
      </c>
      <c r="AS51" s="36">
        <f>AS50/AS42</f>
        <v/>
      </c>
      <c r="AT51" s="36">
        <f>AT50/AT42</f>
        <v/>
      </c>
      <c r="AU51" s="36">
        <f>AU50/AU42</f>
        <v/>
      </c>
      <c r="AV51" s="36">
        <f>AV50/AV42</f>
        <v/>
      </c>
      <c r="AW51" s="36">
        <f>AW50/AW42</f>
        <v/>
      </c>
      <c r="AX51" s="36">
        <f>AX50/AX42</f>
        <v/>
      </c>
      <c r="AY51" s="36">
        <f>AY50/AY42</f>
        <v/>
      </c>
      <c r="AZ51" s="36">
        <f>AZ50/AZ42</f>
        <v/>
      </c>
      <c r="BA51" s="56" t="n">
        <v>0.202396492250887</v>
      </c>
      <c r="BB51" s="39" t="n">
        <v>0</v>
      </c>
      <c r="BC51" s="61" t="n">
        <v>0</v>
      </c>
      <c r="BD51" s="27" t="inlineStr"/>
    </row>
    <row r="52">
      <c r="A52" s="42" t="inlineStr">
        <is>
          <t>P202509000658</t>
        </is>
      </c>
      <c r="B52" s="43" t="inlineStr">
        <is>
          <t>全国畜牧总站-2025年农生物育种大数据与知识产权支撑体系建设联合实施4-FP项目（有分包）</t>
        </is>
      </c>
      <c r="C52" s="44" t="n">
        <v>45809</v>
      </c>
      <c r="D52" s="44" t="n">
        <v>46173</v>
      </c>
      <c r="E52" s="15" t="n"/>
      <c r="F52" s="16" t="n">
        <v>0.75</v>
      </c>
      <c r="G52" s="18" t="n">
        <v>0.5</v>
      </c>
      <c r="H52" s="18" t="n"/>
      <c r="I52" s="18" t="n"/>
      <c r="J52" s="18" t="n"/>
      <c r="K52" s="18" t="n"/>
      <c r="L52" s="18" t="n"/>
      <c r="M52" s="18" t="n"/>
      <c r="N52" s="18" t="n"/>
      <c r="O52" s="18" t="n"/>
      <c r="P52" s="15" t="n"/>
      <c r="Q52" s="18" t="inlineStr"/>
      <c r="R52" s="47" t="inlineStr">
        <is>
          <t>累计收入（NR）</t>
        </is>
      </c>
      <c r="S52" s="20" t="n">
        <v>435000</v>
      </c>
      <c r="T52" s="20">
        <f>SUM(AO52:BC52)</f>
        <v/>
      </c>
      <c r="U52" s="21">
        <f>SUM(BA52:BC52)</f>
        <v/>
      </c>
      <c r="V52" s="20">
        <f>SUM(AO52:AZ52)</f>
        <v/>
      </c>
      <c r="W52" s="20">
        <f>SUM(AP52:AZ52)</f>
        <v/>
      </c>
      <c r="X52" s="20">
        <f>SUM(AQ52:AZ52)</f>
        <v/>
      </c>
      <c r="Y52" s="20">
        <f>SUM(AR52:AZ52)</f>
        <v/>
      </c>
      <c r="Z52" s="20">
        <f>SUM(AS52:AZ52)</f>
        <v/>
      </c>
      <c r="AA52" s="20">
        <f>SUM(AT52:AZ52)</f>
        <v/>
      </c>
      <c r="AB52" s="20">
        <f>SUM(AU52:AZ52)</f>
        <v/>
      </c>
      <c r="AC52" s="20">
        <f>SUM(AV52:AZ52)</f>
        <v/>
      </c>
      <c r="AD52" s="20">
        <f>SUM(AW52:AZ52)</f>
        <v/>
      </c>
      <c r="AE52" s="20">
        <f>SUM(AX52:AZ52)</f>
        <v/>
      </c>
      <c r="AF52" s="20">
        <f>SUM(AY52:AZ52)</f>
        <v/>
      </c>
      <c r="AG52" s="20">
        <f>SUM(AZ52:AZ52)</f>
        <v/>
      </c>
      <c r="AH52" s="22" t="n">
        <v>0</v>
      </c>
      <c r="AI52" s="22" t="n">
        <v>0</v>
      </c>
      <c r="AJ52" s="43" t="inlineStr"/>
      <c r="AK52" s="48" t="inlineStr">
        <is>
          <t>农业科研项目，12月成本13.76万，超出当月NR 2.9万，导致亏损</t>
        </is>
      </c>
      <c r="AL52" s="43" t="inlineStr">
        <is>
          <t>d</t>
        </is>
      </c>
      <c r="AM52" s="48" t="inlineStr"/>
      <c r="AN52" s="16" t="n"/>
      <c r="AO52" s="20" t="n">
        <v>0</v>
      </c>
      <c r="AP52" s="20" t="n">
        <v>0</v>
      </c>
      <c r="AQ52" s="20" t="n">
        <v>0</v>
      </c>
      <c r="AR52" s="20" t="n">
        <v>0</v>
      </c>
      <c r="AS52" s="20" t="n">
        <v>0</v>
      </c>
      <c r="AT52" s="20" t="n">
        <v>0</v>
      </c>
      <c r="AU52" s="20" t="n">
        <v>0</v>
      </c>
      <c r="AV52" s="20" t="n">
        <v>0</v>
      </c>
      <c r="AW52" s="20" t="n">
        <v>0</v>
      </c>
      <c r="AX52" s="20" t="n">
        <v>0</v>
      </c>
      <c r="AY52" s="20" t="n">
        <v>0</v>
      </c>
      <c r="AZ52" s="20" t="n">
        <v>0</v>
      </c>
      <c r="BA52" s="49" t="n">
        <v>435000</v>
      </c>
      <c r="BB52" s="21" t="n">
        <v>0</v>
      </c>
      <c r="BC52" s="61" t="n">
        <v>0</v>
      </c>
      <c r="BD52" s="27" t="inlineStr"/>
    </row>
    <row r="53">
      <c r="A53" s="28" t="n"/>
      <c r="B53" s="28" t="n"/>
      <c r="C53" s="28" t="n"/>
      <c r="D53" s="28" t="n"/>
      <c r="E53" s="28" t="n"/>
      <c r="F53" s="28" t="n"/>
      <c r="G53" s="28" t="n"/>
      <c r="H53" s="28" t="n"/>
      <c r="I53" s="28" t="n"/>
      <c r="J53" s="28" t="n"/>
      <c r="K53" s="28" t="n"/>
      <c r="L53" s="28" t="n"/>
      <c r="M53" s="28" t="n"/>
      <c r="N53" s="28" t="n"/>
      <c r="O53" s="28" t="n"/>
      <c r="P53" s="28" t="n"/>
      <c r="Q53" s="28" t="n"/>
      <c r="R53" s="29" t="inlineStr">
        <is>
          <t>人工成本（成本１）</t>
        </is>
      </c>
      <c r="S53" s="20" t="n">
        <v>354384.65</v>
      </c>
      <c r="T53" s="20">
        <f>SUM(AO53:BC53)</f>
        <v/>
      </c>
      <c r="U53" s="21">
        <f>SUM(BA53:BC53)</f>
        <v/>
      </c>
      <c r="V53" s="20">
        <f>SUM(AO53:AZ53)</f>
        <v/>
      </c>
      <c r="W53" s="20">
        <f>SUM(AP53:AZ53)</f>
        <v/>
      </c>
      <c r="X53" s="20">
        <f>SUM(AQ53:AZ53)</f>
        <v/>
      </c>
      <c r="Y53" s="20">
        <f>SUM(AR53:AZ53)</f>
        <v/>
      </c>
      <c r="Z53" s="20">
        <f>SUM(AS53:AZ53)</f>
        <v/>
      </c>
      <c r="AA53" s="20">
        <f>SUM(AT53:AZ53)</f>
        <v/>
      </c>
      <c r="AB53" s="20">
        <f>SUM(AU53:AZ53)</f>
        <v/>
      </c>
      <c r="AC53" s="20">
        <f>SUM(AV53:AZ53)</f>
        <v/>
      </c>
      <c r="AD53" s="20">
        <f>SUM(AW53:AZ53)</f>
        <v/>
      </c>
      <c r="AE53" s="20">
        <f>SUM(AX53:AZ53)</f>
        <v/>
      </c>
      <c r="AF53" s="20">
        <f>SUM(AY53:AZ53)</f>
        <v/>
      </c>
      <c r="AG53" s="20">
        <f>SUM(AZ53:AZ53)</f>
        <v/>
      </c>
      <c r="AH53" s="22" t="n">
        <v>0</v>
      </c>
      <c r="AI53" s="22" t="n">
        <v>0</v>
      </c>
      <c r="AJ53" s="28" t="n"/>
      <c r="AK53" s="28" t="n"/>
      <c r="AL53" s="28" t="n"/>
      <c r="AM53" s="28" t="n"/>
      <c r="AN53" s="28" t="n"/>
      <c r="AO53" s="20" t="n">
        <v>0</v>
      </c>
      <c r="AP53" s="20" t="n">
        <v>0</v>
      </c>
      <c r="AQ53" s="20" t="n">
        <v>0</v>
      </c>
      <c r="AR53" s="20" t="n">
        <v>0</v>
      </c>
      <c r="AS53" s="20" t="n">
        <v>0</v>
      </c>
      <c r="AT53" s="20" t="n">
        <v>0</v>
      </c>
      <c r="AU53" s="20" t="n">
        <v>0</v>
      </c>
      <c r="AV53" s="20" t="n">
        <v>0</v>
      </c>
      <c r="AW53" s="20" t="n">
        <v>0</v>
      </c>
      <c r="AX53" s="20" t="n">
        <v>0</v>
      </c>
      <c r="AY53" s="20" t="n">
        <v>28405.83</v>
      </c>
      <c r="AZ53" s="20" t="n">
        <v>0</v>
      </c>
      <c r="BA53" s="49" t="n">
        <v>317303.07</v>
      </c>
      <c r="BB53" s="21" t="n">
        <v>0</v>
      </c>
      <c r="BC53" s="61" t="n">
        <v>0</v>
      </c>
      <c r="BD53" s="27" t="inlineStr"/>
    </row>
    <row r="54">
      <c r="A54" s="28" t="n"/>
      <c r="B54" s="28" t="n"/>
      <c r="C54" s="28" t="n"/>
      <c r="D54" s="28" t="n"/>
      <c r="E54" s="28" t="n"/>
      <c r="F54" s="28" t="n"/>
      <c r="G54" s="28" t="n"/>
      <c r="H54" s="28" t="n"/>
      <c r="I54" s="28" t="n"/>
      <c r="J54" s="28" t="n"/>
      <c r="K54" s="28" t="n"/>
      <c r="L54" s="28" t="n"/>
      <c r="M54" s="28" t="n"/>
      <c r="N54" s="28" t="n"/>
      <c r="O54" s="28" t="n"/>
      <c r="P54" s="28" t="n"/>
      <c r="Q54" s="28" t="n"/>
      <c r="R54" s="29" t="inlineStr">
        <is>
          <t>闲置成本（成本2）</t>
        </is>
      </c>
      <c r="S54" s="20" t="n">
        <v>0</v>
      </c>
      <c r="T54" s="20" t="n">
        <v>0</v>
      </c>
      <c r="U54" s="21" t="n">
        <v>0</v>
      </c>
      <c r="V54" s="20" t="n">
        <v>0</v>
      </c>
      <c r="W54" s="20" t="n">
        <v>0</v>
      </c>
      <c r="X54" s="20" t="n">
        <v>0</v>
      </c>
      <c r="Y54" s="20" t="n">
        <v>0</v>
      </c>
      <c r="Z54" s="20" t="n">
        <v>0</v>
      </c>
      <c r="AA54" s="20" t="n">
        <v>0</v>
      </c>
      <c r="AB54" s="20" t="n">
        <v>0</v>
      </c>
      <c r="AC54" s="20" t="n">
        <v>0</v>
      </c>
      <c r="AD54" s="20" t="n">
        <v>0</v>
      </c>
      <c r="AE54" s="20" t="n">
        <v>0</v>
      </c>
      <c r="AF54" s="20" t="n">
        <v>0</v>
      </c>
      <c r="AG54" s="20" t="n">
        <v>0</v>
      </c>
      <c r="AH54" s="22" t="n">
        <v>0</v>
      </c>
      <c r="AI54" s="22" t="n">
        <v>0</v>
      </c>
      <c r="AJ54" s="28" t="n"/>
      <c r="AK54" s="28" t="n"/>
      <c r="AL54" s="28" t="n"/>
      <c r="AM54" s="28" t="n"/>
      <c r="AN54" s="28" t="n"/>
      <c r="AO54" s="20" t="n">
        <v>0</v>
      </c>
      <c r="AP54" s="20" t="n">
        <v>0</v>
      </c>
      <c r="AQ54" s="20" t="n">
        <v>0</v>
      </c>
      <c r="AR54" s="20" t="n">
        <v>0</v>
      </c>
      <c r="AS54" s="20" t="n">
        <v>0</v>
      </c>
      <c r="AT54" s="20" t="n">
        <v>0</v>
      </c>
      <c r="AU54" s="20" t="n">
        <v>0</v>
      </c>
      <c r="AV54" s="20" t="n">
        <v>0</v>
      </c>
      <c r="AW54" s="20" t="n">
        <v>0</v>
      </c>
      <c r="AX54" s="20" t="n">
        <v>0</v>
      </c>
      <c r="AY54" s="20" t="n">
        <v>0</v>
      </c>
      <c r="AZ54" s="20" t="n">
        <v>0</v>
      </c>
      <c r="BA54" s="49" t="n">
        <v>0</v>
      </c>
      <c r="BB54" s="21" t="n">
        <v>0</v>
      </c>
      <c r="BC54" s="61" t="n">
        <v>0</v>
      </c>
      <c r="BD54" s="27" t="inlineStr"/>
    </row>
    <row r="55">
      <c r="A55" s="28" t="n"/>
      <c r="B55" s="28" t="n"/>
      <c r="C55" s="28" t="n"/>
      <c r="D55" s="28" t="n"/>
      <c r="E55" s="28" t="n"/>
      <c r="F55" s="28" t="n"/>
      <c r="G55" s="28" t="n"/>
      <c r="H55" s="28" t="n"/>
      <c r="I55" s="28" t="n"/>
      <c r="J55" s="28" t="n"/>
      <c r="K55" s="28" t="n"/>
      <c r="L55" s="28" t="n"/>
      <c r="M55" s="28" t="n"/>
      <c r="N55" s="28" t="n"/>
      <c r="O55" s="28" t="n"/>
      <c r="P55" s="28" t="n"/>
      <c r="Q55" s="28" t="n"/>
      <c r="R55" s="29" t="inlineStr">
        <is>
          <t>差旅费（成本３）</t>
        </is>
      </c>
      <c r="S55" s="20" t="n">
        <v>13000</v>
      </c>
      <c r="T55" s="20">
        <f>SUM(AO55:BC55)</f>
        <v/>
      </c>
      <c r="U55" s="21">
        <f>SUM(BA55:BC55)</f>
        <v/>
      </c>
      <c r="V55" s="20">
        <f>SUM(AO55:AZ55)</f>
        <v/>
      </c>
      <c r="W55" s="20">
        <f>SUM(AP55:AZ55)</f>
        <v/>
      </c>
      <c r="X55" s="20">
        <f>SUM(AQ55:AZ55)</f>
        <v/>
      </c>
      <c r="Y55" s="20">
        <f>SUM(AR55:AZ55)</f>
        <v/>
      </c>
      <c r="Z55" s="20">
        <f>SUM(AS55:AZ55)</f>
        <v/>
      </c>
      <c r="AA55" s="20">
        <f>SUM(AT55:AZ55)</f>
        <v/>
      </c>
      <c r="AB55" s="20">
        <f>SUM(AU55:AZ55)</f>
        <v/>
      </c>
      <c r="AC55" s="20">
        <f>SUM(AV55:AZ55)</f>
        <v/>
      </c>
      <c r="AD55" s="20">
        <f>SUM(AW55:AZ55)</f>
        <v/>
      </c>
      <c r="AE55" s="20">
        <f>SUM(AX55:AZ55)</f>
        <v/>
      </c>
      <c r="AF55" s="20">
        <f>SUM(AY55:AZ55)</f>
        <v/>
      </c>
      <c r="AG55" s="20">
        <f>SUM(AZ55:AZ55)</f>
        <v/>
      </c>
      <c r="AH55" s="22" t="n">
        <v>0</v>
      </c>
      <c r="AI55" s="22" t="n">
        <v>0</v>
      </c>
      <c r="AJ55" s="28" t="n"/>
      <c r="AK55" s="28" t="n"/>
      <c r="AL55" s="28" t="n"/>
      <c r="AM55" s="28" t="n"/>
      <c r="AN55" s="28" t="n"/>
      <c r="AO55" s="20" t="n">
        <v>0</v>
      </c>
      <c r="AP55" s="20" t="n">
        <v>0</v>
      </c>
      <c r="AQ55" s="20" t="n">
        <v>0</v>
      </c>
      <c r="AR55" s="20" t="n">
        <v>0</v>
      </c>
      <c r="AS55" s="20" t="n">
        <v>0</v>
      </c>
      <c r="AT55" s="20" t="n">
        <v>0</v>
      </c>
      <c r="AU55" s="20" t="n">
        <v>0</v>
      </c>
      <c r="AV55" s="20" t="n">
        <v>0</v>
      </c>
      <c r="AW55" s="20" t="n">
        <v>0</v>
      </c>
      <c r="AX55" s="20" t="n">
        <v>0</v>
      </c>
      <c r="AY55" s="20" t="n">
        <v>0</v>
      </c>
      <c r="AZ55" s="20" t="n">
        <v>0</v>
      </c>
      <c r="BA55" s="49" t="n">
        <v>0</v>
      </c>
      <c r="BB55" s="21" t="n">
        <v>0</v>
      </c>
      <c r="BC55" s="61" t="n">
        <v>0</v>
      </c>
      <c r="BD55" s="27" t="inlineStr"/>
    </row>
    <row r="56">
      <c r="A56" s="28" t="n"/>
      <c r="B56" s="28" t="n"/>
      <c r="C56" s="28" t="n"/>
      <c r="D56" s="28" t="n"/>
      <c r="E56" s="28" t="n"/>
      <c r="F56" s="28" t="n"/>
      <c r="G56" s="28" t="n"/>
      <c r="H56" s="28" t="n"/>
      <c r="I56" s="28" t="n"/>
      <c r="J56" s="28" t="n"/>
      <c r="K56" s="28" t="n"/>
      <c r="L56" s="28" t="n"/>
      <c r="M56" s="28" t="n"/>
      <c r="N56" s="28" t="n"/>
      <c r="O56" s="28" t="n"/>
      <c r="P56" s="28" t="n"/>
      <c r="Q56" s="28" t="n"/>
      <c r="R56" s="29" t="inlineStr">
        <is>
          <t>其他成本（成本３）</t>
        </is>
      </c>
      <c r="S56" s="20" t="n">
        <v>0</v>
      </c>
      <c r="T56" s="20">
        <f>SUM(AO56:BC56)</f>
        <v/>
      </c>
      <c r="U56" s="21">
        <f>SUM(BA56:BC56)</f>
        <v/>
      </c>
      <c r="V56" s="20">
        <f>SUM(AO56:AZ56)</f>
        <v/>
      </c>
      <c r="W56" s="20">
        <f>SUM(AP56:AZ56)</f>
        <v/>
      </c>
      <c r="X56" s="20">
        <f>SUM(AQ56:AZ56)</f>
        <v/>
      </c>
      <c r="Y56" s="20">
        <f>SUM(AR56:AZ56)</f>
        <v/>
      </c>
      <c r="Z56" s="20">
        <f>SUM(AS56:AZ56)</f>
        <v/>
      </c>
      <c r="AA56" s="20">
        <f>SUM(AT56:AZ56)</f>
        <v/>
      </c>
      <c r="AB56" s="20">
        <f>SUM(AU56:AZ56)</f>
        <v/>
      </c>
      <c r="AC56" s="20">
        <f>SUM(AV56:AZ56)</f>
        <v/>
      </c>
      <c r="AD56" s="20">
        <f>SUM(AW56:AZ56)</f>
        <v/>
      </c>
      <c r="AE56" s="20">
        <f>SUM(AX56:AZ56)</f>
        <v/>
      </c>
      <c r="AF56" s="20" t="n">
        <v>0</v>
      </c>
      <c r="AG56" s="20">
        <f>SUM(AZ56:AZ56)</f>
        <v/>
      </c>
      <c r="AH56" s="22" t="n">
        <v>0</v>
      </c>
      <c r="AI56" s="22" t="n">
        <v>0</v>
      </c>
      <c r="AJ56" s="28" t="n"/>
      <c r="AK56" s="28" t="n"/>
      <c r="AL56" s="28" t="n"/>
      <c r="AM56" s="28" t="n"/>
      <c r="AN56" s="28" t="n"/>
      <c r="AO56" s="20" t="n">
        <v>0</v>
      </c>
      <c r="AP56" s="20" t="n">
        <v>0</v>
      </c>
      <c r="AQ56" s="20" t="n">
        <v>0</v>
      </c>
      <c r="AR56" s="20" t="n">
        <v>0</v>
      </c>
      <c r="AS56" s="20" t="n">
        <v>0</v>
      </c>
      <c r="AT56" s="20" t="n">
        <v>0</v>
      </c>
      <c r="AU56" s="20" t="n">
        <v>0</v>
      </c>
      <c r="AV56" s="20" t="n">
        <v>0</v>
      </c>
      <c r="AW56" s="20" t="n">
        <v>0</v>
      </c>
      <c r="AX56" s="20" t="n">
        <v>0</v>
      </c>
      <c r="AY56" s="20" t="n">
        <v>-28405.83</v>
      </c>
      <c r="AZ56" s="20" t="n">
        <v>0</v>
      </c>
      <c r="BA56" s="49" t="n">
        <v>0</v>
      </c>
      <c r="BB56" s="21" t="n">
        <v>0</v>
      </c>
      <c r="BC56" s="61" t="n">
        <v>0</v>
      </c>
      <c r="BD56" s="27" t="inlineStr"/>
    </row>
    <row r="57">
      <c r="A57" s="28" t="n"/>
      <c r="B57" s="28" t="n"/>
      <c r="C57" s="28" t="n"/>
      <c r="D57" s="28" t="n"/>
      <c r="E57" s="28" t="n"/>
      <c r="F57" s="28" t="n"/>
      <c r="G57" s="28" t="n"/>
      <c r="H57" s="28" t="n"/>
      <c r="I57" s="28" t="n"/>
      <c r="J57" s="28" t="n"/>
      <c r="K57" s="28" t="n"/>
      <c r="L57" s="28" t="n"/>
      <c r="M57" s="28" t="n"/>
      <c r="N57" s="28" t="n"/>
      <c r="O57" s="28" t="n"/>
      <c r="P57" s="28" t="n"/>
      <c r="Q57" s="28" t="n"/>
      <c r="R57" s="29" t="inlineStr">
        <is>
          <t>累计成本</t>
        </is>
      </c>
      <c r="S57" s="30">
        <f>SUM(S53:S56)</f>
        <v/>
      </c>
      <c r="T57" s="30">
        <f>SUM(T53:T56)</f>
        <v/>
      </c>
      <c r="U57" s="31">
        <f>SUM(U53:U56)</f>
        <v/>
      </c>
      <c r="V57" s="30">
        <f>SUM(V53:V56)</f>
        <v/>
      </c>
      <c r="W57" s="30">
        <f>SUM(W53:W56)</f>
        <v/>
      </c>
      <c r="X57" s="30">
        <f>SUM(X53:X56)</f>
        <v/>
      </c>
      <c r="Y57" s="30">
        <f>SUM(Y53:Y56)</f>
        <v/>
      </c>
      <c r="Z57" s="30">
        <f>SUM(Z53:Z56)</f>
        <v/>
      </c>
      <c r="AA57" s="30">
        <f>SUM(AA53:AA56)</f>
        <v/>
      </c>
      <c r="AB57" s="30">
        <f>SUM(AB53:AB56)</f>
        <v/>
      </c>
      <c r="AC57" s="30">
        <f>SUM(AC53:AC56)</f>
        <v/>
      </c>
      <c r="AD57" s="30">
        <f>SUM(AD53:AD56)</f>
        <v/>
      </c>
      <c r="AE57" s="30">
        <f>SUM(AE53:AE56)</f>
        <v/>
      </c>
      <c r="AF57" s="30">
        <f>SUM(AF53:AF56)</f>
        <v/>
      </c>
      <c r="AG57" s="30">
        <f>SUM(AG53:AG56)</f>
        <v/>
      </c>
      <c r="AH57" s="30">
        <f>SUM(AH53:AH56)</f>
        <v/>
      </c>
      <c r="AI57" s="30">
        <f>SUM(AI53:AI56)</f>
        <v/>
      </c>
      <c r="AJ57" s="28" t="n"/>
      <c r="AK57" s="28" t="n"/>
      <c r="AL57" s="28" t="n"/>
      <c r="AM57" s="28" t="n"/>
      <c r="AN57" s="28" t="n"/>
      <c r="AO57" s="30">
        <f>SUM(AO53:AO56)</f>
        <v/>
      </c>
      <c r="AP57" s="30">
        <f>SUM(AP53:AP56)</f>
        <v/>
      </c>
      <c r="AQ57" s="30">
        <f>SUM(AQ53:AQ56)</f>
        <v/>
      </c>
      <c r="AR57" s="30">
        <f>SUM(AR53:AR56)</f>
        <v/>
      </c>
      <c r="AS57" s="30">
        <f>SUM(AS53:AS56)</f>
        <v/>
      </c>
      <c r="AT57" s="30">
        <f>SUM(AT53:AT56)</f>
        <v/>
      </c>
      <c r="AU57" s="30">
        <f>SUM(AU53:AU56)</f>
        <v/>
      </c>
      <c r="AV57" s="30">
        <f>SUM(AV53:AV56)</f>
        <v/>
      </c>
      <c r="AW57" s="30">
        <f>SUM(AW53:AW56)</f>
        <v/>
      </c>
      <c r="AX57" s="30">
        <f>SUM(AX53:AX56)</f>
        <v/>
      </c>
      <c r="AY57" s="30" t="n">
        <v>0</v>
      </c>
      <c r="AZ57" s="30">
        <f>SUM(AZ53:AZ56)</f>
        <v/>
      </c>
      <c r="BA57" s="53" t="n">
        <v>317303.07</v>
      </c>
      <c r="BB57" s="31">
        <f>SUM(BB53:BB56)</f>
        <v/>
      </c>
      <c r="BC57" s="54">
        <f>SUM(BC53:BC56)</f>
        <v/>
      </c>
      <c r="BD57" s="32" t="inlineStr"/>
    </row>
    <row r="58">
      <c r="A58" s="28" t="n"/>
      <c r="B58" s="28" t="n"/>
      <c r="C58" s="28" t="n"/>
      <c r="D58" s="28" t="n"/>
      <c r="E58" s="28" t="n"/>
      <c r="F58" s="28" t="n"/>
      <c r="G58" s="28" t="n"/>
      <c r="H58" s="28" t="n"/>
      <c r="I58" s="28" t="n"/>
      <c r="J58" s="28" t="n"/>
      <c r="K58" s="28" t="n"/>
      <c r="L58" s="28" t="n"/>
      <c r="M58" s="28" t="n"/>
      <c r="N58" s="28" t="n"/>
      <c r="O58" s="28" t="n"/>
      <c r="P58" s="28" t="n"/>
      <c r="Q58" s="28" t="n"/>
      <c r="R58" s="29" t="inlineStr">
        <is>
          <t>GP1毛利</t>
        </is>
      </c>
      <c r="S58" s="20">
        <f>S52-S53</f>
        <v/>
      </c>
      <c r="T58" s="20">
        <f>T52-T53</f>
        <v/>
      </c>
      <c r="U58" s="21">
        <f>U52-U53</f>
        <v/>
      </c>
      <c r="V58" s="20">
        <f>V52-V53</f>
        <v/>
      </c>
      <c r="W58" s="20">
        <f>W52-W53</f>
        <v/>
      </c>
      <c r="X58" s="20">
        <f>X52-X53</f>
        <v/>
      </c>
      <c r="Y58" s="20">
        <f>Y52-Y53</f>
        <v/>
      </c>
      <c r="Z58" s="20">
        <f>Z52-Z53</f>
        <v/>
      </c>
      <c r="AA58" s="20">
        <f>AA52-AA53</f>
        <v/>
      </c>
      <c r="AB58" s="20">
        <f>AB52-AB53</f>
        <v/>
      </c>
      <c r="AC58" s="20">
        <f>AC52-AC53</f>
        <v/>
      </c>
      <c r="AD58" s="20">
        <f>AD52-AD53</f>
        <v/>
      </c>
      <c r="AE58" s="20">
        <f>AE52-AE53</f>
        <v/>
      </c>
      <c r="AF58" s="20">
        <f>AF52-AF53</f>
        <v/>
      </c>
      <c r="AG58" s="20">
        <f>AG52-AG53</f>
        <v/>
      </c>
      <c r="AH58" s="33" t="n">
        <v>0</v>
      </c>
      <c r="AI58" s="33" t="n">
        <v>0</v>
      </c>
      <c r="AJ58" s="28" t="n"/>
      <c r="AK58" s="28" t="n"/>
      <c r="AL58" s="28" t="n"/>
      <c r="AM58" s="28" t="n"/>
      <c r="AN58" s="28" t="n"/>
      <c r="AO58" s="20">
        <f>AO52-AO53</f>
        <v/>
      </c>
      <c r="AP58" s="20">
        <f>AP52-AP53</f>
        <v/>
      </c>
      <c r="AQ58" s="20">
        <f>AQ52-AQ53</f>
        <v/>
      </c>
      <c r="AR58" s="20">
        <f>AR52-AR53</f>
        <v/>
      </c>
      <c r="AS58" s="20">
        <f>AS52-AS53</f>
        <v/>
      </c>
      <c r="AT58" s="20">
        <f>AT52-AT53</f>
        <v/>
      </c>
      <c r="AU58" s="20">
        <f>AU52-AU53</f>
        <v/>
      </c>
      <c r="AV58" s="20">
        <f>AV52-AV53</f>
        <v/>
      </c>
      <c r="AW58" s="20">
        <f>AW52-AW53</f>
        <v/>
      </c>
      <c r="AX58" s="20">
        <f>AX52-AX53</f>
        <v/>
      </c>
      <c r="AY58" s="20">
        <f>AY52-AY53</f>
        <v/>
      </c>
      <c r="AZ58" s="20">
        <f>AZ52-AZ53</f>
        <v/>
      </c>
      <c r="BA58" s="55" t="n">
        <v>117696.93</v>
      </c>
      <c r="BB58" s="31" t="n">
        <v>0</v>
      </c>
      <c r="BC58" s="61" t="n">
        <v>0</v>
      </c>
      <c r="BD58" s="27" t="inlineStr"/>
    </row>
    <row r="59">
      <c r="A59" s="28" t="n"/>
      <c r="B59" s="28" t="n"/>
      <c r="C59" s="28" t="n"/>
      <c r="D59" s="28" t="n"/>
      <c r="E59" s="28" t="n"/>
      <c r="F59" s="28" t="n"/>
      <c r="G59" s="28" t="n"/>
      <c r="H59" s="28" t="n"/>
      <c r="I59" s="28" t="n"/>
      <c r="J59" s="28" t="n"/>
      <c r="K59" s="28" t="n"/>
      <c r="L59" s="28" t="n"/>
      <c r="M59" s="28" t="n"/>
      <c r="N59" s="28" t="n"/>
      <c r="O59" s="28" t="n"/>
      <c r="P59" s="28" t="n"/>
      <c r="Q59" s="28" t="n"/>
      <c r="R59" s="35" t="inlineStr">
        <is>
          <t>GP1毛利率(%)</t>
        </is>
      </c>
      <c r="S59" s="36">
        <f>S58/S52</f>
        <v/>
      </c>
      <c r="T59" s="36">
        <f>T58/T52</f>
        <v/>
      </c>
      <c r="U59" s="37">
        <f>U58/U52</f>
        <v/>
      </c>
      <c r="V59" s="36">
        <f>V58/V52</f>
        <v/>
      </c>
      <c r="W59" s="36">
        <f>W58/W52</f>
        <v/>
      </c>
      <c r="X59" s="36">
        <f>X58/X52</f>
        <v/>
      </c>
      <c r="Y59" s="36">
        <f>Y58/Y52</f>
        <v/>
      </c>
      <c r="Z59" s="36">
        <f>Z58/Z52</f>
        <v/>
      </c>
      <c r="AA59" s="36">
        <f>AA58/AA52</f>
        <v/>
      </c>
      <c r="AB59" s="36">
        <f>AB58/AB52</f>
        <v/>
      </c>
      <c r="AC59" s="36">
        <f>AC58/AC52</f>
        <v/>
      </c>
      <c r="AD59" s="36">
        <f>AD58/AD52</f>
        <v/>
      </c>
      <c r="AE59" s="36">
        <f>AE58/AE52</f>
        <v/>
      </c>
      <c r="AF59" s="36">
        <f>AF58/AF52</f>
        <v/>
      </c>
      <c r="AG59" s="36">
        <f>AG58/AG52</f>
        <v/>
      </c>
      <c r="AH59" s="38">
        <f>T59-S59</f>
        <v/>
      </c>
      <c r="AI59" s="38">
        <f>AF59-S59</f>
        <v/>
      </c>
      <c r="AJ59" s="28" t="n"/>
      <c r="AK59" s="28" t="n"/>
      <c r="AL59" s="28" t="n"/>
      <c r="AM59" s="28" t="n"/>
      <c r="AN59" s="28" t="n"/>
      <c r="AO59" s="36">
        <f>AO58/AO52</f>
        <v/>
      </c>
      <c r="AP59" s="36">
        <f>AP58/AP52</f>
        <v/>
      </c>
      <c r="AQ59" s="36">
        <f>AQ58/AQ52</f>
        <v/>
      </c>
      <c r="AR59" s="36">
        <f>AR58/AR52</f>
        <v/>
      </c>
      <c r="AS59" s="36">
        <f>AS58/AS52</f>
        <v/>
      </c>
      <c r="AT59" s="36">
        <f>AT58/AT52</f>
        <v/>
      </c>
      <c r="AU59" s="36">
        <f>AU58/AU52</f>
        <v/>
      </c>
      <c r="AV59" s="36">
        <f>AV58/AV52</f>
        <v/>
      </c>
      <c r="AW59" s="36">
        <f>AW58/AW52</f>
        <v/>
      </c>
      <c r="AX59" s="36">
        <f>AX58/AX52</f>
        <v/>
      </c>
      <c r="AY59" s="36">
        <f>AY58/AY52</f>
        <v/>
      </c>
      <c r="AZ59" s="36">
        <f>AZ58/AZ52</f>
        <v/>
      </c>
      <c r="BA59" s="56" t="n">
        <v>0.270567655172414</v>
      </c>
      <c r="BB59" s="39" t="n">
        <v>0</v>
      </c>
      <c r="BC59" s="61" t="n">
        <v>0</v>
      </c>
      <c r="BD59" s="27" t="inlineStr"/>
    </row>
    <row r="60">
      <c r="A60" s="28" t="n"/>
      <c r="B60" s="28" t="n"/>
      <c r="C60" s="28" t="n"/>
      <c r="D60" s="28" t="n"/>
      <c r="E60" s="28" t="n"/>
      <c r="F60" s="28" t="n"/>
      <c r="G60" s="28" t="n"/>
      <c r="H60" s="28" t="n"/>
      <c r="I60" s="28" t="n"/>
      <c r="J60" s="28" t="n"/>
      <c r="K60" s="28" t="n"/>
      <c r="L60" s="28" t="n"/>
      <c r="M60" s="28" t="n"/>
      <c r="N60" s="28" t="n"/>
      <c r="O60" s="28" t="n"/>
      <c r="P60" s="28" t="n"/>
      <c r="Q60" s="28" t="n"/>
      <c r="R60" s="29" t="inlineStr">
        <is>
          <t>GP3毛利</t>
        </is>
      </c>
      <c r="S60" s="20">
        <f>S52-S57</f>
        <v/>
      </c>
      <c r="T60" s="20">
        <f>T52-T57</f>
        <v/>
      </c>
      <c r="U60" s="20">
        <f>U52-U57</f>
        <v/>
      </c>
      <c r="V60" s="20">
        <f>V52-V57</f>
        <v/>
      </c>
      <c r="W60" s="20">
        <f>W52-W57</f>
        <v/>
      </c>
      <c r="X60" s="20">
        <f>X52-X57</f>
        <v/>
      </c>
      <c r="Y60" s="20">
        <f>Y52-Y57</f>
        <v/>
      </c>
      <c r="Z60" s="20">
        <f>Z52-Z57</f>
        <v/>
      </c>
      <c r="AA60" s="20">
        <f>AA52-AA57</f>
        <v/>
      </c>
      <c r="AB60" s="20">
        <f>AB52-AB57</f>
        <v/>
      </c>
      <c r="AC60" s="20">
        <f>AC52-AC57</f>
        <v/>
      </c>
      <c r="AD60" s="20">
        <f>AD52-AD57</f>
        <v/>
      </c>
      <c r="AE60" s="20">
        <f>AE52-AE57</f>
        <v/>
      </c>
      <c r="AF60" s="20">
        <f>AF52-AF57</f>
        <v/>
      </c>
      <c r="AG60" s="20">
        <f>AG52-AG57</f>
        <v/>
      </c>
      <c r="AH60" s="38" t="n">
        <v>0</v>
      </c>
      <c r="AI60" s="38" t="n">
        <v>0</v>
      </c>
      <c r="AJ60" s="28" t="n"/>
      <c r="AK60" s="28" t="n"/>
      <c r="AL60" s="28" t="n"/>
      <c r="AM60" s="28" t="n"/>
      <c r="AN60" s="28" t="n"/>
      <c r="AO60" s="20">
        <f>AO52-AO57</f>
        <v/>
      </c>
      <c r="AP60" s="20">
        <f>AP52-AP57</f>
        <v/>
      </c>
      <c r="AQ60" s="20">
        <f>AQ52-AQ57</f>
        <v/>
      </c>
      <c r="AR60" s="20">
        <f>AR52-AR57</f>
        <v/>
      </c>
      <c r="AS60" s="20">
        <f>AS52-AS57</f>
        <v/>
      </c>
      <c r="AT60" s="20">
        <f>AT52-AT57</f>
        <v/>
      </c>
      <c r="AU60" s="20">
        <f>AU52-AU57</f>
        <v/>
      </c>
      <c r="AV60" s="20">
        <f>AV52-AV57</f>
        <v/>
      </c>
      <c r="AW60" s="20">
        <f>AW52-AW57</f>
        <v/>
      </c>
      <c r="AX60" s="20">
        <f>AX52-AX57</f>
        <v/>
      </c>
      <c r="AY60" s="20">
        <f>AY52-AY57</f>
        <v/>
      </c>
      <c r="AZ60" s="20">
        <f>AZ52-AZ57</f>
        <v/>
      </c>
      <c r="BA60" s="20">
        <f>BA52-BA57</f>
        <v/>
      </c>
      <c r="BB60" s="20">
        <f>BB52-BB57</f>
        <v/>
      </c>
      <c r="BC60" s="20">
        <f>BC52-BC57</f>
        <v/>
      </c>
      <c r="BD60" s="27" t="inlineStr"/>
    </row>
    <row r="61">
      <c r="A61" s="41" t="n"/>
      <c r="B61" s="41" t="n"/>
      <c r="C61" s="41" t="n"/>
      <c r="D61" s="41" t="n"/>
      <c r="E61" s="41" t="n"/>
      <c r="F61" s="41" t="n"/>
      <c r="G61" s="41" t="n"/>
      <c r="H61" s="41" t="n"/>
      <c r="I61" s="41" t="n"/>
      <c r="J61" s="41" t="n"/>
      <c r="K61" s="41" t="n"/>
      <c r="L61" s="41" t="n"/>
      <c r="M61" s="41" t="n"/>
      <c r="N61" s="41" t="n"/>
      <c r="O61" s="41" t="n"/>
      <c r="P61" s="41" t="n"/>
      <c r="Q61" s="41" t="n"/>
      <c r="R61" s="35" t="inlineStr">
        <is>
          <t>GP3毛利率(%)</t>
        </is>
      </c>
      <c r="S61" s="36">
        <f>S60/S52</f>
        <v/>
      </c>
      <c r="T61" s="36">
        <f>T60/T52</f>
        <v/>
      </c>
      <c r="U61" s="37">
        <f>U60/U52</f>
        <v/>
      </c>
      <c r="V61" s="36">
        <f>V60/V52</f>
        <v/>
      </c>
      <c r="W61" s="36">
        <f>W60/W52</f>
        <v/>
      </c>
      <c r="X61" s="36">
        <f>X60/X52</f>
        <v/>
      </c>
      <c r="Y61" s="36">
        <f>Y60/Y52</f>
        <v/>
      </c>
      <c r="Z61" s="36">
        <f>Z60/Z52</f>
        <v/>
      </c>
      <c r="AA61" s="36">
        <f>AA60/AA52</f>
        <v/>
      </c>
      <c r="AB61" s="36">
        <f>AB60/AB52</f>
        <v/>
      </c>
      <c r="AC61" s="36">
        <f>AC60/AC52</f>
        <v/>
      </c>
      <c r="AD61" s="36">
        <f>AD60/AD52</f>
        <v/>
      </c>
      <c r="AE61" s="36">
        <f>AE60/AE52</f>
        <v/>
      </c>
      <c r="AF61" s="36">
        <f>AF60/AF52</f>
        <v/>
      </c>
      <c r="AG61" s="36">
        <f>AG60/AG52</f>
        <v/>
      </c>
      <c r="AH61" s="38">
        <f>T61-S61</f>
        <v/>
      </c>
      <c r="AI61" s="38">
        <f>AF61-S61</f>
        <v/>
      </c>
      <c r="AJ61" s="41" t="n"/>
      <c r="AK61" s="41" t="n"/>
      <c r="AL61" s="41" t="n"/>
      <c r="AM61" s="41" t="n"/>
      <c r="AN61" s="41" t="n"/>
      <c r="AO61" s="36">
        <f>AO60/AO52</f>
        <v/>
      </c>
      <c r="AP61" s="36">
        <f>AP60/AP52</f>
        <v/>
      </c>
      <c r="AQ61" s="36">
        <f>AQ60/AQ52</f>
        <v/>
      </c>
      <c r="AR61" s="36">
        <f>AR60/AR52</f>
        <v/>
      </c>
      <c r="AS61" s="36">
        <f>AS60/AS52</f>
        <v/>
      </c>
      <c r="AT61" s="36">
        <f>AT60/AT52</f>
        <v/>
      </c>
      <c r="AU61" s="36">
        <f>AU60/AU52</f>
        <v/>
      </c>
      <c r="AV61" s="36">
        <f>AV60/AV52</f>
        <v/>
      </c>
      <c r="AW61" s="36">
        <f>AW60/AW52</f>
        <v/>
      </c>
      <c r="AX61" s="36">
        <f>AX60/AX52</f>
        <v/>
      </c>
      <c r="AY61" s="36">
        <f>AY60/AY52</f>
        <v/>
      </c>
      <c r="AZ61" s="36">
        <f>AZ60/AZ52</f>
        <v/>
      </c>
      <c r="BA61" s="56" t="n">
        <v>0.270567655172414</v>
      </c>
      <c r="BB61" s="39" t="n">
        <v>0</v>
      </c>
      <c r="BC61" s="61" t="n">
        <v>0</v>
      </c>
      <c r="BD61" s="27" t="inlineStr"/>
    </row>
    <row r="62">
      <c r="A62" s="42" t="inlineStr">
        <is>
          <t>P202511000193</t>
        </is>
      </c>
      <c r="B62" s="43" t="inlineStr">
        <is>
          <t>中国兽医药品监察所-2025-2026年OA办公系统运行维护服务-FP项目</t>
        </is>
      </c>
      <c r="C62" s="44" t="n">
        <v>45962</v>
      </c>
      <c r="D62" s="44" t="n">
        <v>46271</v>
      </c>
      <c r="E62" s="15" t="n"/>
      <c r="F62" s="16" t="n">
        <v>0.19</v>
      </c>
      <c r="G62" s="18" t="n">
        <v>1</v>
      </c>
      <c r="H62" s="18" t="n"/>
      <c r="I62" s="18" t="n"/>
      <c r="J62" s="18" t="n"/>
      <c r="K62" s="18" t="n"/>
      <c r="L62" s="18" t="n"/>
      <c r="M62" s="18" t="n"/>
      <c r="N62" s="18" t="n"/>
      <c r="O62" s="18" t="n"/>
      <c r="P62" s="15" t="n"/>
      <c r="Q62" s="18" t="inlineStr"/>
      <c r="R62" s="47" t="inlineStr">
        <is>
          <t>累计收入（NR）</t>
        </is>
      </c>
      <c r="S62" s="20" t="n">
        <v>80188.67999999999</v>
      </c>
      <c r="T62" s="20">
        <f>SUM(AO62:BC62)</f>
        <v/>
      </c>
      <c r="U62" s="21">
        <f>SUM(BA62:BC62)</f>
        <v/>
      </c>
      <c r="V62" s="20">
        <f>SUM(AO62:AZ62)</f>
        <v/>
      </c>
      <c r="W62" s="20">
        <f>SUM(AP62:AZ62)</f>
        <v/>
      </c>
      <c r="X62" s="20" t="n">
        <v>0</v>
      </c>
      <c r="Y62" s="20" t="n">
        <v>0</v>
      </c>
      <c r="Z62" s="20">
        <f>SUM(AS62:AZ62)</f>
        <v/>
      </c>
      <c r="AA62" s="20">
        <f>SUM(AT62:AZ62)</f>
        <v/>
      </c>
      <c r="AB62" s="20">
        <f>SUM(AU62:AZ62)</f>
        <v/>
      </c>
      <c r="AC62" s="20">
        <f>SUM(AV62:AZ62)</f>
        <v/>
      </c>
      <c r="AD62" s="20">
        <f>SUM(AW62:AZ62)</f>
        <v/>
      </c>
      <c r="AE62" s="20">
        <f>SUM(AX62:AZ62)</f>
        <v/>
      </c>
      <c r="AF62" s="20">
        <f>SUM(AY62:AZ62)</f>
        <v/>
      </c>
      <c r="AG62" s="20">
        <f>SUM(AZ62:AZ62)</f>
        <v/>
      </c>
      <c r="AH62" s="22" t="n">
        <v>0</v>
      </c>
      <c r="AI62" s="22" t="n">
        <v>0</v>
      </c>
      <c r="AJ62" s="43" t="inlineStr"/>
      <c r="AK62" s="48" t="inlineStr">
        <is>
          <t>农业运维项目，收入由系统每月自动计入，成本视实际投入情况填报</t>
        </is>
      </c>
      <c r="AL62" s="48" t="inlineStr"/>
      <c r="AM62" s="48" t="inlineStr"/>
      <c r="AN62" s="16" t="n"/>
      <c r="AO62" s="20" t="n">
        <v>0</v>
      </c>
      <c r="AP62" s="20" t="n">
        <v>0</v>
      </c>
      <c r="AQ62" s="20" t="n">
        <v>0</v>
      </c>
      <c r="AR62" s="20" t="n">
        <v>0</v>
      </c>
      <c r="AS62" s="20" t="n">
        <v>0</v>
      </c>
      <c r="AT62" s="20" t="n">
        <v>0</v>
      </c>
      <c r="AU62" s="20" t="n">
        <v>0</v>
      </c>
      <c r="AV62" s="20" t="n">
        <v>0</v>
      </c>
      <c r="AW62" s="20" t="n">
        <v>0</v>
      </c>
      <c r="AX62" s="20" t="n">
        <v>8018.87</v>
      </c>
      <c r="AY62" s="20" t="n">
        <v>7242.89</v>
      </c>
      <c r="AZ62" s="20" t="n">
        <v>8018.87</v>
      </c>
      <c r="BA62" s="49" t="n">
        <v>15477.62</v>
      </c>
      <c r="BB62" s="21" t="n">
        <v>0</v>
      </c>
      <c r="BC62" s="61" t="n">
        <v>0</v>
      </c>
      <c r="BD62" s="27" t="inlineStr"/>
    </row>
    <row r="63">
      <c r="A63" s="28" t="n"/>
      <c r="B63" s="28" t="n"/>
      <c r="C63" s="28" t="n"/>
      <c r="D63" s="28" t="n"/>
      <c r="E63" s="28" t="n"/>
      <c r="F63" s="28" t="n"/>
      <c r="G63" s="28" t="n"/>
      <c r="H63" s="28" t="n"/>
      <c r="I63" s="28" t="n"/>
      <c r="J63" s="28" t="n"/>
      <c r="K63" s="28" t="n"/>
      <c r="L63" s="28" t="n"/>
      <c r="M63" s="28" t="n"/>
      <c r="N63" s="28" t="n"/>
      <c r="O63" s="28" t="n"/>
      <c r="P63" s="28" t="n"/>
      <c r="Q63" s="28" t="n"/>
      <c r="R63" s="29" t="inlineStr">
        <is>
          <t>人工成本（成本１）</t>
        </is>
      </c>
      <c r="S63" s="20" t="n">
        <v>64941.27</v>
      </c>
      <c r="T63" s="20">
        <f>SUM(AO63:BC63)</f>
        <v/>
      </c>
      <c r="U63" s="21">
        <f>SUM(BA63:BC63)</f>
        <v/>
      </c>
      <c r="V63" s="20">
        <f>SUM(AO63:AZ63)</f>
        <v/>
      </c>
      <c r="W63" s="20">
        <f>SUM(AP63:AZ63)</f>
        <v/>
      </c>
      <c r="X63" s="20" t="n">
        <v>0</v>
      </c>
      <c r="Y63" s="20" t="n">
        <v>0</v>
      </c>
      <c r="Z63" s="20">
        <f>SUM(AS63:AZ63)</f>
        <v/>
      </c>
      <c r="AA63" s="20">
        <f>SUM(AT63:AZ63)</f>
        <v/>
      </c>
      <c r="AB63" s="20">
        <f>SUM(AU63:AZ63)</f>
        <v/>
      </c>
      <c r="AC63" s="20">
        <f>SUM(AV63:AZ63)</f>
        <v/>
      </c>
      <c r="AD63" s="20">
        <f>SUM(AW63:AZ63)</f>
        <v/>
      </c>
      <c r="AE63" s="20">
        <f>SUM(AX63:AZ63)</f>
        <v/>
      </c>
      <c r="AF63" s="20">
        <f>SUM(AY63:AZ63)</f>
        <v/>
      </c>
      <c r="AG63" s="20">
        <f>SUM(AZ63:AZ63)</f>
        <v/>
      </c>
      <c r="AH63" s="22" t="n">
        <v>0</v>
      </c>
      <c r="AI63" s="22" t="n">
        <v>0</v>
      </c>
      <c r="AJ63" s="28" t="n"/>
      <c r="AK63" s="28" t="n"/>
      <c r="AL63" s="28" t="n"/>
      <c r="AM63" s="28" t="n"/>
      <c r="AN63" s="28" t="n"/>
      <c r="AO63" s="20" t="n">
        <v>0</v>
      </c>
      <c r="AP63" s="20" t="n">
        <v>0</v>
      </c>
      <c r="AQ63" s="20" t="n">
        <v>0</v>
      </c>
      <c r="AR63" s="20" t="n">
        <v>0</v>
      </c>
      <c r="AS63" s="20" t="n">
        <v>0</v>
      </c>
      <c r="AT63" s="20" t="n">
        <v>0</v>
      </c>
      <c r="AU63" s="20" t="n">
        <v>0</v>
      </c>
      <c r="AV63" s="20" t="n">
        <v>0</v>
      </c>
      <c r="AW63" s="20" t="n">
        <v>0</v>
      </c>
      <c r="AX63" s="20" t="n">
        <v>22059.36</v>
      </c>
      <c r="AY63" s="20" t="n">
        <v>4136.15</v>
      </c>
      <c r="AZ63" s="20" t="n">
        <v>22059.37</v>
      </c>
      <c r="BA63" s="49" t="n">
        <v>0</v>
      </c>
      <c r="BB63" s="21" t="n">
        <v>0</v>
      </c>
      <c r="BC63" s="61" t="n">
        <v>0</v>
      </c>
      <c r="BD63" s="27" t="inlineStr"/>
    </row>
    <row r="64">
      <c r="A64" s="28" t="n"/>
      <c r="B64" s="28" t="n"/>
      <c r="C64" s="28" t="n"/>
      <c r="D64" s="28" t="n"/>
      <c r="E64" s="28" t="n"/>
      <c r="F64" s="28" t="n"/>
      <c r="G64" s="28" t="n"/>
      <c r="H64" s="28" t="n"/>
      <c r="I64" s="28" t="n"/>
      <c r="J64" s="28" t="n"/>
      <c r="K64" s="28" t="n"/>
      <c r="L64" s="28" t="n"/>
      <c r="M64" s="28" t="n"/>
      <c r="N64" s="28" t="n"/>
      <c r="O64" s="28" t="n"/>
      <c r="P64" s="28" t="n"/>
      <c r="Q64" s="28" t="n"/>
      <c r="R64" s="29" t="inlineStr">
        <is>
          <t>闲置成本（成本2）</t>
        </is>
      </c>
      <c r="S64" s="20" t="n">
        <v>0</v>
      </c>
      <c r="T64" s="20" t="n">
        <v>0</v>
      </c>
      <c r="U64" s="21" t="n">
        <v>0</v>
      </c>
      <c r="V64" s="20" t="n">
        <v>0</v>
      </c>
      <c r="W64" s="20" t="n">
        <v>0</v>
      </c>
      <c r="X64" s="20" t="n">
        <v>0</v>
      </c>
      <c r="Y64" s="20" t="n">
        <v>0</v>
      </c>
      <c r="Z64" s="20" t="n">
        <v>0</v>
      </c>
      <c r="AA64" s="20" t="n">
        <v>0</v>
      </c>
      <c r="AB64" s="20" t="n">
        <v>0</v>
      </c>
      <c r="AC64" s="20" t="n">
        <v>0</v>
      </c>
      <c r="AD64" s="20" t="n">
        <v>0</v>
      </c>
      <c r="AE64" s="20" t="n">
        <v>0</v>
      </c>
      <c r="AF64" s="20" t="n">
        <v>0</v>
      </c>
      <c r="AG64" s="20" t="n">
        <v>0</v>
      </c>
      <c r="AH64" s="22" t="n">
        <v>0</v>
      </c>
      <c r="AI64" s="22" t="n">
        <v>0</v>
      </c>
      <c r="AJ64" s="28" t="n"/>
      <c r="AK64" s="28" t="n"/>
      <c r="AL64" s="28" t="n"/>
      <c r="AM64" s="28" t="n"/>
      <c r="AN64" s="28" t="n"/>
      <c r="AO64" s="20" t="n">
        <v>0</v>
      </c>
      <c r="AP64" s="20" t="n">
        <v>0</v>
      </c>
      <c r="AQ64" s="20" t="n">
        <v>0</v>
      </c>
      <c r="AR64" s="20" t="n">
        <v>0</v>
      </c>
      <c r="AS64" s="20" t="n">
        <v>0</v>
      </c>
      <c r="AT64" s="20" t="n">
        <v>0</v>
      </c>
      <c r="AU64" s="20" t="n">
        <v>0</v>
      </c>
      <c r="AV64" s="20" t="n">
        <v>0</v>
      </c>
      <c r="AW64" s="20" t="n">
        <v>0</v>
      </c>
      <c r="AX64" s="20" t="n">
        <v>0</v>
      </c>
      <c r="AY64" s="20" t="n">
        <v>0</v>
      </c>
      <c r="AZ64" s="20" t="n">
        <v>0</v>
      </c>
      <c r="BA64" s="49" t="n">
        <v>0</v>
      </c>
      <c r="BB64" s="21" t="n">
        <v>0</v>
      </c>
      <c r="BC64" s="61" t="n">
        <v>0</v>
      </c>
      <c r="BD64" s="27" t="inlineStr"/>
    </row>
    <row r="65">
      <c r="A65" s="28" t="n"/>
      <c r="B65" s="28" t="n"/>
      <c r="C65" s="28" t="n"/>
      <c r="D65" s="28" t="n"/>
      <c r="E65" s="28" t="n"/>
      <c r="F65" s="28" t="n"/>
      <c r="G65" s="28" t="n"/>
      <c r="H65" s="28" t="n"/>
      <c r="I65" s="28" t="n"/>
      <c r="J65" s="28" t="n"/>
      <c r="K65" s="28" t="n"/>
      <c r="L65" s="28" t="n"/>
      <c r="M65" s="28" t="n"/>
      <c r="N65" s="28" t="n"/>
      <c r="O65" s="28" t="n"/>
      <c r="P65" s="28" t="n"/>
      <c r="Q65" s="28" t="n"/>
      <c r="R65" s="29" t="inlineStr">
        <is>
          <t>差旅费（成本３）</t>
        </is>
      </c>
      <c r="S65" s="20" t="n">
        <v>0</v>
      </c>
      <c r="T65" s="20">
        <f>SUM(AO65:BC65)</f>
        <v/>
      </c>
      <c r="U65" s="21">
        <f>SUM(BA65:BC65)</f>
        <v/>
      </c>
      <c r="V65" s="20">
        <f>SUM(AO65:AZ65)</f>
        <v/>
      </c>
      <c r="W65" s="20">
        <f>SUM(AP65:AZ65)</f>
        <v/>
      </c>
      <c r="X65" s="20" t="n">
        <v>0</v>
      </c>
      <c r="Y65" s="20" t="n">
        <v>0</v>
      </c>
      <c r="Z65" s="20">
        <f>SUM(AS65:AZ65)</f>
        <v/>
      </c>
      <c r="AA65" s="20">
        <f>SUM(AT65:AZ65)</f>
        <v/>
      </c>
      <c r="AB65" s="20">
        <f>SUM(AU65:AZ65)</f>
        <v/>
      </c>
      <c r="AC65" s="20">
        <f>SUM(AV65:AZ65)</f>
        <v/>
      </c>
      <c r="AD65" s="20">
        <f>SUM(AW65:AZ65)</f>
        <v/>
      </c>
      <c r="AE65" s="20">
        <f>SUM(AX65:AZ65)</f>
        <v/>
      </c>
      <c r="AF65" s="20">
        <f>SUM(AY65:AZ65)</f>
        <v/>
      </c>
      <c r="AG65" s="20">
        <f>SUM(AZ65:AZ65)</f>
        <v/>
      </c>
      <c r="AH65" s="22" t="n">
        <v>0</v>
      </c>
      <c r="AI65" s="22" t="n">
        <v>0</v>
      </c>
      <c r="AJ65" s="28" t="n"/>
      <c r="AK65" s="28" t="n"/>
      <c r="AL65" s="28" t="n"/>
      <c r="AM65" s="28" t="n"/>
      <c r="AN65" s="28" t="n"/>
      <c r="AO65" s="20" t="n">
        <v>0</v>
      </c>
      <c r="AP65" s="20" t="n">
        <v>0</v>
      </c>
      <c r="AQ65" s="20" t="n">
        <v>0</v>
      </c>
      <c r="AR65" s="20" t="n">
        <v>0</v>
      </c>
      <c r="AS65" s="20" t="n">
        <v>0</v>
      </c>
      <c r="AT65" s="20" t="n">
        <v>0</v>
      </c>
      <c r="AU65" s="20" t="n">
        <v>0</v>
      </c>
      <c r="AV65" s="20" t="n">
        <v>0</v>
      </c>
      <c r="AW65" s="20" t="n">
        <v>0</v>
      </c>
      <c r="AX65" s="20" t="n">
        <v>0</v>
      </c>
      <c r="AY65" s="20" t="n">
        <v>0</v>
      </c>
      <c r="AZ65" s="20" t="n">
        <v>0</v>
      </c>
      <c r="BA65" s="49" t="n">
        <v>0</v>
      </c>
      <c r="BB65" s="21" t="n">
        <v>0</v>
      </c>
      <c r="BC65" s="61" t="n">
        <v>0</v>
      </c>
      <c r="BD65" s="27" t="inlineStr"/>
    </row>
    <row r="66">
      <c r="A66" s="28" t="n"/>
      <c r="B66" s="28" t="n"/>
      <c r="C66" s="28" t="n"/>
      <c r="D66" s="28" t="n"/>
      <c r="E66" s="28" t="n"/>
      <c r="F66" s="28" t="n"/>
      <c r="G66" s="28" t="n"/>
      <c r="H66" s="28" t="n"/>
      <c r="I66" s="28" t="n"/>
      <c r="J66" s="28" t="n"/>
      <c r="K66" s="28" t="n"/>
      <c r="L66" s="28" t="n"/>
      <c r="M66" s="28" t="n"/>
      <c r="N66" s="28" t="n"/>
      <c r="O66" s="28" t="n"/>
      <c r="P66" s="28" t="n"/>
      <c r="Q66" s="28" t="n"/>
      <c r="R66" s="29" t="inlineStr">
        <is>
          <t>其他成本（成本３）</t>
        </is>
      </c>
      <c r="S66" s="20" t="n">
        <v>0</v>
      </c>
      <c r="T66" s="20">
        <f>SUM(AO66:BC66)</f>
        <v/>
      </c>
      <c r="U66" s="21">
        <f>SUM(BA66:BC66)</f>
        <v/>
      </c>
      <c r="V66" s="20">
        <f>SUM(AO66:AZ66)</f>
        <v/>
      </c>
      <c r="W66" s="20">
        <f>SUM(AP66:AZ66)</f>
        <v/>
      </c>
      <c r="X66" s="20" t="n">
        <v>0</v>
      </c>
      <c r="Y66" s="20" t="n">
        <v>0</v>
      </c>
      <c r="Z66" s="20">
        <f>SUM(AS66:AZ66)</f>
        <v/>
      </c>
      <c r="AA66" s="20">
        <f>SUM(AT66:AZ66)</f>
        <v/>
      </c>
      <c r="AB66" s="20">
        <f>SUM(AU66:AZ66)</f>
        <v/>
      </c>
      <c r="AC66" s="20">
        <f>SUM(AV66:AZ66)</f>
        <v/>
      </c>
      <c r="AD66" s="20">
        <f>SUM(AW66:AZ66)</f>
        <v/>
      </c>
      <c r="AE66" s="20">
        <f>SUM(AX66:AZ66)</f>
        <v/>
      </c>
      <c r="AF66" s="20">
        <f>SUM(AY66:AZ66)</f>
        <v/>
      </c>
      <c r="AG66" s="20">
        <f>SUM(AZ66:AZ66)</f>
        <v/>
      </c>
      <c r="AH66" s="22" t="n">
        <v>0</v>
      </c>
      <c r="AI66" s="22" t="n">
        <v>0</v>
      </c>
      <c r="AJ66" s="28" t="n"/>
      <c r="AK66" s="28" t="n"/>
      <c r="AL66" s="28" t="n"/>
      <c r="AM66" s="28" t="n"/>
      <c r="AN66" s="28" t="n"/>
      <c r="AO66" s="20" t="n">
        <v>0</v>
      </c>
      <c r="AP66" s="20" t="n">
        <v>0</v>
      </c>
      <c r="AQ66" s="20" t="n">
        <v>0</v>
      </c>
      <c r="AR66" s="20" t="n">
        <v>0</v>
      </c>
      <c r="AS66" s="20" t="n">
        <v>0</v>
      </c>
      <c r="AT66" s="20" t="n">
        <v>0</v>
      </c>
      <c r="AU66" s="20" t="n">
        <v>0</v>
      </c>
      <c r="AV66" s="20" t="n">
        <v>0</v>
      </c>
      <c r="AW66" s="20" t="n">
        <v>0</v>
      </c>
      <c r="AX66" s="20" t="n">
        <v>0</v>
      </c>
      <c r="AY66" s="20" t="n">
        <v>0</v>
      </c>
      <c r="AZ66" s="20" t="n">
        <v>-16.3</v>
      </c>
      <c r="BA66" s="49" t="n">
        <v>-56.65</v>
      </c>
      <c r="BB66" s="21" t="n">
        <v>0</v>
      </c>
      <c r="BC66" s="61" t="n">
        <v>0</v>
      </c>
      <c r="BD66" s="27" t="inlineStr"/>
    </row>
    <row r="67">
      <c r="A67" s="28" t="n"/>
      <c r="B67" s="28" t="n"/>
      <c r="C67" s="28" t="n"/>
      <c r="D67" s="28" t="n"/>
      <c r="E67" s="28" t="n"/>
      <c r="F67" s="28" t="n"/>
      <c r="G67" s="28" t="n"/>
      <c r="H67" s="28" t="n"/>
      <c r="I67" s="28" t="n"/>
      <c r="J67" s="28" t="n"/>
      <c r="K67" s="28" t="n"/>
      <c r="L67" s="28" t="n"/>
      <c r="M67" s="28" t="n"/>
      <c r="N67" s="28" t="n"/>
      <c r="O67" s="28" t="n"/>
      <c r="P67" s="28" t="n"/>
      <c r="Q67" s="28" t="n"/>
      <c r="R67" s="29" t="inlineStr">
        <is>
          <t>累计成本</t>
        </is>
      </c>
      <c r="S67" s="30">
        <f>SUM(S63:S66)</f>
        <v/>
      </c>
      <c r="T67" s="30">
        <f>SUM(T63:T66)</f>
        <v/>
      </c>
      <c r="U67" s="31">
        <f>SUM(U63:U66)</f>
        <v/>
      </c>
      <c r="V67" s="30">
        <f>SUM(V63:V66)</f>
        <v/>
      </c>
      <c r="W67" s="30">
        <f>SUM(W63:W66)</f>
        <v/>
      </c>
      <c r="X67" s="30">
        <f>SUM(X63:X66)</f>
        <v/>
      </c>
      <c r="Y67" s="30">
        <f>SUM(Y63:Y66)</f>
        <v/>
      </c>
      <c r="Z67" s="30">
        <f>SUM(Z63:Z66)</f>
        <v/>
      </c>
      <c r="AA67" s="30">
        <f>SUM(AA63:AA66)</f>
        <v/>
      </c>
      <c r="AB67" s="30">
        <f>SUM(AB63:AB66)</f>
        <v/>
      </c>
      <c r="AC67" s="30">
        <f>SUM(AC63:AC66)</f>
        <v/>
      </c>
      <c r="AD67" s="30">
        <f>SUM(AD63:AD66)</f>
        <v/>
      </c>
      <c r="AE67" s="30">
        <f>SUM(AE63:AE66)</f>
        <v/>
      </c>
      <c r="AF67" s="30">
        <f>SUM(AF63:AF66)</f>
        <v/>
      </c>
      <c r="AG67" s="30">
        <f>SUM(AG63:AG66)</f>
        <v/>
      </c>
      <c r="AH67" s="30">
        <f>SUM(AH63:AH66)</f>
        <v/>
      </c>
      <c r="AI67" s="30">
        <f>SUM(AI63:AI66)</f>
        <v/>
      </c>
      <c r="AJ67" s="28" t="n"/>
      <c r="AK67" s="28" t="n"/>
      <c r="AL67" s="28" t="n"/>
      <c r="AM67" s="28" t="n"/>
      <c r="AN67" s="28" t="n"/>
      <c r="AO67" s="30">
        <f>SUM(AO63:AO66)</f>
        <v/>
      </c>
      <c r="AP67" s="30">
        <f>SUM(AP63:AP66)</f>
        <v/>
      </c>
      <c r="AQ67" s="30">
        <f>SUM(AQ63:AQ66)</f>
        <v/>
      </c>
      <c r="AR67" s="30">
        <f>SUM(AR63:AR66)</f>
        <v/>
      </c>
      <c r="AS67" s="30">
        <f>SUM(AS63:AS66)</f>
        <v/>
      </c>
      <c r="AT67" s="30">
        <f>SUM(AT63:AT66)</f>
        <v/>
      </c>
      <c r="AU67" s="30">
        <f>SUM(AU63:AU66)</f>
        <v/>
      </c>
      <c r="AV67" s="30">
        <f>SUM(AV63:AV66)</f>
        <v/>
      </c>
      <c r="AW67" s="30">
        <f>SUM(AW63:AW66)</f>
        <v/>
      </c>
      <c r="AX67" s="30">
        <f>SUM(AX63:AX66)</f>
        <v/>
      </c>
      <c r="AY67" s="30" t="n">
        <v>4136.15</v>
      </c>
      <c r="AZ67" s="30">
        <f>SUM(AZ63:AZ66)</f>
        <v/>
      </c>
      <c r="BA67" s="53" t="n">
        <v>-56.65</v>
      </c>
      <c r="BB67" s="31">
        <f>SUM(BB63:BB66)</f>
        <v/>
      </c>
      <c r="BC67" s="54">
        <f>SUM(BC63:BC66)</f>
        <v/>
      </c>
      <c r="BD67" s="32" t="inlineStr"/>
    </row>
    <row r="68">
      <c r="A68" s="28" t="n"/>
      <c r="B68" s="28" t="n"/>
      <c r="C68" s="28" t="n"/>
      <c r="D68" s="28" t="n"/>
      <c r="E68" s="28" t="n"/>
      <c r="F68" s="28" t="n"/>
      <c r="G68" s="28" t="n"/>
      <c r="H68" s="28" t="n"/>
      <c r="I68" s="28" t="n"/>
      <c r="J68" s="28" t="n"/>
      <c r="K68" s="28" t="n"/>
      <c r="L68" s="28" t="n"/>
      <c r="M68" s="28" t="n"/>
      <c r="N68" s="28" t="n"/>
      <c r="O68" s="28" t="n"/>
      <c r="P68" s="28" t="n"/>
      <c r="Q68" s="28" t="n"/>
      <c r="R68" s="29" t="inlineStr">
        <is>
          <t>GP1毛利</t>
        </is>
      </c>
      <c r="S68" s="20">
        <f>S62-S63</f>
        <v/>
      </c>
      <c r="T68" s="20">
        <f>T62-T63</f>
        <v/>
      </c>
      <c r="U68" s="21">
        <f>U62-U63</f>
        <v/>
      </c>
      <c r="V68" s="20">
        <f>V62-V63</f>
        <v/>
      </c>
      <c r="W68" s="20">
        <f>W62-W63</f>
        <v/>
      </c>
      <c r="X68" s="20" t="n">
        <v>0</v>
      </c>
      <c r="Y68" s="20" t="n">
        <v>0</v>
      </c>
      <c r="Z68" s="20">
        <f>Z62-Z63</f>
        <v/>
      </c>
      <c r="AA68" s="20">
        <f>AA62-AA63</f>
        <v/>
      </c>
      <c r="AB68" s="20">
        <f>AB62-AB63</f>
        <v/>
      </c>
      <c r="AC68" s="20">
        <f>AC62-AC63</f>
        <v/>
      </c>
      <c r="AD68" s="20">
        <f>AD62-AD63</f>
        <v/>
      </c>
      <c r="AE68" s="20">
        <f>AE62-AE63</f>
        <v/>
      </c>
      <c r="AF68" s="20">
        <f>AF62-AF63</f>
        <v/>
      </c>
      <c r="AG68" s="20">
        <f>AG62-AG63</f>
        <v/>
      </c>
      <c r="AH68" s="33" t="n">
        <v>0</v>
      </c>
      <c r="AI68" s="33" t="n">
        <v>0</v>
      </c>
      <c r="AJ68" s="28" t="n"/>
      <c r="AK68" s="28" t="n"/>
      <c r="AL68" s="28" t="n"/>
      <c r="AM68" s="28" t="n"/>
      <c r="AN68" s="28" t="n"/>
      <c r="AO68" s="20">
        <f>AO62-AO63</f>
        <v/>
      </c>
      <c r="AP68" s="20">
        <f>AP62-AP63</f>
        <v/>
      </c>
      <c r="AQ68" s="20">
        <f>AQ62-AQ63</f>
        <v/>
      </c>
      <c r="AR68" s="20">
        <f>AR62-AR63</f>
        <v/>
      </c>
      <c r="AS68" s="20">
        <f>AS62-AS63</f>
        <v/>
      </c>
      <c r="AT68" s="20">
        <f>AT62-AT63</f>
        <v/>
      </c>
      <c r="AU68" s="20">
        <f>AU62-AU63</f>
        <v/>
      </c>
      <c r="AV68" s="20">
        <f>AV62-AV63</f>
        <v/>
      </c>
      <c r="AW68" s="20">
        <f>AW62-AW63</f>
        <v/>
      </c>
      <c r="AX68" s="20">
        <f>AX62-AX63</f>
        <v/>
      </c>
      <c r="AY68" s="20">
        <f>AY62-AY63</f>
        <v/>
      </c>
      <c r="AZ68" s="20">
        <f>AZ62-AZ63</f>
        <v/>
      </c>
      <c r="BA68" s="55" t="n">
        <v>15477.62</v>
      </c>
      <c r="BB68" s="31" t="n">
        <v>0</v>
      </c>
      <c r="BC68" s="61" t="n">
        <v>0</v>
      </c>
      <c r="BD68" s="27" t="inlineStr"/>
    </row>
    <row r="69">
      <c r="A69" s="28" t="n"/>
      <c r="B69" s="28" t="n"/>
      <c r="C69" s="28" t="n"/>
      <c r="D69" s="28" t="n"/>
      <c r="E69" s="28" t="n"/>
      <c r="F69" s="28" t="n"/>
      <c r="G69" s="28" t="n"/>
      <c r="H69" s="28" t="n"/>
      <c r="I69" s="28" t="n"/>
      <c r="J69" s="28" t="n"/>
      <c r="K69" s="28" t="n"/>
      <c r="L69" s="28" t="n"/>
      <c r="M69" s="28" t="n"/>
      <c r="N69" s="28" t="n"/>
      <c r="O69" s="28" t="n"/>
      <c r="P69" s="28" t="n"/>
      <c r="Q69" s="28" t="n"/>
      <c r="R69" s="35" t="inlineStr">
        <is>
          <t>GP1毛利率(%)</t>
        </is>
      </c>
      <c r="S69" s="36">
        <f>S68/S62</f>
        <v/>
      </c>
      <c r="T69" s="36">
        <f>T68/T62</f>
        <v/>
      </c>
      <c r="U69" s="37">
        <f>U68/U62</f>
        <v/>
      </c>
      <c r="V69" s="36">
        <f>V68/V62</f>
        <v/>
      </c>
      <c r="W69" s="36">
        <f>W68/W62</f>
        <v/>
      </c>
      <c r="X69" s="36" t="n">
        <v>0</v>
      </c>
      <c r="Y69" s="36" t="n">
        <v>0</v>
      </c>
      <c r="Z69" s="36">
        <f>Z68/Z62</f>
        <v/>
      </c>
      <c r="AA69" s="36">
        <f>AA68/AA62</f>
        <v/>
      </c>
      <c r="AB69" s="36">
        <f>AB68/AB62</f>
        <v/>
      </c>
      <c r="AC69" s="36">
        <f>AC68/AC62</f>
        <v/>
      </c>
      <c r="AD69" s="36">
        <f>AD68/AD62</f>
        <v/>
      </c>
      <c r="AE69" s="36">
        <f>AE68/AE62</f>
        <v/>
      </c>
      <c r="AF69" s="36">
        <f>AF68/AF62</f>
        <v/>
      </c>
      <c r="AG69" s="36">
        <f>AG68/AG62</f>
        <v/>
      </c>
      <c r="AH69" s="38">
        <f>T69-S69</f>
        <v/>
      </c>
      <c r="AI69" s="38">
        <f>AF69-S69</f>
        <v/>
      </c>
      <c r="AJ69" s="28" t="n"/>
      <c r="AK69" s="28" t="n"/>
      <c r="AL69" s="28" t="n"/>
      <c r="AM69" s="28" t="n"/>
      <c r="AN69" s="28" t="n"/>
      <c r="AO69" s="36">
        <f>AO68/AO62</f>
        <v/>
      </c>
      <c r="AP69" s="36">
        <f>AP68/AP62</f>
        <v/>
      </c>
      <c r="AQ69" s="36">
        <f>AQ68/AQ62</f>
        <v/>
      </c>
      <c r="AR69" s="36">
        <f>AR68/AR62</f>
        <v/>
      </c>
      <c r="AS69" s="36">
        <f>AS68/AS62</f>
        <v/>
      </c>
      <c r="AT69" s="36">
        <f>AT68/AT62</f>
        <v/>
      </c>
      <c r="AU69" s="36">
        <f>AU68/AU62</f>
        <v/>
      </c>
      <c r="AV69" s="36">
        <f>AV68/AV62</f>
        <v/>
      </c>
      <c r="AW69" s="36">
        <f>AW68/AW62</f>
        <v/>
      </c>
      <c r="AX69" s="36">
        <f>AX68/AX62</f>
        <v/>
      </c>
      <c r="AY69" s="36">
        <f>AY68/AY62</f>
        <v/>
      </c>
      <c r="AZ69" s="36">
        <f>AZ68/AZ62</f>
        <v/>
      </c>
      <c r="BA69" s="56" t="n">
        <v>1</v>
      </c>
      <c r="BB69" s="39" t="n">
        <v>0</v>
      </c>
      <c r="BC69" s="61" t="n">
        <v>0</v>
      </c>
      <c r="BD69" s="27" t="inlineStr"/>
    </row>
    <row r="70">
      <c r="A70" s="28" t="n"/>
      <c r="B70" s="28" t="n"/>
      <c r="C70" s="28" t="n"/>
      <c r="D70" s="28" t="n"/>
      <c r="E70" s="28" t="n"/>
      <c r="F70" s="28" t="n"/>
      <c r="G70" s="28" t="n"/>
      <c r="H70" s="28" t="n"/>
      <c r="I70" s="28" t="n"/>
      <c r="J70" s="28" t="n"/>
      <c r="K70" s="28" t="n"/>
      <c r="L70" s="28" t="n"/>
      <c r="M70" s="28" t="n"/>
      <c r="N70" s="28" t="n"/>
      <c r="O70" s="28" t="n"/>
      <c r="P70" s="28" t="n"/>
      <c r="Q70" s="28" t="n"/>
      <c r="R70" s="29" t="inlineStr">
        <is>
          <t>GP3毛利</t>
        </is>
      </c>
      <c r="S70" s="20">
        <f>S62-S67</f>
        <v/>
      </c>
      <c r="T70" s="20">
        <f>T62-T67</f>
        <v/>
      </c>
      <c r="U70" s="20">
        <f>U62-U67</f>
        <v/>
      </c>
      <c r="V70" s="20">
        <f>V62-V67</f>
        <v/>
      </c>
      <c r="W70" s="20">
        <f>W62-W67</f>
        <v/>
      </c>
      <c r="X70" s="20">
        <f>X62-X67</f>
        <v/>
      </c>
      <c r="Y70" s="20">
        <f>Y62-Y67</f>
        <v/>
      </c>
      <c r="Z70" s="20">
        <f>Z62-Z67</f>
        <v/>
      </c>
      <c r="AA70" s="20">
        <f>AA62-AA67</f>
        <v/>
      </c>
      <c r="AB70" s="20">
        <f>AB62-AB67</f>
        <v/>
      </c>
      <c r="AC70" s="20">
        <f>AC62-AC67</f>
        <v/>
      </c>
      <c r="AD70" s="20">
        <f>AD62-AD67</f>
        <v/>
      </c>
      <c r="AE70" s="20">
        <f>AE62-AE67</f>
        <v/>
      </c>
      <c r="AF70" s="20">
        <f>AF62-AF67</f>
        <v/>
      </c>
      <c r="AG70" s="20">
        <f>AG62-AG67</f>
        <v/>
      </c>
      <c r="AH70" s="38" t="n">
        <v>0</v>
      </c>
      <c r="AI70" s="38" t="n">
        <v>0</v>
      </c>
      <c r="AJ70" s="28" t="n"/>
      <c r="AK70" s="28" t="n"/>
      <c r="AL70" s="28" t="n"/>
      <c r="AM70" s="28" t="n"/>
      <c r="AN70" s="28" t="n"/>
      <c r="AO70" s="20">
        <f>AO62-AO67</f>
        <v/>
      </c>
      <c r="AP70" s="20">
        <f>AP62-AP67</f>
        <v/>
      </c>
      <c r="AQ70" s="20">
        <f>AQ62-AQ67</f>
        <v/>
      </c>
      <c r="AR70" s="20">
        <f>AR62-AR67</f>
        <v/>
      </c>
      <c r="AS70" s="20">
        <f>AS62-AS67</f>
        <v/>
      </c>
      <c r="AT70" s="20">
        <f>AT62-AT67</f>
        <v/>
      </c>
      <c r="AU70" s="20">
        <f>AU62-AU67</f>
        <v/>
      </c>
      <c r="AV70" s="20">
        <f>AV62-AV67</f>
        <v/>
      </c>
      <c r="AW70" s="20">
        <f>AW62-AW67</f>
        <v/>
      </c>
      <c r="AX70" s="20">
        <f>AX62-AX67</f>
        <v/>
      </c>
      <c r="AY70" s="20">
        <f>AY62-AY67</f>
        <v/>
      </c>
      <c r="AZ70" s="20">
        <f>AZ62-AZ67</f>
        <v/>
      </c>
      <c r="BA70" s="20">
        <f>BA62-BA67</f>
        <v/>
      </c>
      <c r="BB70" s="20">
        <f>BB62-BB67</f>
        <v/>
      </c>
      <c r="BC70" s="20">
        <f>BC62-BC67</f>
        <v/>
      </c>
      <c r="BD70" s="27" t="inlineStr"/>
    </row>
    <row r="71">
      <c r="A71" s="41" t="n"/>
      <c r="B71" s="41" t="n"/>
      <c r="C71" s="41" t="n"/>
      <c r="D71" s="41" t="n"/>
      <c r="E71" s="41" t="n"/>
      <c r="F71" s="41" t="n"/>
      <c r="G71" s="41" t="n"/>
      <c r="H71" s="41" t="n"/>
      <c r="I71" s="41" t="n"/>
      <c r="J71" s="41" t="n"/>
      <c r="K71" s="41" t="n"/>
      <c r="L71" s="41" t="n"/>
      <c r="M71" s="41" t="n"/>
      <c r="N71" s="41" t="n"/>
      <c r="O71" s="41" t="n"/>
      <c r="P71" s="41" t="n"/>
      <c r="Q71" s="41" t="n"/>
      <c r="R71" s="35" t="inlineStr">
        <is>
          <t>GP3毛利率(%)</t>
        </is>
      </c>
      <c r="S71" s="36">
        <f>S70/S62</f>
        <v/>
      </c>
      <c r="T71" s="36">
        <f>T70/T62</f>
        <v/>
      </c>
      <c r="U71" s="37">
        <f>U70/U62</f>
        <v/>
      </c>
      <c r="V71" s="36">
        <f>V70/V62</f>
        <v/>
      </c>
      <c r="W71" s="36">
        <f>W70/W62</f>
        <v/>
      </c>
      <c r="X71" s="36" t="n">
        <v>0</v>
      </c>
      <c r="Y71" s="36" t="n">
        <v>0</v>
      </c>
      <c r="Z71" s="36">
        <f>Z70/Z62</f>
        <v/>
      </c>
      <c r="AA71" s="36">
        <f>AA70/AA62</f>
        <v/>
      </c>
      <c r="AB71" s="36">
        <f>AB70/AB62</f>
        <v/>
      </c>
      <c r="AC71" s="36">
        <f>AC70/AC62</f>
        <v/>
      </c>
      <c r="AD71" s="36">
        <f>AD70/AD62</f>
        <v/>
      </c>
      <c r="AE71" s="36">
        <f>AE70/AE62</f>
        <v/>
      </c>
      <c r="AF71" s="36">
        <f>AF70/AF62</f>
        <v/>
      </c>
      <c r="AG71" s="36">
        <f>AG70/AG62</f>
        <v/>
      </c>
      <c r="AH71" s="38">
        <f>T71-S71</f>
        <v/>
      </c>
      <c r="AI71" s="38">
        <f>AF71-S71</f>
        <v/>
      </c>
      <c r="AJ71" s="41" t="n"/>
      <c r="AK71" s="41" t="n"/>
      <c r="AL71" s="41" t="n"/>
      <c r="AM71" s="41" t="n"/>
      <c r="AN71" s="41" t="n"/>
      <c r="AO71" s="36">
        <f>AO70/AO62</f>
        <v/>
      </c>
      <c r="AP71" s="36">
        <f>AP70/AP62</f>
        <v/>
      </c>
      <c r="AQ71" s="36">
        <f>AQ70/AQ62</f>
        <v/>
      </c>
      <c r="AR71" s="36">
        <f>AR70/AR62</f>
        <v/>
      </c>
      <c r="AS71" s="36">
        <f>AS70/AS62</f>
        <v/>
      </c>
      <c r="AT71" s="36">
        <f>AT70/AT62</f>
        <v/>
      </c>
      <c r="AU71" s="36">
        <f>AU70/AU62</f>
        <v/>
      </c>
      <c r="AV71" s="36">
        <f>AV70/AV62</f>
        <v/>
      </c>
      <c r="AW71" s="36">
        <f>AW70/AW62</f>
        <v/>
      </c>
      <c r="AX71" s="36">
        <f>AX70/AX62</f>
        <v/>
      </c>
      <c r="AY71" s="36">
        <f>AY70/AY62</f>
        <v/>
      </c>
      <c r="AZ71" s="36">
        <f>AZ70/AZ62</f>
        <v/>
      </c>
      <c r="BA71" s="56" t="n">
        <v>1.00366012345567</v>
      </c>
      <c r="BB71" s="39" t="n">
        <v>0</v>
      </c>
      <c r="BC71" s="61" t="n">
        <v>0</v>
      </c>
      <c r="BD71" s="27" t="inlineStr"/>
    </row>
    <row r="72">
      <c r="A72" s="42" t="inlineStr">
        <is>
          <t>P202512000483</t>
        </is>
      </c>
      <c r="B72" s="43" t="inlineStr">
        <is>
          <t>审计署审计干部培训中心（审计宣传中心）-信息报送系统2026年度运维服务合同-FP项目</t>
        </is>
      </c>
      <c r="C72" s="44" t="n">
        <v>46023</v>
      </c>
      <c r="D72" s="44" t="n">
        <v>46387</v>
      </c>
      <c r="E72" s="15" t="n"/>
      <c r="F72" s="16" t="inlineStr">
        <is>
          <t xml:space="preserve"> -   </t>
        </is>
      </c>
      <c r="G72" s="18" t="n">
        <v>0</v>
      </c>
      <c r="H72" s="18" t="n"/>
      <c r="I72" s="18" t="n"/>
      <c r="J72" s="18" t="n"/>
      <c r="K72" s="18" t="n"/>
      <c r="L72" s="18" t="n"/>
      <c r="M72" s="18" t="n"/>
      <c r="N72" s="18" t="n"/>
      <c r="O72" s="18" t="n"/>
      <c r="P72" s="15" t="n"/>
      <c r="Q72" s="18" t="inlineStr"/>
      <c r="R72" s="47" t="inlineStr">
        <is>
          <t>累计收入（NR）</t>
        </is>
      </c>
      <c r="S72" s="20" t="n">
        <v>66037.74000000001</v>
      </c>
      <c r="T72" s="20" t="n">
        <v>0</v>
      </c>
      <c r="U72" s="21">
        <f>SUM(BA72:BC72)</f>
        <v/>
      </c>
      <c r="V72" s="20">
        <f>SUM(AO72:AZ72)</f>
        <v/>
      </c>
      <c r="W72" s="20">
        <f>SUM(AP72:AZ72)</f>
        <v/>
      </c>
      <c r="X72" s="20" t="n">
        <v>0</v>
      </c>
      <c r="Y72" s="20" t="n">
        <v>0</v>
      </c>
      <c r="Z72" s="20">
        <f>SUM(AS72:AZ72)</f>
        <v/>
      </c>
      <c r="AA72" s="20">
        <f>SUM(AT72:AZ72)</f>
        <v/>
      </c>
      <c r="AB72" s="20">
        <f>SUM(AU72:AZ72)</f>
        <v/>
      </c>
      <c r="AC72" s="20">
        <f>SUM(AV72:AZ72)</f>
        <v/>
      </c>
      <c r="AD72" s="20">
        <f>SUM(AW72:AZ72)</f>
        <v/>
      </c>
      <c r="AE72" s="20">
        <f>SUM(AX72:AZ72)</f>
        <v/>
      </c>
      <c r="AF72" s="20">
        <f>SUM(AY72:AZ72)</f>
        <v/>
      </c>
      <c r="AG72" s="20">
        <f>SUM(AZ72:AZ72)</f>
        <v/>
      </c>
      <c r="AH72" s="22" t="n">
        <v>0</v>
      </c>
      <c r="AI72" s="22" t="n">
        <v>0</v>
      </c>
      <c r="AJ72" s="43" t="inlineStr"/>
      <c r="AK72" s="48" t="inlineStr"/>
      <c r="AL72" s="48" t="inlineStr"/>
      <c r="AM72" s="48" t="inlineStr"/>
      <c r="AN72" s="16" t="n"/>
      <c r="AO72" s="20" t="n">
        <v>0</v>
      </c>
      <c r="AP72" s="20" t="n">
        <v>0</v>
      </c>
      <c r="AQ72" s="20" t="n">
        <v>0</v>
      </c>
      <c r="AR72" s="20" t="n">
        <v>0</v>
      </c>
      <c r="AS72" s="20" t="n">
        <v>0</v>
      </c>
      <c r="AT72" s="20" t="n">
        <v>0</v>
      </c>
      <c r="AU72" s="20" t="n">
        <v>0</v>
      </c>
      <c r="AV72" s="20" t="n">
        <v>0</v>
      </c>
      <c r="AW72" s="20" t="n">
        <v>0</v>
      </c>
      <c r="AX72" s="20" t="n">
        <v>5608.65</v>
      </c>
      <c r="AY72" s="20" t="n">
        <v>5065.89</v>
      </c>
      <c r="AZ72" s="20" t="n">
        <v>5608.72</v>
      </c>
      <c r="BA72" s="49" t="n">
        <v>-297.88</v>
      </c>
      <c r="BB72" s="21" t="n">
        <v>0</v>
      </c>
      <c r="BC72" s="61" t="n">
        <v>0</v>
      </c>
      <c r="BD72" s="27" t="inlineStr"/>
    </row>
    <row r="73">
      <c r="A73" s="28" t="n"/>
      <c r="B73" s="28" t="n"/>
      <c r="C73" s="28" t="n"/>
      <c r="D73" s="28" t="n"/>
      <c r="E73" s="28" t="n"/>
      <c r="F73" s="28" t="n"/>
      <c r="G73" s="28" t="n"/>
      <c r="H73" s="28" t="n"/>
      <c r="I73" s="28" t="n"/>
      <c r="J73" s="28" t="n"/>
      <c r="K73" s="28" t="n"/>
      <c r="L73" s="28" t="n"/>
      <c r="M73" s="28" t="n"/>
      <c r="N73" s="28" t="n"/>
      <c r="O73" s="28" t="n"/>
      <c r="P73" s="28" t="n"/>
      <c r="Q73" s="28" t="n"/>
      <c r="R73" s="29" t="inlineStr">
        <is>
          <t>人工成本（成本１）</t>
        </is>
      </c>
      <c r="S73" s="20" t="n">
        <v>47233.8</v>
      </c>
      <c r="T73" s="20" t="n">
        <v>0</v>
      </c>
      <c r="U73" s="21">
        <f>SUM(BA73:BC73)</f>
        <v/>
      </c>
      <c r="V73" s="20">
        <f>SUM(AO73:AZ73)</f>
        <v/>
      </c>
      <c r="W73" s="20">
        <f>SUM(AP73:AZ73)</f>
        <v/>
      </c>
      <c r="X73" s="20" t="n">
        <v>0</v>
      </c>
      <c r="Y73" s="20" t="n">
        <v>0</v>
      </c>
      <c r="Z73" s="20">
        <f>SUM(AS73:AZ73)</f>
        <v/>
      </c>
      <c r="AA73" s="20">
        <f>SUM(AT73:AZ73)</f>
        <v/>
      </c>
      <c r="AB73" s="20">
        <f>SUM(AU73:AZ73)</f>
        <v/>
      </c>
      <c r="AC73" s="20">
        <f>SUM(AV73:AZ73)</f>
        <v/>
      </c>
      <c r="AD73" s="20">
        <f>SUM(AW73:AZ73)</f>
        <v/>
      </c>
      <c r="AE73" s="20">
        <f>SUM(AX73:AZ73)</f>
        <v/>
      </c>
      <c r="AF73" s="20">
        <f>SUM(AY73:AZ73)</f>
        <v/>
      </c>
      <c r="AG73" s="20">
        <f>SUM(AZ73:AZ73)</f>
        <v/>
      </c>
      <c r="AH73" s="22" t="n">
        <v>0</v>
      </c>
      <c r="AI73" s="22" t="n">
        <v>0</v>
      </c>
      <c r="AJ73" s="28" t="n"/>
      <c r="AK73" s="28" t="n"/>
      <c r="AL73" s="28" t="n"/>
      <c r="AM73" s="28" t="n"/>
      <c r="AN73" s="28" t="n"/>
      <c r="AO73" s="20" t="n">
        <v>0</v>
      </c>
      <c r="AP73" s="20" t="n">
        <v>0</v>
      </c>
      <c r="AQ73" s="20" t="n">
        <v>0</v>
      </c>
      <c r="AR73" s="20" t="n">
        <v>0</v>
      </c>
      <c r="AS73" s="20" t="n">
        <v>0</v>
      </c>
      <c r="AT73" s="20" t="n">
        <v>0</v>
      </c>
      <c r="AU73" s="20" t="n">
        <v>0</v>
      </c>
      <c r="AV73" s="20" t="n">
        <v>0</v>
      </c>
      <c r="AW73" s="20" t="n">
        <v>0</v>
      </c>
      <c r="AX73" s="20" t="n">
        <v>0</v>
      </c>
      <c r="AY73" s="20" t="n">
        <v>0.01</v>
      </c>
      <c r="AZ73" s="20" t="n">
        <v>4659.53</v>
      </c>
      <c r="BA73" s="49" t="n">
        <v>0</v>
      </c>
      <c r="BB73" s="21" t="n">
        <v>0</v>
      </c>
      <c r="BC73" s="61" t="n">
        <v>0</v>
      </c>
      <c r="BD73" s="27" t="inlineStr"/>
    </row>
    <row r="74">
      <c r="A74" s="28" t="n"/>
      <c r="B74" s="28" t="n"/>
      <c r="C74" s="28" t="n"/>
      <c r="D74" s="28" t="n"/>
      <c r="E74" s="28" t="n"/>
      <c r="F74" s="28" t="n"/>
      <c r="G74" s="28" t="n"/>
      <c r="H74" s="28" t="n"/>
      <c r="I74" s="28" t="n"/>
      <c r="J74" s="28" t="n"/>
      <c r="K74" s="28" t="n"/>
      <c r="L74" s="28" t="n"/>
      <c r="M74" s="28" t="n"/>
      <c r="N74" s="28" t="n"/>
      <c r="O74" s="28" t="n"/>
      <c r="P74" s="28" t="n"/>
      <c r="Q74" s="28" t="n"/>
      <c r="R74" s="29" t="inlineStr">
        <is>
          <t>闲置成本（成本2）</t>
        </is>
      </c>
      <c r="S74" s="20" t="n">
        <v>0</v>
      </c>
      <c r="T74" s="20" t="n">
        <v>0</v>
      </c>
      <c r="U74" s="21" t="n">
        <v>0</v>
      </c>
      <c r="V74" s="20" t="n">
        <v>0</v>
      </c>
      <c r="W74" s="20" t="n">
        <v>0</v>
      </c>
      <c r="X74" s="20" t="n">
        <v>0</v>
      </c>
      <c r="Y74" s="20" t="n">
        <v>0</v>
      </c>
      <c r="Z74" s="20" t="n">
        <v>0</v>
      </c>
      <c r="AA74" s="20" t="n">
        <v>0</v>
      </c>
      <c r="AB74" s="20" t="n">
        <v>0</v>
      </c>
      <c r="AC74" s="20" t="n">
        <v>0</v>
      </c>
      <c r="AD74" s="20" t="n">
        <v>0</v>
      </c>
      <c r="AE74" s="20" t="n">
        <v>0</v>
      </c>
      <c r="AF74" s="20" t="n">
        <v>0</v>
      </c>
      <c r="AG74" s="20" t="n">
        <v>0</v>
      </c>
      <c r="AH74" s="22" t="n">
        <v>0</v>
      </c>
      <c r="AI74" s="22" t="n">
        <v>0</v>
      </c>
      <c r="AJ74" s="28" t="n"/>
      <c r="AK74" s="28" t="n"/>
      <c r="AL74" s="28" t="n"/>
      <c r="AM74" s="28" t="n"/>
      <c r="AN74" s="28" t="n"/>
      <c r="AO74" s="20" t="n">
        <v>0</v>
      </c>
      <c r="AP74" s="20" t="n">
        <v>0</v>
      </c>
      <c r="AQ74" s="20" t="n">
        <v>0</v>
      </c>
      <c r="AR74" s="20" t="n">
        <v>0</v>
      </c>
      <c r="AS74" s="20" t="n">
        <v>0</v>
      </c>
      <c r="AT74" s="20" t="n">
        <v>0</v>
      </c>
      <c r="AU74" s="20" t="n">
        <v>0</v>
      </c>
      <c r="AV74" s="20" t="n">
        <v>0</v>
      </c>
      <c r="AW74" s="20" t="n">
        <v>0</v>
      </c>
      <c r="AX74" s="20" t="n">
        <v>0</v>
      </c>
      <c r="AY74" s="20" t="n">
        <v>0</v>
      </c>
      <c r="AZ74" s="20" t="n">
        <v>0</v>
      </c>
      <c r="BA74" s="49" t="n">
        <v>0</v>
      </c>
      <c r="BB74" s="21" t="n">
        <v>0</v>
      </c>
      <c r="BC74" s="61" t="n">
        <v>0</v>
      </c>
      <c r="BD74" s="27" t="inlineStr"/>
    </row>
    <row r="75">
      <c r="A75" s="28" t="n"/>
      <c r="B75" s="28" t="n"/>
      <c r="C75" s="28" t="n"/>
      <c r="D75" s="28" t="n"/>
      <c r="E75" s="28" t="n"/>
      <c r="F75" s="28" t="n"/>
      <c r="G75" s="28" t="n"/>
      <c r="H75" s="28" t="n"/>
      <c r="I75" s="28" t="n"/>
      <c r="J75" s="28" t="n"/>
      <c r="K75" s="28" t="n"/>
      <c r="L75" s="28" t="n"/>
      <c r="M75" s="28" t="n"/>
      <c r="N75" s="28" t="n"/>
      <c r="O75" s="28" t="n"/>
      <c r="P75" s="28" t="n"/>
      <c r="Q75" s="28" t="n"/>
      <c r="R75" s="29" t="inlineStr">
        <is>
          <t>差旅费（成本３）</t>
        </is>
      </c>
      <c r="S75" s="20" t="n">
        <v>8000</v>
      </c>
      <c r="T75" s="20" t="n">
        <v>0</v>
      </c>
      <c r="U75" s="21">
        <f>SUM(BA75:BC75)</f>
        <v/>
      </c>
      <c r="V75" s="20">
        <f>SUM(AO75:AZ75)</f>
        <v/>
      </c>
      <c r="W75" s="20">
        <f>SUM(AP75:AZ75)</f>
        <v/>
      </c>
      <c r="X75" s="20" t="n">
        <v>0</v>
      </c>
      <c r="Y75" s="20" t="n">
        <v>0</v>
      </c>
      <c r="Z75" s="20">
        <f>SUM(AS75:AZ75)</f>
        <v/>
      </c>
      <c r="AA75" s="20">
        <f>SUM(AT75:AZ75)</f>
        <v/>
      </c>
      <c r="AB75" s="20">
        <f>SUM(AU75:AZ75)</f>
        <v/>
      </c>
      <c r="AC75" s="20">
        <f>SUM(AV75:AZ75)</f>
        <v/>
      </c>
      <c r="AD75" s="20">
        <f>SUM(AW75:AZ75)</f>
        <v/>
      </c>
      <c r="AE75" s="20">
        <f>SUM(AX75:AZ75)</f>
        <v/>
      </c>
      <c r="AF75" s="20">
        <f>SUM(AY75:AZ75)</f>
        <v/>
      </c>
      <c r="AG75" s="20">
        <f>SUM(AZ75:AZ75)</f>
        <v/>
      </c>
      <c r="AH75" s="22" t="n">
        <v>0</v>
      </c>
      <c r="AI75" s="22" t="n">
        <v>0</v>
      </c>
      <c r="AJ75" s="28" t="n"/>
      <c r="AK75" s="28" t="n"/>
      <c r="AL75" s="28" t="n"/>
      <c r="AM75" s="28" t="n"/>
      <c r="AN75" s="28" t="n"/>
      <c r="AO75" s="20" t="n">
        <v>0</v>
      </c>
      <c r="AP75" s="20" t="n">
        <v>0</v>
      </c>
      <c r="AQ75" s="20" t="n">
        <v>0</v>
      </c>
      <c r="AR75" s="20" t="n">
        <v>0</v>
      </c>
      <c r="AS75" s="20" t="n">
        <v>0</v>
      </c>
      <c r="AT75" s="20" t="n">
        <v>0</v>
      </c>
      <c r="AU75" s="20" t="n">
        <v>0</v>
      </c>
      <c r="AV75" s="20" t="n">
        <v>0</v>
      </c>
      <c r="AW75" s="20" t="n">
        <v>0</v>
      </c>
      <c r="AX75" s="20" t="n">
        <v>0</v>
      </c>
      <c r="AY75" s="20" t="n">
        <v>0</v>
      </c>
      <c r="AZ75" s="20" t="n">
        <v>0</v>
      </c>
      <c r="BA75" s="49" t="n">
        <v>0</v>
      </c>
      <c r="BB75" s="21" t="n">
        <v>0</v>
      </c>
      <c r="BC75" s="61" t="n">
        <v>0</v>
      </c>
      <c r="BD75" s="27" t="inlineStr"/>
    </row>
    <row r="76">
      <c r="A76" s="28" t="n"/>
      <c r="B76" s="28" t="n"/>
      <c r="C76" s="28" t="n"/>
      <c r="D76" s="28" t="n"/>
      <c r="E76" s="28" t="n"/>
      <c r="F76" s="28" t="n"/>
      <c r="G76" s="28" t="n"/>
      <c r="H76" s="28" t="n"/>
      <c r="I76" s="28" t="n"/>
      <c r="J76" s="28" t="n"/>
      <c r="K76" s="28" t="n"/>
      <c r="L76" s="28" t="n"/>
      <c r="M76" s="28" t="n"/>
      <c r="N76" s="28" t="n"/>
      <c r="O76" s="28" t="n"/>
      <c r="P76" s="28" t="n"/>
      <c r="Q76" s="28" t="n"/>
      <c r="R76" s="29" t="inlineStr">
        <is>
          <t>其他成本（成本３）</t>
        </is>
      </c>
      <c r="S76" s="20" t="n">
        <v>0</v>
      </c>
      <c r="T76" s="20" t="n">
        <v>0</v>
      </c>
      <c r="U76" s="21">
        <f>SUM(BA76:BC76)</f>
        <v/>
      </c>
      <c r="V76" s="20">
        <f>SUM(AO76:AZ76)</f>
        <v/>
      </c>
      <c r="W76" s="20">
        <f>SUM(AP76:AZ76)</f>
        <v/>
      </c>
      <c r="X76" s="20" t="n">
        <v>0</v>
      </c>
      <c r="Y76" s="20" t="n">
        <v>0</v>
      </c>
      <c r="Z76" s="20">
        <f>SUM(AS76:AZ76)</f>
        <v/>
      </c>
      <c r="AA76" s="20">
        <f>SUM(AT76:AZ76)</f>
        <v/>
      </c>
      <c r="AB76" s="20">
        <f>SUM(AU76:AZ76)</f>
        <v/>
      </c>
      <c r="AC76" s="20">
        <f>SUM(AV76:AZ76)</f>
        <v/>
      </c>
      <c r="AD76" s="20">
        <f>SUM(AW76:AZ76)</f>
        <v/>
      </c>
      <c r="AE76" s="20">
        <f>SUM(AX76:AZ76)</f>
        <v/>
      </c>
      <c r="AF76" s="20">
        <f>SUM(AY76:AZ76)</f>
        <v/>
      </c>
      <c r="AG76" s="20">
        <f>SUM(AZ76:AZ76)</f>
        <v/>
      </c>
      <c r="AH76" s="22" t="n">
        <v>0</v>
      </c>
      <c r="AI76" s="22" t="n">
        <v>0</v>
      </c>
      <c r="AJ76" s="28" t="n"/>
      <c r="AK76" s="28" t="n"/>
      <c r="AL76" s="28" t="n"/>
      <c r="AM76" s="28" t="n"/>
      <c r="AN76" s="28" t="n"/>
      <c r="AO76" s="20" t="n">
        <v>0</v>
      </c>
      <c r="AP76" s="20" t="n">
        <v>0</v>
      </c>
      <c r="AQ76" s="20" t="n">
        <v>0</v>
      </c>
      <c r="AR76" s="20" t="n">
        <v>0</v>
      </c>
      <c r="AS76" s="20" t="n">
        <v>0</v>
      </c>
      <c r="AT76" s="20" t="n">
        <v>0</v>
      </c>
      <c r="AU76" s="20" t="n">
        <v>0</v>
      </c>
      <c r="AV76" s="20" t="n">
        <v>0</v>
      </c>
      <c r="AW76" s="20" t="n">
        <v>0</v>
      </c>
      <c r="AX76" s="20" t="n">
        <v>-23.34</v>
      </c>
      <c r="AY76" s="20" t="n">
        <v>-28.95</v>
      </c>
      <c r="AZ76" s="20" t="n">
        <v>-34.01</v>
      </c>
      <c r="BA76" s="49" t="n">
        <v>-39.62</v>
      </c>
      <c r="BB76" s="21" t="n">
        <v>0</v>
      </c>
      <c r="BC76" s="61" t="n">
        <v>0</v>
      </c>
      <c r="BD76" s="27" t="inlineStr"/>
    </row>
    <row r="77">
      <c r="A77" s="28" t="n"/>
      <c r="B77" s="28" t="n"/>
      <c r="C77" s="28" t="n"/>
      <c r="D77" s="28" t="n"/>
      <c r="E77" s="28" t="n"/>
      <c r="F77" s="28" t="n"/>
      <c r="G77" s="28" t="n"/>
      <c r="H77" s="28" t="n"/>
      <c r="I77" s="28" t="n"/>
      <c r="J77" s="28" t="n"/>
      <c r="K77" s="28" t="n"/>
      <c r="L77" s="28" t="n"/>
      <c r="M77" s="28" t="n"/>
      <c r="N77" s="28" t="n"/>
      <c r="O77" s="28" t="n"/>
      <c r="P77" s="28" t="n"/>
      <c r="Q77" s="28" t="n"/>
      <c r="R77" s="29" t="inlineStr">
        <is>
          <t>累计成本</t>
        </is>
      </c>
      <c r="S77" s="30">
        <f>SUM(S73:S76)</f>
        <v/>
      </c>
      <c r="T77" s="30">
        <f>SUM(T73:T76)</f>
        <v/>
      </c>
      <c r="U77" s="31">
        <f>SUM(U73:U76)</f>
        <v/>
      </c>
      <c r="V77" s="30">
        <f>SUM(V73:V76)</f>
        <v/>
      </c>
      <c r="W77" s="30">
        <f>SUM(W73:W76)</f>
        <v/>
      </c>
      <c r="X77" s="30">
        <f>SUM(X73:X76)</f>
        <v/>
      </c>
      <c r="Y77" s="30">
        <f>SUM(Y73:Y76)</f>
        <v/>
      </c>
      <c r="Z77" s="30">
        <f>SUM(Z73:Z76)</f>
        <v/>
      </c>
      <c r="AA77" s="30">
        <f>SUM(AA73:AA76)</f>
        <v/>
      </c>
      <c r="AB77" s="30">
        <f>SUM(AB73:AB76)</f>
        <v/>
      </c>
      <c r="AC77" s="30">
        <f>SUM(AC73:AC76)</f>
        <v/>
      </c>
      <c r="AD77" s="30">
        <f>SUM(AD73:AD76)</f>
        <v/>
      </c>
      <c r="AE77" s="30">
        <f>SUM(AE73:AE76)</f>
        <v/>
      </c>
      <c r="AF77" s="30">
        <f>SUM(AF73:AF76)</f>
        <v/>
      </c>
      <c r="AG77" s="30">
        <f>SUM(AG73:AG76)</f>
        <v/>
      </c>
      <c r="AH77" s="30">
        <f>SUM(AH73:AH76)</f>
        <v/>
      </c>
      <c r="AI77" s="30">
        <f>SUM(AI73:AI76)</f>
        <v/>
      </c>
      <c r="AJ77" s="28" t="n"/>
      <c r="AK77" s="28" t="n"/>
      <c r="AL77" s="28" t="n"/>
      <c r="AM77" s="28" t="n"/>
      <c r="AN77" s="28" t="n"/>
      <c r="AO77" s="30">
        <f>SUM(AO73:AO76)</f>
        <v/>
      </c>
      <c r="AP77" s="30">
        <f>SUM(AP73:AP76)</f>
        <v/>
      </c>
      <c r="AQ77" s="30">
        <f>SUM(AQ73:AQ76)</f>
        <v/>
      </c>
      <c r="AR77" s="30">
        <f>SUM(AR73:AR76)</f>
        <v/>
      </c>
      <c r="AS77" s="30">
        <f>SUM(AS73:AS76)</f>
        <v/>
      </c>
      <c r="AT77" s="30">
        <f>SUM(AT73:AT76)</f>
        <v/>
      </c>
      <c r="AU77" s="30">
        <f>SUM(AU73:AU76)</f>
        <v/>
      </c>
      <c r="AV77" s="30">
        <f>SUM(AV73:AV76)</f>
        <v/>
      </c>
      <c r="AW77" s="30">
        <f>SUM(AW73:AW76)</f>
        <v/>
      </c>
      <c r="AX77" s="30">
        <f>SUM(AX73:AX76)</f>
        <v/>
      </c>
      <c r="AY77" s="30" t="n">
        <v>-28.94</v>
      </c>
      <c r="AZ77" s="30">
        <f>SUM(AZ73:AZ76)</f>
        <v/>
      </c>
      <c r="BA77" s="53" t="n">
        <v>-56.65</v>
      </c>
      <c r="BB77" s="31">
        <f>SUM(BB73:BB76)</f>
        <v/>
      </c>
      <c r="BC77" s="54">
        <f>SUM(BC73:BC76)</f>
        <v/>
      </c>
      <c r="BD77" s="32" t="inlineStr"/>
    </row>
    <row r="78">
      <c r="A78" s="28" t="n"/>
      <c r="B78" s="28" t="n"/>
      <c r="C78" s="28" t="n"/>
      <c r="D78" s="28" t="n"/>
      <c r="E78" s="28" t="n"/>
      <c r="F78" s="28" t="n"/>
      <c r="G78" s="28" t="n"/>
      <c r="H78" s="28" t="n"/>
      <c r="I78" s="28" t="n"/>
      <c r="J78" s="28" t="n"/>
      <c r="K78" s="28" t="n"/>
      <c r="L78" s="28" t="n"/>
      <c r="M78" s="28" t="n"/>
      <c r="N78" s="28" t="n"/>
      <c r="O78" s="28" t="n"/>
      <c r="P78" s="28" t="n"/>
      <c r="Q78" s="28" t="n"/>
      <c r="R78" s="29" t="inlineStr">
        <is>
          <t>GP1毛利</t>
        </is>
      </c>
      <c r="S78" s="20">
        <f>S72-S73</f>
        <v/>
      </c>
      <c r="T78" s="20" t="n">
        <v>0</v>
      </c>
      <c r="U78" s="21">
        <f>U72-U73</f>
        <v/>
      </c>
      <c r="V78" s="20">
        <f>V72-V73</f>
        <v/>
      </c>
      <c r="W78" s="20">
        <f>W72-W73</f>
        <v/>
      </c>
      <c r="X78" s="20" t="n">
        <v>0</v>
      </c>
      <c r="Y78" s="20" t="n">
        <v>0</v>
      </c>
      <c r="Z78" s="20">
        <f>Z72-Z73</f>
        <v/>
      </c>
      <c r="AA78" s="20">
        <f>AA72-AA73</f>
        <v/>
      </c>
      <c r="AB78" s="20">
        <f>AB72-AB73</f>
        <v/>
      </c>
      <c r="AC78" s="20">
        <f>AC72-AC73</f>
        <v/>
      </c>
      <c r="AD78" s="20">
        <f>AD72-AD73</f>
        <v/>
      </c>
      <c r="AE78" s="20">
        <f>AE72-AE73</f>
        <v/>
      </c>
      <c r="AF78" s="20">
        <f>AF72-AF73</f>
        <v/>
      </c>
      <c r="AG78" s="20">
        <f>AG72-AG73</f>
        <v/>
      </c>
      <c r="AH78" s="33" t="n">
        <v>0</v>
      </c>
      <c r="AI78" s="33" t="n">
        <v>0</v>
      </c>
      <c r="AJ78" s="28" t="n"/>
      <c r="AK78" s="28" t="n"/>
      <c r="AL78" s="28" t="n"/>
      <c r="AM78" s="28" t="n"/>
      <c r="AN78" s="28" t="n"/>
      <c r="AO78" s="20">
        <f>AO72-AO73</f>
        <v/>
      </c>
      <c r="AP78" s="20">
        <f>AP72-AP73</f>
        <v/>
      </c>
      <c r="AQ78" s="20">
        <f>AQ72-AQ73</f>
        <v/>
      </c>
      <c r="AR78" s="20">
        <f>AR72-AR73</f>
        <v/>
      </c>
      <c r="AS78" s="20">
        <f>AS72-AS73</f>
        <v/>
      </c>
      <c r="AT78" s="20">
        <f>AT72-AT73</f>
        <v/>
      </c>
      <c r="AU78" s="20">
        <f>AU72-AU73</f>
        <v/>
      </c>
      <c r="AV78" s="20">
        <f>AV72-AV73</f>
        <v/>
      </c>
      <c r="AW78" s="20">
        <f>AW72-AW73</f>
        <v/>
      </c>
      <c r="AX78" s="20">
        <f>AX72-AX73</f>
        <v/>
      </c>
      <c r="AY78" s="20">
        <f>AY72-AY73</f>
        <v/>
      </c>
      <c r="AZ78" s="20">
        <f>AZ72-AZ73</f>
        <v/>
      </c>
      <c r="BA78" s="31">
        <f>BA72-BA73</f>
        <v/>
      </c>
      <c r="BB78" s="31" t="n">
        <v>0</v>
      </c>
      <c r="BC78" s="61" t="n">
        <v>0</v>
      </c>
      <c r="BD78" s="27" t="inlineStr"/>
    </row>
    <row r="79">
      <c r="A79" s="28" t="n"/>
      <c r="B79" s="28" t="n"/>
      <c r="C79" s="28" t="n"/>
      <c r="D79" s="28" t="n"/>
      <c r="E79" s="28" t="n"/>
      <c r="F79" s="28" t="n"/>
      <c r="G79" s="28" t="n"/>
      <c r="H79" s="28" t="n"/>
      <c r="I79" s="28" t="n"/>
      <c r="J79" s="28" t="n"/>
      <c r="K79" s="28" t="n"/>
      <c r="L79" s="28" t="n"/>
      <c r="M79" s="28" t="n"/>
      <c r="N79" s="28" t="n"/>
      <c r="O79" s="28" t="n"/>
      <c r="P79" s="28" t="n"/>
      <c r="Q79" s="28" t="n"/>
      <c r="R79" s="35" t="inlineStr">
        <is>
          <t>GP1毛利率(%)</t>
        </is>
      </c>
      <c r="S79" s="36">
        <f>S78/S72</f>
        <v/>
      </c>
      <c r="T79" s="36" t="n">
        <v>0</v>
      </c>
      <c r="U79" s="37">
        <f>U78/U72</f>
        <v/>
      </c>
      <c r="V79" s="36">
        <f>V78/V72</f>
        <v/>
      </c>
      <c r="W79" s="36">
        <f>W78/W72</f>
        <v/>
      </c>
      <c r="X79" s="36" t="n">
        <v>0</v>
      </c>
      <c r="Y79" s="36" t="n">
        <v>0</v>
      </c>
      <c r="Z79" s="36">
        <f>Z78/Z72</f>
        <v/>
      </c>
      <c r="AA79" s="36">
        <f>AA78/AA72</f>
        <v/>
      </c>
      <c r="AB79" s="36">
        <f>AB78/AB72</f>
        <v/>
      </c>
      <c r="AC79" s="36">
        <f>AC78/AC72</f>
        <v/>
      </c>
      <c r="AD79" s="36">
        <f>AD78/AD72</f>
        <v/>
      </c>
      <c r="AE79" s="36">
        <f>AE78/AE72</f>
        <v/>
      </c>
      <c r="AF79" s="36">
        <f>AF78/AF72</f>
        <v/>
      </c>
      <c r="AG79" s="36">
        <f>AG78/AG72</f>
        <v/>
      </c>
      <c r="AH79" s="38">
        <f>T79-S79</f>
        <v/>
      </c>
      <c r="AI79" s="38">
        <f>AF79-S79</f>
        <v/>
      </c>
      <c r="AJ79" s="28" t="n"/>
      <c r="AK79" s="28" t="n"/>
      <c r="AL79" s="28" t="n"/>
      <c r="AM79" s="28" t="n"/>
      <c r="AN79" s="28" t="n"/>
      <c r="AO79" s="36">
        <f>AO78/AO72</f>
        <v/>
      </c>
      <c r="AP79" s="36">
        <f>AP78/AP72</f>
        <v/>
      </c>
      <c r="AQ79" s="36">
        <f>AQ78/AQ72</f>
        <v/>
      </c>
      <c r="AR79" s="36">
        <f>AR78/AR72</f>
        <v/>
      </c>
      <c r="AS79" s="36">
        <f>AS78/AS72</f>
        <v/>
      </c>
      <c r="AT79" s="36">
        <f>AT78/AT72</f>
        <v/>
      </c>
      <c r="AU79" s="36">
        <f>AU78/AU72</f>
        <v/>
      </c>
      <c r="AV79" s="36">
        <f>AV78/AV72</f>
        <v/>
      </c>
      <c r="AW79" s="36">
        <f>AW78/AW72</f>
        <v/>
      </c>
      <c r="AX79" s="36">
        <f>AX78/AX72</f>
        <v/>
      </c>
      <c r="AY79" s="36">
        <f>AY78/AY72</f>
        <v/>
      </c>
      <c r="AZ79" s="36">
        <f>AZ78/AZ72</f>
        <v/>
      </c>
      <c r="BA79" s="39">
        <f>BA78/BA72</f>
        <v/>
      </c>
      <c r="BB79" s="39" t="n">
        <v>0</v>
      </c>
      <c r="BC79" s="61" t="n">
        <v>0</v>
      </c>
      <c r="BD79" s="27" t="inlineStr"/>
    </row>
    <row r="80">
      <c r="A80" s="28" t="n"/>
      <c r="B80" s="28" t="n"/>
      <c r="C80" s="28" t="n"/>
      <c r="D80" s="28" t="n"/>
      <c r="E80" s="28" t="n"/>
      <c r="F80" s="28" t="n"/>
      <c r="G80" s="28" t="n"/>
      <c r="H80" s="28" t="n"/>
      <c r="I80" s="28" t="n"/>
      <c r="J80" s="28" t="n"/>
      <c r="K80" s="28" t="n"/>
      <c r="L80" s="28" t="n"/>
      <c r="M80" s="28" t="n"/>
      <c r="N80" s="28" t="n"/>
      <c r="O80" s="28" t="n"/>
      <c r="P80" s="28" t="n"/>
      <c r="Q80" s="28" t="n"/>
      <c r="R80" s="29" t="inlineStr">
        <is>
          <t>GP3毛利</t>
        </is>
      </c>
      <c r="S80" s="20">
        <f>S72-S77</f>
        <v/>
      </c>
      <c r="T80" s="20">
        <f>T72-T77</f>
        <v/>
      </c>
      <c r="U80" s="20">
        <f>U72-U77</f>
        <v/>
      </c>
      <c r="V80" s="20">
        <f>V72-V77</f>
        <v/>
      </c>
      <c r="W80" s="20">
        <f>W72-W77</f>
        <v/>
      </c>
      <c r="X80" s="20">
        <f>X72-X77</f>
        <v/>
      </c>
      <c r="Y80" s="20">
        <f>Y72-Y77</f>
        <v/>
      </c>
      <c r="Z80" s="20">
        <f>Z72-Z77</f>
        <v/>
      </c>
      <c r="AA80" s="20">
        <f>AA72-AA77</f>
        <v/>
      </c>
      <c r="AB80" s="20">
        <f>AB72-AB77</f>
        <v/>
      </c>
      <c r="AC80" s="20">
        <f>AC72-AC77</f>
        <v/>
      </c>
      <c r="AD80" s="20">
        <f>AD72-AD77</f>
        <v/>
      </c>
      <c r="AE80" s="20">
        <f>AE72-AE77</f>
        <v/>
      </c>
      <c r="AF80" s="20">
        <f>AF72-AF77</f>
        <v/>
      </c>
      <c r="AG80" s="20">
        <f>AG72-AG77</f>
        <v/>
      </c>
      <c r="AH80" s="38" t="n">
        <v>0</v>
      </c>
      <c r="AI80" s="38" t="n">
        <v>0</v>
      </c>
      <c r="AJ80" s="28" t="n"/>
      <c r="AK80" s="28" t="n"/>
      <c r="AL80" s="28" t="n"/>
      <c r="AM80" s="28" t="n"/>
      <c r="AN80" s="28" t="n"/>
      <c r="AO80" s="20">
        <f>AO72-AO77</f>
        <v/>
      </c>
      <c r="AP80" s="20">
        <f>AP72-AP77</f>
        <v/>
      </c>
      <c r="AQ80" s="20">
        <f>AQ72-AQ77</f>
        <v/>
      </c>
      <c r="AR80" s="20">
        <f>AR72-AR77</f>
        <v/>
      </c>
      <c r="AS80" s="20">
        <f>AS72-AS77</f>
        <v/>
      </c>
      <c r="AT80" s="20">
        <f>AT72-AT77</f>
        <v/>
      </c>
      <c r="AU80" s="20">
        <f>AU72-AU77</f>
        <v/>
      </c>
      <c r="AV80" s="20">
        <f>AV72-AV77</f>
        <v/>
      </c>
      <c r="AW80" s="20">
        <f>AW72-AW77</f>
        <v/>
      </c>
      <c r="AX80" s="20">
        <f>AX72-AX77</f>
        <v/>
      </c>
      <c r="AY80" s="20">
        <f>AY72-AY77</f>
        <v/>
      </c>
      <c r="AZ80" s="20">
        <f>AZ72-AZ77</f>
        <v/>
      </c>
      <c r="BA80" s="20">
        <f>BA72-BA77</f>
        <v/>
      </c>
      <c r="BB80" s="20">
        <f>BB72-BB77</f>
        <v/>
      </c>
      <c r="BC80" s="20">
        <f>BC72-BC77</f>
        <v/>
      </c>
      <c r="BD80" s="27" t="inlineStr"/>
    </row>
    <row r="81">
      <c r="A81" s="41" t="n"/>
      <c r="B81" s="41" t="n"/>
      <c r="C81" s="41" t="n"/>
      <c r="D81" s="41" t="n"/>
      <c r="E81" s="41" t="n"/>
      <c r="F81" s="41" t="n"/>
      <c r="G81" s="41" t="n"/>
      <c r="H81" s="41" t="n"/>
      <c r="I81" s="41" t="n"/>
      <c r="J81" s="41" t="n"/>
      <c r="K81" s="41" t="n"/>
      <c r="L81" s="41" t="n"/>
      <c r="M81" s="41" t="n"/>
      <c r="N81" s="41" t="n"/>
      <c r="O81" s="41" t="n"/>
      <c r="P81" s="41" t="n"/>
      <c r="Q81" s="41" t="n"/>
      <c r="R81" s="35" t="inlineStr">
        <is>
          <t>GP3毛利率(%)</t>
        </is>
      </c>
      <c r="S81" s="36">
        <f>S80/S72</f>
        <v/>
      </c>
      <c r="T81" s="36" t="n">
        <v>0</v>
      </c>
      <c r="U81" s="37">
        <f>U80/U72</f>
        <v/>
      </c>
      <c r="V81" s="36">
        <f>V80/V72</f>
        <v/>
      </c>
      <c r="W81" s="36">
        <f>W80/W72</f>
        <v/>
      </c>
      <c r="X81" s="36" t="n">
        <v>0</v>
      </c>
      <c r="Y81" s="36" t="n">
        <v>0</v>
      </c>
      <c r="Z81" s="36">
        <f>Z80/Z72</f>
        <v/>
      </c>
      <c r="AA81" s="36">
        <f>AA80/AA72</f>
        <v/>
      </c>
      <c r="AB81" s="36">
        <f>AB80/AB72</f>
        <v/>
      </c>
      <c r="AC81" s="36">
        <f>AC80/AC72</f>
        <v/>
      </c>
      <c r="AD81" s="36">
        <f>AD80/AD72</f>
        <v/>
      </c>
      <c r="AE81" s="36">
        <f>AE80/AE72</f>
        <v/>
      </c>
      <c r="AF81" s="36">
        <f>AF80/AF72</f>
        <v/>
      </c>
      <c r="AG81" s="36">
        <f>AG80/AG72</f>
        <v/>
      </c>
      <c r="AH81" s="38">
        <f>T81-S81</f>
        <v/>
      </c>
      <c r="AI81" s="38">
        <f>AF81-S81</f>
        <v/>
      </c>
      <c r="AJ81" s="41" t="n"/>
      <c r="AK81" s="41" t="n"/>
      <c r="AL81" s="41" t="n"/>
      <c r="AM81" s="41" t="n"/>
      <c r="AN81" s="41" t="n"/>
      <c r="AO81" s="36">
        <f>AO80/AO72</f>
        <v/>
      </c>
      <c r="AP81" s="36">
        <f>AP80/AP72</f>
        <v/>
      </c>
      <c r="AQ81" s="36">
        <f>AQ80/AQ72</f>
        <v/>
      </c>
      <c r="AR81" s="36">
        <f>AR80/AR72</f>
        <v/>
      </c>
      <c r="AS81" s="36">
        <f>AS80/AS72</f>
        <v/>
      </c>
      <c r="AT81" s="36">
        <f>AT80/AT72</f>
        <v/>
      </c>
      <c r="AU81" s="36">
        <f>AU80/AU72</f>
        <v/>
      </c>
      <c r="AV81" s="36">
        <f>AV80/AV72</f>
        <v/>
      </c>
      <c r="AW81" s="36">
        <f>AW80/AW72</f>
        <v/>
      </c>
      <c r="AX81" s="36">
        <f>AX80/AX72</f>
        <v/>
      </c>
      <c r="AY81" s="36">
        <f>AY80/AY72</f>
        <v/>
      </c>
      <c r="AZ81" s="36">
        <f>AZ80/AZ72</f>
        <v/>
      </c>
      <c r="BA81" s="39">
        <f>BA80/BA72</f>
        <v/>
      </c>
      <c r="BB81" s="39" t="n">
        <v>0</v>
      </c>
      <c r="BC81" s="61" t="n">
        <v>0</v>
      </c>
      <c r="BD81" s="27" t="inlineStr"/>
    </row>
    <row r="82">
      <c r="A82" s="42" t="inlineStr">
        <is>
          <t>P202511000622</t>
        </is>
      </c>
      <c r="B82" s="43" t="inlineStr">
        <is>
          <t>甘肃省畜牧技术推广总站-甘肃省畜牧业统计监测系统项目2026年度运维-FP项目</t>
        </is>
      </c>
      <c r="C82" s="44" t="n">
        <v>46023</v>
      </c>
      <c r="D82" s="44" t="n">
        <v>46387</v>
      </c>
      <c r="E82" s="15" t="n"/>
      <c r="F82" s="16" t="inlineStr">
        <is>
          <t xml:space="preserve"> -   </t>
        </is>
      </c>
      <c r="G82" s="18" t="n">
        <v>0</v>
      </c>
      <c r="H82" s="18" t="n"/>
      <c r="I82" s="18" t="n"/>
      <c r="J82" s="18" t="n"/>
      <c r="K82" s="18" t="n"/>
      <c r="L82" s="18" t="n"/>
      <c r="M82" s="18" t="n"/>
      <c r="N82" s="18" t="n"/>
      <c r="O82" s="18" t="n"/>
      <c r="P82" s="15" t="n"/>
      <c r="Q82" s="18" t="inlineStr"/>
      <c r="R82" s="47" t="inlineStr">
        <is>
          <t>累计收入（NR）</t>
        </is>
      </c>
      <c r="S82" s="20" t="n">
        <v>75471.7</v>
      </c>
      <c r="T82" s="20" t="n">
        <v>0</v>
      </c>
      <c r="U82" s="21">
        <f>SUM(BA82:BC82)</f>
        <v/>
      </c>
      <c r="V82" s="20">
        <f>SUM(AO82:AZ82)</f>
        <v/>
      </c>
      <c r="W82" s="20">
        <f>SUM(AP82:AZ82)</f>
        <v/>
      </c>
      <c r="X82" s="20" t="n">
        <v>0</v>
      </c>
      <c r="Y82" s="20" t="n">
        <v>0</v>
      </c>
      <c r="Z82" s="20">
        <f>SUM(AS82:AZ82)</f>
        <v/>
      </c>
      <c r="AA82" s="20">
        <f>SUM(AT82:AZ82)</f>
        <v/>
      </c>
      <c r="AB82" s="20">
        <f>SUM(AU82:AZ82)</f>
        <v/>
      </c>
      <c r="AC82" s="20">
        <f>SUM(AV82:AZ82)</f>
        <v/>
      </c>
      <c r="AD82" s="20">
        <f>SUM(AW82:AZ82)</f>
        <v/>
      </c>
      <c r="AE82" s="20">
        <f>SUM(AX82:AZ82)</f>
        <v/>
      </c>
      <c r="AF82" s="20">
        <f>SUM(AY82:AZ82)</f>
        <v/>
      </c>
      <c r="AG82" s="20">
        <f>SUM(AZ82:AZ82)</f>
        <v/>
      </c>
      <c r="AH82" s="22" t="n">
        <v>0</v>
      </c>
      <c r="AI82" s="22" t="n">
        <v>0</v>
      </c>
      <c r="AJ82" s="43" t="inlineStr"/>
      <c r="AK82" s="48" t="inlineStr">
        <is>
          <t>农业运维项目，收入由系统每月自动计入，成本视实际投入情况填报</t>
        </is>
      </c>
      <c r="AL82" s="48" t="inlineStr"/>
      <c r="AM82" s="48" t="inlineStr"/>
      <c r="AN82" s="16" t="n"/>
      <c r="AO82" s="20" t="n">
        <v>0</v>
      </c>
      <c r="AP82" s="20" t="n">
        <v>0</v>
      </c>
      <c r="AQ82" s="20" t="n">
        <v>0</v>
      </c>
      <c r="AR82" s="20" t="n">
        <v>0</v>
      </c>
      <c r="AS82" s="20" t="n">
        <v>0</v>
      </c>
      <c r="AT82" s="20" t="n">
        <v>0</v>
      </c>
      <c r="AU82" s="20" t="n">
        <v>0</v>
      </c>
      <c r="AV82" s="20" t="n">
        <v>0</v>
      </c>
      <c r="AW82" s="20" t="n">
        <v>0</v>
      </c>
      <c r="AX82" s="20" t="n">
        <v>6409.89</v>
      </c>
      <c r="AY82" s="20" t="n">
        <v>5789.59</v>
      </c>
      <c r="AZ82" s="20" t="n">
        <v>6409.96</v>
      </c>
      <c r="BA82" s="49" t="n">
        <v>15477.62</v>
      </c>
      <c r="BB82" s="21" t="n">
        <v>0</v>
      </c>
      <c r="BC82" s="61" t="n">
        <v>0</v>
      </c>
      <c r="BD82" s="27" t="inlineStr"/>
    </row>
    <row r="83">
      <c r="A83" s="28" t="n"/>
      <c r="B83" s="28" t="n"/>
      <c r="C83" s="28" t="n"/>
      <c r="D83" s="28" t="n"/>
      <c r="E83" s="28" t="n"/>
      <c r="F83" s="28" t="n"/>
      <c r="G83" s="28" t="n"/>
      <c r="H83" s="28" t="n"/>
      <c r="I83" s="28" t="n"/>
      <c r="J83" s="28" t="n"/>
      <c r="K83" s="28" t="n"/>
      <c r="L83" s="28" t="n"/>
      <c r="M83" s="28" t="n"/>
      <c r="N83" s="28" t="n"/>
      <c r="O83" s="28" t="n"/>
      <c r="P83" s="28" t="n"/>
      <c r="Q83" s="28" t="n"/>
      <c r="R83" s="29" t="inlineStr">
        <is>
          <t>人工成本（成本１）</t>
        </is>
      </c>
      <c r="S83" s="20" t="n">
        <v>34151.4</v>
      </c>
      <c r="T83" s="20" t="n">
        <v>0</v>
      </c>
      <c r="U83" s="21">
        <f>SUM(BA83:BC83)</f>
        <v/>
      </c>
      <c r="V83" s="20">
        <f>SUM(AO83:AZ83)</f>
        <v/>
      </c>
      <c r="W83" s="20">
        <f>SUM(AP83:AZ83)</f>
        <v/>
      </c>
      <c r="X83" s="20" t="n">
        <v>0</v>
      </c>
      <c r="Y83" s="20" t="n">
        <v>0</v>
      </c>
      <c r="Z83" s="20">
        <f>SUM(AS83:AZ83)</f>
        <v/>
      </c>
      <c r="AA83" s="20">
        <f>SUM(AT83:AZ83)</f>
        <v/>
      </c>
      <c r="AB83" s="20">
        <f>SUM(AU83:AZ83)</f>
        <v/>
      </c>
      <c r="AC83" s="20">
        <f>SUM(AV83:AZ83)</f>
        <v/>
      </c>
      <c r="AD83" s="20">
        <f>SUM(AW83:AZ83)</f>
        <v/>
      </c>
      <c r="AE83" s="20">
        <f>SUM(AX83:AZ83)</f>
        <v/>
      </c>
      <c r="AF83" s="20">
        <f>SUM(AY83:AZ83)</f>
        <v/>
      </c>
      <c r="AG83" s="20">
        <f>SUM(AZ83:AZ83)</f>
        <v/>
      </c>
      <c r="AH83" s="22" t="n">
        <v>0</v>
      </c>
      <c r="AI83" s="22" t="n">
        <v>0</v>
      </c>
      <c r="AJ83" s="28" t="n"/>
      <c r="AK83" s="28" t="n"/>
      <c r="AL83" s="28" t="n"/>
      <c r="AM83" s="28" t="n"/>
      <c r="AN83" s="28" t="n"/>
      <c r="AO83" s="20" t="n">
        <v>0</v>
      </c>
      <c r="AP83" s="20" t="n">
        <v>0</v>
      </c>
      <c r="AQ83" s="20" t="n">
        <v>0</v>
      </c>
      <c r="AR83" s="20" t="n">
        <v>0</v>
      </c>
      <c r="AS83" s="20" t="n">
        <v>0</v>
      </c>
      <c r="AT83" s="20" t="n">
        <v>0</v>
      </c>
      <c r="AU83" s="20" t="n">
        <v>0</v>
      </c>
      <c r="AV83" s="20" t="n">
        <v>0</v>
      </c>
      <c r="AW83" s="20" t="n">
        <v>0</v>
      </c>
      <c r="AX83" s="20" t="n">
        <v>0</v>
      </c>
      <c r="AY83" s="20" t="n">
        <v>0</v>
      </c>
      <c r="AZ83" s="20" t="n">
        <v>19659.83</v>
      </c>
      <c r="BA83" s="49" t="n">
        <v>0</v>
      </c>
      <c r="BB83" s="21" t="n">
        <v>0</v>
      </c>
      <c r="BC83" s="61" t="n">
        <v>0</v>
      </c>
      <c r="BD83" s="27" t="inlineStr"/>
    </row>
    <row r="84">
      <c r="A84" s="28" t="n"/>
      <c r="B84" s="28" t="n"/>
      <c r="C84" s="28" t="n"/>
      <c r="D84" s="28" t="n"/>
      <c r="E84" s="28" t="n"/>
      <c r="F84" s="28" t="n"/>
      <c r="G84" s="28" t="n"/>
      <c r="H84" s="28" t="n"/>
      <c r="I84" s="28" t="n"/>
      <c r="J84" s="28" t="n"/>
      <c r="K84" s="28" t="n"/>
      <c r="L84" s="28" t="n"/>
      <c r="M84" s="28" t="n"/>
      <c r="N84" s="28" t="n"/>
      <c r="O84" s="28" t="n"/>
      <c r="P84" s="28" t="n"/>
      <c r="Q84" s="28" t="n"/>
      <c r="R84" s="29" t="inlineStr">
        <is>
          <t>闲置成本（成本2）</t>
        </is>
      </c>
      <c r="S84" s="20" t="n">
        <v>0</v>
      </c>
      <c r="T84" s="20" t="n">
        <v>0</v>
      </c>
      <c r="U84" s="21" t="n">
        <v>0</v>
      </c>
      <c r="V84" s="20" t="n">
        <v>0</v>
      </c>
      <c r="W84" s="20" t="n">
        <v>0</v>
      </c>
      <c r="X84" s="20" t="n">
        <v>0</v>
      </c>
      <c r="Y84" s="20" t="n">
        <v>0</v>
      </c>
      <c r="Z84" s="20" t="n">
        <v>0</v>
      </c>
      <c r="AA84" s="20" t="n">
        <v>0</v>
      </c>
      <c r="AB84" s="20" t="n">
        <v>0</v>
      </c>
      <c r="AC84" s="20" t="n">
        <v>0</v>
      </c>
      <c r="AD84" s="20" t="n">
        <v>0</v>
      </c>
      <c r="AE84" s="20" t="n">
        <v>0</v>
      </c>
      <c r="AF84" s="20" t="n">
        <v>0</v>
      </c>
      <c r="AG84" s="20" t="n">
        <v>0</v>
      </c>
      <c r="AH84" s="22" t="n">
        <v>0</v>
      </c>
      <c r="AI84" s="22" t="n">
        <v>0</v>
      </c>
      <c r="AJ84" s="28" t="n"/>
      <c r="AK84" s="28" t="n"/>
      <c r="AL84" s="28" t="n"/>
      <c r="AM84" s="28" t="n"/>
      <c r="AN84" s="28" t="n"/>
      <c r="AO84" s="20" t="n">
        <v>0</v>
      </c>
      <c r="AP84" s="20" t="n">
        <v>0</v>
      </c>
      <c r="AQ84" s="20" t="n">
        <v>0</v>
      </c>
      <c r="AR84" s="20" t="n">
        <v>0</v>
      </c>
      <c r="AS84" s="20" t="n">
        <v>0</v>
      </c>
      <c r="AT84" s="20" t="n">
        <v>0</v>
      </c>
      <c r="AU84" s="20" t="n">
        <v>0</v>
      </c>
      <c r="AV84" s="20" t="n">
        <v>0</v>
      </c>
      <c r="AW84" s="20" t="n">
        <v>0</v>
      </c>
      <c r="AX84" s="20" t="n">
        <v>0</v>
      </c>
      <c r="AY84" s="20" t="n">
        <v>0</v>
      </c>
      <c r="AZ84" s="20" t="n">
        <v>0</v>
      </c>
      <c r="BA84" s="49" t="n">
        <v>0</v>
      </c>
      <c r="BB84" s="21" t="n">
        <v>0</v>
      </c>
      <c r="BC84" s="61" t="n">
        <v>0</v>
      </c>
      <c r="BD84" s="27" t="inlineStr"/>
    </row>
    <row r="85">
      <c r="A85" s="28" t="n"/>
      <c r="B85" s="28" t="n"/>
      <c r="C85" s="28" t="n"/>
      <c r="D85" s="28" t="n"/>
      <c r="E85" s="28" t="n"/>
      <c r="F85" s="28" t="n"/>
      <c r="G85" s="28" t="n"/>
      <c r="H85" s="28" t="n"/>
      <c r="I85" s="28" t="n"/>
      <c r="J85" s="28" t="n"/>
      <c r="K85" s="28" t="n"/>
      <c r="L85" s="28" t="n"/>
      <c r="M85" s="28" t="n"/>
      <c r="N85" s="28" t="n"/>
      <c r="O85" s="28" t="n"/>
      <c r="P85" s="28" t="n"/>
      <c r="Q85" s="28" t="n"/>
      <c r="R85" s="29" t="inlineStr">
        <is>
          <t>差旅费（成本３）</t>
        </is>
      </c>
      <c r="S85" s="20" t="n">
        <v>0</v>
      </c>
      <c r="T85" s="20" t="n">
        <v>0</v>
      </c>
      <c r="U85" s="21">
        <f>SUM(BA85:BC85)</f>
        <v/>
      </c>
      <c r="V85" s="20">
        <f>SUM(AO85:AZ85)</f>
        <v/>
      </c>
      <c r="W85" s="20">
        <f>SUM(AP85:AZ85)</f>
        <v/>
      </c>
      <c r="X85" s="20" t="n">
        <v>0</v>
      </c>
      <c r="Y85" s="20" t="n">
        <v>0</v>
      </c>
      <c r="Z85" s="20">
        <f>SUM(AS85:AZ85)</f>
        <v/>
      </c>
      <c r="AA85" s="20">
        <f>SUM(AT85:AZ85)</f>
        <v/>
      </c>
      <c r="AB85" s="20">
        <f>SUM(AU85:AZ85)</f>
        <v/>
      </c>
      <c r="AC85" s="20">
        <f>SUM(AV85:AZ85)</f>
        <v/>
      </c>
      <c r="AD85" s="20">
        <f>SUM(AW85:AZ85)</f>
        <v/>
      </c>
      <c r="AE85" s="20">
        <f>SUM(AX85:AZ85)</f>
        <v/>
      </c>
      <c r="AF85" s="20">
        <f>SUM(AY85:AZ85)</f>
        <v/>
      </c>
      <c r="AG85" s="20">
        <f>SUM(AZ85:AZ85)</f>
        <v/>
      </c>
      <c r="AH85" s="22" t="n">
        <v>0</v>
      </c>
      <c r="AI85" s="22" t="n">
        <v>0</v>
      </c>
      <c r="AJ85" s="28" t="n"/>
      <c r="AK85" s="28" t="n"/>
      <c r="AL85" s="28" t="n"/>
      <c r="AM85" s="28" t="n"/>
      <c r="AN85" s="28" t="n"/>
      <c r="AO85" s="20" t="n">
        <v>0</v>
      </c>
      <c r="AP85" s="20" t="n">
        <v>0</v>
      </c>
      <c r="AQ85" s="20" t="n">
        <v>0</v>
      </c>
      <c r="AR85" s="20" t="n">
        <v>0</v>
      </c>
      <c r="AS85" s="20" t="n">
        <v>0</v>
      </c>
      <c r="AT85" s="20" t="n">
        <v>0</v>
      </c>
      <c r="AU85" s="20" t="n">
        <v>0</v>
      </c>
      <c r="AV85" s="20" t="n">
        <v>0</v>
      </c>
      <c r="AW85" s="20" t="n">
        <v>0</v>
      </c>
      <c r="AX85" s="20" t="n">
        <v>0</v>
      </c>
      <c r="AY85" s="20" t="n">
        <v>0</v>
      </c>
      <c r="AZ85" s="20" t="n">
        <v>0</v>
      </c>
      <c r="BA85" s="49" t="n">
        <v>0</v>
      </c>
      <c r="BB85" s="21" t="n">
        <v>0</v>
      </c>
      <c r="BC85" s="61" t="n">
        <v>0</v>
      </c>
      <c r="BD85" s="27" t="inlineStr"/>
    </row>
    <row r="86">
      <c r="A86" s="28" t="n"/>
      <c r="B86" s="28" t="n"/>
      <c r="C86" s="28" t="n"/>
      <c r="D86" s="28" t="n"/>
      <c r="E86" s="28" t="n"/>
      <c r="F86" s="28" t="n"/>
      <c r="G86" s="28" t="n"/>
      <c r="H86" s="28" t="n"/>
      <c r="I86" s="28" t="n"/>
      <c r="J86" s="28" t="n"/>
      <c r="K86" s="28" t="n"/>
      <c r="L86" s="28" t="n"/>
      <c r="M86" s="28" t="n"/>
      <c r="N86" s="28" t="n"/>
      <c r="O86" s="28" t="n"/>
      <c r="P86" s="28" t="n"/>
      <c r="Q86" s="28" t="n"/>
      <c r="R86" s="29" t="inlineStr">
        <is>
          <t>其他成本（成本３）</t>
        </is>
      </c>
      <c r="S86" s="20" t="n">
        <v>29037</v>
      </c>
      <c r="T86" s="20" t="n">
        <v>0</v>
      </c>
      <c r="U86" s="21">
        <f>SUM(BA86:BC86)</f>
        <v/>
      </c>
      <c r="V86" s="20">
        <f>SUM(AO86:AZ86)</f>
        <v/>
      </c>
      <c r="W86" s="20">
        <f>SUM(AP86:AZ86)</f>
        <v/>
      </c>
      <c r="X86" s="20" t="n">
        <v>0</v>
      </c>
      <c r="Y86" s="20" t="n">
        <v>0</v>
      </c>
      <c r="Z86" s="20">
        <f>SUM(AS86:AZ86)</f>
        <v/>
      </c>
      <c r="AA86" s="20">
        <f>SUM(AT86:AZ86)</f>
        <v/>
      </c>
      <c r="AB86" s="20">
        <f>SUM(AU86:AZ86)</f>
        <v/>
      </c>
      <c r="AC86" s="20">
        <f>SUM(AV86:AZ86)</f>
        <v/>
      </c>
      <c r="AD86" s="20">
        <f>SUM(AW86:AZ86)</f>
        <v/>
      </c>
      <c r="AE86" s="20">
        <f>SUM(AX86:AZ86)</f>
        <v/>
      </c>
      <c r="AF86" s="20">
        <f>SUM(AY86:AZ86)</f>
        <v/>
      </c>
      <c r="AG86" s="20">
        <f>SUM(AZ86:AZ86)</f>
        <v/>
      </c>
      <c r="AH86" s="22" t="n">
        <v>0</v>
      </c>
      <c r="AI86" s="22" t="n">
        <v>0</v>
      </c>
      <c r="AJ86" s="28" t="n"/>
      <c r="AK86" s="28" t="n"/>
      <c r="AL86" s="28" t="n"/>
      <c r="AM86" s="28" t="n"/>
      <c r="AN86" s="28" t="n"/>
      <c r="AO86" s="20" t="n">
        <v>0</v>
      </c>
      <c r="AP86" s="20" t="n">
        <v>0</v>
      </c>
      <c r="AQ86" s="20" t="n">
        <v>0</v>
      </c>
      <c r="AR86" s="20" t="n">
        <v>0</v>
      </c>
      <c r="AS86" s="20" t="n">
        <v>0</v>
      </c>
      <c r="AT86" s="20" t="n">
        <v>0</v>
      </c>
      <c r="AU86" s="20" t="n">
        <v>0</v>
      </c>
      <c r="AV86" s="20" t="n">
        <v>0</v>
      </c>
      <c r="AW86" s="20" t="n">
        <v>0</v>
      </c>
      <c r="AX86" s="20" t="n">
        <v>-56.86</v>
      </c>
      <c r="AY86" s="20" t="n">
        <v>5032.3</v>
      </c>
      <c r="AZ86" s="20" t="n">
        <v>-69.06</v>
      </c>
      <c r="BA86" s="49" t="n">
        <v>-56.65</v>
      </c>
      <c r="BB86" s="21" t="n">
        <v>0</v>
      </c>
      <c r="BC86" s="61" t="n">
        <v>0</v>
      </c>
      <c r="BD86" s="27" t="inlineStr"/>
    </row>
    <row r="87">
      <c r="A87" s="28" t="n"/>
      <c r="B87" s="28" t="n"/>
      <c r="C87" s="28" t="n"/>
      <c r="D87" s="28" t="n"/>
      <c r="E87" s="28" t="n"/>
      <c r="F87" s="28" t="n"/>
      <c r="G87" s="28" t="n"/>
      <c r="H87" s="28" t="n"/>
      <c r="I87" s="28" t="n"/>
      <c r="J87" s="28" t="n"/>
      <c r="K87" s="28" t="n"/>
      <c r="L87" s="28" t="n"/>
      <c r="M87" s="28" t="n"/>
      <c r="N87" s="28" t="n"/>
      <c r="O87" s="28" t="n"/>
      <c r="P87" s="28" t="n"/>
      <c r="Q87" s="28" t="n"/>
      <c r="R87" s="29" t="inlineStr">
        <is>
          <t>累计成本</t>
        </is>
      </c>
      <c r="S87" s="30">
        <f>SUM(S83:S86)</f>
        <v/>
      </c>
      <c r="T87" s="30">
        <f>SUM(T83:T86)</f>
        <v/>
      </c>
      <c r="U87" s="31">
        <f>SUM(U83:U86)</f>
        <v/>
      </c>
      <c r="V87" s="30">
        <f>SUM(V83:V86)</f>
        <v/>
      </c>
      <c r="W87" s="30">
        <f>SUM(W83:W86)</f>
        <v/>
      </c>
      <c r="X87" s="30">
        <f>SUM(X83:X86)</f>
        <v/>
      </c>
      <c r="Y87" s="30">
        <f>SUM(Y83:Y86)</f>
        <v/>
      </c>
      <c r="Z87" s="30">
        <f>SUM(Z83:Z86)</f>
        <v/>
      </c>
      <c r="AA87" s="30">
        <f>SUM(AA83:AA86)</f>
        <v/>
      </c>
      <c r="AB87" s="30">
        <f>SUM(AB83:AB86)</f>
        <v/>
      </c>
      <c r="AC87" s="30">
        <f>SUM(AC83:AC86)</f>
        <v/>
      </c>
      <c r="AD87" s="30">
        <f>SUM(AD83:AD86)</f>
        <v/>
      </c>
      <c r="AE87" s="30">
        <f>SUM(AE83:AE86)</f>
        <v/>
      </c>
      <c r="AF87" s="30">
        <f>SUM(AF83:AF86)</f>
        <v/>
      </c>
      <c r="AG87" s="30">
        <f>SUM(AG83:AG86)</f>
        <v/>
      </c>
      <c r="AH87" s="30">
        <f>SUM(AH83:AH86)</f>
        <v/>
      </c>
      <c r="AI87" s="30">
        <f>SUM(AI83:AI86)</f>
        <v/>
      </c>
      <c r="AJ87" s="28" t="n"/>
      <c r="AK87" s="28" t="n"/>
      <c r="AL87" s="28" t="n"/>
      <c r="AM87" s="28" t="n"/>
      <c r="AN87" s="28" t="n"/>
      <c r="AO87" s="30">
        <f>SUM(AO83:AO86)</f>
        <v/>
      </c>
      <c r="AP87" s="30">
        <f>SUM(AP83:AP86)</f>
        <v/>
      </c>
      <c r="AQ87" s="30">
        <f>SUM(AQ83:AQ86)</f>
        <v/>
      </c>
      <c r="AR87" s="30">
        <f>SUM(AR83:AR86)</f>
        <v/>
      </c>
      <c r="AS87" s="30">
        <f>SUM(AS83:AS86)</f>
        <v/>
      </c>
      <c r="AT87" s="30">
        <f>SUM(AT83:AT86)</f>
        <v/>
      </c>
      <c r="AU87" s="30">
        <f>SUM(AU83:AU86)</f>
        <v/>
      </c>
      <c r="AV87" s="30">
        <f>SUM(AV83:AV86)</f>
        <v/>
      </c>
      <c r="AW87" s="30">
        <f>SUM(AW83:AW86)</f>
        <v/>
      </c>
      <c r="AX87" s="30">
        <f>SUM(AX83:AX86)</f>
        <v/>
      </c>
      <c r="AY87" s="30" t="n">
        <v>-63.27</v>
      </c>
      <c r="AZ87" s="30">
        <f>SUM(AZ83:AZ86)</f>
        <v/>
      </c>
      <c r="BA87" s="53" t="n">
        <v>-56.65</v>
      </c>
      <c r="BB87" s="31">
        <f>SUM(BB83:BB86)</f>
        <v/>
      </c>
      <c r="BC87" s="54">
        <f>SUM(BC83:BC86)</f>
        <v/>
      </c>
      <c r="BD87" s="32" t="inlineStr"/>
    </row>
    <row r="88">
      <c r="A88" s="28" t="n"/>
      <c r="B88" s="28" t="n"/>
      <c r="C88" s="28" t="n"/>
      <c r="D88" s="28" t="n"/>
      <c r="E88" s="28" t="n"/>
      <c r="F88" s="28" t="n"/>
      <c r="G88" s="28" t="n"/>
      <c r="H88" s="28" t="n"/>
      <c r="I88" s="28" t="n"/>
      <c r="J88" s="28" t="n"/>
      <c r="K88" s="28" t="n"/>
      <c r="L88" s="28" t="n"/>
      <c r="M88" s="28" t="n"/>
      <c r="N88" s="28" t="n"/>
      <c r="O88" s="28" t="n"/>
      <c r="P88" s="28" t="n"/>
      <c r="Q88" s="28" t="n"/>
      <c r="R88" s="29" t="inlineStr">
        <is>
          <t>GP1毛利</t>
        </is>
      </c>
      <c r="S88" s="20">
        <f>S82-S83</f>
        <v/>
      </c>
      <c r="T88" s="20" t="n">
        <v>0</v>
      </c>
      <c r="U88" s="21">
        <f>U82-U83</f>
        <v/>
      </c>
      <c r="V88" s="20">
        <f>V82-V83</f>
        <v/>
      </c>
      <c r="W88" s="20">
        <f>W82-W83</f>
        <v/>
      </c>
      <c r="X88" s="20" t="n">
        <v>0</v>
      </c>
      <c r="Y88" s="20" t="n">
        <v>0</v>
      </c>
      <c r="Z88" s="20">
        <f>Z82-Z83</f>
        <v/>
      </c>
      <c r="AA88" s="20">
        <f>AA82-AA83</f>
        <v/>
      </c>
      <c r="AB88" s="20">
        <f>AB82-AB83</f>
        <v/>
      </c>
      <c r="AC88" s="20">
        <f>AC82-AC83</f>
        <v/>
      </c>
      <c r="AD88" s="20">
        <f>AD82-AD83</f>
        <v/>
      </c>
      <c r="AE88" s="20">
        <f>AE82-AE83</f>
        <v/>
      </c>
      <c r="AF88" s="20">
        <f>AF82-AF83</f>
        <v/>
      </c>
      <c r="AG88" s="20">
        <f>AG82-AG83</f>
        <v/>
      </c>
      <c r="AH88" s="33" t="n">
        <v>0</v>
      </c>
      <c r="AI88" s="33" t="n">
        <v>0</v>
      </c>
      <c r="AJ88" s="28" t="n"/>
      <c r="AK88" s="28" t="n"/>
      <c r="AL88" s="28" t="n"/>
      <c r="AM88" s="28" t="n"/>
      <c r="AN88" s="28" t="n"/>
      <c r="AO88" s="20">
        <f>AO82-AO83</f>
        <v/>
      </c>
      <c r="AP88" s="20">
        <f>AP82-AP83</f>
        <v/>
      </c>
      <c r="AQ88" s="20">
        <f>AQ82-AQ83</f>
        <v/>
      </c>
      <c r="AR88" s="20">
        <f>AR82-AR83</f>
        <v/>
      </c>
      <c r="AS88" s="20">
        <f>AS82-AS83</f>
        <v/>
      </c>
      <c r="AT88" s="20">
        <f>AT82-AT83</f>
        <v/>
      </c>
      <c r="AU88" s="20">
        <f>AU82-AU83</f>
        <v/>
      </c>
      <c r="AV88" s="20">
        <f>AV82-AV83</f>
        <v/>
      </c>
      <c r="AW88" s="20">
        <f>AW82-AW83</f>
        <v/>
      </c>
      <c r="AX88" s="20">
        <f>AX82-AX83</f>
        <v/>
      </c>
      <c r="AY88" s="20">
        <f>AY82-AY83</f>
        <v/>
      </c>
      <c r="AZ88" s="20">
        <f>AZ82-AZ83</f>
        <v/>
      </c>
      <c r="BA88" s="55" t="n">
        <v>15477.62</v>
      </c>
      <c r="BB88" s="31" t="n">
        <v>0</v>
      </c>
      <c r="BC88" s="61" t="n">
        <v>0</v>
      </c>
      <c r="BD88" s="27" t="inlineStr"/>
    </row>
    <row r="89">
      <c r="A89" s="28" t="n"/>
      <c r="B89" s="28" t="n"/>
      <c r="C89" s="28" t="n"/>
      <c r="D89" s="28" t="n"/>
      <c r="E89" s="28" t="n"/>
      <c r="F89" s="28" t="n"/>
      <c r="G89" s="28" t="n"/>
      <c r="H89" s="28" t="n"/>
      <c r="I89" s="28" t="n"/>
      <c r="J89" s="28" t="n"/>
      <c r="K89" s="28" t="n"/>
      <c r="L89" s="28" t="n"/>
      <c r="M89" s="28" t="n"/>
      <c r="N89" s="28" t="n"/>
      <c r="O89" s="28" t="n"/>
      <c r="P89" s="28" t="n"/>
      <c r="Q89" s="28" t="n"/>
      <c r="R89" s="35" t="inlineStr">
        <is>
          <t>GP1毛利率(%)</t>
        </is>
      </c>
      <c r="S89" s="36">
        <f>S88/S82</f>
        <v/>
      </c>
      <c r="T89" s="36" t="n">
        <v>0</v>
      </c>
      <c r="U89" s="37">
        <f>U88/U82</f>
        <v/>
      </c>
      <c r="V89" s="36">
        <f>V88/V82</f>
        <v/>
      </c>
      <c r="W89" s="36">
        <f>W88/W82</f>
        <v/>
      </c>
      <c r="X89" s="36" t="n">
        <v>0</v>
      </c>
      <c r="Y89" s="36" t="n">
        <v>0</v>
      </c>
      <c r="Z89" s="36">
        <f>Z88/Z82</f>
        <v/>
      </c>
      <c r="AA89" s="36">
        <f>AA88/AA82</f>
        <v/>
      </c>
      <c r="AB89" s="36">
        <f>AB88/AB82</f>
        <v/>
      </c>
      <c r="AC89" s="36">
        <f>AC88/AC82</f>
        <v/>
      </c>
      <c r="AD89" s="36">
        <f>AD88/AD82</f>
        <v/>
      </c>
      <c r="AE89" s="36">
        <f>AE88/AE82</f>
        <v/>
      </c>
      <c r="AF89" s="36">
        <f>AF88/AF82</f>
        <v/>
      </c>
      <c r="AG89" s="36">
        <f>AG88/AG82</f>
        <v/>
      </c>
      <c r="AH89" s="38">
        <f>T89-S89</f>
        <v/>
      </c>
      <c r="AI89" s="38">
        <f>AF89-S89</f>
        <v/>
      </c>
      <c r="AJ89" s="28" t="n"/>
      <c r="AK89" s="28" t="n"/>
      <c r="AL89" s="28" t="n"/>
      <c r="AM89" s="28" t="n"/>
      <c r="AN89" s="28" t="n"/>
      <c r="AO89" s="36">
        <f>AO88/AO82</f>
        <v/>
      </c>
      <c r="AP89" s="36">
        <f>AP88/AP82</f>
        <v/>
      </c>
      <c r="AQ89" s="36">
        <f>AQ88/AQ82</f>
        <v/>
      </c>
      <c r="AR89" s="36">
        <f>AR88/AR82</f>
        <v/>
      </c>
      <c r="AS89" s="36">
        <f>AS88/AS82</f>
        <v/>
      </c>
      <c r="AT89" s="36">
        <f>AT88/AT82</f>
        <v/>
      </c>
      <c r="AU89" s="36">
        <f>AU88/AU82</f>
        <v/>
      </c>
      <c r="AV89" s="36">
        <f>AV88/AV82</f>
        <v/>
      </c>
      <c r="AW89" s="36">
        <f>AW88/AW82</f>
        <v/>
      </c>
      <c r="AX89" s="36">
        <f>AX88/AX82</f>
        <v/>
      </c>
      <c r="AY89" s="36">
        <f>AY88/AY82</f>
        <v/>
      </c>
      <c r="AZ89" s="36">
        <f>AZ88/AZ82</f>
        <v/>
      </c>
      <c r="BA89" s="56" t="n">
        <v>1</v>
      </c>
      <c r="BB89" s="39" t="n">
        <v>0</v>
      </c>
      <c r="BC89" s="61" t="n">
        <v>0</v>
      </c>
      <c r="BD89" s="27" t="inlineStr"/>
    </row>
    <row r="90">
      <c r="A90" s="28" t="n"/>
      <c r="B90" s="28" t="n"/>
      <c r="C90" s="28" t="n"/>
      <c r="D90" s="28" t="n"/>
      <c r="E90" s="28" t="n"/>
      <c r="F90" s="28" t="n"/>
      <c r="G90" s="28" t="n"/>
      <c r="H90" s="28" t="n"/>
      <c r="I90" s="28" t="n"/>
      <c r="J90" s="28" t="n"/>
      <c r="K90" s="28" t="n"/>
      <c r="L90" s="28" t="n"/>
      <c r="M90" s="28" t="n"/>
      <c r="N90" s="28" t="n"/>
      <c r="O90" s="28" t="n"/>
      <c r="P90" s="28" t="n"/>
      <c r="Q90" s="28" t="n"/>
      <c r="R90" s="29" t="inlineStr">
        <is>
          <t>GP3毛利</t>
        </is>
      </c>
      <c r="S90" s="20">
        <f>S82-S87</f>
        <v/>
      </c>
      <c r="T90" s="20">
        <f>T82-T87</f>
        <v/>
      </c>
      <c r="U90" s="20">
        <f>U82-U87</f>
        <v/>
      </c>
      <c r="V90" s="20">
        <f>V82-V87</f>
        <v/>
      </c>
      <c r="W90" s="20">
        <f>W82-W87</f>
        <v/>
      </c>
      <c r="X90" s="20">
        <f>X82-X87</f>
        <v/>
      </c>
      <c r="Y90" s="20">
        <f>Y82-Y87</f>
        <v/>
      </c>
      <c r="Z90" s="20">
        <f>Z82-Z87</f>
        <v/>
      </c>
      <c r="AA90" s="20">
        <f>AA82-AA87</f>
        <v/>
      </c>
      <c r="AB90" s="20">
        <f>AB82-AB87</f>
        <v/>
      </c>
      <c r="AC90" s="20">
        <f>AC82-AC87</f>
        <v/>
      </c>
      <c r="AD90" s="20">
        <f>AD82-AD87</f>
        <v/>
      </c>
      <c r="AE90" s="20">
        <f>AE82-AE87</f>
        <v/>
      </c>
      <c r="AF90" s="20">
        <f>AF82-AF87</f>
        <v/>
      </c>
      <c r="AG90" s="20">
        <f>AG82-AG87</f>
        <v/>
      </c>
      <c r="AH90" s="38" t="n">
        <v>0</v>
      </c>
      <c r="AI90" s="38" t="n">
        <v>0</v>
      </c>
      <c r="AJ90" s="28" t="n"/>
      <c r="AK90" s="28" t="n"/>
      <c r="AL90" s="28" t="n"/>
      <c r="AM90" s="28" t="n"/>
      <c r="AN90" s="28" t="n"/>
      <c r="AO90" s="20">
        <f>AO82-AO87</f>
        <v/>
      </c>
      <c r="AP90" s="20">
        <f>AP82-AP87</f>
        <v/>
      </c>
      <c r="AQ90" s="20">
        <f>AQ82-AQ87</f>
        <v/>
      </c>
      <c r="AR90" s="20">
        <f>AR82-AR87</f>
        <v/>
      </c>
      <c r="AS90" s="20">
        <f>AS82-AS87</f>
        <v/>
      </c>
      <c r="AT90" s="20">
        <f>AT82-AT87</f>
        <v/>
      </c>
      <c r="AU90" s="20">
        <f>AU82-AU87</f>
        <v/>
      </c>
      <c r="AV90" s="20">
        <f>AV82-AV87</f>
        <v/>
      </c>
      <c r="AW90" s="20">
        <f>AW82-AW87</f>
        <v/>
      </c>
      <c r="AX90" s="20">
        <f>AX82-AX87</f>
        <v/>
      </c>
      <c r="AY90" s="20">
        <f>AY82-AY87</f>
        <v/>
      </c>
      <c r="AZ90" s="20">
        <f>AZ82-AZ87</f>
        <v/>
      </c>
      <c r="BA90" s="20">
        <f>BA82-BA87</f>
        <v/>
      </c>
      <c r="BB90" s="20">
        <f>BB82-BB87</f>
        <v/>
      </c>
      <c r="BC90" s="20">
        <f>BC82-BC87</f>
        <v/>
      </c>
      <c r="BD90" s="27" t="inlineStr"/>
    </row>
    <row r="91">
      <c r="A91" s="41" t="n"/>
      <c r="B91" s="41" t="n"/>
      <c r="C91" s="41" t="n"/>
      <c r="D91" s="41" t="n"/>
      <c r="E91" s="41" t="n"/>
      <c r="F91" s="41" t="n"/>
      <c r="G91" s="41" t="n"/>
      <c r="H91" s="41" t="n"/>
      <c r="I91" s="41" t="n"/>
      <c r="J91" s="41" t="n"/>
      <c r="K91" s="41" t="n"/>
      <c r="L91" s="41" t="n"/>
      <c r="M91" s="41" t="n"/>
      <c r="N91" s="41" t="n"/>
      <c r="O91" s="41" t="n"/>
      <c r="P91" s="41" t="n"/>
      <c r="Q91" s="41" t="n"/>
      <c r="R91" s="35" t="inlineStr">
        <is>
          <t>GP3毛利率(%)</t>
        </is>
      </c>
      <c r="S91" s="36">
        <f>S90/S82</f>
        <v/>
      </c>
      <c r="T91" s="36" t="n">
        <v>0</v>
      </c>
      <c r="U91" s="37">
        <f>U90/U82</f>
        <v/>
      </c>
      <c r="V91" s="36">
        <f>V90/V82</f>
        <v/>
      </c>
      <c r="W91" s="36">
        <f>W90/W82</f>
        <v/>
      </c>
      <c r="X91" s="36" t="n">
        <v>0</v>
      </c>
      <c r="Y91" s="36" t="n">
        <v>0</v>
      </c>
      <c r="Z91" s="36">
        <f>Z90/Z82</f>
        <v/>
      </c>
      <c r="AA91" s="36">
        <f>AA90/AA82</f>
        <v/>
      </c>
      <c r="AB91" s="36">
        <f>AB90/AB82</f>
        <v/>
      </c>
      <c r="AC91" s="36">
        <f>AC90/AC82</f>
        <v/>
      </c>
      <c r="AD91" s="36">
        <f>AD90/AD82</f>
        <v/>
      </c>
      <c r="AE91" s="36">
        <f>AE90/AE82</f>
        <v/>
      </c>
      <c r="AF91" s="36">
        <f>AF90/AF82</f>
        <v/>
      </c>
      <c r="AG91" s="36">
        <f>AG90/AG82</f>
        <v/>
      </c>
      <c r="AH91" s="38">
        <f>T91-S91</f>
        <v/>
      </c>
      <c r="AI91" s="38">
        <f>AF91-S91</f>
        <v/>
      </c>
      <c r="AJ91" s="41" t="n"/>
      <c r="AK91" s="41" t="n"/>
      <c r="AL91" s="41" t="n"/>
      <c r="AM91" s="41" t="n"/>
      <c r="AN91" s="41" t="n"/>
      <c r="AO91" s="36">
        <f>AO90/AO82</f>
        <v/>
      </c>
      <c r="AP91" s="36">
        <f>AP90/AP82</f>
        <v/>
      </c>
      <c r="AQ91" s="36">
        <f>AQ90/AQ82</f>
        <v/>
      </c>
      <c r="AR91" s="36">
        <f>AR90/AR82</f>
        <v/>
      </c>
      <c r="AS91" s="36">
        <f>AS90/AS82</f>
        <v/>
      </c>
      <c r="AT91" s="36">
        <f>AT90/AT82</f>
        <v/>
      </c>
      <c r="AU91" s="36">
        <f>AU90/AU82</f>
        <v/>
      </c>
      <c r="AV91" s="36">
        <f>AV90/AV82</f>
        <v/>
      </c>
      <c r="AW91" s="36">
        <f>AW90/AW82</f>
        <v/>
      </c>
      <c r="AX91" s="36">
        <f>AX90/AX82</f>
        <v/>
      </c>
      <c r="AY91" s="36">
        <f>AY90/AY82</f>
        <v/>
      </c>
      <c r="AZ91" s="36">
        <f>AZ90/AZ82</f>
        <v/>
      </c>
      <c r="BA91" s="56" t="n">
        <v>1.00366012345567</v>
      </c>
      <c r="BB91" s="39" t="n">
        <v>0</v>
      </c>
      <c r="BC91" s="61" t="n">
        <v>0</v>
      </c>
      <c r="BD91" s="27" t="inlineStr"/>
    </row>
    <row r="92">
      <c r="A92" s="42" t="inlineStr">
        <is>
          <t>P202601001368</t>
        </is>
      </c>
      <c r="B92" s="43" t="inlineStr">
        <is>
          <t>全国畜牧总站-2026年畜牧核心数据查询APP（牧数查）项目-FP项目</t>
        </is>
      </c>
      <c r="C92" s="44" t="n">
        <v>46023</v>
      </c>
      <c r="D92" s="44" t="n">
        <v>46387</v>
      </c>
      <c r="E92" s="15" t="n"/>
      <c r="F92" s="16" t="n">
        <v>2</v>
      </c>
      <c r="G92" s="18" t="n">
        <v>2</v>
      </c>
      <c r="H92" s="18" t="n"/>
      <c r="I92" s="18" t="n"/>
      <c r="J92" s="18" t="n"/>
      <c r="K92" s="18" t="n"/>
      <c r="L92" s="18" t="n"/>
      <c r="M92" s="18" t="n"/>
      <c r="N92" s="18" t="n"/>
      <c r="O92" s="18" t="n"/>
      <c r="P92" s="15" t="n"/>
      <c r="Q92" s="18" t="inlineStr"/>
      <c r="R92" s="47" t="inlineStr">
        <is>
          <t>累计收入（NR）</t>
        </is>
      </c>
      <c r="S92" s="20" t="n">
        <v>75471.7</v>
      </c>
      <c r="T92" s="20" t="n">
        <v>0</v>
      </c>
      <c r="U92" s="21" t="n">
        <v>0</v>
      </c>
      <c r="V92" s="20">
        <f>SUM(AO92:AZ92)</f>
        <v/>
      </c>
      <c r="W92" s="20">
        <f>SUM(AP92:AZ92)</f>
        <v/>
      </c>
      <c r="X92" s="20" t="n">
        <v>0</v>
      </c>
      <c r="Y92" s="20" t="n">
        <v>0</v>
      </c>
      <c r="Z92" s="20" t="n">
        <v>0</v>
      </c>
      <c r="AA92" s="20" t="n">
        <v>0</v>
      </c>
      <c r="AB92" s="20" t="n">
        <v>0</v>
      </c>
      <c r="AC92" s="20" t="n">
        <v>0</v>
      </c>
      <c r="AD92" s="20" t="n">
        <v>0</v>
      </c>
      <c r="AE92" s="20" t="n">
        <v>0</v>
      </c>
      <c r="AF92" s="20">
        <f>SUM(AY92:AZ92)</f>
        <v/>
      </c>
      <c r="AG92" s="20">
        <f>SUM(AZ92:AZ92)</f>
        <v/>
      </c>
      <c r="AH92" s="22" t="n">
        <v>0</v>
      </c>
      <c r="AI92" s="22" t="n">
        <v>0</v>
      </c>
      <c r="AJ92" s="43" t="inlineStr"/>
      <c r="AK92" s="48" t="inlineStr"/>
      <c r="AL92" s="48" t="inlineStr"/>
      <c r="AM92" s="48" t="inlineStr"/>
      <c r="AN92" s="16" t="n"/>
      <c r="AO92" s="20" t="n">
        <v>0</v>
      </c>
      <c r="AP92" s="20" t="n">
        <v>0</v>
      </c>
      <c r="AQ92" s="20" t="n">
        <v>0</v>
      </c>
      <c r="AR92" s="20" t="n">
        <v>0</v>
      </c>
      <c r="AS92" s="20" t="n">
        <v>0</v>
      </c>
      <c r="AT92" s="20" t="n">
        <v>0</v>
      </c>
      <c r="AU92" s="20" t="n">
        <v>0</v>
      </c>
      <c r="AV92" s="20" t="n">
        <v>0</v>
      </c>
      <c r="AW92" s="20" t="n">
        <v>0</v>
      </c>
      <c r="AX92" s="20" t="n">
        <v>65515.05</v>
      </c>
      <c r="AY92" s="20" t="n">
        <v>62945.83</v>
      </c>
      <c r="AZ92" s="20" t="n">
        <v>62991.71</v>
      </c>
      <c r="BA92" s="49" t="n">
        <v>0</v>
      </c>
      <c r="BB92" s="21" t="n">
        <v>0</v>
      </c>
      <c r="BC92" s="61" t="n">
        <v>0</v>
      </c>
      <c r="BD92" s="27" t="inlineStr"/>
    </row>
    <row r="93">
      <c r="A93" s="28" t="n"/>
      <c r="B93" s="28" t="n"/>
      <c r="C93" s="28" t="n"/>
      <c r="D93" s="28" t="n"/>
      <c r="E93" s="28" t="n"/>
      <c r="F93" s="28" t="n"/>
      <c r="G93" s="28" t="n"/>
      <c r="H93" s="28" t="n"/>
      <c r="I93" s="28" t="n"/>
      <c r="J93" s="28" t="n"/>
      <c r="K93" s="28" t="n"/>
      <c r="L93" s="28" t="n"/>
      <c r="M93" s="28" t="n"/>
      <c r="N93" s="28" t="n"/>
      <c r="O93" s="28" t="n"/>
      <c r="P93" s="28" t="n"/>
      <c r="Q93" s="28" t="n"/>
      <c r="R93" s="29" t="inlineStr">
        <is>
          <t>人工成本（成本１）</t>
        </is>
      </c>
      <c r="S93" s="20" t="n">
        <v>34151.4</v>
      </c>
      <c r="T93" s="20" t="n">
        <v>0</v>
      </c>
      <c r="U93" s="21" t="n">
        <v>0</v>
      </c>
      <c r="V93" s="20">
        <f>SUM(AO93:AZ93)</f>
        <v/>
      </c>
      <c r="W93" s="20">
        <f>SUM(AP93:AZ93)</f>
        <v/>
      </c>
      <c r="X93" s="20" t="n">
        <v>0</v>
      </c>
      <c r="Y93" s="20" t="n">
        <v>0</v>
      </c>
      <c r="Z93" s="20" t="n">
        <v>0</v>
      </c>
      <c r="AA93" s="20" t="n">
        <v>0</v>
      </c>
      <c r="AB93" s="20" t="n">
        <v>0</v>
      </c>
      <c r="AC93" s="20" t="n">
        <v>0</v>
      </c>
      <c r="AD93" s="20" t="n">
        <v>0</v>
      </c>
      <c r="AE93" s="20" t="n">
        <v>0</v>
      </c>
      <c r="AF93" s="20">
        <f>SUM(AY93:AZ93)</f>
        <v/>
      </c>
      <c r="AG93" s="20">
        <f>SUM(AZ93:AZ93)</f>
        <v/>
      </c>
      <c r="AH93" s="22" t="n">
        <v>0</v>
      </c>
      <c r="AI93" s="22" t="n">
        <v>0</v>
      </c>
      <c r="AJ93" s="28" t="n"/>
      <c r="AK93" s="28" t="n"/>
      <c r="AL93" s="28" t="n"/>
      <c r="AM93" s="28" t="n"/>
      <c r="AN93" s="28" t="n"/>
      <c r="AO93" s="20" t="n">
        <v>0</v>
      </c>
      <c r="AP93" s="20" t="n">
        <v>0</v>
      </c>
      <c r="AQ93" s="20" t="n">
        <v>0</v>
      </c>
      <c r="AR93" s="20" t="n">
        <v>0</v>
      </c>
      <c r="AS93" s="20" t="n">
        <v>0</v>
      </c>
      <c r="AT93" s="20" t="n">
        <v>0</v>
      </c>
      <c r="AU93" s="20" t="n">
        <v>0</v>
      </c>
      <c r="AV93" s="20" t="n">
        <v>0</v>
      </c>
      <c r="AW93" s="20" t="n">
        <v>0</v>
      </c>
      <c r="AX93" s="20" t="n">
        <v>61858.83</v>
      </c>
      <c r="AY93" s="20" t="n">
        <v>61858.83</v>
      </c>
      <c r="AZ93" s="20" t="n">
        <v>61858.83</v>
      </c>
      <c r="BA93" s="49" t="n">
        <v>0</v>
      </c>
      <c r="BB93" s="21" t="n">
        <v>0</v>
      </c>
      <c r="BC93" s="61" t="n">
        <v>0</v>
      </c>
      <c r="BD93" s="27" t="inlineStr"/>
    </row>
    <row r="94">
      <c r="A94" s="28" t="n"/>
      <c r="B94" s="28" t="n"/>
      <c r="C94" s="28" t="n"/>
      <c r="D94" s="28" t="n"/>
      <c r="E94" s="28" t="n"/>
      <c r="F94" s="28" t="n"/>
      <c r="G94" s="28" t="n"/>
      <c r="H94" s="28" t="n"/>
      <c r="I94" s="28" t="n"/>
      <c r="J94" s="28" t="n"/>
      <c r="K94" s="28" t="n"/>
      <c r="L94" s="28" t="n"/>
      <c r="M94" s="28" t="n"/>
      <c r="N94" s="28" t="n"/>
      <c r="O94" s="28" t="n"/>
      <c r="P94" s="28" t="n"/>
      <c r="Q94" s="28" t="n"/>
      <c r="R94" s="29" t="inlineStr">
        <is>
          <t>闲置成本（成本2）</t>
        </is>
      </c>
      <c r="S94" s="20" t="n">
        <v>0</v>
      </c>
      <c r="T94" s="20" t="n">
        <v>0</v>
      </c>
      <c r="U94" s="21" t="n">
        <v>0</v>
      </c>
      <c r="V94" s="20" t="n">
        <v>0</v>
      </c>
      <c r="W94" s="20" t="n">
        <v>0</v>
      </c>
      <c r="X94" s="20" t="n">
        <v>0</v>
      </c>
      <c r="Y94" s="20" t="n">
        <v>0</v>
      </c>
      <c r="Z94" s="20" t="n">
        <v>0</v>
      </c>
      <c r="AA94" s="20" t="n">
        <v>0</v>
      </c>
      <c r="AB94" s="20" t="n">
        <v>0</v>
      </c>
      <c r="AC94" s="20" t="n">
        <v>0</v>
      </c>
      <c r="AD94" s="20" t="n">
        <v>0</v>
      </c>
      <c r="AE94" s="20" t="n">
        <v>0</v>
      </c>
      <c r="AF94" s="20" t="n">
        <v>0</v>
      </c>
      <c r="AG94" s="20" t="n">
        <v>0</v>
      </c>
      <c r="AH94" s="22" t="n">
        <v>0</v>
      </c>
      <c r="AI94" s="22" t="n">
        <v>0</v>
      </c>
      <c r="AJ94" s="28" t="n"/>
      <c r="AK94" s="28" t="n"/>
      <c r="AL94" s="28" t="n"/>
      <c r="AM94" s="28" t="n"/>
      <c r="AN94" s="28" t="n"/>
      <c r="AO94" s="20" t="n">
        <v>0</v>
      </c>
      <c r="AP94" s="20" t="n">
        <v>0</v>
      </c>
      <c r="AQ94" s="20" t="n">
        <v>0</v>
      </c>
      <c r="AR94" s="20" t="n">
        <v>0</v>
      </c>
      <c r="AS94" s="20" t="n">
        <v>0</v>
      </c>
      <c r="AT94" s="20" t="n">
        <v>0</v>
      </c>
      <c r="AU94" s="20" t="n">
        <v>0</v>
      </c>
      <c r="AV94" s="20" t="n">
        <v>0</v>
      </c>
      <c r="AW94" s="20" t="n">
        <v>0</v>
      </c>
      <c r="AX94" s="20" t="n">
        <v>0</v>
      </c>
      <c r="AY94" s="20" t="n">
        <v>0</v>
      </c>
      <c r="AZ94" s="20" t="n">
        <v>0</v>
      </c>
      <c r="BA94" s="49" t="n">
        <v>0</v>
      </c>
      <c r="BB94" s="21" t="n">
        <v>0</v>
      </c>
      <c r="BC94" s="61" t="n">
        <v>0</v>
      </c>
      <c r="BD94" s="27" t="inlineStr"/>
    </row>
    <row r="95">
      <c r="A95" s="28" t="n"/>
      <c r="B95" s="28" t="n"/>
      <c r="C95" s="28" t="n"/>
      <c r="D95" s="28" t="n"/>
      <c r="E95" s="28" t="n"/>
      <c r="F95" s="28" t="n"/>
      <c r="G95" s="28" t="n"/>
      <c r="H95" s="28" t="n"/>
      <c r="I95" s="28" t="n"/>
      <c r="J95" s="28" t="n"/>
      <c r="K95" s="28" t="n"/>
      <c r="L95" s="28" t="n"/>
      <c r="M95" s="28" t="n"/>
      <c r="N95" s="28" t="n"/>
      <c r="O95" s="28" t="n"/>
      <c r="P95" s="28" t="n"/>
      <c r="Q95" s="28" t="n"/>
      <c r="R95" s="29" t="inlineStr">
        <is>
          <t>差旅费（成本３）</t>
        </is>
      </c>
      <c r="S95" s="20" t="n">
        <v>0</v>
      </c>
      <c r="T95" s="20" t="n">
        <v>0</v>
      </c>
      <c r="U95" s="21" t="n">
        <v>0</v>
      </c>
      <c r="V95" s="20">
        <f>SUM(AO95:AZ95)</f>
        <v/>
      </c>
      <c r="W95" s="20">
        <f>SUM(AP95:AZ95)</f>
        <v/>
      </c>
      <c r="X95" s="20" t="n">
        <v>0</v>
      </c>
      <c r="Y95" s="20" t="n">
        <v>0</v>
      </c>
      <c r="Z95" s="20" t="n">
        <v>0</v>
      </c>
      <c r="AA95" s="20" t="n">
        <v>0</v>
      </c>
      <c r="AB95" s="20" t="n">
        <v>0</v>
      </c>
      <c r="AC95" s="20" t="n">
        <v>0</v>
      </c>
      <c r="AD95" s="20" t="n">
        <v>0</v>
      </c>
      <c r="AE95" s="20" t="n">
        <v>0</v>
      </c>
      <c r="AF95" s="20">
        <f>SUM(AY95:AZ95)</f>
        <v/>
      </c>
      <c r="AG95" s="20">
        <f>SUM(AZ95:AZ95)</f>
        <v/>
      </c>
      <c r="AH95" s="22" t="n">
        <v>0</v>
      </c>
      <c r="AI95" s="22" t="n">
        <v>0</v>
      </c>
      <c r="AJ95" s="28" t="n"/>
      <c r="AK95" s="28" t="n"/>
      <c r="AL95" s="28" t="n"/>
      <c r="AM95" s="28" t="n"/>
      <c r="AN95" s="28" t="n"/>
      <c r="AO95" s="20" t="n">
        <v>0</v>
      </c>
      <c r="AP95" s="20" t="n">
        <v>0</v>
      </c>
      <c r="AQ95" s="20" t="n">
        <v>0</v>
      </c>
      <c r="AR95" s="20" t="n">
        <v>0</v>
      </c>
      <c r="AS95" s="20" t="n">
        <v>0</v>
      </c>
      <c r="AT95" s="20" t="n">
        <v>0</v>
      </c>
      <c r="AU95" s="20" t="n">
        <v>0</v>
      </c>
      <c r="AV95" s="20" t="n">
        <v>0</v>
      </c>
      <c r="AW95" s="20" t="n">
        <v>0</v>
      </c>
      <c r="AX95" s="20" t="n">
        <v>0</v>
      </c>
      <c r="AY95" s="20" t="n">
        <v>0</v>
      </c>
      <c r="AZ95" s="20" t="n">
        <v>0</v>
      </c>
      <c r="BA95" s="49" t="n">
        <v>0</v>
      </c>
      <c r="BB95" s="21" t="n">
        <v>0</v>
      </c>
      <c r="BC95" s="61" t="n">
        <v>0</v>
      </c>
      <c r="BD95" s="27" t="inlineStr"/>
    </row>
    <row r="96">
      <c r="A96" s="28" t="n"/>
      <c r="B96" s="28" t="n"/>
      <c r="C96" s="28" t="n"/>
      <c r="D96" s="28" t="n"/>
      <c r="E96" s="28" t="n"/>
      <c r="F96" s="28" t="n"/>
      <c r="G96" s="28" t="n"/>
      <c r="H96" s="28" t="n"/>
      <c r="I96" s="28" t="n"/>
      <c r="J96" s="28" t="n"/>
      <c r="K96" s="28" t="n"/>
      <c r="L96" s="28" t="n"/>
      <c r="M96" s="28" t="n"/>
      <c r="N96" s="28" t="n"/>
      <c r="O96" s="28" t="n"/>
      <c r="P96" s="28" t="n"/>
      <c r="Q96" s="28" t="n"/>
      <c r="R96" s="29" t="inlineStr">
        <is>
          <t>其他成本（成本３）</t>
        </is>
      </c>
      <c r="S96" s="20" t="n">
        <v>29037</v>
      </c>
      <c r="T96" s="20" t="n">
        <v>0</v>
      </c>
      <c r="U96" s="21" t="n">
        <v>0</v>
      </c>
      <c r="V96" s="20">
        <f>SUM(AO96:AZ96)</f>
        <v/>
      </c>
      <c r="W96" s="20">
        <f>SUM(AP96:AZ96)</f>
        <v/>
      </c>
      <c r="X96" s="20" t="n">
        <v>0</v>
      </c>
      <c r="Y96" s="20" t="n">
        <v>0</v>
      </c>
      <c r="Z96" s="20" t="n">
        <v>0</v>
      </c>
      <c r="AA96" s="20" t="n">
        <v>0</v>
      </c>
      <c r="AB96" s="20" t="n">
        <v>0</v>
      </c>
      <c r="AC96" s="20" t="n">
        <v>0</v>
      </c>
      <c r="AD96" s="20" t="n">
        <v>0</v>
      </c>
      <c r="AE96" s="20" t="n">
        <v>0</v>
      </c>
      <c r="AF96" s="20">
        <f>SUM(AY96:AZ96)</f>
        <v/>
      </c>
      <c r="AG96" s="20">
        <f>SUM(AZ96:AZ96)</f>
        <v/>
      </c>
      <c r="AH96" s="22" t="n">
        <v>0</v>
      </c>
      <c r="AI96" s="22" t="n">
        <v>0</v>
      </c>
      <c r="AJ96" s="28" t="n"/>
      <c r="AK96" s="28" t="n"/>
      <c r="AL96" s="28" t="n"/>
      <c r="AM96" s="28" t="n"/>
      <c r="AN96" s="28" t="n"/>
      <c r="AO96" s="20" t="n">
        <v>0</v>
      </c>
      <c r="AP96" s="20" t="n">
        <v>0</v>
      </c>
      <c r="AQ96" s="20" t="n">
        <v>0</v>
      </c>
      <c r="AR96" s="20" t="n">
        <v>0</v>
      </c>
      <c r="AS96" s="20" t="n">
        <v>0</v>
      </c>
      <c r="AT96" s="20" t="n">
        <v>0</v>
      </c>
      <c r="AU96" s="20" t="n">
        <v>0</v>
      </c>
      <c r="AV96" s="20" t="n">
        <v>0</v>
      </c>
      <c r="AW96" s="20" t="n">
        <v>0</v>
      </c>
      <c r="AX96" s="20" t="n">
        <v>204.48</v>
      </c>
      <c r="AY96" s="20" t="n">
        <v>134.51</v>
      </c>
      <c r="AZ96" s="20" t="n">
        <v>67.28</v>
      </c>
      <c r="BA96" s="49" t="n">
        <v>0</v>
      </c>
      <c r="BB96" s="21" t="n">
        <v>0</v>
      </c>
      <c r="BC96" s="61" t="n">
        <v>0</v>
      </c>
      <c r="BD96" s="27" t="inlineStr"/>
    </row>
    <row r="97">
      <c r="A97" s="28" t="n"/>
      <c r="B97" s="28" t="n"/>
      <c r="C97" s="28" t="n"/>
      <c r="D97" s="28" t="n"/>
      <c r="E97" s="28" t="n"/>
      <c r="F97" s="28" t="n"/>
      <c r="G97" s="28" t="n"/>
      <c r="H97" s="28" t="n"/>
      <c r="I97" s="28" t="n"/>
      <c r="J97" s="28" t="n"/>
      <c r="K97" s="28" t="n"/>
      <c r="L97" s="28" t="n"/>
      <c r="M97" s="28" t="n"/>
      <c r="N97" s="28" t="n"/>
      <c r="O97" s="28" t="n"/>
      <c r="P97" s="28" t="n"/>
      <c r="Q97" s="28" t="n"/>
      <c r="R97" s="29" t="inlineStr">
        <is>
          <t>累计成本</t>
        </is>
      </c>
      <c r="S97" s="30">
        <f>SUM(S93:S96)</f>
        <v/>
      </c>
      <c r="T97" s="30" t="n">
        <v>0</v>
      </c>
      <c r="U97" s="31" t="n">
        <v>0</v>
      </c>
      <c r="V97" s="30">
        <f>SUM(V93:V96)</f>
        <v/>
      </c>
      <c r="W97" s="30">
        <f>SUM(W93:W96)</f>
        <v/>
      </c>
      <c r="X97" s="30" t="n">
        <v>0</v>
      </c>
      <c r="Y97" s="30" t="n">
        <v>0</v>
      </c>
      <c r="Z97" s="30" t="n">
        <v>0</v>
      </c>
      <c r="AA97" s="30" t="n">
        <v>0</v>
      </c>
      <c r="AB97" s="30" t="n">
        <v>0</v>
      </c>
      <c r="AC97" s="30" t="n">
        <v>0</v>
      </c>
      <c r="AD97" s="30" t="n">
        <v>0</v>
      </c>
      <c r="AE97" s="30" t="n">
        <v>0</v>
      </c>
      <c r="AF97" s="30">
        <f>SUM(AF93:AF96)</f>
        <v/>
      </c>
      <c r="AG97" s="30">
        <f>SUM(AG93:AG96)</f>
        <v/>
      </c>
      <c r="AH97" s="30" t="n">
        <v>0</v>
      </c>
      <c r="AI97" s="30">
        <f>SUM(AI93:AI96)</f>
        <v/>
      </c>
      <c r="AJ97" s="28" t="n"/>
      <c r="AK97" s="28" t="n"/>
      <c r="AL97" s="28" t="n"/>
      <c r="AM97" s="28" t="n"/>
      <c r="AN97" s="28" t="n"/>
      <c r="AO97" s="30">
        <f>SUM(AO93:AO96)</f>
        <v/>
      </c>
      <c r="AP97" s="30">
        <f>SUM(AP93:AP96)</f>
        <v/>
      </c>
      <c r="AQ97" s="30">
        <f>SUM(AQ93:AQ96)</f>
        <v/>
      </c>
      <c r="AR97" s="30">
        <f>SUM(AR93:AR96)</f>
        <v/>
      </c>
      <c r="AS97" s="30">
        <f>SUM(AS93:AS96)</f>
        <v/>
      </c>
      <c r="AT97" s="30">
        <f>SUM(AT93:AT96)</f>
        <v/>
      </c>
      <c r="AU97" s="30">
        <f>SUM(AU93:AU96)</f>
        <v/>
      </c>
      <c r="AV97" s="30">
        <f>SUM(AV93:AV96)</f>
        <v/>
      </c>
      <c r="AW97" s="30">
        <f>SUM(AW93:AW96)</f>
        <v/>
      </c>
      <c r="AX97" s="30">
        <f>SUM(AX93:AX96)</f>
        <v/>
      </c>
      <c r="AY97" s="30" t="n">
        <v>61993.34</v>
      </c>
      <c r="AZ97" s="30">
        <f>SUM(AZ93:AZ96)</f>
        <v/>
      </c>
      <c r="BA97" s="53" t="n">
        <v>0</v>
      </c>
      <c r="BB97" s="31">
        <f>SUM(BB93:BB96)</f>
        <v/>
      </c>
      <c r="BC97" s="54">
        <f>SUM(BC93:BC96)</f>
        <v/>
      </c>
      <c r="BD97" s="32" t="inlineStr"/>
    </row>
    <row r="98">
      <c r="A98" s="28" t="n"/>
      <c r="B98" s="28" t="n"/>
      <c r="C98" s="28" t="n"/>
      <c r="D98" s="28" t="n"/>
      <c r="E98" s="28" t="n"/>
      <c r="F98" s="28" t="n"/>
      <c r="G98" s="28" t="n"/>
      <c r="H98" s="28" t="n"/>
      <c r="I98" s="28" t="n"/>
      <c r="J98" s="28" t="n"/>
      <c r="K98" s="28" t="n"/>
      <c r="L98" s="28" t="n"/>
      <c r="M98" s="28" t="n"/>
      <c r="N98" s="28" t="n"/>
      <c r="O98" s="28" t="n"/>
      <c r="P98" s="28" t="n"/>
      <c r="Q98" s="28" t="n"/>
      <c r="R98" s="29" t="inlineStr">
        <is>
          <t>GP1毛利</t>
        </is>
      </c>
      <c r="S98" s="20">
        <f>S92-S93</f>
        <v/>
      </c>
      <c r="T98" s="20" t="n">
        <v>0</v>
      </c>
      <c r="U98" s="21">
        <f>U92-U93</f>
        <v/>
      </c>
      <c r="V98" s="20">
        <f>V92-V93</f>
        <v/>
      </c>
      <c r="W98" s="20">
        <f>W92-W93</f>
        <v/>
      </c>
      <c r="X98" s="20" t="n">
        <v>0</v>
      </c>
      <c r="Y98" s="20" t="n">
        <v>0</v>
      </c>
      <c r="Z98" s="20" t="n">
        <v>0</v>
      </c>
      <c r="AA98" s="20" t="n">
        <v>0</v>
      </c>
      <c r="AB98" s="20" t="n">
        <v>0</v>
      </c>
      <c r="AC98" s="20" t="n">
        <v>0</v>
      </c>
      <c r="AD98" s="20" t="n">
        <v>0</v>
      </c>
      <c r="AE98" s="20" t="n">
        <v>0</v>
      </c>
      <c r="AF98" s="20">
        <f>AF92-AF93</f>
        <v/>
      </c>
      <c r="AG98" s="20">
        <f>AG92-AG93</f>
        <v/>
      </c>
      <c r="AH98" s="33" t="n">
        <v>0</v>
      </c>
      <c r="AI98" s="33" t="n">
        <v>0</v>
      </c>
      <c r="AJ98" s="28" t="n"/>
      <c r="AK98" s="28" t="n"/>
      <c r="AL98" s="28" t="n"/>
      <c r="AM98" s="28" t="n"/>
      <c r="AN98" s="28" t="n"/>
      <c r="AO98" s="20">
        <f>AO92-AO93</f>
        <v/>
      </c>
      <c r="AP98" s="20">
        <f>AP92-AP93</f>
        <v/>
      </c>
      <c r="AQ98" s="20">
        <f>AQ92-AQ93</f>
        <v/>
      </c>
      <c r="AR98" s="20">
        <f>AR92-AR93</f>
        <v/>
      </c>
      <c r="AS98" s="20">
        <f>AS92-AS93</f>
        <v/>
      </c>
      <c r="AT98" s="20">
        <f>AT92-AT93</f>
        <v/>
      </c>
      <c r="AU98" s="20">
        <f>AU92-AU93</f>
        <v/>
      </c>
      <c r="AV98" s="20">
        <f>AV92-AV93</f>
        <v/>
      </c>
      <c r="AW98" s="20">
        <f>AW92-AW93</f>
        <v/>
      </c>
      <c r="AX98" s="20">
        <f>AX92-AX93</f>
        <v/>
      </c>
      <c r="AY98" s="20">
        <f>AY92-AY93</f>
        <v/>
      </c>
      <c r="AZ98" s="20">
        <f>AZ92-AZ93</f>
        <v/>
      </c>
      <c r="BA98" s="55" t="n">
        <v>0</v>
      </c>
      <c r="BB98" s="31" t="n">
        <v>0</v>
      </c>
      <c r="BC98" s="61" t="n">
        <v>0</v>
      </c>
      <c r="BD98" s="27" t="inlineStr"/>
    </row>
    <row r="99">
      <c r="A99" s="28" t="n"/>
      <c r="B99" s="28" t="n"/>
      <c r="C99" s="28" t="n"/>
      <c r="D99" s="28" t="n"/>
      <c r="E99" s="28" t="n"/>
      <c r="F99" s="28" t="n"/>
      <c r="G99" s="28" t="n"/>
      <c r="H99" s="28" t="n"/>
      <c r="I99" s="28" t="n"/>
      <c r="J99" s="28" t="n"/>
      <c r="K99" s="28" t="n"/>
      <c r="L99" s="28" t="n"/>
      <c r="M99" s="28" t="n"/>
      <c r="N99" s="28" t="n"/>
      <c r="O99" s="28" t="n"/>
      <c r="P99" s="28" t="n"/>
      <c r="Q99" s="28" t="n"/>
      <c r="R99" s="35" t="inlineStr">
        <is>
          <t>GP1毛利率(%)</t>
        </is>
      </c>
      <c r="S99" s="36">
        <f>S98/S92</f>
        <v/>
      </c>
      <c r="T99" s="36" t="n">
        <v>0</v>
      </c>
      <c r="U99" s="37">
        <f>U98/U92</f>
        <v/>
      </c>
      <c r="V99" s="36">
        <f>V98/V92</f>
        <v/>
      </c>
      <c r="W99" s="36">
        <f>W98/W92</f>
        <v/>
      </c>
      <c r="X99" s="36" t="n">
        <v>0</v>
      </c>
      <c r="Y99" s="36" t="n">
        <v>0</v>
      </c>
      <c r="Z99" s="36" t="n">
        <v>0</v>
      </c>
      <c r="AA99" s="36" t="n">
        <v>0</v>
      </c>
      <c r="AB99" s="36" t="n">
        <v>0</v>
      </c>
      <c r="AC99" s="36" t="n">
        <v>0</v>
      </c>
      <c r="AD99" s="36" t="n">
        <v>0</v>
      </c>
      <c r="AE99" s="36" t="n">
        <v>0</v>
      </c>
      <c r="AF99" s="36">
        <f>AF98/AF92</f>
        <v/>
      </c>
      <c r="AG99" s="36">
        <f>AG98/AG92</f>
        <v/>
      </c>
      <c r="AH99" s="38" t="n">
        <v>-0.547493961312651</v>
      </c>
      <c r="AI99" s="38">
        <f>AF99-S99</f>
        <v/>
      </c>
      <c r="AJ99" s="28" t="n"/>
      <c r="AK99" s="28" t="n"/>
      <c r="AL99" s="28" t="n"/>
      <c r="AM99" s="28" t="n"/>
      <c r="AN99" s="28" t="n"/>
      <c r="AO99" s="36">
        <f>AO98/AO92</f>
        <v/>
      </c>
      <c r="AP99" s="36">
        <f>AP98/AP92</f>
        <v/>
      </c>
      <c r="AQ99" s="36">
        <f>AQ98/AQ92</f>
        <v/>
      </c>
      <c r="AR99" s="36">
        <f>AR98/AR92</f>
        <v/>
      </c>
      <c r="AS99" s="36">
        <f>AS98/AS92</f>
        <v/>
      </c>
      <c r="AT99" s="36">
        <f>AT98/AT92</f>
        <v/>
      </c>
      <c r="AU99" s="36">
        <f>AU98/AU92</f>
        <v/>
      </c>
      <c r="AV99" s="36">
        <f>AV98/AV92</f>
        <v/>
      </c>
      <c r="AW99" s="36">
        <f>AW98/AW92</f>
        <v/>
      </c>
      <c r="AX99" s="36">
        <f>AX98/AX92</f>
        <v/>
      </c>
      <c r="AY99" s="36">
        <f>AY98/AY92</f>
        <v/>
      </c>
      <c r="AZ99" s="36">
        <f>AZ98/AZ92</f>
        <v/>
      </c>
      <c r="BA99" s="56" t="n">
        <v>0</v>
      </c>
      <c r="BB99" s="39" t="n">
        <v>0</v>
      </c>
      <c r="BC99" s="61" t="n">
        <v>0</v>
      </c>
      <c r="BD99" s="27" t="inlineStr"/>
    </row>
    <row r="100">
      <c r="A100" s="28" t="n"/>
      <c r="B100" s="28" t="n"/>
      <c r="C100" s="28" t="n"/>
      <c r="D100" s="28" t="n"/>
      <c r="E100" s="28" t="n"/>
      <c r="F100" s="28" t="n"/>
      <c r="G100" s="28" t="n"/>
      <c r="H100" s="28" t="n"/>
      <c r="I100" s="28" t="n"/>
      <c r="J100" s="28" t="n"/>
      <c r="K100" s="28" t="n"/>
      <c r="L100" s="28" t="n"/>
      <c r="M100" s="28" t="n"/>
      <c r="N100" s="28" t="n"/>
      <c r="O100" s="28" t="n"/>
      <c r="P100" s="28" t="n"/>
      <c r="Q100" s="28" t="n"/>
      <c r="R100" s="29" t="inlineStr">
        <is>
          <t>GP3毛利</t>
        </is>
      </c>
      <c r="S100" s="20">
        <f>S92-S97</f>
        <v/>
      </c>
      <c r="T100" s="20">
        <f>T92-T97</f>
        <v/>
      </c>
      <c r="U100" s="20">
        <f>U92-U97</f>
        <v/>
      </c>
      <c r="V100" s="20">
        <f>V92-V97</f>
        <v/>
      </c>
      <c r="W100" s="20">
        <f>W92-W97</f>
        <v/>
      </c>
      <c r="X100" s="20">
        <f>X92-X97</f>
        <v/>
      </c>
      <c r="Y100" s="20">
        <f>Y92-Y97</f>
        <v/>
      </c>
      <c r="Z100" s="20">
        <f>Z92-Z97</f>
        <v/>
      </c>
      <c r="AA100" s="20">
        <f>AA92-AA97</f>
        <v/>
      </c>
      <c r="AB100" s="20">
        <f>AB92-AB97</f>
        <v/>
      </c>
      <c r="AC100" s="20">
        <f>AC92-AC97</f>
        <v/>
      </c>
      <c r="AD100" s="20">
        <f>AD92-AD97</f>
        <v/>
      </c>
      <c r="AE100" s="20">
        <f>AE92-AE97</f>
        <v/>
      </c>
      <c r="AF100" s="20">
        <f>AF92-AF97</f>
        <v/>
      </c>
      <c r="AG100" s="20">
        <f>AG92-AG97</f>
        <v/>
      </c>
      <c r="AH100" s="38" t="n">
        <v>0</v>
      </c>
      <c r="AI100" s="38" t="n">
        <v>0</v>
      </c>
      <c r="AJ100" s="28" t="n"/>
      <c r="AK100" s="28" t="n"/>
      <c r="AL100" s="28" t="n"/>
      <c r="AM100" s="28" t="n"/>
      <c r="AN100" s="28" t="n"/>
      <c r="AO100" s="20">
        <f>AO92-AO97</f>
        <v/>
      </c>
      <c r="AP100" s="20">
        <f>AP92-AP97</f>
        <v/>
      </c>
      <c r="AQ100" s="20">
        <f>AQ92-AQ97</f>
        <v/>
      </c>
      <c r="AR100" s="20">
        <f>AR92-AR97</f>
        <v/>
      </c>
      <c r="AS100" s="20">
        <f>AS92-AS97</f>
        <v/>
      </c>
      <c r="AT100" s="20">
        <f>AT92-AT97</f>
        <v/>
      </c>
      <c r="AU100" s="20">
        <f>AU92-AU97</f>
        <v/>
      </c>
      <c r="AV100" s="20">
        <f>AV92-AV97</f>
        <v/>
      </c>
      <c r="AW100" s="20">
        <f>AW92-AW97</f>
        <v/>
      </c>
      <c r="AX100" s="20">
        <f>AX92-AX97</f>
        <v/>
      </c>
      <c r="AY100" s="20">
        <f>AY92-AY97</f>
        <v/>
      </c>
      <c r="AZ100" s="20">
        <f>AZ92-AZ97</f>
        <v/>
      </c>
      <c r="BA100" s="20">
        <f>BA92-BA97</f>
        <v/>
      </c>
      <c r="BB100" s="20">
        <f>BB92-BB97</f>
        <v/>
      </c>
      <c r="BC100" s="20">
        <f>BC92-BC97</f>
        <v/>
      </c>
      <c r="BD100" s="27" t="inlineStr"/>
    </row>
    <row r="101">
      <c r="A101" s="41" t="n"/>
      <c r="B101" s="41" t="n"/>
      <c r="C101" s="41" t="n"/>
      <c r="D101" s="41" t="n"/>
      <c r="E101" s="41" t="n"/>
      <c r="F101" s="41" t="n"/>
      <c r="G101" s="41" t="n"/>
      <c r="H101" s="41" t="n"/>
      <c r="I101" s="41" t="n"/>
      <c r="J101" s="41" t="n"/>
      <c r="K101" s="41" t="n"/>
      <c r="L101" s="41" t="n"/>
      <c r="M101" s="41" t="n"/>
      <c r="N101" s="41" t="n"/>
      <c r="O101" s="41" t="n"/>
      <c r="P101" s="41" t="n"/>
      <c r="Q101" s="41" t="n"/>
      <c r="R101" s="35" t="inlineStr">
        <is>
          <t>GP3毛利率(%)</t>
        </is>
      </c>
      <c r="S101" s="36">
        <f>S100/S92</f>
        <v/>
      </c>
      <c r="T101" s="36" t="n">
        <v>0</v>
      </c>
      <c r="U101" s="37">
        <f>U100/U92</f>
        <v/>
      </c>
      <c r="V101" s="36">
        <f>V100/V92</f>
        <v/>
      </c>
      <c r="W101" s="36">
        <f>W100/W92</f>
        <v/>
      </c>
      <c r="X101" s="36" t="n">
        <v>0</v>
      </c>
      <c r="Y101" s="36" t="n">
        <v>0</v>
      </c>
      <c r="Z101" s="36" t="n">
        <v>0</v>
      </c>
      <c r="AA101" s="36" t="n">
        <v>0</v>
      </c>
      <c r="AB101" s="36" t="n">
        <v>0</v>
      </c>
      <c r="AC101" s="36" t="n">
        <v>0</v>
      </c>
      <c r="AD101" s="36" t="n">
        <v>0</v>
      </c>
      <c r="AE101" s="36" t="n">
        <v>0</v>
      </c>
      <c r="AF101" s="36">
        <f>AF100/AF92</f>
        <v/>
      </c>
      <c r="AG101" s="36">
        <f>AG100/AG92</f>
        <v/>
      </c>
      <c r="AH101" s="38" t="n">
        <v>-0.162753720931157</v>
      </c>
      <c r="AI101" s="38">
        <f>AF101-S101</f>
        <v/>
      </c>
      <c r="AJ101" s="41" t="n"/>
      <c r="AK101" s="41" t="n"/>
      <c r="AL101" s="41" t="n"/>
      <c r="AM101" s="41" t="n"/>
      <c r="AN101" s="41" t="n"/>
      <c r="AO101" s="36">
        <f>AO100/AO92</f>
        <v/>
      </c>
      <c r="AP101" s="36">
        <f>AP100/AP92</f>
        <v/>
      </c>
      <c r="AQ101" s="36">
        <f>AQ100/AQ92</f>
        <v/>
      </c>
      <c r="AR101" s="36">
        <f>AR100/AR92</f>
        <v/>
      </c>
      <c r="AS101" s="36">
        <f>AS100/AS92</f>
        <v/>
      </c>
      <c r="AT101" s="36">
        <f>AT100/AT92</f>
        <v/>
      </c>
      <c r="AU101" s="36">
        <f>AU100/AU92</f>
        <v/>
      </c>
      <c r="AV101" s="36">
        <f>AV100/AV92</f>
        <v/>
      </c>
      <c r="AW101" s="36">
        <f>AW100/AW92</f>
        <v/>
      </c>
      <c r="AX101" s="36">
        <f>AX100/AX92</f>
        <v/>
      </c>
      <c r="AY101" s="36">
        <f>AY100/AY92</f>
        <v/>
      </c>
      <c r="AZ101" s="36">
        <f>AZ100/AZ92</f>
        <v/>
      </c>
      <c r="BA101" s="56" t="n">
        <v>0</v>
      </c>
      <c r="BB101" s="39" t="n">
        <v>0</v>
      </c>
      <c r="BC101" s="61" t="n">
        <v>0</v>
      </c>
      <c r="BD101" s="27" t="inlineStr"/>
    </row>
    <row r="102">
      <c r="A102" s="42" t="inlineStr">
        <is>
          <t>P202603000431</t>
        </is>
      </c>
      <c r="B102" s="43" t="inlineStr">
        <is>
          <t>全国畜牧总站-畜牧业综合信息平台种畜禽子系统2026年度运维-FP项目</t>
        </is>
      </c>
      <c r="C102" s="44" t="n">
        <v>46082</v>
      </c>
      <c r="D102" s="44" t="n">
        <v>46477</v>
      </c>
      <c r="E102" s="15" t="n"/>
      <c r="F102" s="16" t="n"/>
      <c r="G102" s="18" t="n">
        <v>0</v>
      </c>
      <c r="H102" s="18" t="n"/>
      <c r="I102" s="18" t="n"/>
      <c r="J102" s="18" t="n"/>
      <c r="K102" s="18" t="n"/>
      <c r="L102" s="18" t="n"/>
      <c r="M102" s="18" t="n"/>
      <c r="N102" s="18" t="n"/>
      <c r="O102" s="18" t="n"/>
      <c r="P102" s="15" t="n"/>
      <c r="Q102" s="18" t="inlineStr"/>
      <c r="R102" s="47" t="inlineStr">
        <is>
          <t>累计收入（NR）</t>
        </is>
      </c>
      <c r="S102" s="20" t="n">
        <v>150943.4</v>
      </c>
      <c r="T102" s="20" t="n">
        <v>0</v>
      </c>
      <c r="U102" s="21" t="n">
        <v>0</v>
      </c>
      <c r="V102" s="20">
        <f>SUM(AO102:AZ102)</f>
        <v/>
      </c>
      <c r="W102" s="20">
        <f>SUM(AP102:AZ102)</f>
        <v/>
      </c>
      <c r="X102" s="20" t="n">
        <v>0</v>
      </c>
      <c r="Y102" s="20" t="n">
        <v>0</v>
      </c>
      <c r="Z102" s="20" t="n">
        <v>0</v>
      </c>
      <c r="AA102" s="20" t="n">
        <v>0</v>
      </c>
      <c r="AB102" s="20" t="n">
        <v>0</v>
      </c>
      <c r="AC102" s="20" t="n">
        <v>0</v>
      </c>
      <c r="AD102" s="20" t="n">
        <v>0</v>
      </c>
      <c r="AE102" s="20" t="n">
        <v>0</v>
      </c>
      <c r="AF102" s="20">
        <f>SUM(AY102:AZ102)</f>
        <v/>
      </c>
      <c r="AG102" s="20">
        <f>SUM(AZ102:AZ102)</f>
        <v/>
      </c>
      <c r="AH102" s="22" t="n">
        <v>0</v>
      </c>
      <c r="AI102" s="22" t="n">
        <v>0</v>
      </c>
      <c r="AJ102" s="43" t="inlineStr"/>
      <c r="AK102" s="48" t="inlineStr"/>
      <c r="AL102" s="48" t="inlineStr"/>
      <c r="AM102" s="48" t="inlineStr"/>
      <c r="AN102" s="16" t="n"/>
      <c r="AO102" s="20" t="n">
        <v>0</v>
      </c>
      <c r="AP102" s="20" t="n">
        <v>0</v>
      </c>
      <c r="AQ102" s="20" t="n">
        <v>0</v>
      </c>
      <c r="AR102" s="20" t="n">
        <v>0</v>
      </c>
      <c r="AS102" s="20" t="n">
        <v>0</v>
      </c>
      <c r="AT102" s="20" t="n">
        <v>0</v>
      </c>
      <c r="AU102" s="20" t="n">
        <v>0</v>
      </c>
      <c r="AV102" s="20" t="n">
        <v>0</v>
      </c>
      <c r="AW102" s="20" t="n">
        <v>0</v>
      </c>
      <c r="AX102" s="20" t="n">
        <v>10681.51</v>
      </c>
      <c r="AY102" s="20" t="n">
        <v>0</v>
      </c>
      <c r="AZ102" s="20" t="n">
        <v>0</v>
      </c>
      <c r="BA102" s="49" t="n">
        <v>0</v>
      </c>
      <c r="BB102" s="21" t="n">
        <v>0</v>
      </c>
      <c r="BC102" s="61" t="n">
        <v>0</v>
      </c>
      <c r="BD102" s="27" t="inlineStr"/>
    </row>
    <row r="103">
      <c r="A103" s="28" t="n"/>
      <c r="B103" s="28" t="n"/>
      <c r="C103" s="28" t="n"/>
      <c r="D103" s="28" t="n"/>
      <c r="E103" s="28" t="n"/>
      <c r="F103" s="28" t="n"/>
      <c r="G103" s="28" t="n"/>
      <c r="H103" s="28" t="n"/>
      <c r="I103" s="28" t="n"/>
      <c r="J103" s="28" t="n"/>
      <c r="K103" s="28" t="n"/>
      <c r="L103" s="28" t="n"/>
      <c r="M103" s="28" t="n"/>
      <c r="N103" s="28" t="n"/>
      <c r="O103" s="28" t="n"/>
      <c r="P103" s="28" t="n"/>
      <c r="Q103" s="28" t="n"/>
      <c r="R103" s="29" t="inlineStr">
        <is>
          <t>人工成本（成本１）</t>
        </is>
      </c>
      <c r="S103" s="20" t="n">
        <v>123705</v>
      </c>
      <c r="T103" s="20" t="n">
        <v>0</v>
      </c>
      <c r="U103" s="21" t="n">
        <v>0</v>
      </c>
      <c r="V103" s="20">
        <f>SUM(AO103:AZ103)</f>
        <v/>
      </c>
      <c r="W103" s="20">
        <f>SUM(AP103:AZ103)</f>
        <v/>
      </c>
      <c r="X103" s="20" t="n">
        <v>0</v>
      </c>
      <c r="Y103" s="20" t="n">
        <v>0</v>
      </c>
      <c r="Z103" s="20" t="n">
        <v>0</v>
      </c>
      <c r="AA103" s="20" t="n">
        <v>0</v>
      </c>
      <c r="AB103" s="20" t="n">
        <v>0</v>
      </c>
      <c r="AC103" s="20" t="n">
        <v>0</v>
      </c>
      <c r="AD103" s="20" t="n">
        <v>0</v>
      </c>
      <c r="AE103" s="20" t="n">
        <v>0</v>
      </c>
      <c r="AF103" s="20">
        <f>SUM(AY103:AZ103)</f>
        <v/>
      </c>
      <c r="AG103" s="20">
        <f>SUM(AZ103:AZ103)</f>
        <v/>
      </c>
      <c r="AH103" s="22" t="n">
        <v>0</v>
      </c>
      <c r="AI103" s="22" t="n">
        <v>0</v>
      </c>
      <c r="AJ103" s="28" t="n"/>
      <c r="AK103" s="28" t="n"/>
      <c r="AL103" s="28" t="n"/>
      <c r="AM103" s="28" t="n"/>
      <c r="AN103" s="28" t="n"/>
      <c r="AO103" s="20" t="n">
        <v>0</v>
      </c>
      <c r="AP103" s="20" t="n">
        <v>0</v>
      </c>
      <c r="AQ103" s="20" t="n">
        <v>0</v>
      </c>
      <c r="AR103" s="20" t="n">
        <v>0</v>
      </c>
      <c r="AS103" s="20" t="n">
        <v>0</v>
      </c>
      <c r="AT103" s="20" t="n">
        <v>0</v>
      </c>
      <c r="AU103" s="20" t="n">
        <v>0</v>
      </c>
      <c r="AV103" s="20" t="n">
        <v>0</v>
      </c>
      <c r="AW103" s="20" t="n">
        <v>0</v>
      </c>
      <c r="AX103" s="20" t="n">
        <v>0</v>
      </c>
      <c r="AY103" s="20" t="n">
        <v>0</v>
      </c>
      <c r="AZ103" s="20" t="n">
        <v>0</v>
      </c>
      <c r="BA103" s="49" t="n">
        <v>0</v>
      </c>
      <c r="BB103" s="21" t="n">
        <v>0</v>
      </c>
      <c r="BC103" s="61" t="n">
        <v>0</v>
      </c>
      <c r="BD103" s="27" t="inlineStr"/>
    </row>
    <row r="104">
      <c r="A104" s="28" t="n"/>
      <c r="B104" s="28" t="n"/>
      <c r="C104" s="28" t="n"/>
      <c r="D104" s="28" t="n"/>
      <c r="E104" s="28" t="n"/>
      <c r="F104" s="28" t="n"/>
      <c r="G104" s="28" t="n"/>
      <c r="H104" s="28" t="n"/>
      <c r="I104" s="28" t="n"/>
      <c r="J104" s="28" t="n"/>
      <c r="K104" s="28" t="n"/>
      <c r="L104" s="28" t="n"/>
      <c r="M104" s="28" t="n"/>
      <c r="N104" s="28" t="n"/>
      <c r="O104" s="28" t="n"/>
      <c r="P104" s="28" t="n"/>
      <c r="Q104" s="28" t="n"/>
      <c r="R104" s="29" t="inlineStr">
        <is>
          <t>闲置成本（成本2）</t>
        </is>
      </c>
      <c r="S104" s="20" t="n">
        <v>0</v>
      </c>
      <c r="T104" s="20" t="n">
        <v>0</v>
      </c>
      <c r="U104" s="21" t="n">
        <v>0</v>
      </c>
      <c r="V104" s="20" t="n">
        <v>0</v>
      </c>
      <c r="W104" s="20" t="n">
        <v>0</v>
      </c>
      <c r="X104" s="20" t="n">
        <v>0</v>
      </c>
      <c r="Y104" s="20" t="n">
        <v>0</v>
      </c>
      <c r="Z104" s="20" t="n">
        <v>0</v>
      </c>
      <c r="AA104" s="20" t="n">
        <v>0</v>
      </c>
      <c r="AB104" s="20" t="n">
        <v>0</v>
      </c>
      <c r="AC104" s="20" t="n">
        <v>0</v>
      </c>
      <c r="AD104" s="20" t="n">
        <v>0</v>
      </c>
      <c r="AE104" s="20" t="n">
        <v>0</v>
      </c>
      <c r="AF104" s="20" t="n">
        <v>0</v>
      </c>
      <c r="AG104" s="20" t="n">
        <v>0</v>
      </c>
      <c r="AH104" s="22" t="n">
        <v>0</v>
      </c>
      <c r="AI104" s="22" t="n">
        <v>0</v>
      </c>
      <c r="AJ104" s="28" t="n"/>
      <c r="AK104" s="28" t="n"/>
      <c r="AL104" s="28" t="n"/>
      <c r="AM104" s="28" t="n"/>
      <c r="AN104" s="28" t="n"/>
      <c r="AO104" s="20" t="n">
        <v>0</v>
      </c>
      <c r="AP104" s="20" t="n">
        <v>0</v>
      </c>
      <c r="AQ104" s="20" t="n">
        <v>0</v>
      </c>
      <c r="AR104" s="20" t="n">
        <v>0</v>
      </c>
      <c r="AS104" s="20" t="n">
        <v>0</v>
      </c>
      <c r="AT104" s="20" t="n">
        <v>0</v>
      </c>
      <c r="AU104" s="20" t="n">
        <v>0</v>
      </c>
      <c r="AV104" s="20" t="n">
        <v>0</v>
      </c>
      <c r="AW104" s="20" t="n">
        <v>0</v>
      </c>
      <c r="AX104" s="20" t="n">
        <v>0</v>
      </c>
      <c r="AY104" s="20" t="n">
        <v>0</v>
      </c>
      <c r="AZ104" s="20" t="n">
        <v>0</v>
      </c>
      <c r="BA104" s="49" t="n">
        <v>0</v>
      </c>
      <c r="BB104" s="21" t="n">
        <v>0</v>
      </c>
      <c r="BC104" s="61" t="n">
        <v>0</v>
      </c>
      <c r="BD104" s="27" t="inlineStr"/>
    </row>
    <row r="105">
      <c r="A105" s="28" t="n"/>
      <c r="B105" s="28" t="n"/>
      <c r="C105" s="28" t="n"/>
      <c r="D105" s="28" t="n"/>
      <c r="E105" s="28" t="n"/>
      <c r="F105" s="28" t="n"/>
      <c r="G105" s="28" t="n"/>
      <c r="H105" s="28" t="n"/>
      <c r="I105" s="28" t="n"/>
      <c r="J105" s="28" t="n"/>
      <c r="K105" s="28" t="n"/>
      <c r="L105" s="28" t="n"/>
      <c r="M105" s="28" t="n"/>
      <c r="N105" s="28" t="n"/>
      <c r="O105" s="28" t="n"/>
      <c r="P105" s="28" t="n"/>
      <c r="Q105" s="28" t="n"/>
      <c r="R105" s="29" t="inlineStr">
        <is>
          <t>差旅费（成本３）</t>
        </is>
      </c>
      <c r="S105" s="20" t="n">
        <v>0</v>
      </c>
      <c r="T105" s="20" t="n">
        <v>0</v>
      </c>
      <c r="U105" s="21" t="n">
        <v>0</v>
      </c>
      <c r="V105" s="20">
        <f>SUM(AO105:AZ105)</f>
        <v/>
      </c>
      <c r="W105" s="20">
        <f>SUM(AP105:AZ105)</f>
        <v/>
      </c>
      <c r="X105" s="20" t="n">
        <v>0</v>
      </c>
      <c r="Y105" s="20" t="n">
        <v>0</v>
      </c>
      <c r="Z105" s="20" t="n">
        <v>0</v>
      </c>
      <c r="AA105" s="20" t="n">
        <v>0</v>
      </c>
      <c r="AB105" s="20" t="n">
        <v>0</v>
      </c>
      <c r="AC105" s="20" t="n">
        <v>0</v>
      </c>
      <c r="AD105" s="20" t="n">
        <v>0</v>
      </c>
      <c r="AE105" s="20" t="n">
        <v>0</v>
      </c>
      <c r="AF105" s="20">
        <f>SUM(AY105:AZ105)</f>
        <v/>
      </c>
      <c r="AG105" s="20">
        <f>SUM(AZ105:AZ105)</f>
        <v/>
      </c>
      <c r="AH105" s="22" t="n">
        <v>0</v>
      </c>
      <c r="AI105" s="22" t="n">
        <v>0</v>
      </c>
      <c r="AJ105" s="28" t="n"/>
      <c r="AK105" s="28" t="n"/>
      <c r="AL105" s="28" t="n"/>
      <c r="AM105" s="28" t="n"/>
      <c r="AN105" s="28" t="n"/>
      <c r="AO105" s="20" t="n">
        <v>0</v>
      </c>
      <c r="AP105" s="20" t="n">
        <v>0</v>
      </c>
      <c r="AQ105" s="20" t="n">
        <v>0</v>
      </c>
      <c r="AR105" s="20" t="n">
        <v>0</v>
      </c>
      <c r="AS105" s="20" t="n">
        <v>0</v>
      </c>
      <c r="AT105" s="20" t="n">
        <v>0</v>
      </c>
      <c r="AU105" s="20" t="n">
        <v>0</v>
      </c>
      <c r="AV105" s="20" t="n">
        <v>0</v>
      </c>
      <c r="AW105" s="20" t="n">
        <v>0</v>
      </c>
      <c r="AX105" s="20" t="n">
        <v>0</v>
      </c>
      <c r="AY105" s="20" t="n">
        <v>0</v>
      </c>
      <c r="AZ105" s="20" t="n">
        <v>0</v>
      </c>
      <c r="BA105" s="49" t="n">
        <v>0</v>
      </c>
      <c r="BB105" s="21" t="n">
        <v>0</v>
      </c>
      <c r="BC105" s="61" t="n">
        <v>0</v>
      </c>
      <c r="BD105" s="27" t="inlineStr"/>
    </row>
    <row r="106">
      <c r="A106" s="28" t="n"/>
      <c r="B106" s="28" t="n"/>
      <c r="C106" s="28" t="n"/>
      <c r="D106" s="28" t="n"/>
      <c r="E106" s="28" t="n"/>
      <c r="F106" s="28" t="n"/>
      <c r="G106" s="28" t="n"/>
      <c r="H106" s="28" t="n"/>
      <c r="I106" s="28" t="n"/>
      <c r="J106" s="28" t="n"/>
      <c r="K106" s="28" t="n"/>
      <c r="L106" s="28" t="n"/>
      <c r="M106" s="28" t="n"/>
      <c r="N106" s="28" t="n"/>
      <c r="O106" s="28" t="n"/>
      <c r="P106" s="28" t="n"/>
      <c r="Q106" s="28" t="n"/>
      <c r="R106" s="29" t="inlineStr">
        <is>
          <t>其他成本（成本３）</t>
        </is>
      </c>
      <c r="S106" s="20" t="n">
        <v>0</v>
      </c>
      <c r="T106" s="20" t="n">
        <v>0</v>
      </c>
      <c r="U106" s="21" t="n">
        <v>0</v>
      </c>
      <c r="V106" s="20">
        <f>SUM(AO106:AZ106)</f>
        <v/>
      </c>
      <c r="W106" s="20">
        <f>SUM(AP106:AZ106)</f>
        <v/>
      </c>
      <c r="X106" s="20" t="n">
        <v>0</v>
      </c>
      <c r="Y106" s="20" t="n">
        <v>0</v>
      </c>
      <c r="Z106" s="20" t="n">
        <v>0</v>
      </c>
      <c r="AA106" s="20" t="n">
        <v>0</v>
      </c>
      <c r="AB106" s="20" t="n">
        <v>0</v>
      </c>
      <c r="AC106" s="20" t="n">
        <v>0</v>
      </c>
      <c r="AD106" s="20" t="n">
        <v>0</v>
      </c>
      <c r="AE106" s="20" t="n">
        <v>0</v>
      </c>
      <c r="AF106" s="20">
        <f>SUM(AY106:AZ106)</f>
        <v/>
      </c>
      <c r="AG106" s="20">
        <f>SUM(AZ106:AZ106)</f>
        <v/>
      </c>
      <c r="AH106" s="22" t="n">
        <v>0</v>
      </c>
      <c r="AI106" s="22" t="n">
        <v>0</v>
      </c>
      <c r="AJ106" s="28" t="n"/>
      <c r="AK106" s="28" t="n"/>
      <c r="AL106" s="28" t="n"/>
      <c r="AM106" s="28" t="n"/>
      <c r="AN106" s="28" t="n"/>
      <c r="AO106" s="20" t="n">
        <v>0</v>
      </c>
      <c r="AP106" s="20" t="n">
        <v>0</v>
      </c>
      <c r="AQ106" s="20" t="n">
        <v>0</v>
      </c>
      <c r="AR106" s="20" t="n">
        <v>0</v>
      </c>
      <c r="AS106" s="20" t="n">
        <v>0</v>
      </c>
      <c r="AT106" s="20" t="n">
        <v>0</v>
      </c>
      <c r="AU106" s="20" t="n">
        <v>0</v>
      </c>
      <c r="AV106" s="20" t="n">
        <v>0</v>
      </c>
      <c r="AW106" s="20" t="n">
        <v>0</v>
      </c>
      <c r="AX106" s="20" t="n">
        <v>20.87</v>
      </c>
      <c r="AY106" s="20" t="n">
        <v>0</v>
      </c>
      <c r="AZ106" s="20" t="n">
        <v>0</v>
      </c>
      <c r="BA106" s="49" t="n">
        <v>0</v>
      </c>
      <c r="BB106" s="21" t="n">
        <v>0</v>
      </c>
      <c r="BC106" s="61" t="n">
        <v>0</v>
      </c>
      <c r="BD106" s="27" t="inlineStr"/>
    </row>
    <row r="107">
      <c r="A107" s="28" t="n"/>
      <c r="B107" s="28" t="n"/>
      <c r="C107" s="28" t="n"/>
      <c r="D107" s="28" t="n"/>
      <c r="E107" s="28" t="n"/>
      <c r="F107" s="28" t="n"/>
      <c r="G107" s="28" t="n"/>
      <c r="H107" s="28" t="n"/>
      <c r="I107" s="28" t="n"/>
      <c r="J107" s="28" t="n"/>
      <c r="K107" s="28" t="n"/>
      <c r="L107" s="28" t="n"/>
      <c r="M107" s="28" t="n"/>
      <c r="N107" s="28" t="n"/>
      <c r="O107" s="28" t="n"/>
      <c r="P107" s="28" t="n"/>
      <c r="Q107" s="28" t="n"/>
      <c r="R107" s="29" t="inlineStr">
        <is>
          <t>累计成本</t>
        </is>
      </c>
      <c r="S107" s="30">
        <f>SUM(S103:S106)</f>
        <v/>
      </c>
      <c r="T107" s="30" t="n">
        <v>0</v>
      </c>
      <c r="U107" s="31" t="n">
        <v>0</v>
      </c>
      <c r="V107" s="30">
        <f>SUM(V103:V106)</f>
        <v/>
      </c>
      <c r="W107" s="30">
        <f>SUM(W103:W106)</f>
        <v/>
      </c>
      <c r="X107" s="30" t="n">
        <v>0</v>
      </c>
      <c r="Y107" s="30" t="n">
        <v>0</v>
      </c>
      <c r="Z107" s="30" t="n">
        <v>0</v>
      </c>
      <c r="AA107" s="30" t="n">
        <v>0</v>
      </c>
      <c r="AB107" s="30" t="n">
        <v>0</v>
      </c>
      <c r="AC107" s="30" t="n">
        <v>0</v>
      </c>
      <c r="AD107" s="30" t="n">
        <v>0</v>
      </c>
      <c r="AE107" s="30" t="n">
        <v>0</v>
      </c>
      <c r="AF107" s="30">
        <f>SUM(AF103:AF106)</f>
        <v/>
      </c>
      <c r="AG107" s="30">
        <f>SUM(AG103:AG106)</f>
        <v/>
      </c>
      <c r="AH107" s="30" t="n">
        <v>0</v>
      </c>
      <c r="AI107" s="30">
        <f>SUM(AI103:AI106)</f>
        <v/>
      </c>
      <c r="AJ107" s="28" t="n"/>
      <c r="AK107" s="28" t="n"/>
      <c r="AL107" s="28" t="n"/>
      <c r="AM107" s="28" t="n"/>
      <c r="AN107" s="28" t="n"/>
      <c r="AO107" s="30">
        <f>SUM(AO103:AO106)</f>
        <v/>
      </c>
      <c r="AP107" s="30">
        <f>SUM(AP103:AP106)</f>
        <v/>
      </c>
      <c r="AQ107" s="30">
        <f>SUM(AQ103:AQ106)</f>
        <v/>
      </c>
      <c r="AR107" s="30">
        <f>SUM(AR103:AR106)</f>
        <v/>
      </c>
      <c r="AS107" s="30">
        <f>SUM(AS103:AS106)</f>
        <v/>
      </c>
      <c r="AT107" s="30">
        <f>SUM(AT103:AT106)</f>
        <v/>
      </c>
      <c r="AU107" s="30">
        <f>SUM(AU103:AU106)</f>
        <v/>
      </c>
      <c r="AV107" s="30">
        <f>SUM(AV103:AV106)</f>
        <v/>
      </c>
      <c r="AW107" s="30">
        <f>SUM(AW103:AW106)</f>
        <v/>
      </c>
      <c r="AX107" s="30">
        <f>SUM(AX103:AX106)</f>
        <v/>
      </c>
      <c r="AY107" s="30" t="n">
        <v>0</v>
      </c>
      <c r="AZ107" s="30">
        <f>SUM(AZ103:AZ106)</f>
        <v/>
      </c>
      <c r="BA107" s="53" t="n">
        <v>0</v>
      </c>
      <c r="BB107" s="31">
        <f>SUM(BB103:BB106)</f>
        <v/>
      </c>
      <c r="BC107" s="54">
        <f>SUM(BC103:BC106)</f>
        <v/>
      </c>
      <c r="BD107" s="32" t="inlineStr"/>
    </row>
    <row r="108">
      <c r="A108" s="28" t="n"/>
      <c r="B108" s="28" t="n"/>
      <c r="C108" s="28" t="n"/>
      <c r="D108" s="28" t="n"/>
      <c r="E108" s="28" t="n"/>
      <c r="F108" s="28" t="n"/>
      <c r="G108" s="28" t="n"/>
      <c r="H108" s="28" t="n"/>
      <c r="I108" s="28" t="n"/>
      <c r="J108" s="28" t="n"/>
      <c r="K108" s="28" t="n"/>
      <c r="L108" s="28" t="n"/>
      <c r="M108" s="28" t="n"/>
      <c r="N108" s="28" t="n"/>
      <c r="O108" s="28" t="n"/>
      <c r="P108" s="28" t="n"/>
      <c r="Q108" s="28" t="n"/>
      <c r="R108" s="29" t="inlineStr">
        <is>
          <t>GP1毛利</t>
        </is>
      </c>
      <c r="S108" s="20">
        <f>S102-S103</f>
        <v/>
      </c>
      <c r="T108" s="20" t="n">
        <v>0</v>
      </c>
      <c r="U108" s="21">
        <f>U102-U103</f>
        <v/>
      </c>
      <c r="V108" s="20">
        <f>V102-V103</f>
        <v/>
      </c>
      <c r="W108" s="20">
        <f>W102-W103</f>
        <v/>
      </c>
      <c r="X108" s="20" t="n">
        <v>0</v>
      </c>
      <c r="Y108" s="20" t="n">
        <v>0</v>
      </c>
      <c r="Z108" s="20" t="n">
        <v>0</v>
      </c>
      <c r="AA108" s="20" t="n">
        <v>0</v>
      </c>
      <c r="AB108" s="20" t="n">
        <v>0</v>
      </c>
      <c r="AC108" s="20" t="n">
        <v>0</v>
      </c>
      <c r="AD108" s="20" t="n">
        <v>0</v>
      </c>
      <c r="AE108" s="20" t="n">
        <v>0</v>
      </c>
      <c r="AF108" s="20">
        <f>AF102-AF103</f>
        <v/>
      </c>
      <c r="AG108" s="20">
        <f>AG102-AG103</f>
        <v/>
      </c>
      <c r="AH108" s="33" t="n">
        <v>0</v>
      </c>
      <c r="AI108" s="33" t="n">
        <v>0</v>
      </c>
      <c r="AJ108" s="28" t="n"/>
      <c r="AK108" s="28" t="n"/>
      <c r="AL108" s="28" t="n"/>
      <c r="AM108" s="28" t="n"/>
      <c r="AN108" s="28" t="n"/>
      <c r="AO108" s="20">
        <f>AO102-AO103</f>
        <v/>
      </c>
      <c r="AP108" s="20">
        <f>AP102-AP103</f>
        <v/>
      </c>
      <c r="AQ108" s="20">
        <f>AQ102-AQ103</f>
        <v/>
      </c>
      <c r="AR108" s="20">
        <f>AR102-AR103</f>
        <v/>
      </c>
      <c r="AS108" s="20">
        <f>AS102-AS103</f>
        <v/>
      </c>
      <c r="AT108" s="20">
        <f>AT102-AT103</f>
        <v/>
      </c>
      <c r="AU108" s="20">
        <f>AU102-AU103</f>
        <v/>
      </c>
      <c r="AV108" s="20">
        <f>AV102-AV103</f>
        <v/>
      </c>
      <c r="AW108" s="20">
        <f>AW102-AW103</f>
        <v/>
      </c>
      <c r="AX108" s="20">
        <f>AX102-AX103</f>
        <v/>
      </c>
      <c r="AY108" s="20">
        <f>AY102-AY103</f>
        <v/>
      </c>
      <c r="AZ108" s="20">
        <f>AZ102-AZ103</f>
        <v/>
      </c>
      <c r="BA108" s="55" t="n">
        <v>0</v>
      </c>
      <c r="BB108" s="31" t="n">
        <v>0</v>
      </c>
      <c r="BC108" s="61" t="n">
        <v>0</v>
      </c>
      <c r="BD108" s="27" t="inlineStr"/>
    </row>
    <row r="109">
      <c r="A109" s="28" t="n"/>
      <c r="B109" s="28" t="n"/>
      <c r="C109" s="28" t="n"/>
      <c r="D109" s="28" t="n"/>
      <c r="E109" s="28" t="n"/>
      <c r="F109" s="28" t="n"/>
      <c r="G109" s="28" t="n"/>
      <c r="H109" s="28" t="n"/>
      <c r="I109" s="28" t="n"/>
      <c r="J109" s="28" t="n"/>
      <c r="K109" s="28" t="n"/>
      <c r="L109" s="28" t="n"/>
      <c r="M109" s="28" t="n"/>
      <c r="N109" s="28" t="n"/>
      <c r="O109" s="28" t="n"/>
      <c r="P109" s="28" t="n"/>
      <c r="Q109" s="28" t="n"/>
      <c r="R109" s="35" t="inlineStr">
        <is>
          <t>GP1毛利率(%)</t>
        </is>
      </c>
      <c r="S109" s="36">
        <f>S108/S102</f>
        <v/>
      </c>
      <c r="T109" s="36" t="n">
        <v>0</v>
      </c>
      <c r="U109" s="37">
        <f>U108/U102</f>
        <v/>
      </c>
      <c r="V109" s="36">
        <f>V108/V102</f>
        <v/>
      </c>
      <c r="W109" s="36">
        <f>W108/W102</f>
        <v/>
      </c>
      <c r="X109" s="36" t="n">
        <v>0</v>
      </c>
      <c r="Y109" s="36" t="n">
        <v>0</v>
      </c>
      <c r="Z109" s="36" t="n">
        <v>0</v>
      </c>
      <c r="AA109" s="36" t="n">
        <v>0</v>
      </c>
      <c r="AB109" s="36" t="n">
        <v>0</v>
      </c>
      <c r="AC109" s="36" t="n">
        <v>0</v>
      </c>
      <c r="AD109" s="36" t="n">
        <v>0</v>
      </c>
      <c r="AE109" s="36" t="n">
        <v>0</v>
      </c>
      <c r="AF109" s="36">
        <f>AF108/AF102</f>
        <v/>
      </c>
      <c r="AG109" s="36">
        <f>AG108/AG102</f>
        <v/>
      </c>
      <c r="AH109" s="38" t="n">
        <v>-0.547493961312651</v>
      </c>
      <c r="AI109" s="38">
        <f>AF109-S109</f>
        <v/>
      </c>
      <c r="AJ109" s="28" t="n"/>
      <c r="AK109" s="28" t="n"/>
      <c r="AL109" s="28" t="n"/>
      <c r="AM109" s="28" t="n"/>
      <c r="AN109" s="28" t="n"/>
      <c r="AO109" s="36">
        <f>AO108/AO102</f>
        <v/>
      </c>
      <c r="AP109" s="36">
        <f>AP108/AP102</f>
        <v/>
      </c>
      <c r="AQ109" s="36">
        <f>AQ108/AQ102</f>
        <v/>
      </c>
      <c r="AR109" s="36">
        <f>AR108/AR102</f>
        <v/>
      </c>
      <c r="AS109" s="36">
        <f>AS108/AS102</f>
        <v/>
      </c>
      <c r="AT109" s="36">
        <f>AT108/AT102</f>
        <v/>
      </c>
      <c r="AU109" s="36">
        <f>AU108/AU102</f>
        <v/>
      </c>
      <c r="AV109" s="36">
        <f>AV108/AV102</f>
        <v/>
      </c>
      <c r="AW109" s="36">
        <f>AW108/AW102</f>
        <v/>
      </c>
      <c r="AX109" s="36">
        <f>AX108/AX102</f>
        <v/>
      </c>
      <c r="AY109" s="36">
        <f>AY108/AY102</f>
        <v/>
      </c>
      <c r="AZ109" s="36">
        <f>AZ108/AZ102</f>
        <v/>
      </c>
      <c r="BA109" s="56" t="n">
        <v>0</v>
      </c>
      <c r="BB109" s="39" t="n">
        <v>0</v>
      </c>
      <c r="BC109" s="61" t="n">
        <v>0</v>
      </c>
      <c r="BD109" s="27" t="inlineStr"/>
    </row>
    <row r="110">
      <c r="A110" s="28" t="n"/>
      <c r="B110" s="28" t="n"/>
      <c r="C110" s="28" t="n"/>
      <c r="D110" s="28" t="n"/>
      <c r="E110" s="28" t="n"/>
      <c r="F110" s="28" t="n"/>
      <c r="G110" s="28" t="n"/>
      <c r="H110" s="28" t="n"/>
      <c r="I110" s="28" t="n"/>
      <c r="J110" s="28" t="n"/>
      <c r="K110" s="28" t="n"/>
      <c r="L110" s="28" t="n"/>
      <c r="M110" s="28" t="n"/>
      <c r="N110" s="28" t="n"/>
      <c r="O110" s="28" t="n"/>
      <c r="P110" s="28" t="n"/>
      <c r="Q110" s="28" t="n"/>
      <c r="R110" s="29" t="inlineStr">
        <is>
          <t>GP3毛利</t>
        </is>
      </c>
      <c r="S110" s="20">
        <f>S102-S107</f>
        <v/>
      </c>
      <c r="T110" s="20">
        <f>T102-T107</f>
        <v/>
      </c>
      <c r="U110" s="20">
        <f>U102-U107</f>
        <v/>
      </c>
      <c r="V110" s="20">
        <f>V102-V107</f>
        <v/>
      </c>
      <c r="W110" s="20">
        <f>W102-W107</f>
        <v/>
      </c>
      <c r="X110" s="20">
        <f>X102-X107</f>
        <v/>
      </c>
      <c r="Y110" s="20">
        <f>Y102-Y107</f>
        <v/>
      </c>
      <c r="Z110" s="20">
        <f>Z102-Z107</f>
        <v/>
      </c>
      <c r="AA110" s="20">
        <f>AA102-AA107</f>
        <v/>
      </c>
      <c r="AB110" s="20">
        <f>AB102-AB107</f>
        <v/>
      </c>
      <c r="AC110" s="20">
        <f>AC102-AC107</f>
        <v/>
      </c>
      <c r="AD110" s="20">
        <f>AD102-AD107</f>
        <v/>
      </c>
      <c r="AE110" s="20">
        <f>AE102-AE107</f>
        <v/>
      </c>
      <c r="AF110" s="20">
        <f>AF102-AF107</f>
        <v/>
      </c>
      <c r="AG110" s="20">
        <f>AG102-AG107</f>
        <v/>
      </c>
      <c r="AH110" s="38" t="n">
        <v>0</v>
      </c>
      <c r="AI110" s="38" t="n">
        <v>0</v>
      </c>
      <c r="AJ110" s="28" t="n"/>
      <c r="AK110" s="28" t="n"/>
      <c r="AL110" s="28" t="n"/>
      <c r="AM110" s="28" t="n"/>
      <c r="AN110" s="28" t="n"/>
      <c r="AO110" s="20">
        <f>AO102-AO107</f>
        <v/>
      </c>
      <c r="AP110" s="20">
        <f>AP102-AP107</f>
        <v/>
      </c>
      <c r="AQ110" s="20">
        <f>AQ102-AQ107</f>
        <v/>
      </c>
      <c r="AR110" s="20">
        <f>AR102-AR107</f>
        <v/>
      </c>
      <c r="AS110" s="20">
        <f>AS102-AS107</f>
        <v/>
      </c>
      <c r="AT110" s="20">
        <f>AT102-AT107</f>
        <v/>
      </c>
      <c r="AU110" s="20">
        <f>AU102-AU107</f>
        <v/>
      </c>
      <c r="AV110" s="20">
        <f>AV102-AV107</f>
        <v/>
      </c>
      <c r="AW110" s="20">
        <f>AW102-AW107</f>
        <v/>
      </c>
      <c r="AX110" s="20">
        <f>AX102-AX107</f>
        <v/>
      </c>
      <c r="AY110" s="20">
        <f>AY102-AY107</f>
        <v/>
      </c>
      <c r="AZ110" s="20">
        <f>AZ102-AZ107</f>
        <v/>
      </c>
      <c r="BA110" s="20">
        <f>BA102-BA107</f>
        <v/>
      </c>
      <c r="BB110" s="20">
        <f>BB102-BB107</f>
        <v/>
      </c>
      <c r="BC110" s="20">
        <f>BC102-BC107</f>
        <v/>
      </c>
      <c r="BD110" s="27" t="inlineStr"/>
    </row>
    <row r="111">
      <c r="A111" s="41" t="n"/>
      <c r="B111" s="41" t="n"/>
      <c r="C111" s="41" t="n"/>
      <c r="D111" s="41" t="n"/>
      <c r="E111" s="41" t="n"/>
      <c r="F111" s="41" t="n"/>
      <c r="G111" s="41" t="n"/>
      <c r="H111" s="41" t="n"/>
      <c r="I111" s="41" t="n"/>
      <c r="J111" s="41" t="n"/>
      <c r="K111" s="41" t="n"/>
      <c r="L111" s="41" t="n"/>
      <c r="M111" s="41" t="n"/>
      <c r="N111" s="41" t="n"/>
      <c r="O111" s="41" t="n"/>
      <c r="P111" s="41" t="n"/>
      <c r="Q111" s="41" t="n"/>
      <c r="R111" s="35" t="inlineStr">
        <is>
          <t>GP3毛利率(%)</t>
        </is>
      </c>
      <c r="S111" s="36">
        <f>S110/S102</f>
        <v/>
      </c>
      <c r="T111" s="36" t="n">
        <v>0</v>
      </c>
      <c r="U111" s="37">
        <f>U110/U102</f>
        <v/>
      </c>
      <c r="V111" s="36">
        <f>V110/V102</f>
        <v/>
      </c>
      <c r="W111" s="36">
        <f>W110/W102</f>
        <v/>
      </c>
      <c r="X111" s="36" t="n">
        <v>0</v>
      </c>
      <c r="Y111" s="36" t="n">
        <v>0</v>
      </c>
      <c r="Z111" s="36" t="n">
        <v>0</v>
      </c>
      <c r="AA111" s="36" t="n">
        <v>0</v>
      </c>
      <c r="AB111" s="36" t="n">
        <v>0</v>
      </c>
      <c r="AC111" s="36" t="n">
        <v>0</v>
      </c>
      <c r="AD111" s="36" t="n">
        <v>0</v>
      </c>
      <c r="AE111" s="36" t="n">
        <v>0</v>
      </c>
      <c r="AF111" s="36">
        <f>AF110/AF102</f>
        <v/>
      </c>
      <c r="AG111" s="36">
        <f>AG110/AG102</f>
        <v/>
      </c>
      <c r="AH111" s="38" t="n">
        <v>-0.162753720931157</v>
      </c>
      <c r="AI111" s="38">
        <f>AF111-S111</f>
        <v/>
      </c>
      <c r="AJ111" s="41" t="n"/>
      <c r="AK111" s="41" t="n"/>
      <c r="AL111" s="41" t="n"/>
      <c r="AM111" s="41" t="n"/>
      <c r="AN111" s="41" t="n"/>
      <c r="AO111" s="36">
        <f>AO110/AO102</f>
        <v/>
      </c>
      <c r="AP111" s="36">
        <f>AP110/AP102</f>
        <v/>
      </c>
      <c r="AQ111" s="36">
        <f>AQ110/AQ102</f>
        <v/>
      </c>
      <c r="AR111" s="36">
        <f>AR110/AR102</f>
        <v/>
      </c>
      <c r="AS111" s="36">
        <f>AS110/AS102</f>
        <v/>
      </c>
      <c r="AT111" s="36">
        <f>AT110/AT102</f>
        <v/>
      </c>
      <c r="AU111" s="36">
        <f>AU110/AU102</f>
        <v/>
      </c>
      <c r="AV111" s="36">
        <f>AV110/AV102</f>
        <v/>
      </c>
      <c r="AW111" s="36">
        <f>AW110/AW102</f>
        <v/>
      </c>
      <c r="AX111" s="36">
        <f>AX110/AX102</f>
        <v/>
      </c>
      <c r="AY111" s="36">
        <f>AY110/AY102</f>
        <v/>
      </c>
      <c r="AZ111" s="36">
        <f>AZ110/AZ102</f>
        <v/>
      </c>
      <c r="BA111" s="56" t="n">
        <v>0</v>
      </c>
      <c r="BB111" s="39" t="n">
        <v>0</v>
      </c>
      <c r="BC111" s="61" t="n">
        <v>0</v>
      </c>
      <c r="BD111" s="27" t="inlineStr"/>
    </row>
  </sheetData>
  <mergeCells count="243">
    <mergeCell ref="H12:H21"/>
    <mergeCell ref="J12:J21"/>
    <mergeCell ref="C82:C91"/>
    <mergeCell ref="O2:O11"/>
    <mergeCell ref="AK52:AK61"/>
    <mergeCell ref="L72:L81"/>
    <mergeCell ref="O82:O91"/>
    <mergeCell ref="H62:H71"/>
    <mergeCell ref="G12:G21"/>
    <mergeCell ref="A102:A111"/>
    <mergeCell ref="C102:C111"/>
    <mergeCell ref="B32:B41"/>
    <mergeCell ref="M102:M111"/>
    <mergeCell ref="O102:O111"/>
    <mergeCell ref="A92:A101"/>
    <mergeCell ref="K92:K101"/>
    <mergeCell ref="M92:M101"/>
    <mergeCell ref="AK62:AK71"/>
    <mergeCell ref="AM62:AM71"/>
    <mergeCell ref="Q102:Q111"/>
    <mergeCell ref="Q52:Q61"/>
    <mergeCell ref="P2:P11"/>
    <mergeCell ref="K72:K81"/>
    <mergeCell ref="O92:O101"/>
    <mergeCell ref="Q92:Q101"/>
    <mergeCell ref="D52:D61"/>
    <mergeCell ref="G62:G71"/>
    <mergeCell ref="I62:I71"/>
    <mergeCell ref="B2:B11"/>
    <mergeCell ref="N52:N61"/>
    <mergeCell ref="P52:P61"/>
    <mergeCell ref="B42:B51"/>
    <mergeCell ref="Q72:Q81"/>
    <mergeCell ref="B82:B91"/>
    <mergeCell ref="N2:N11"/>
    <mergeCell ref="C22:C31"/>
    <mergeCell ref="K32:K41"/>
    <mergeCell ref="L42:L51"/>
    <mergeCell ref="N42:N51"/>
    <mergeCell ref="O22:O31"/>
    <mergeCell ref="A12:A21"/>
    <mergeCell ref="Q22:Q31"/>
    <mergeCell ref="C12:C21"/>
    <mergeCell ref="O62:O71"/>
    <mergeCell ref="AJ102:AJ111"/>
    <mergeCell ref="M12:M21"/>
    <mergeCell ref="O12:O21"/>
    <mergeCell ref="AN52:AN61"/>
    <mergeCell ref="AN2:AN11"/>
    <mergeCell ref="AL42:AL51"/>
    <mergeCell ref="AK72:AK81"/>
    <mergeCell ref="H22:H31"/>
    <mergeCell ref="AN42:AN51"/>
    <mergeCell ref="D102:D111"/>
    <mergeCell ref="C32:C41"/>
    <mergeCell ref="Q2:Q11"/>
    <mergeCell ref="M32:M41"/>
    <mergeCell ref="F102:F111"/>
    <mergeCell ref="P62:P71"/>
    <mergeCell ref="AL52:AL61"/>
    <mergeCell ref="AK2:AK11"/>
    <mergeCell ref="B92:B101"/>
    <mergeCell ref="P102:P111"/>
    <mergeCell ref="D92:D101"/>
    <mergeCell ref="P12:P21"/>
    <mergeCell ref="F92:F101"/>
    <mergeCell ref="K82:K91"/>
    <mergeCell ref="A52:A61"/>
    <mergeCell ref="P92:P101"/>
    <mergeCell ref="H92:H101"/>
    <mergeCell ref="J92:J101"/>
    <mergeCell ref="AJ22:AJ31"/>
    <mergeCell ref="AL22:AL31"/>
    <mergeCell ref="E52:E61"/>
    <mergeCell ref="B62:B71"/>
    <mergeCell ref="G52:G61"/>
    <mergeCell ref="AK82:AK91"/>
    <mergeCell ref="AN92:AN101"/>
    <mergeCell ref="AJ12:AJ21"/>
    <mergeCell ref="C42:C51"/>
    <mergeCell ref="B72:B81"/>
    <mergeCell ref="G2:G11"/>
    <mergeCell ref="E42:E51"/>
    <mergeCell ref="M82:M91"/>
    <mergeCell ref="BD12:BD21"/>
    <mergeCell ref="L32:L41"/>
    <mergeCell ref="G42:G51"/>
    <mergeCell ref="N32:N41"/>
    <mergeCell ref="AM52:AM61"/>
    <mergeCell ref="Q42:Q51"/>
    <mergeCell ref="D2:D11"/>
    <mergeCell ref="AM22:AM31"/>
    <mergeCell ref="AK102:AK111"/>
    <mergeCell ref="F12:F21"/>
    <mergeCell ref="AM102:AM111"/>
    <mergeCell ref="AK12:AK21"/>
    <mergeCell ref="M2:M11"/>
    <mergeCell ref="AK92:AK101"/>
    <mergeCell ref="AM92:AM101"/>
    <mergeCell ref="AL32:AL41"/>
    <mergeCell ref="AL72:AL81"/>
    <mergeCell ref="I22:I31"/>
    <mergeCell ref="AN32:AN41"/>
    <mergeCell ref="AN72:AN81"/>
    <mergeCell ref="K22:K31"/>
    <mergeCell ref="M22:M31"/>
    <mergeCell ref="I102:I111"/>
    <mergeCell ref="AJ62:AJ71"/>
    <mergeCell ref="K102:K111"/>
    <mergeCell ref="I12:I21"/>
    <mergeCell ref="G92:G101"/>
    <mergeCell ref="I92:I101"/>
    <mergeCell ref="N82:N91"/>
    <mergeCell ref="P82:P91"/>
    <mergeCell ref="F52:F61"/>
    <mergeCell ref="A32:A41"/>
    <mergeCell ref="D42:D51"/>
    <mergeCell ref="E62:E71"/>
    <mergeCell ref="J52:J61"/>
    <mergeCell ref="AL82:AL91"/>
    <mergeCell ref="L52:L61"/>
    <mergeCell ref="AN82:AN91"/>
    <mergeCell ref="M72:M81"/>
    <mergeCell ref="AM12:AM21"/>
    <mergeCell ref="E32:E41"/>
    <mergeCell ref="E72:E81"/>
    <mergeCell ref="J2:J11"/>
    <mergeCell ref="G32:G41"/>
    <mergeCell ref="H42:H51"/>
    <mergeCell ref="L2:L11"/>
    <mergeCell ref="J42:J51"/>
    <mergeCell ref="G72:G81"/>
    <mergeCell ref="Q32:Q41"/>
    <mergeCell ref="C62:C71"/>
    <mergeCell ref="J72:J81"/>
    <mergeCell ref="AK32:AK41"/>
    <mergeCell ref="AM32:AM41"/>
    <mergeCell ref="I2:I11"/>
    <mergeCell ref="M52:M61"/>
    <mergeCell ref="A82:A91"/>
    <mergeCell ref="AJ2:AJ11"/>
    <mergeCell ref="B22:B31"/>
    <mergeCell ref="AL2:AL11"/>
    <mergeCell ref="D22:D31"/>
    <mergeCell ref="AJ42:AJ51"/>
    <mergeCell ref="P72:P81"/>
    <mergeCell ref="B102:B111"/>
    <mergeCell ref="N22:N31"/>
    <mergeCell ref="L62:L71"/>
    <mergeCell ref="P22:P31"/>
    <mergeCell ref="N62:N71"/>
    <mergeCell ref="L102:L111"/>
    <mergeCell ref="N102:N111"/>
    <mergeCell ref="L12:L21"/>
    <mergeCell ref="E82:E91"/>
    <mergeCell ref="N12:N21"/>
    <mergeCell ref="G82:G91"/>
    <mergeCell ref="N72:N81"/>
    <mergeCell ref="Q82:Q91"/>
    <mergeCell ref="K12:K21"/>
    <mergeCell ref="AM82:AM91"/>
    <mergeCell ref="D32:D41"/>
    <mergeCell ref="F32:F41"/>
    <mergeCell ref="C52:C61"/>
    <mergeCell ref="A2:A11"/>
    <mergeCell ref="C2:C11"/>
    <mergeCell ref="A42:A51"/>
    <mergeCell ref="O52:O61"/>
    <mergeCell ref="H32:H41"/>
    <mergeCell ref="I82:I91"/>
    <mergeCell ref="J32:J41"/>
    <mergeCell ref="AL62:AL71"/>
    <mergeCell ref="A72:A81"/>
    <mergeCell ref="C72:C81"/>
    <mergeCell ref="M42:M51"/>
    <mergeCell ref="O42:O51"/>
    <mergeCell ref="A22:A31"/>
    <mergeCell ref="AK22:AK31"/>
    <mergeCell ref="A62:A71"/>
    <mergeCell ref="O72:O81"/>
    <mergeCell ref="K62:K71"/>
    <mergeCell ref="M62:M71"/>
    <mergeCell ref="D82:D91"/>
    <mergeCell ref="F82:F91"/>
    <mergeCell ref="AM2:AM11"/>
    <mergeCell ref="E22:E31"/>
    <mergeCell ref="AJ32:AJ41"/>
    <mergeCell ref="G22:G31"/>
    <mergeCell ref="P42:P51"/>
    <mergeCell ref="AK42:AK51"/>
    <mergeCell ref="AM42:AM51"/>
    <mergeCell ref="E102:E111"/>
    <mergeCell ref="G102:G111"/>
    <mergeCell ref="E12:E21"/>
    <mergeCell ref="Q62:Q71"/>
    <mergeCell ref="C92:C101"/>
    <mergeCell ref="H82:H91"/>
    <mergeCell ref="E92:E101"/>
    <mergeCell ref="Q12:Q21"/>
    <mergeCell ref="J82:J91"/>
    <mergeCell ref="L82:L91"/>
    <mergeCell ref="B12:B21"/>
    <mergeCell ref="B52:B61"/>
    <mergeCell ref="AJ52:AJ61"/>
    <mergeCell ref="AM72:AM81"/>
    <mergeCell ref="H102:H111"/>
    <mergeCell ref="J102:J111"/>
    <mergeCell ref="I32:I41"/>
    <mergeCell ref="AJ72:AJ81"/>
    <mergeCell ref="H52:H61"/>
    <mergeCell ref="AJ82:AJ91"/>
    <mergeCell ref="I72:I81"/>
    <mergeCell ref="F2:F11"/>
    <mergeCell ref="H2:H11"/>
    <mergeCell ref="F42:F51"/>
    <mergeCell ref="O32:O41"/>
    <mergeCell ref="K2:K11"/>
    <mergeCell ref="F72:F81"/>
    <mergeCell ref="H72:H81"/>
    <mergeCell ref="L92:L101"/>
    <mergeCell ref="E2:E11"/>
    <mergeCell ref="N92:N101"/>
    <mergeCell ref="F22:F31"/>
    <mergeCell ref="AN22:AN31"/>
    <mergeCell ref="D62:D71"/>
    <mergeCell ref="AL102:AL111"/>
    <mergeCell ref="I52:I61"/>
    <mergeCell ref="F62:F71"/>
    <mergeCell ref="AN62:AN71"/>
    <mergeCell ref="K52:K61"/>
    <mergeCell ref="AN102:AN111"/>
    <mergeCell ref="D12:D21"/>
    <mergeCell ref="AL12:AL21"/>
    <mergeCell ref="D72:D81"/>
    <mergeCell ref="AN12:AN21"/>
    <mergeCell ref="AJ92:AJ101"/>
    <mergeCell ref="AL92:AL101"/>
    <mergeCell ref="I42:I51"/>
    <mergeCell ref="P32:P41"/>
    <mergeCell ref="K42:K51"/>
    <mergeCell ref="J22:J31"/>
    <mergeCell ref="L22:L31"/>
    <mergeCell ref="J62:J7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121"/>
  <sheetViews>
    <sheetView workbookViewId="0">
      <selection activeCell="A1" sqref="A1"/>
    </sheetView>
  </sheetViews>
  <sheetFormatPr baseColWidth="8" defaultRowHeight="15"/>
  <sheetData>
    <row r="1">
      <c r="A1" s="1" t="inlineStr">
        <is>
          <t>项目编码</t>
        </is>
      </c>
      <c r="B1" s="1" t="inlineStr">
        <is>
          <t>项目名称</t>
        </is>
      </c>
      <c r="C1" s="1" t="inlineStr">
        <is>
          <t>项目开始时间</t>
        </is>
      </c>
      <c r="D1" s="1" t="inlineStr">
        <is>
          <t>项目结束时间</t>
        </is>
      </c>
      <c r="E1" s="1" t="inlineStr">
        <is>
          <t>1月项目人数</t>
        </is>
      </c>
      <c r="F1" s="2" t="inlineStr">
        <is>
          <t>2月项目人数</t>
        </is>
      </c>
      <c r="G1" s="1" t="inlineStr">
        <is>
          <t>3月项目人数</t>
        </is>
      </c>
      <c r="H1" s="1" t="inlineStr">
        <is>
          <t>4月项目人数</t>
        </is>
      </c>
      <c r="I1" s="1" t="inlineStr">
        <is>
          <t>5月项目人数</t>
        </is>
      </c>
      <c r="J1" s="1" t="inlineStr">
        <is>
          <t>6月项目人数</t>
        </is>
      </c>
      <c r="K1" s="1" t="inlineStr">
        <is>
          <t>7月项目人数</t>
        </is>
      </c>
      <c r="L1" s="1" t="inlineStr">
        <is>
          <t>8月项目人数</t>
        </is>
      </c>
      <c r="M1" s="1" t="inlineStr">
        <is>
          <t>9月项目人数</t>
        </is>
      </c>
      <c r="N1" s="1" t="inlineStr">
        <is>
          <t>10月项目人数</t>
        </is>
      </c>
      <c r="O1" s="1" t="inlineStr">
        <is>
          <t>11月项目人数</t>
        </is>
      </c>
      <c r="P1" s="1" t="inlineStr">
        <is>
          <t>12月项目人数</t>
        </is>
      </c>
      <c r="Q1" s="1" t="inlineStr">
        <is>
          <t>结算方式</t>
        </is>
      </c>
      <c r="R1" s="1" t="inlineStr">
        <is>
          <t>类别</t>
        </is>
      </c>
      <c r="S1" s="3" t="inlineStr">
        <is>
          <t>项目整体毛利目标预算</t>
        </is>
      </c>
      <c r="T1" s="4" t="inlineStr">
        <is>
          <t>项目开始-当前实际累计</t>
        </is>
      </c>
      <c r="U1" s="5" t="inlineStr">
        <is>
          <t>项目开始-25年实际累计</t>
        </is>
      </c>
      <c r="V1" s="6" t="inlineStr">
        <is>
          <t>26年YTD实际累计12月</t>
        </is>
      </c>
      <c r="W1" s="6" t="inlineStr">
        <is>
          <t>26年YTD实际累计11月</t>
        </is>
      </c>
      <c r="X1" s="6" t="inlineStr">
        <is>
          <t>26年YTD实际累计10月</t>
        </is>
      </c>
      <c r="Y1" s="6" t="inlineStr">
        <is>
          <t>26年YTD实际累计9月</t>
        </is>
      </c>
      <c r="Z1" s="6" t="inlineStr">
        <is>
          <t>26年YTD实际累计8月</t>
        </is>
      </c>
      <c r="AA1" s="6" t="inlineStr">
        <is>
          <t>26年YTD实际累计7月</t>
        </is>
      </c>
      <c r="AB1" s="6" t="inlineStr">
        <is>
          <t>26年YTD实际累计6月</t>
        </is>
      </c>
      <c r="AC1" s="6" t="inlineStr">
        <is>
          <t>26年YTD实际累计5月</t>
        </is>
      </c>
      <c r="AD1" s="6" t="inlineStr">
        <is>
          <t>26年YTD实际累计4月</t>
        </is>
      </c>
      <c r="AE1" s="6" t="inlineStr">
        <is>
          <t>26年YTD实际累计3月</t>
        </is>
      </c>
      <c r="AF1" s="2" t="inlineStr">
        <is>
          <t>26年YTD实际累计2月</t>
        </is>
      </c>
      <c r="AG1" s="6" t="inlineStr">
        <is>
          <t>26年YTD实际累计1月</t>
        </is>
      </c>
      <c r="AH1" s="7" t="inlineStr">
        <is>
          <t>项目周期偏差（实际-预估）</t>
        </is>
      </c>
      <c r="AI1" s="7" t="inlineStr">
        <is>
          <t>YTD当年偏差（实际-预估）</t>
        </is>
      </c>
      <c r="AJ1" s="8" t="inlineStr">
        <is>
          <t>项目周期偏差原因分析（截止25年底毛利偏差原因）</t>
        </is>
      </c>
      <c r="AK1" s="9" t="inlineStr">
        <is>
          <t>YTD当年偏差原因分析</t>
        </is>
      </c>
      <c r="AL1" s="9" t="inlineStr">
        <is>
          <t>改进措施</t>
        </is>
      </c>
      <c r="AM1" s="9" t="inlineStr">
        <is>
          <t>进展</t>
        </is>
      </c>
      <c r="AN1" s="10" t="inlineStr">
        <is>
          <t>真实经营数据</t>
        </is>
      </c>
      <c r="AO1" s="6" t="n">
        <v>202612</v>
      </c>
      <c r="AP1" s="6" t="n">
        <v>202611</v>
      </c>
      <c r="AQ1" s="6" t="n">
        <v>202610</v>
      </c>
      <c r="AR1" s="6" t="n">
        <v>202609</v>
      </c>
      <c r="AS1" s="6" t="n">
        <v>202608</v>
      </c>
      <c r="AT1" s="6" t="n">
        <v>202607</v>
      </c>
      <c r="AU1" s="6" t="n">
        <v>202606</v>
      </c>
      <c r="AV1" s="6" t="n">
        <v>202605</v>
      </c>
      <c r="AW1" s="6" t="n">
        <v>202604</v>
      </c>
      <c r="AX1" s="6" t="n">
        <v>202603</v>
      </c>
      <c r="AY1" s="6" t="n">
        <v>202602</v>
      </c>
      <c r="AZ1" s="6" t="n">
        <v>202601</v>
      </c>
      <c r="BA1" s="11" t="inlineStr">
        <is>
          <t>2025年</t>
        </is>
      </c>
      <c r="BB1" s="11" t="inlineStr">
        <is>
          <t>2024年</t>
        </is>
      </c>
      <c r="BC1" s="11" t="inlineStr">
        <is>
          <t>2023年</t>
        </is>
      </c>
      <c r="BD1" s="6" t="inlineStr">
        <is>
          <t>备注</t>
        </is>
      </c>
    </row>
    <row r="2">
      <c r="A2" s="12" t="inlineStr">
        <is>
          <t>P202212000496</t>
        </is>
      </c>
      <c r="B2" s="13" t="inlineStr">
        <is>
          <t>东部地区畜禽遗传资源基因库建设项目仪器设备采购-软件</t>
        </is>
      </c>
      <c r="C2" s="14" t="n">
        <v>44917</v>
      </c>
      <c r="D2" s="14" t="n">
        <v>46326</v>
      </c>
      <c r="E2" s="15" t="n"/>
      <c r="F2" s="16" t="inlineStr">
        <is>
          <t xml:space="preserve"> -   </t>
        </is>
      </c>
      <c r="G2" s="17" t="n">
        <v>0.727</v>
      </c>
      <c r="H2" s="18" t="n"/>
      <c r="I2" s="18" t="n"/>
      <c r="J2" s="18" t="n"/>
      <c r="K2" s="18" t="n"/>
      <c r="L2" s="18" t="n"/>
      <c r="M2" s="18" t="n"/>
      <c r="N2" s="18" t="n"/>
      <c r="O2" s="18" t="n"/>
      <c r="P2" s="15" t="n"/>
      <c r="Q2" s="18" t="inlineStr"/>
      <c r="R2" s="19" t="inlineStr">
        <is>
          <t>累计收入（NR）</t>
        </is>
      </c>
      <c r="S2" s="20" t="n">
        <v>351886.79</v>
      </c>
      <c r="T2" s="20">
        <f>SUM(AO2:BC2)</f>
        <v/>
      </c>
      <c r="U2" s="21">
        <f>SUM(BA2:BC2)</f>
        <v/>
      </c>
      <c r="V2" s="20">
        <f>SUM(AO2:AZ2)</f>
        <v/>
      </c>
      <c r="W2" s="20">
        <f>SUM(AP2:AZ2)</f>
        <v/>
      </c>
      <c r="X2" s="20">
        <f>SUM(AQ2:AZ2)</f>
        <v/>
      </c>
      <c r="Y2" s="20">
        <f>SUM(AR2:AZ2)</f>
        <v/>
      </c>
      <c r="Z2" s="20">
        <f>SUM(AS2:AZ2)</f>
        <v/>
      </c>
      <c r="AA2" s="20">
        <f>SUM(AT2:AZ2)</f>
        <v/>
      </c>
      <c r="AB2" s="20">
        <f>SUM(AU2:AZ2)</f>
        <v/>
      </c>
      <c r="AC2" s="20">
        <f>SUM(AV2:AZ2)</f>
        <v/>
      </c>
      <c r="AD2" s="20">
        <f>SUM(AW2:AZ2)</f>
        <v/>
      </c>
      <c r="AE2" s="20">
        <f>SUM(AX2:AZ2)</f>
        <v/>
      </c>
      <c r="AF2" s="20">
        <f>SUM(AY2:AZ2)</f>
        <v/>
      </c>
      <c r="AG2" s="20">
        <f>SUM(AZ2:AZ2)</f>
        <v/>
      </c>
      <c r="AH2" s="22" t="n">
        <v>0</v>
      </c>
      <c r="AI2" s="22" t="n">
        <v>0</v>
      </c>
      <c r="AJ2" s="23" t="inlineStr"/>
      <c r="AK2" s="13" t="inlineStr">
        <is>
          <t>项目全周期毛利率达标；
农业老项目，24年已交付完，当前在运维期，25年8~12月为报剩余产出填报工时与进度；
25年7月成本为农业采集运维项目部分运维人力成本，该项目于6.底结项，续期合同7月才开始招标故7月无法立项。</t>
        </is>
      </c>
      <c r="AL2" s="24" t="inlineStr"/>
      <c r="AM2" s="24" t="inlineStr"/>
      <c r="AN2" s="16" t="n"/>
      <c r="AO2" s="20" t="n">
        <v>0</v>
      </c>
      <c r="AP2" s="20" t="n">
        <v>0</v>
      </c>
      <c r="AQ2" s="20" t="n">
        <v>0</v>
      </c>
      <c r="AR2" s="20" t="n">
        <v>0</v>
      </c>
      <c r="AS2" s="20" t="n">
        <v>0</v>
      </c>
      <c r="AT2" s="20" t="n">
        <v>0</v>
      </c>
      <c r="AU2" s="20" t="n">
        <v>0</v>
      </c>
      <c r="AV2" s="20" t="n">
        <v>0</v>
      </c>
      <c r="AW2" s="20" t="n">
        <v>0</v>
      </c>
      <c r="AX2" s="20" t="n">
        <v>22438.46</v>
      </c>
      <c r="AY2" s="20" t="n">
        <v>66560.5</v>
      </c>
      <c r="AZ2" s="20" t="n">
        <v>0</v>
      </c>
      <c r="BA2" s="25" t="n">
        <v>32200.04</v>
      </c>
      <c r="BB2" s="21" t="n">
        <v>7052.56</v>
      </c>
      <c r="BC2" s="26" t="n">
        <v>221738.07</v>
      </c>
      <c r="BD2" s="27" t="inlineStr"/>
    </row>
    <row r="3">
      <c r="A3" s="28" t="n"/>
      <c r="B3" s="28" t="n"/>
      <c r="C3" s="28" t="n"/>
      <c r="D3" s="28" t="n"/>
      <c r="E3" s="28" t="n"/>
      <c r="F3" s="28" t="n"/>
      <c r="G3" s="28" t="n"/>
      <c r="H3" s="28" t="n"/>
      <c r="I3" s="28" t="n"/>
      <c r="J3" s="28" t="n"/>
      <c r="K3" s="28" t="n"/>
      <c r="L3" s="28" t="n"/>
      <c r="M3" s="28" t="n"/>
      <c r="N3" s="28" t="n"/>
      <c r="O3" s="28" t="n"/>
      <c r="P3" s="28" t="n"/>
      <c r="Q3" s="28" t="n"/>
      <c r="R3" s="19" t="inlineStr">
        <is>
          <t>人工成本（成本１）</t>
        </is>
      </c>
      <c r="S3" s="20" t="n">
        <v>235685.1</v>
      </c>
      <c r="T3" s="20">
        <f>SUM(AO3:BC3)</f>
        <v/>
      </c>
      <c r="U3" s="21">
        <f>SUM(BA3:BC3)</f>
        <v/>
      </c>
      <c r="V3" s="20">
        <f>SUM(AO3:AZ3)</f>
        <v/>
      </c>
      <c r="W3" s="20">
        <f>SUM(AP3:AZ3)</f>
        <v/>
      </c>
      <c r="X3" s="20">
        <f>SUM(AQ3:AZ3)</f>
        <v/>
      </c>
      <c r="Y3" s="20">
        <f>SUM(AR3:AZ3)</f>
        <v/>
      </c>
      <c r="Z3" s="20">
        <f>SUM(AS3:AZ3)</f>
        <v/>
      </c>
      <c r="AA3" s="20">
        <f>SUM(AT3:AZ3)</f>
        <v/>
      </c>
      <c r="AB3" s="20">
        <f>SUM(AU3:AZ3)</f>
        <v/>
      </c>
      <c r="AC3" s="20">
        <f>SUM(AV3:AZ3)</f>
        <v/>
      </c>
      <c r="AD3" s="20">
        <f>SUM(AW3:AZ3)</f>
        <v/>
      </c>
      <c r="AE3" s="20">
        <f>SUM(AX3:AZ3)</f>
        <v/>
      </c>
      <c r="AF3" s="20">
        <f>SUM(AY3:AZ3)</f>
        <v/>
      </c>
      <c r="AG3" s="20">
        <f>SUM(AZ3:AZ3)</f>
        <v/>
      </c>
      <c r="AH3" s="22" t="n">
        <v>0</v>
      </c>
      <c r="AI3" s="22" t="n">
        <v>0</v>
      </c>
      <c r="AJ3" s="28" t="n"/>
      <c r="AK3" s="28" t="n"/>
      <c r="AL3" s="28" t="n"/>
      <c r="AM3" s="28" t="n"/>
      <c r="AN3" s="28" t="n"/>
      <c r="AO3" s="20" t="n">
        <v>0</v>
      </c>
      <c r="AP3" s="20" t="n">
        <v>0</v>
      </c>
      <c r="AQ3" s="20" t="n">
        <v>0</v>
      </c>
      <c r="AR3" s="20" t="n">
        <v>0</v>
      </c>
      <c r="AS3" s="20" t="n">
        <v>0</v>
      </c>
      <c r="AT3" s="20" t="n">
        <v>0</v>
      </c>
      <c r="AU3" s="20" t="n">
        <v>0</v>
      </c>
      <c r="AV3" s="20" t="n">
        <v>0</v>
      </c>
      <c r="AW3" s="20" t="n">
        <v>0</v>
      </c>
      <c r="AX3" s="20" t="n">
        <v>13506.6</v>
      </c>
      <c r="AY3" s="20" t="n">
        <v>0</v>
      </c>
      <c r="AZ3" s="20" t="n">
        <v>20617.93</v>
      </c>
      <c r="BA3" s="25" t="n">
        <v>91878.25999999999</v>
      </c>
      <c r="BB3" s="21" t="n">
        <v>2631.75</v>
      </c>
      <c r="BC3" s="26" t="n">
        <v>103048.84</v>
      </c>
      <c r="BD3" s="27" t="inlineStr"/>
    </row>
    <row r="4">
      <c r="A4" s="28" t="n"/>
      <c r="B4" s="28" t="n"/>
      <c r="C4" s="28" t="n"/>
      <c r="D4" s="28" t="n"/>
      <c r="E4" s="28" t="n"/>
      <c r="F4" s="28" t="n"/>
      <c r="G4" s="28" t="n"/>
      <c r="H4" s="28" t="n"/>
      <c r="I4" s="28" t="n"/>
      <c r="J4" s="28" t="n"/>
      <c r="K4" s="28" t="n"/>
      <c r="L4" s="28" t="n"/>
      <c r="M4" s="28" t="n"/>
      <c r="N4" s="28" t="n"/>
      <c r="O4" s="28" t="n"/>
      <c r="P4" s="28" t="n"/>
      <c r="Q4" s="28" t="n"/>
      <c r="R4" s="29" t="inlineStr">
        <is>
          <t>闲置成本（成本2）</t>
        </is>
      </c>
      <c r="S4" s="20" t="n">
        <v>0</v>
      </c>
      <c r="T4" s="20" t="n">
        <v>0</v>
      </c>
      <c r="U4" s="21" t="n">
        <v>0</v>
      </c>
      <c r="V4" s="20" t="n">
        <v>0</v>
      </c>
      <c r="W4" s="20" t="n">
        <v>0</v>
      </c>
      <c r="X4" s="20" t="n">
        <v>0</v>
      </c>
      <c r="Y4" s="20" t="n">
        <v>0</v>
      </c>
      <c r="Z4" s="20" t="n">
        <v>0</v>
      </c>
      <c r="AA4" s="20" t="n">
        <v>0</v>
      </c>
      <c r="AB4" s="20" t="n">
        <v>0</v>
      </c>
      <c r="AC4" s="20" t="n">
        <v>0</v>
      </c>
      <c r="AD4" s="20" t="n">
        <v>0</v>
      </c>
      <c r="AE4" s="20" t="n">
        <v>0</v>
      </c>
      <c r="AF4" s="20" t="n">
        <v>0</v>
      </c>
      <c r="AG4" s="20" t="n">
        <v>0</v>
      </c>
      <c r="AH4" s="22" t="n">
        <v>0</v>
      </c>
      <c r="AI4" s="22" t="n">
        <v>0</v>
      </c>
      <c r="AJ4" s="28" t="n"/>
      <c r="AK4" s="28" t="n"/>
      <c r="AL4" s="28" t="n"/>
      <c r="AM4" s="28" t="n"/>
      <c r="AN4" s="28" t="n"/>
      <c r="AO4" s="20" t="n">
        <v>0</v>
      </c>
      <c r="AP4" s="20" t="n">
        <v>0</v>
      </c>
      <c r="AQ4" s="20" t="n">
        <v>0</v>
      </c>
      <c r="AR4" s="20" t="n">
        <v>0</v>
      </c>
      <c r="AS4" s="20" t="n">
        <v>0</v>
      </c>
      <c r="AT4" s="20" t="n">
        <v>0</v>
      </c>
      <c r="AU4" s="20" t="n">
        <v>0</v>
      </c>
      <c r="AV4" s="20" t="n">
        <v>0</v>
      </c>
      <c r="AW4" s="20" t="n">
        <v>0</v>
      </c>
      <c r="AX4" s="20" t="n">
        <v>0</v>
      </c>
      <c r="AY4" s="20" t="n">
        <v>0</v>
      </c>
      <c r="AZ4" s="20" t="n">
        <v>0</v>
      </c>
      <c r="BA4" s="25" t="n">
        <v>0</v>
      </c>
      <c r="BB4" s="21" t="n">
        <v>0</v>
      </c>
      <c r="BC4" s="26" t="n">
        <v>0</v>
      </c>
      <c r="BD4" s="27" t="inlineStr"/>
    </row>
    <row r="5">
      <c r="A5" s="28" t="n"/>
      <c r="B5" s="28" t="n"/>
      <c r="C5" s="28" t="n"/>
      <c r="D5" s="28" t="n"/>
      <c r="E5" s="28" t="n"/>
      <c r="F5" s="28" t="n"/>
      <c r="G5" s="28" t="n"/>
      <c r="H5" s="28" t="n"/>
      <c r="I5" s="28" t="n"/>
      <c r="J5" s="28" t="n"/>
      <c r="K5" s="28" t="n"/>
      <c r="L5" s="28" t="n"/>
      <c r="M5" s="28" t="n"/>
      <c r="N5" s="28" t="n"/>
      <c r="O5" s="28" t="n"/>
      <c r="P5" s="28" t="n"/>
      <c r="Q5" s="28" t="n"/>
      <c r="R5" s="19" t="inlineStr">
        <is>
          <t>差旅费（成本３）</t>
        </is>
      </c>
      <c r="S5" s="20" t="n">
        <v>24000</v>
      </c>
      <c r="T5" s="20">
        <f>SUM(AO5:BC5)</f>
        <v/>
      </c>
      <c r="U5" s="21">
        <f>SUM(BA5:BC5)</f>
        <v/>
      </c>
      <c r="V5" s="20">
        <f>SUM(AO5:AZ5)</f>
        <v/>
      </c>
      <c r="W5" s="20">
        <f>SUM(AP5:AZ5)</f>
        <v/>
      </c>
      <c r="X5" s="20">
        <f>SUM(AQ5:AZ5)</f>
        <v/>
      </c>
      <c r="Y5" s="20">
        <f>SUM(AR5:AZ5)</f>
        <v/>
      </c>
      <c r="Z5" s="20">
        <f>SUM(AS5:AZ5)</f>
        <v/>
      </c>
      <c r="AA5" s="20">
        <f>SUM(AT5:AZ5)</f>
        <v/>
      </c>
      <c r="AB5" s="20">
        <f>SUM(AU5:AZ5)</f>
        <v/>
      </c>
      <c r="AC5" s="20">
        <f>SUM(AV5:AZ5)</f>
        <v/>
      </c>
      <c r="AD5" s="20">
        <f>SUM(AW5:AZ5)</f>
        <v/>
      </c>
      <c r="AE5" s="20">
        <f>SUM(AX5:AZ5)</f>
        <v/>
      </c>
      <c r="AF5" s="20">
        <f>SUM(AY5:AZ5)</f>
        <v/>
      </c>
      <c r="AG5" s="20">
        <f>SUM(AZ5:AZ5)</f>
        <v/>
      </c>
      <c r="AH5" s="22" t="n">
        <v>0</v>
      </c>
      <c r="AI5" s="22" t="n">
        <v>0</v>
      </c>
      <c r="AJ5" s="28" t="n"/>
      <c r="AK5" s="28" t="n"/>
      <c r="AL5" s="28" t="n"/>
      <c r="AM5" s="28" t="n"/>
      <c r="AN5" s="28" t="n"/>
      <c r="AO5" s="20" t="n">
        <v>0</v>
      </c>
      <c r="AP5" s="20" t="n">
        <v>0</v>
      </c>
      <c r="AQ5" s="20" t="n">
        <v>0</v>
      </c>
      <c r="AR5" s="20" t="n">
        <v>0</v>
      </c>
      <c r="AS5" s="20" t="n">
        <v>0</v>
      </c>
      <c r="AT5" s="20" t="n">
        <v>0</v>
      </c>
      <c r="AU5" s="20" t="n">
        <v>0</v>
      </c>
      <c r="AV5" s="20" t="n">
        <v>0</v>
      </c>
      <c r="AW5" s="20" t="n">
        <v>0</v>
      </c>
      <c r="AX5" s="20" t="n">
        <v>0</v>
      </c>
      <c r="AY5" s="20" t="n">
        <v>0</v>
      </c>
      <c r="AZ5" s="20" t="n">
        <v>0</v>
      </c>
      <c r="BA5" s="25" t="n">
        <v>306.5</v>
      </c>
      <c r="BB5" s="21" t="n">
        <v>0</v>
      </c>
      <c r="BC5" s="26" t="n">
        <v>5324.09</v>
      </c>
      <c r="BD5" s="27" t="inlineStr"/>
    </row>
    <row r="6">
      <c r="A6" s="28" t="n"/>
      <c r="B6" s="28" t="n"/>
      <c r="C6" s="28" t="n"/>
      <c r="D6" s="28" t="n"/>
      <c r="E6" s="28" t="n"/>
      <c r="F6" s="28" t="n"/>
      <c r="G6" s="28" t="n"/>
      <c r="H6" s="28" t="n"/>
      <c r="I6" s="28" t="n"/>
      <c r="J6" s="28" t="n"/>
      <c r="K6" s="28" t="n"/>
      <c r="L6" s="28" t="n"/>
      <c r="M6" s="28" t="n"/>
      <c r="N6" s="28" t="n"/>
      <c r="O6" s="28" t="n"/>
      <c r="P6" s="28" t="n"/>
      <c r="Q6" s="28" t="n"/>
      <c r="R6" s="19" t="inlineStr">
        <is>
          <t>其他成本（成本３）</t>
        </is>
      </c>
      <c r="S6" s="20" t="n">
        <v>6700</v>
      </c>
      <c r="T6" s="20">
        <f>SUM(AO6:BC6)</f>
        <v/>
      </c>
      <c r="U6" s="21">
        <f>SUM(BA6:BC6)</f>
        <v/>
      </c>
      <c r="V6" s="20">
        <f>SUM(AO6:AZ6)</f>
        <v/>
      </c>
      <c r="W6" s="20">
        <f>SUM(AP6:AZ6)</f>
        <v/>
      </c>
      <c r="X6" s="20">
        <f>SUM(AQ6:AZ6)</f>
        <v/>
      </c>
      <c r="Y6" s="20">
        <f>SUM(AR6:AZ6)</f>
        <v/>
      </c>
      <c r="Z6" s="20">
        <f>SUM(AS6:AZ6)</f>
        <v/>
      </c>
      <c r="AA6" s="20">
        <f>SUM(AT6:AZ6)</f>
        <v/>
      </c>
      <c r="AB6" s="20">
        <f>SUM(AU6:AZ6)</f>
        <v/>
      </c>
      <c r="AC6" s="20">
        <f>SUM(AV6:AZ6)</f>
        <v/>
      </c>
      <c r="AD6" s="20">
        <f>SUM(AW6:AZ6)</f>
        <v/>
      </c>
      <c r="AE6" s="20">
        <f>SUM(AX6:AZ6)</f>
        <v/>
      </c>
      <c r="AF6" s="20">
        <f>SUM(AY6:AZ6)</f>
        <v/>
      </c>
      <c r="AG6" s="20">
        <f>SUM(AZ6:AZ6)</f>
        <v/>
      </c>
      <c r="AH6" s="22" t="n">
        <v>0</v>
      </c>
      <c r="AI6" s="22" t="n">
        <v>0</v>
      </c>
      <c r="AJ6" s="28" t="n"/>
      <c r="AK6" s="28" t="n"/>
      <c r="AL6" s="28" t="n"/>
      <c r="AM6" s="28" t="n"/>
      <c r="AN6" s="28" t="n"/>
      <c r="AO6" s="20" t="n">
        <v>0</v>
      </c>
      <c r="AP6" s="20" t="n">
        <v>0</v>
      </c>
      <c r="AQ6" s="20" t="n">
        <v>0</v>
      </c>
      <c r="AR6" s="20" t="n">
        <v>0</v>
      </c>
      <c r="AS6" s="20" t="n">
        <v>0</v>
      </c>
      <c r="AT6" s="20" t="n">
        <v>0</v>
      </c>
      <c r="AU6" s="20" t="n">
        <v>0</v>
      </c>
      <c r="AV6" s="20" t="n">
        <v>0</v>
      </c>
      <c r="AW6" s="20" t="n">
        <v>0</v>
      </c>
      <c r="AX6" s="20" t="n">
        <v>19814.03</v>
      </c>
      <c r="AY6" s="20" t="n">
        <v>-11.9</v>
      </c>
      <c r="AZ6" s="20" t="n">
        <v>-82.98999999999999</v>
      </c>
      <c r="BA6" s="25" t="n">
        <v>2153.11</v>
      </c>
      <c r="BB6" s="21" t="n">
        <v>336.02</v>
      </c>
      <c r="BC6" s="26" t="n">
        <v>34582.147</v>
      </c>
      <c r="BD6" s="27" t="inlineStr"/>
    </row>
    <row r="7">
      <c r="A7" s="28" t="n"/>
      <c r="B7" s="28" t="n"/>
      <c r="C7" s="28" t="n"/>
      <c r="D7" s="28" t="n"/>
      <c r="E7" s="28" t="n"/>
      <c r="F7" s="28" t="n"/>
      <c r="G7" s="28" t="n"/>
      <c r="H7" s="28" t="n"/>
      <c r="I7" s="28" t="n"/>
      <c r="J7" s="28" t="n"/>
      <c r="K7" s="28" t="n"/>
      <c r="L7" s="28" t="n"/>
      <c r="M7" s="28" t="n"/>
      <c r="N7" s="28" t="n"/>
      <c r="O7" s="28" t="n"/>
      <c r="P7" s="28" t="n"/>
      <c r="Q7" s="28" t="n"/>
      <c r="R7" s="29" t="inlineStr">
        <is>
          <t>累计成本</t>
        </is>
      </c>
      <c r="S7" s="30">
        <f>SUM(S3:S6)</f>
        <v/>
      </c>
      <c r="T7" s="30">
        <f>SUM(T3:T6)</f>
        <v/>
      </c>
      <c r="U7" s="31">
        <f>SUM(U3:U6)</f>
        <v/>
      </c>
      <c r="V7" s="30">
        <f>SUM(V3:V6)</f>
        <v/>
      </c>
      <c r="W7" s="30">
        <f>SUM(W3:W6)</f>
        <v/>
      </c>
      <c r="X7" s="30">
        <f>SUM(X3:X6)</f>
        <v/>
      </c>
      <c r="Y7" s="30">
        <f>SUM(Y3:Y6)</f>
        <v/>
      </c>
      <c r="Z7" s="30">
        <f>SUM(Z3:Z6)</f>
        <v/>
      </c>
      <c r="AA7" s="30">
        <f>SUM(AA3:AA6)</f>
        <v/>
      </c>
      <c r="AB7" s="30">
        <f>SUM(AB3:AB6)</f>
        <v/>
      </c>
      <c r="AC7" s="30">
        <f>SUM(AC3:AC6)</f>
        <v/>
      </c>
      <c r="AD7" s="30">
        <f>SUM(AD3:AD6)</f>
        <v/>
      </c>
      <c r="AE7" s="30">
        <f>SUM(AE3:AE6)</f>
        <v/>
      </c>
      <c r="AF7" s="30">
        <f>SUM(AF3:AF6)</f>
        <v/>
      </c>
      <c r="AG7" s="30">
        <f>SUM(AG3:AG6)</f>
        <v/>
      </c>
      <c r="AH7" s="30">
        <f>SUM(AH3:AH6)</f>
        <v/>
      </c>
      <c r="AI7" s="30">
        <f>SUM(AI3:AI6)</f>
        <v/>
      </c>
      <c r="AJ7" s="28" t="n"/>
      <c r="AK7" s="28" t="n"/>
      <c r="AL7" s="28" t="n"/>
      <c r="AM7" s="28" t="n"/>
      <c r="AN7" s="28" t="n"/>
      <c r="AO7" s="30">
        <f>SUM(AO3:AO6)</f>
        <v/>
      </c>
      <c r="AP7" s="30">
        <f>SUM(AP3:AP6)</f>
        <v/>
      </c>
      <c r="AQ7" s="30">
        <f>SUM(AQ3:AQ6)</f>
        <v/>
      </c>
      <c r="AR7" s="30">
        <f>SUM(AR3:AR6)</f>
        <v/>
      </c>
      <c r="AS7" s="30">
        <f>SUM(AS3:AS6)</f>
        <v/>
      </c>
      <c r="AT7" s="30">
        <f>SUM(AT3:AT6)</f>
        <v/>
      </c>
      <c r="AU7" s="30">
        <f>SUM(AU3:AU6)</f>
        <v/>
      </c>
      <c r="AV7" s="30">
        <f>SUM(AV3:AV6)</f>
        <v/>
      </c>
      <c r="AW7" s="30">
        <f>SUM(AW3:AW6)</f>
        <v/>
      </c>
      <c r="AX7" s="30">
        <f>SUM(AX3:AX6)</f>
        <v/>
      </c>
      <c r="AY7" s="30" t="n">
        <v>-11.9</v>
      </c>
      <c r="AZ7" s="30">
        <f>SUM(AZ3:AZ6)</f>
        <v/>
      </c>
      <c r="BA7" s="31">
        <f>SUM(BA3:BA6)</f>
        <v/>
      </c>
      <c r="BB7" s="31">
        <f>SUM(BB3:BB6)</f>
        <v/>
      </c>
      <c r="BC7" s="31">
        <f>SUM(BC3:BC6)</f>
        <v/>
      </c>
      <c r="BD7" s="32" t="inlineStr"/>
    </row>
    <row r="8">
      <c r="A8" s="28" t="n"/>
      <c r="B8" s="28" t="n"/>
      <c r="C8" s="28" t="n"/>
      <c r="D8" s="28" t="n"/>
      <c r="E8" s="28" t="n"/>
      <c r="F8" s="28" t="n"/>
      <c r="G8" s="28" t="n"/>
      <c r="H8" s="28" t="n"/>
      <c r="I8" s="28" t="n"/>
      <c r="J8" s="28" t="n"/>
      <c r="K8" s="28" t="n"/>
      <c r="L8" s="28" t="n"/>
      <c r="M8" s="28" t="n"/>
      <c r="N8" s="28" t="n"/>
      <c r="O8" s="28" t="n"/>
      <c r="P8" s="28" t="n"/>
      <c r="Q8" s="28" t="n"/>
      <c r="R8" s="19" t="inlineStr">
        <is>
          <t>GP1毛利</t>
        </is>
      </c>
      <c r="S8" s="20">
        <f>S2-S3</f>
        <v/>
      </c>
      <c r="T8" s="20">
        <f>T2-T3</f>
        <v/>
      </c>
      <c r="U8" s="21">
        <f>U2-U3</f>
        <v/>
      </c>
      <c r="V8" s="20">
        <f>V2-V3</f>
        <v/>
      </c>
      <c r="W8" s="20">
        <f>W2-W3</f>
        <v/>
      </c>
      <c r="X8" s="20">
        <f>X2-X3</f>
        <v/>
      </c>
      <c r="Y8" s="20">
        <f>Y2-Y3</f>
        <v/>
      </c>
      <c r="Z8" s="20">
        <f>Z2-Z3</f>
        <v/>
      </c>
      <c r="AA8" s="20">
        <f>AA2-AA3</f>
        <v/>
      </c>
      <c r="AB8" s="20">
        <f>AB2-AB3</f>
        <v/>
      </c>
      <c r="AC8" s="20">
        <f>AC2-AC3</f>
        <v/>
      </c>
      <c r="AD8" s="20">
        <f>AD2-AD3</f>
        <v/>
      </c>
      <c r="AE8" s="20">
        <f>AE2-AE3</f>
        <v/>
      </c>
      <c r="AF8" s="20">
        <f>AF2-AF3</f>
        <v/>
      </c>
      <c r="AG8" s="20">
        <f>AG2-AG3</f>
        <v/>
      </c>
      <c r="AH8" s="33" t="n">
        <v>0</v>
      </c>
      <c r="AI8" s="33" t="n">
        <v>0</v>
      </c>
      <c r="AJ8" s="28" t="n"/>
      <c r="AK8" s="28" t="n"/>
      <c r="AL8" s="28" t="n"/>
      <c r="AM8" s="28" t="n"/>
      <c r="AN8" s="28" t="n"/>
      <c r="AO8" s="20">
        <f>AO2-AO3</f>
        <v/>
      </c>
      <c r="AP8" s="20">
        <f>AP2-AP3</f>
        <v/>
      </c>
      <c r="AQ8" s="20">
        <f>AQ2-AQ3</f>
        <v/>
      </c>
      <c r="AR8" s="20">
        <f>AR2-AR3</f>
        <v/>
      </c>
      <c r="AS8" s="20">
        <f>AS2-AS3</f>
        <v/>
      </c>
      <c r="AT8" s="20">
        <f>AT2-AT3</f>
        <v/>
      </c>
      <c r="AU8" s="20">
        <f>AU2-AU3</f>
        <v/>
      </c>
      <c r="AV8" s="20">
        <f>AV2-AV3</f>
        <v/>
      </c>
      <c r="AW8" s="20">
        <f>AW2-AW3</f>
        <v/>
      </c>
      <c r="AX8" s="20">
        <f>AX2-AX3</f>
        <v/>
      </c>
      <c r="AY8" s="20">
        <f>AY2-AY3</f>
        <v/>
      </c>
      <c r="AZ8" s="20">
        <f>AZ2-AZ3</f>
        <v/>
      </c>
      <c r="BA8" s="25" t="n">
        <v>-59678.22</v>
      </c>
      <c r="BB8" s="31" t="n">
        <v>4420.81</v>
      </c>
      <c r="BC8" s="34">
        <f>BC2-BC3</f>
        <v/>
      </c>
      <c r="BD8" s="27" t="inlineStr"/>
    </row>
    <row r="9">
      <c r="A9" s="28" t="n"/>
      <c r="B9" s="28" t="n"/>
      <c r="C9" s="28" t="n"/>
      <c r="D9" s="28" t="n"/>
      <c r="E9" s="28" t="n"/>
      <c r="F9" s="28" t="n"/>
      <c r="G9" s="28" t="n"/>
      <c r="H9" s="28" t="n"/>
      <c r="I9" s="28" t="n"/>
      <c r="J9" s="28" t="n"/>
      <c r="K9" s="28" t="n"/>
      <c r="L9" s="28" t="n"/>
      <c r="M9" s="28" t="n"/>
      <c r="N9" s="28" t="n"/>
      <c r="O9" s="28" t="n"/>
      <c r="P9" s="28" t="n"/>
      <c r="Q9" s="28" t="n"/>
      <c r="R9" s="35" t="inlineStr">
        <is>
          <t>GP1毛利率(%)</t>
        </is>
      </c>
      <c r="S9" s="36">
        <f>S8/S2</f>
        <v/>
      </c>
      <c r="T9" s="36">
        <f>T8/T2</f>
        <v/>
      </c>
      <c r="U9" s="37">
        <f>U8/U2</f>
        <v/>
      </c>
      <c r="V9" s="36">
        <f>V8/V2</f>
        <v/>
      </c>
      <c r="W9" s="36">
        <f>W8/W2</f>
        <v/>
      </c>
      <c r="X9" s="36">
        <f>X8/X2</f>
        <v/>
      </c>
      <c r="Y9" s="36">
        <f>Y8/Y2</f>
        <v/>
      </c>
      <c r="Z9" s="36">
        <f>Z8/Z2</f>
        <v/>
      </c>
      <c r="AA9" s="36">
        <f>AA8/AA2</f>
        <v/>
      </c>
      <c r="AB9" s="36">
        <f>AB8/AB2</f>
        <v/>
      </c>
      <c r="AC9" s="36">
        <f>AC8/AC2</f>
        <v/>
      </c>
      <c r="AD9" s="36">
        <f>AD8/AD2</f>
        <v/>
      </c>
      <c r="AE9" s="36">
        <f>AE8/AE2</f>
        <v/>
      </c>
      <c r="AF9" s="36">
        <f>AF8/AF2</f>
        <v/>
      </c>
      <c r="AG9" s="36">
        <f>AG8/AG2</f>
        <v/>
      </c>
      <c r="AH9" s="38">
        <f>T9-S9</f>
        <v/>
      </c>
      <c r="AI9" s="38">
        <f>AF9-S9</f>
        <v/>
      </c>
      <c r="AJ9" s="28" t="n"/>
      <c r="AK9" s="28" t="n"/>
      <c r="AL9" s="28" t="n"/>
      <c r="AM9" s="28" t="n"/>
      <c r="AN9" s="28" t="n"/>
      <c r="AO9" s="36">
        <f>AO8/AO2</f>
        <v/>
      </c>
      <c r="AP9" s="36">
        <f>AP8/AP2</f>
        <v/>
      </c>
      <c r="AQ9" s="36">
        <f>AQ8/AQ2</f>
        <v/>
      </c>
      <c r="AR9" s="36">
        <f>AR8/AR2</f>
        <v/>
      </c>
      <c r="AS9" s="36">
        <f>AS8/AS2</f>
        <v/>
      </c>
      <c r="AT9" s="36">
        <f>AT8/AT2</f>
        <v/>
      </c>
      <c r="AU9" s="36">
        <f>AU8/AU2</f>
        <v/>
      </c>
      <c r="AV9" s="36">
        <f>AV8/AV2</f>
        <v/>
      </c>
      <c r="AW9" s="36">
        <f>AW8/AW2</f>
        <v/>
      </c>
      <c r="AX9" s="36">
        <f>AX8/AX2</f>
        <v/>
      </c>
      <c r="AY9" s="36">
        <f>AY8/AY2</f>
        <v/>
      </c>
      <c r="AZ9" s="36">
        <f>AZ8/AZ2</f>
        <v/>
      </c>
      <c r="BA9" s="37" t="n">
        <v>-1.85335856725644</v>
      </c>
      <c r="BB9" s="39" t="n">
        <v>0.626837630590878</v>
      </c>
      <c r="BC9" s="40">
        <f>BC8/BC2</f>
        <v/>
      </c>
      <c r="BD9" s="27" t="inlineStr"/>
    </row>
    <row r="10">
      <c r="A10" s="28" t="n"/>
      <c r="B10" s="28" t="n"/>
      <c r="C10" s="28" t="n"/>
      <c r="D10" s="28" t="n"/>
      <c r="E10" s="28" t="n"/>
      <c r="F10" s="28" t="n"/>
      <c r="G10" s="28" t="n"/>
      <c r="H10" s="28" t="n"/>
      <c r="I10" s="28" t="n"/>
      <c r="J10" s="28" t="n"/>
      <c r="K10" s="28" t="n"/>
      <c r="L10" s="28" t="n"/>
      <c r="M10" s="28" t="n"/>
      <c r="N10" s="28" t="n"/>
      <c r="O10" s="28" t="n"/>
      <c r="P10" s="28" t="n"/>
      <c r="Q10" s="28" t="n"/>
      <c r="R10" s="19" t="inlineStr">
        <is>
          <t>GP3毛利</t>
        </is>
      </c>
      <c r="S10" s="20">
        <f>S2-S7</f>
        <v/>
      </c>
      <c r="T10" s="20">
        <f>T2-T7</f>
        <v/>
      </c>
      <c r="U10" s="20">
        <f>U2-U7</f>
        <v/>
      </c>
      <c r="V10" s="20">
        <f>V2-V7</f>
        <v/>
      </c>
      <c r="W10" s="20">
        <f>W2-W7</f>
        <v/>
      </c>
      <c r="X10" s="20">
        <f>X2-X7</f>
        <v/>
      </c>
      <c r="Y10" s="20">
        <f>Y2-Y7</f>
        <v/>
      </c>
      <c r="Z10" s="20">
        <f>Z2-Z7</f>
        <v/>
      </c>
      <c r="AA10" s="20">
        <f>AA2-AA7</f>
        <v/>
      </c>
      <c r="AB10" s="20">
        <f>AB2-AB7</f>
        <v/>
      </c>
      <c r="AC10" s="20">
        <f>AC2-AC7</f>
        <v/>
      </c>
      <c r="AD10" s="20">
        <f>AD2-AD7</f>
        <v/>
      </c>
      <c r="AE10" s="20">
        <f>AE2-AE7</f>
        <v/>
      </c>
      <c r="AF10" s="20">
        <f>AF2-AF7</f>
        <v/>
      </c>
      <c r="AG10" s="20">
        <f>AG2-AG7</f>
        <v/>
      </c>
      <c r="AH10" s="38" t="n">
        <v>0</v>
      </c>
      <c r="AI10" s="38" t="n">
        <v>0</v>
      </c>
      <c r="AJ10" s="28" t="n"/>
      <c r="AK10" s="28" t="n"/>
      <c r="AL10" s="28" t="n"/>
      <c r="AM10" s="28" t="n"/>
      <c r="AN10" s="28" t="n"/>
      <c r="AO10" s="20">
        <f>AO2-AO7</f>
        <v/>
      </c>
      <c r="AP10" s="20">
        <f>AP2-AP7</f>
        <v/>
      </c>
      <c r="AQ10" s="20">
        <f>AQ2-AQ7</f>
        <v/>
      </c>
      <c r="AR10" s="20">
        <f>AR2-AR7</f>
        <v/>
      </c>
      <c r="AS10" s="20">
        <f>AS2-AS7</f>
        <v/>
      </c>
      <c r="AT10" s="20">
        <f>AT2-AT7</f>
        <v/>
      </c>
      <c r="AU10" s="20">
        <f>AU2-AU7</f>
        <v/>
      </c>
      <c r="AV10" s="20">
        <f>AV2-AV7</f>
        <v/>
      </c>
      <c r="AW10" s="20">
        <f>AW2-AW7</f>
        <v/>
      </c>
      <c r="AX10" s="20">
        <f>AX2-AX7</f>
        <v/>
      </c>
      <c r="AY10" s="20">
        <f>AY2-AY7</f>
        <v/>
      </c>
      <c r="AZ10" s="20">
        <f>AZ2-AZ7</f>
        <v/>
      </c>
      <c r="BA10" s="20">
        <f>BA2-BA7</f>
        <v/>
      </c>
      <c r="BB10" s="20">
        <f>BB2-BB7</f>
        <v/>
      </c>
      <c r="BC10" s="20">
        <f>BC2-BC7</f>
        <v/>
      </c>
      <c r="BD10" s="27" t="inlineStr"/>
    </row>
    <row r="11">
      <c r="A11" s="41" t="n"/>
      <c r="B11" s="41" t="n"/>
      <c r="C11" s="41" t="n"/>
      <c r="D11" s="41" t="n"/>
      <c r="E11" s="41" t="n"/>
      <c r="F11" s="41" t="n"/>
      <c r="G11" s="41" t="n"/>
      <c r="H11" s="41" t="n"/>
      <c r="I11" s="41" t="n"/>
      <c r="J11" s="41" t="n"/>
      <c r="K11" s="41" t="n"/>
      <c r="L11" s="41" t="n"/>
      <c r="M11" s="41" t="n"/>
      <c r="N11" s="41" t="n"/>
      <c r="O11" s="41" t="n"/>
      <c r="P11" s="41" t="n"/>
      <c r="Q11" s="41" t="n"/>
      <c r="R11" s="35" t="inlineStr">
        <is>
          <t>GP3毛利率(%)</t>
        </is>
      </c>
      <c r="S11" s="36">
        <f>S10/S2</f>
        <v/>
      </c>
      <c r="T11" s="36">
        <f>T10/T2</f>
        <v/>
      </c>
      <c r="U11" s="37">
        <f>U10/U2</f>
        <v/>
      </c>
      <c r="V11" s="36">
        <f>V10/V2</f>
        <v/>
      </c>
      <c r="W11" s="36">
        <f>W10/W2</f>
        <v/>
      </c>
      <c r="X11" s="36">
        <f>X10/X2</f>
        <v/>
      </c>
      <c r="Y11" s="36">
        <f>Y10/Y2</f>
        <v/>
      </c>
      <c r="Z11" s="36">
        <f>Z10/Z2</f>
        <v/>
      </c>
      <c r="AA11" s="36">
        <f>AA10/AA2</f>
        <v/>
      </c>
      <c r="AB11" s="36">
        <f>AB10/AB2</f>
        <v/>
      </c>
      <c r="AC11" s="36">
        <f>AC10/AC2</f>
        <v/>
      </c>
      <c r="AD11" s="36">
        <f>AD10/AD2</f>
        <v/>
      </c>
      <c r="AE11" s="36">
        <f>AE10/AE2</f>
        <v/>
      </c>
      <c r="AF11" s="36">
        <f>AF10/AF2</f>
        <v/>
      </c>
      <c r="AG11" s="36">
        <f>AG10/AG2</f>
        <v/>
      </c>
      <c r="AH11" s="38">
        <f>T11-S11</f>
        <v/>
      </c>
      <c r="AI11" s="38">
        <f>AF11-S11</f>
        <v/>
      </c>
      <c r="AJ11" s="41" t="n"/>
      <c r="AK11" s="41" t="n"/>
      <c r="AL11" s="41" t="n"/>
      <c r="AM11" s="41" t="n"/>
      <c r="AN11" s="41" t="n"/>
      <c r="AO11" s="36">
        <f>AO10/AO2</f>
        <v/>
      </c>
      <c r="AP11" s="36">
        <f>AP10/AP2</f>
        <v/>
      </c>
      <c r="AQ11" s="36">
        <f>AQ10/AQ2</f>
        <v/>
      </c>
      <c r="AR11" s="36">
        <f>AR10/AR2</f>
        <v/>
      </c>
      <c r="AS11" s="36">
        <f>AS10/AS2</f>
        <v/>
      </c>
      <c r="AT11" s="36">
        <f>AT10/AT2</f>
        <v/>
      </c>
      <c r="AU11" s="36">
        <f>AU10/AU2</f>
        <v/>
      </c>
      <c r="AV11" s="36">
        <f>AV10/AV2</f>
        <v/>
      </c>
      <c r="AW11" s="36">
        <f>AW10/AW2</f>
        <v/>
      </c>
      <c r="AX11" s="36">
        <f>AX10/AX2</f>
        <v/>
      </c>
      <c r="AY11" s="36">
        <f>AY10/AY2</f>
        <v/>
      </c>
      <c r="AZ11" s="36">
        <f>AZ10/AZ2</f>
        <v/>
      </c>
      <c r="BA11" s="37" t="n">
        <v>-1.92974387609456</v>
      </c>
      <c r="BB11" s="39" t="n">
        <v>0.579192520162891</v>
      </c>
      <c r="BC11" s="40">
        <f>BC10/BC2</f>
        <v/>
      </c>
      <c r="BD11" s="27" t="inlineStr"/>
    </row>
    <row r="12">
      <c r="A12" s="12" t="inlineStr">
        <is>
          <t>P202212000030</t>
        </is>
      </c>
      <c r="B12" s="13" t="inlineStr">
        <is>
          <t>2022年安徽省农业科学院畜牧兽医研究所种猪遗传评估系统软件及育种分析服务</t>
        </is>
      </c>
      <c r="C12" s="14" t="n">
        <v>44903</v>
      </c>
      <c r="D12" s="14" t="n">
        <v>46034</v>
      </c>
      <c r="E12" s="15" t="n"/>
      <c r="F12" s="16" t="inlineStr">
        <is>
          <t xml:space="preserve"> -   </t>
        </is>
      </c>
      <c r="G12" s="17" t="n"/>
      <c r="H12" s="18" t="n"/>
      <c r="I12" s="18" t="n"/>
      <c r="J12" s="18" t="n"/>
      <c r="K12" s="18" t="n"/>
      <c r="L12" s="18" t="n"/>
      <c r="M12" s="18" t="n"/>
      <c r="N12" s="18" t="n"/>
      <c r="O12" s="18" t="n"/>
      <c r="P12" s="15" t="n"/>
      <c r="Q12" s="18" t="inlineStr"/>
      <c r="R12" s="19" t="inlineStr">
        <is>
          <t>累计收入（NR）</t>
        </is>
      </c>
      <c r="S12" s="20" t="n">
        <v>330094.34</v>
      </c>
      <c r="T12" s="20">
        <f>SUM(AO12:BC12)</f>
        <v/>
      </c>
      <c r="U12" s="21">
        <f>SUM(BA12:BC12)</f>
        <v/>
      </c>
      <c r="V12" s="20">
        <f>SUM(AO12:AZ12)</f>
        <v/>
      </c>
      <c r="W12" s="20">
        <f>SUM(AP12:AZ12)</f>
        <v/>
      </c>
      <c r="X12" s="20">
        <f>SUM(AQ12:AZ12)</f>
        <v/>
      </c>
      <c r="Y12" s="20">
        <f>SUM(AR12:AZ12)</f>
        <v/>
      </c>
      <c r="Z12" s="20">
        <f>SUM(AS12:AZ12)</f>
        <v/>
      </c>
      <c r="AA12" s="20">
        <f>SUM(AT12:AZ12)</f>
        <v/>
      </c>
      <c r="AB12" s="20">
        <f>SUM(AU12:AZ12)</f>
        <v/>
      </c>
      <c r="AC12" s="20">
        <f>SUM(AV12:AZ12)</f>
        <v/>
      </c>
      <c r="AD12" s="20">
        <f>SUM(AW12:AZ12)</f>
        <v/>
      </c>
      <c r="AE12" s="20">
        <f>SUM(AX12:AZ12)</f>
        <v/>
      </c>
      <c r="AF12" s="20">
        <f>SUM(AY12:AZ12)</f>
        <v/>
      </c>
      <c r="AG12" s="20">
        <f>SUM(AZ12:AZ12)</f>
        <v/>
      </c>
      <c r="AH12" s="22" t="n">
        <v>0</v>
      </c>
      <c r="AI12" s="22" t="n">
        <v>0</v>
      </c>
      <c r="AJ12" s="48" t="inlineStr"/>
      <c r="AK12" s="13" t="inlineStr">
        <is>
          <t>当前测算毛利率高于预算，原因是实际投入人力成本低于预算</t>
        </is>
      </c>
      <c r="AL12" s="24" t="inlineStr"/>
      <c r="AM12" s="24" t="inlineStr"/>
      <c r="AN12" s="16" t="n"/>
      <c r="AO12" s="20" t="n">
        <v>0</v>
      </c>
      <c r="AP12" s="20" t="n">
        <v>0</v>
      </c>
      <c r="AQ12" s="20" t="n">
        <v>0</v>
      </c>
      <c r="AR12" s="20" t="n">
        <v>0</v>
      </c>
      <c r="AS12" s="20" t="n">
        <v>0</v>
      </c>
      <c r="AT12" s="20" t="n">
        <v>0</v>
      </c>
      <c r="AU12" s="20" t="n">
        <v>0</v>
      </c>
      <c r="AV12" s="20" t="n">
        <v>0</v>
      </c>
      <c r="AW12" s="20" t="n">
        <v>0</v>
      </c>
      <c r="AX12" s="20" t="n">
        <v>0</v>
      </c>
      <c r="AY12" s="20" t="n">
        <v>0</v>
      </c>
      <c r="AZ12" s="20" t="n">
        <v>-0.13</v>
      </c>
      <c r="BA12" s="49" t="n">
        <v>75260.57000000001</v>
      </c>
      <c r="BB12" s="21" t="n">
        <v>47129.727</v>
      </c>
      <c r="BC12" s="26" t="n">
        <v>205340.81</v>
      </c>
      <c r="BD12" s="51" t="inlineStr">
        <is>
          <t>2026年已结项</t>
        </is>
      </c>
    </row>
    <row r="13">
      <c r="A13" s="28" t="n"/>
      <c r="B13" s="28" t="n"/>
      <c r="C13" s="28" t="n"/>
      <c r="D13" s="28" t="n"/>
      <c r="E13" s="28" t="n"/>
      <c r="F13" s="28" t="n"/>
      <c r="G13" s="28" t="n"/>
      <c r="H13" s="28" t="n"/>
      <c r="I13" s="28" t="n"/>
      <c r="J13" s="28" t="n"/>
      <c r="K13" s="28" t="n"/>
      <c r="L13" s="28" t="n"/>
      <c r="M13" s="28" t="n"/>
      <c r="N13" s="28" t="n"/>
      <c r="O13" s="28" t="n"/>
      <c r="P13" s="28" t="n"/>
      <c r="Q13" s="28" t="n"/>
      <c r="R13" s="19" t="inlineStr">
        <is>
          <t>人工成本（成本１）</t>
        </is>
      </c>
      <c r="S13" s="20" t="n">
        <v>207999</v>
      </c>
      <c r="T13" s="20">
        <f>SUM(AO13:BC13)</f>
        <v/>
      </c>
      <c r="U13" s="21">
        <f>SUM(BA13:BC13)</f>
        <v/>
      </c>
      <c r="V13" s="20">
        <f>SUM(AO13:AZ13)</f>
        <v/>
      </c>
      <c r="W13" s="20">
        <f>SUM(AP13:AZ13)</f>
        <v/>
      </c>
      <c r="X13" s="20">
        <f>SUM(AQ13:AZ13)</f>
        <v/>
      </c>
      <c r="Y13" s="20">
        <f>SUM(AR13:AZ13)</f>
        <v/>
      </c>
      <c r="Z13" s="20">
        <f>SUM(AS13:AZ13)</f>
        <v/>
      </c>
      <c r="AA13" s="20">
        <f>SUM(AT13:AZ13)</f>
        <v/>
      </c>
      <c r="AB13" s="20">
        <f>SUM(AU13:AZ13)</f>
        <v/>
      </c>
      <c r="AC13" s="20">
        <f>SUM(AV13:AZ13)</f>
        <v/>
      </c>
      <c r="AD13" s="20">
        <f>SUM(AW13:AZ13)</f>
        <v/>
      </c>
      <c r="AE13" s="20">
        <f>SUM(AX13:AZ13)</f>
        <v/>
      </c>
      <c r="AF13" s="20">
        <f>SUM(AY13:AZ13)</f>
        <v/>
      </c>
      <c r="AG13" s="20">
        <f>SUM(AZ13:AZ13)</f>
        <v/>
      </c>
      <c r="AH13" s="22" t="n">
        <v>0</v>
      </c>
      <c r="AI13" s="22" t="n">
        <v>0</v>
      </c>
      <c r="AJ13" s="28" t="n"/>
      <c r="AK13" s="28" t="n"/>
      <c r="AL13" s="28" t="n"/>
      <c r="AM13" s="28" t="n"/>
      <c r="AN13" s="28" t="n"/>
      <c r="AO13" s="20" t="n">
        <v>0</v>
      </c>
      <c r="AP13" s="20" t="n">
        <v>0</v>
      </c>
      <c r="AQ13" s="20" t="n">
        <v>0</v>
      </c>
      <c r="AR13" s="20" t="n">
        <v>0</v>
      </c>
      <c r="AS13" s="20" t="n">
        <v>0</v>
      </c>
      <c r="AT13" s="20" t="n">
        <v>0</v>
      </c>
      <c r="AU13" s="20" t="n">
        <v>0</v>
      </c>
      <c r="AV13" s="20" t="n">
        <v>0</v>
      </c>
      <c r="AW13" s="20" t="n">
        <v>0</v>
      </c>
      <c r="AX13" s="20" t="n">
        <v>0</v>
      </c>
      <c r="AY13" s="20" t="n">
        <v>0</v>
      </c>
      <c r="AZ13" s="20" t="n">
        <v>0</v>
      </c>
      <c r="BA13" s="49" t="n">
        <v>48896.58</v>
      </c>
      <c r="BB13" s="21" t="n">
        <v>1331.99</v>
      </c>
      <c r="BC13" s="26" t="n">
        <v>81151.98</v>
      </c>
      <c r="BD13" s="28" t="n"/>
    </row>
    <row r="14">
      <c r="A14" s="28" t="n"/>
      <c r="B14" s="28" t="n"/>
      <c r="C14" s="28" t="n"/>
      <c r="D14" s="28" t="n"/>
      <c r="E14" s="28" t="n"/>
      <c r="F14" s="28" t="n"/>
      <c r="G14" s="28" t="n"/>
      <c r="H14" s="28" t="n"/>
      <c r="I14" s="28" t="n"/>
      <c r="J14" s="28" t="n"/>
      <c r="K14" s="28" t="n"/>
      <c r="L14" s="28" t="n"/>
      <c r="M14" s="28" t="n"/>
      <c r="N14" s="28" t="n"/>
      <c r="O14" s="28" t="n"/>
      <c r="P14" s="28" t="n"/>
      <c r="Q14" s="28" t="n"/>
      <c r="R14" s="29" t="inlineStr">
        <is>
          <t>闲置成本（成本2）</t>
        </is>
      </c>
      <c r="S14" s="20" t="n">
        <v>0</v>
      </c>
      <c r="T14" s="20" t="n">
        <v>0</v>
      </c>
      <c r="U14" s="21" t="n">
        <v>0</v>
      </c>
      <c r="V14" s="20" t="n">
        <v>0</v>
      </c>
      <c r="W14" s="20" t="n">
        <v>0</v>
      </c>
      <c r="X14" s="20" t="n">
        <v>0</v>
      </c>
      <c r="Y14" s="20" t="n">
        <v>0</v>
      </c>
      <c r="Z14" s="20" t="n">
        <v>0</v>
      </c>
      <c r="AA14" s="20" t="n">
        <v>0</v>
      </c>
      <c r="AB14" s="20" t="n">
        <v>0</v>
      </c>
      <c r="AC14" s="20" t="n">
        <v>0</v>
      </c>
      <c r="AD14" s="20" t="n">
        <v>0</v>
      </c>
      <c r="AE14" s="20" t="n">
        <v>0</v>
      </c>
      <c r="AF14" s="20" t="n">
        <v>0</v>
      </c>
      <c r="AG14" s="20" t="n">
        <v>0</v>
      </c>
      <c r="AH14" s="22" t="n">
        <v>0</v>
      </c>
      <c r="AI14" s="22" t="n">
        <v>0</v>
      </c>
      <c r="AJ14" s="28" t="n"/>
      <c r="AK14" s="28" t="n"/>
      <c r="AL14" s="28" t="n"/>
      <c r="AM14" s="28" t="n"/>
      <c r="AN14" s="28" t="n"/>
      <c r="AO14" s="20" t="n">
        <v>0</v>
      </c>
      <c r="AP14" s="20" t="n">
        <v>0</v>
      </c>
      <c r="AQ14" s="20" t="n">
        <v>0</v>
      </c>
      <c r="AR14" s="20" t="n">
        <v>0</v>
      </c>
      <c r="AS14" s="20" t="n">
        <v>0</v>
      </c>
      <c r="AT14" s="20" t="n">
        <v>0</v>
      </c>
      <c r="AU14" s="20" t="n">
        <v>0</v>
      </c>
      <c r="AV14" s="20" t="n">
        <v>0</v>
      </c>
      <c r="AW14" s="20" t="n">
        <v>0</v>
      </c>
      <c r="AX14" s="20" t="n">
        <v>0</v>
      </c>
      <c r="AY14" s="20" t="n">
        <v>0</v>
      </c>
      <c r="AZ14" s="20" t="n">
        <v>0</v>
      </c>
      <c r="BA14" s="49" t="n">
        <v>0</v>
      </c>
      <c r="BB14" s="21" t="n">
        <v>0</v>
      </c>
      <c r="BC14" s="26" t="n">
        <v>0</v>
      </c>
      <c r="BD14" s="28" t="n"/>
    </row>
    <row r="15">
      <c r="A15" s="28" t="n"/>
      <c r="B15" s="28" t="n"/>
      <c r="C15" s="28" t="n"/>
      <c r="D15" s="28" t="n"/>
      <c r="E15" s="28" t="n"/>
      <c r="F15" s="28" t="n"/>
      <c r="G15" s="28" t="n"/>
      <c r="H15" s="28" t="n"/>
      <c r="I15" s="28" t="n"/>
      <c r="J15" s="28" t="n"/>
      <c r="K15" s="28" t="n"/>
      <c r="L15" s="28" t="n"/>
      <c r="M15" s="28" t="n"/>
      <c r="N15" s="28" t="n"/>
      <c r="O15" s="28" t="n"/>
      <c r="P15" s="28" t="n"/>
      <c r="Q15" s="28" t="n"/>
      <c r="R15" s="19" t="inlineStr">
        <is>
          <t>差旅费（成本３）</t>
        </is>
      </c>
      <c r="S15" s="20" t="n">
        <v>17000</v>
      </c>
      <c r="T15" s="20">
        <f>SUM(AO15:BC15)</f>
        <v/>
      </c>
      <c r="U15" s="21">
        <f>SUM(BA15:BC15)</f>
        <v/>
      </c>
      <c r="V15" s="20">
        <f>SUM(AO15:AZ15)</f>
        <v/>
      </c>
      <c r="W15" s="20">
        <f>SUM(AP15:AZ15)</f>
        <v/>
      </c>
      <c r="X15" s="20">
        <f>SUM(AQ15:AZ15)</f>
        <v/>
      </c>
      <c r="Y15" s="20">
        <f>SUM(AR15:AZ15)</f>
        <v/>
      </c>
      <c r="Z15" s="20">
        <f>SUM(AS15:AZ15)</f>
        <v/>
      </c>
      <c r="AA15" s="20">
        <f>SUM(AT15:AZ15)</f>
        <v/>
      </c>
      <c r="AB15" s="20">
        <f>SUM(AU15:AZ15)</f>
        <v/>
      </c>
      <c r="AC15" s="20">
        <f>SUM(AV15:AZ15)</f>
        <v/>
      </c>
      <c r="AD15" s="20">
        <f>SUM(AW15:AZ15)</f>
        <v/>
      </c>
      <c r="AE15" s="20">
        <f>SUM(AX15:AZ15)</f>
        <v/>
      </c>
      <c r="AF15" s="20">
        <f>SUM(AY15:AZ15)</f>
        <v/>
      </c>
      <c r="AG15" s="20">
        <f>SUM(AZ15:AZ15)</f>
        <v/>
      </c>
      <c r="AH15" s="22" t="n">
        <v>0</v>
      </c>
      <c r="AI15" s="22" t="n">
        <v>0</v>
      </c>
      <c r="AJ15" s="28" t="n"/>
      <c r="AK15" s="28" t="n"/>
      <c r="AL15" s="28" t="n"/>
      <c r="AM15" s="28" t="n"/>
      <c r="AN15" s="28" t="n"/>
      <c r="AO15" s="20" t="n">
        <v>0</v>
      </c>
      <c r="AP15" s="20" t="n">
        <v>0</v>
      </c>
      <c r="AQ15" s="20" t="n">
        <v>0</v>
      </c>
      <c r="AR15" s="20" t="n">
        <v>0</v>
      </c>
      <c r="AS15" s="20" t="n">
        <v>0</v>
      </c>
      <c r="AT15" s="20" t="n">
        <v>0</v>
      </c>
      <c r="AU15" s="20" t="n">
        <v>0</v>
      </c>
      <c r="AV15" s="20" t="n">
        <v>0</v>
      </c>
      <c r="AW15" s="20" t="n">
        <v>0</v>
      </c>
      <c r="AX15" s="20" t="n">
        <v>0</v>
      </c>
      <c r="AY15" s="20" t="n">
        <v>0</v>
      </c>
      <c r="AZ15" s="20" t="n">
        <v>0</v>
      </c>
      <c r="BA15" s="49" t="n">
        <v>0</v>
      </c>
      <c r="BB15" s="21" t="n">
        <v>0</v>
      </c>
      <c r="BC15" s="26" t="n">
        <v>4118.38</v>
      </c>
      <c r="BD15" s="28" t="n"/>
    </row>
    <row r="16">
      <c r="A16" s="28" t="n"/>
      <c r="B16" s="28" t="n"/>
      <c r="C16" s="28" t="n"/>
      <c r="D16" s="28" t="n"/>
      <c r="E16" s="28" t="n"/>
      <c r="F16" s="28" t="n"/>
      <c r="G16" s="28" t="n"/>
      <c r="H16" s="28" t="n"/>
      <c r="I16" s="28" t="n"/>
      <c r="J16" s="28" t="n"/>
      <c r="K16" s="28" t="n"/>
      <c r="L16" s="28" t="n"/>
      <c r="M16" s="28" t="n"/>
      <c r="N16" s="28" t="n"/>
      <c r="O16" s="28" t="n"/>
      <c r="P16" s="28" t="n"/>
      <c r="Q16" s="28" t="n"/>
      <c r="R16" s="19" t="inlineStr">
        <is>
          <t>其他成本（成本３）</t>
        </is>
      </c>
      <c r="S16" s="20" t="n">
        <v>10000</v>
      </c>
      <c r="T16" s="20">
        <f>SUM(AO16:BC16)</f>
        <v/>
      </c>
      <c r="U16" s="21">
        <f>SUM(BA16:BC16)</f>
        <v/>
      </c>
      <c r="V16" s="20">
        <f>SUM(AO16:AZ16)</f>
        <v/>
      </c>
      <c r="W16" s="20">
        <f>SUM(AP16:AZ16)</f>
        <v/>
      </c>
      <c r="X16" s="20">
        <f>SUM(AQ16:AZ16)</f>
        <v/>
      </c>
      <c r="Y16" s="20">
        <f>SUM(AR16:AZ16)</f>
        <v/>
      </c>
      <c r="Z16" s="20">
        <f>SUM(AS16:AZ16)</f>
        <v/>
      </c>
      <c r="AA16" s="20">
        <f>SUM(AT16:AZ16)</f>
        <v/>
      </c>
      <c r="AB16" s="20">
        <f>SUM(AU16:AZ16)</f>
        <v/>
      </c>
      <c r="AC16" s="20">
        <f>SUM(AV16:AZ16)</f>
        <v/>
      </c>
      <c r="AD16" s="20">
        <f>SUM(AW16:AZ16)</f>
        <v/>
      </c>
      <c r="AE16" s="20">
        <f>SUM(AX16:AZ16)</f>
        <v/>
      </c>
      <c r="AF16" s="20">
        <f>SUM(AY16:AZ16)</f>
        <v/>
      </c>
      <c r="AG16" s="20">
        <f>SUM(AZ16:AZ16)</f>
        <v/>
      </c>
      <c r="AH16" s="22" t="n">
        <v>0</v>
      </c>
      <c r="AI16" s="22" t="n">
        <v>0</v>
      </c>
      <c r="AJ16" s="28" t="n"/>
      <c r="AK16" s="28" t="n"/>
      <c r="AL16" s="28" t="n"/>
      <c r="AM16" s="28" t="n"/>
      <c r="AN16" s="28" t="n"/>
      <c r="AO16" s="20" t="n">
        <v>0</v>
      </c>
      <c r="AP16" s="20" t="n">
        <v>0</v>
      </c>
      <c r="AQ16" s="20" t="n">
        <v>0</v>
      </c>
      <c r="AR16" s="20" t="n">
        <v>0</v>
      </c>
      <c r="AS16" s="20" t="n">
        <v>0</v>
      </c>
      <c r="AT16" s="20" t="n">
        <v>0</v>
      </c>
      <c r="AU16" s="20" t="n">
        <v>0</v>
      </c>
      <c r="AV16" s="20" t="n">
        <v>0</v>
      </c>
      <c r="AW16" s="20" t="n">
        <v>0</v>
      </c>
      <c r="AX16" s="20" t="n">
        <v>0</v>
      </c>
      <c r="AY16" s="20" t="n">
        <v>0</v>
      </c>
      <c r="AZ16" s="20" t="n">
        <v>0</v>
      </c>
      <c r="BA16" s="49" t="n">
        <v>-322.66</v>
      </c>
      <c r="BB16" s="21" t="n">
        <v>10.03</v>
      </c>
      <c r="BC16" s="26" t="n">
        <v>5683.58</v>
      </c>
      <c r="BD16" s="28" t="n"/>
    </row>
    <row r="17">
      <c r="A17" s="28" t="n"/>
      <c r="B17" s="28" t="n"/>
      <c r="C17" s="28" t="n"/>
      <c r="D17" s="28" t="n"/>
      <c r="E17" s="28" t="n"/>
      <c r="F17" s="28" t="n"/>
      <c r="G17" s="28" t="n"/>
      <c r="H17" s="28" t="n"/>
      <c r="I17" s="28" t="n"/>
      <c r="J17" s="28" t="n"/>
      <c r="K17" s="28" t="n"/>
      <c r="L17" s="28" t="n"/>
      <c r="M17" s="28" t="n"/>
      <c r="N17" s="28" t="n"/>
      <c r="O17" s="28" t="n"/>
      <c r="P17" s="28" t="n"/>
      <c r="Q17" s="28" t="n"/>
      <c r="R17" s="29" t="inlineStr">
        <is>
          <t>累计成本</t>
        </is>
      </c>
      <c r="S17" s="30">
        <f>SUM(S13:S16)</f>
        <v/>
      </c>
      <c r="T17" s="30">
        <f>SUM(T13:T16)</f>
        <v/>
      </c>
      <c r="U17" s="31">
        <f>SUM(U13:U16)</f>
        <v/>
      </c>
      <c r="V17" s="30">
        <f>SUM(V13:V16)</f>
        <v/>
      </c>
      <c r="W17" s="30">
        <f>SUM(W13:W16)</f>
        <v/>
      </c>
      <c r="X17" s="30">
        <f>SUM(X13:X16)</f>
        <v/>
      </c>
      <c r="Y17" s="30">
        <f>SUM(Y13:Y16)</f>
        <v/>
      </c>
      <c r="Z17" s="30">
        <f>SUM(Z13:Z16)</f>
        <v/>
      </c>
      <c r="AA17" s="30">
        <f>SUM(AA13:AA16)</f>
        <v/>
      </c>
      <c r="AB17" s="30">
        <f>SUM(AB13:AB16)</f>
        <v/>
      </c>
      <c r="AC17" s="30">
        <f>SUM(AC13:AC16)</f>
        <v/>
      </c>
      <c r="AD17" s="30">
        <f>SUM(AD13:AD16)</f>
        <v/>
      </c>
      <c r="AE17" s="30">
        <f>SUM(AE13:AE16)</f>
        <v/>
      </c>
      <c r="AF17" s="30">
        <f>SUM(AF13:AF16)</f>
        <v/>
      </c>
      <c r="AG17" s="30">
        <f>SUM(AG13:AG16)</f>
        <v/>
      </c>
      <c r="AH17" s="30">
        <f>SUM(AH13:AH16)</f>
        <v/>
      </c>
      <c r="AI17" s="30">
        <f>SUM(AI13:AI16)</f>
        <v/>
      </c>
      <c r="AJ17" s="28" t="n"/>
      <c r="AK17" s="28" t="n"/>
      <c r="AL17" s="28" t="n"/>
      <c r="AM17" s="28" t="n"/>
      <c r="AN17" s="28" t="n"/>
      <c r="AO17" s="30">
        <f>SUM(AO13:AO16)</f>
        <v/>
      </c>
      <c r="AP17" s="30">
        <f>SUM(AP13:AP16)</f>
        <v/>
      </c>
      <c r="AQ17" s="30">
        <f>SUM(AQ13:AQ16)</f>
        <v/>
      </c>
      <c r="AR17" s="30">
        <f>SUM(AR13:AR16)</f>
        <v/>
      </c>
      <c r="AS17" s="30">
        <f>SUM(AS13:AS16)</f>
        <v/>
      </c>
      <c r="AT17" s="30">
        <f>SUM(AT13:AT16)</f>
        <v/>
      </c>
      <c r="AU17" s="30">
        <f>SUM(AU13:AU16)</f>
        <v/>
      </c>
      <c r="AV17" s="30">
        <f>SUM(AV13:AV16)</f>
        <v/>
      </c>
      <c r="AW17" s="30">
        <f>SUM(AW13:AW16)</f>
        <v/>
      </c>
      <c r="AX17" s="30">
        <f>SUM(AX13:AX16)</f>
        <v/>
      </c>
      <c r="AY17" s="30" t="n">
        <v>0</v>
      </c>
      <c r="AZ17" s="30">
        <f>SUM(AZ13:AZ16)</f>
        <v/>
      </c>
      <c r="BA17" s="53" t="n">
        <v>48573.92</v>
      </c>
      <c r="BB17" s="31">
        <f>SUM(BB13:BB16)</f>
        <v/>
      </c>
      <c r="BC17" s="31">
        <f>SUM(BC13:BC16)</f>
        <v/>
      </c>
      <c r="BD17" s="28" t="n"/>
    </row>
    <row r="18">
      <c r="A18" s="28" t="n"/>
      <c r="B18" s="28" t="n"/>
      <c r="C18" s="28" t="n"/>
      <c r="D18" s="28" t="n"/>
      <c r="E18" s="28" t="n"/>
      <c r="F18" s="28" t="n"/>
      <c r="G18" s="28" t="n"/>
      <c r="H18" s="28" t="n"/>
      <c r="I18" s="28" t="n"/>
      <c r="J18" s="28" t="n"/>
      <c r="K18" s="28" t="n"/>
      <c r="L18" s="28" t="n"/>
      <c r="M18" s="28" t="n"/>
      <c r="N18" s="28" t="n"/>
      <c r="O18" s="28" t="n"/>
      <c r="P18" s="28" t="n"/>
      <c r="Q18" s="28" t="n"/>
      <c r="R18" s="19" t="inlineStr">
        <is>
          <t>GP1毛利</t>
        </is>
      </c>
      <c r="S18" s="20">
        <f>S12-S13</f>
        <v/>
      </c>
      <c r="T18" s="20">
        <f>T12-T13</f>
        <v/>
      </c>
      <c r="U18" s="21">
        <f>U12-U13</f>
        <v/>
      </c>
      <c r="V18" s="20">
        <f>V12-V13</f>
        <v/>
      </c>
      <c r="W18" s="20">
        <f>W12-W13</f>
        <v/>
      </c>
      <c r="X18" s="20">
        <f>X12-X13</f>
        <v/>
      </c>
      <c r="Y18" s="20">
        <f>Y12-Y13</f>
        <v/>
      </c>
      <c r="Z18" s="20">
        <f>Z12-Z13</f>
        <v/>
      </c>
      <c r="AA18" s="20">
        <f>AA12-AA13</f>
        <v/>
      </c>
      <c r="AB18" s="20">
        <f>AB12-AB13</f>
        <v/>
      </c>
      <c r="AC18" s="20">
        <f>AC12-AC13</f>
        <v/>
      </c>
      <c r="AD18" s="20">
        <f>AD12-AD13</f>
        <v/>
      </c>
      <c r="AE18" s="20">
        <f>AE12-AE13</f>
        <v/>
      </c>
      <c r="AF18" s="20">
        <f>AF12-AF13</f>
        <v/>
      </c>
      <c r="AG18" s="20">
        <f>AG12-AG13</f>
        <v/>
      </c>
      <c r="AH18" s="33" t="n">
        <v>0</v>
      </c>
      <c r="AI18" s="33" t="n">
        <v>0</v>
      </c>
      <c r="AJ18" s="28" t="n"/>
      <c r="AK18" s="28" t="n"/>
      <c r="AL18" s="28" t="n"/>
      <c r="AM18" s="28" t="n"/>
      <c r="AN18" s="28" t="n"/>
      <c r="AO18" s="20">
        <f>AO12-AO13</f>
        <v/>
      </c>
      <c r="AP18" s="20">
        <f>AP12-AP13</f>
        <v/>
      </c>
      <c r="AQ18" s="20">
        <f>AQ12-AQ13</f>
        <v/>
      </c>
      <c r="AR18" s="20">
        <f>AR12-AR13</f>
        <v/>
      </c>
      <c r="AS18" s="20">
        <f>AS12-AS13</f>
        <v/>
      </c>
      <c r="AT18" s="20">
        <f>AT12-AT13</f>
        <v/>
      </c>
      <c r="AU18" s="20">
        <f>AU12-AU13</f>
        <v/>
      </c>
      <c r="AV18" s="20">
        <f>AV12-AV13</f>
        <v/>
      </c>
      <c r="AW18" s="20">
        <f>AW12-AW13</f>
        <v/>
      </c>
      <c r="AX18" s="20">
        <f>AX12-AX13</f>
        <v/>
      </c>
      <c r="AY18" s="20">
        <f>AY12-AY13</f>
        <v/>
      </c>
      <c r="AZ18" s="20">
        <f>AZ12-AZ13</f>
        <v/>
      </c>
      <c r="BA18" s="55" t="n">
        <v>26363.99</v>
      </c>
      <c r="BB18" s="31" t="n">
        <v>45797.737</v>
      </c>
      <c r="BC18" s="34">
        <f>BC12-BC13</f>
        <v/>
      </c>
      <c r="BD18" s="28" t="n"/>
    </row>
    <row r="19">
      <c r="A19" s="28" t="n"/>
      <c r="B19" s="28" t="n"/>
      <c r="C19" s="28" t="n"/>
      <c r="D19" s="28" t="n"/>
      <c r="E19" s="28" t="n"/>
      <c r="F19" s="28" t="n"/>
      <c r="G19" s="28" t="n"/>
      <c r="H19" s="28" t="n"/>
      <c r="I19" s="28" t="n"/>
      <c r="J19" s="28" t="n"/>
      <c r="K19" s="28" t="n"/>
      <c r="L19" s="28" t="n"/>
      <c r="M19" s="28" t="n"/>
      <c r="N19" s="28" t="n"/>
      <c r="O19" s="28" t="n"/>
      <c r="P19" s="28" t="n"/>
      <c r="Q19" s="28" t="n"/>
      <c r="R19" s="35" t="inlineStr">
        <is>
          <t>GP1毛利率(%)</t>
        </is>
      </c>
      <c r="S19" s="36">
        <f>S18/S12</f>
        <v/>
      </c>
      <c r="T19" s="36">
        <f>T18/T12</f>
        <v/>
      </c>
      <c r="U19" s="37">
        <f>U18/U12</f>
        <v/>
      </c>
      <c r="V19" s="36">
        <f>V18/V12</f>
        <v/>
      </c>
      <c r="W19" s="36">
        <f>W18/W12</f>
        <v/>
      </c>
      <c r="X19" s="36">
        <f>X18/X12</f>
        <v/>
      </c>
      <c r="Y19" s="36">
        <f>Y18/Y12</f>
        <v/>
      </c>
      <c r="Z19" s="36">
        <f>Z18/Z12</f>
        <v/>
      </c>
      <c r="AA19" s="36">
        <f>AA18/AA12</f>
        <v/>
      </c>
      <c r="AB19" s="36">
        <f>AB18/AB12</f>
        <v/>
      </c>
      <c r="AC19" s="36">
        <f>AC18/AC12</f>
        <v/>
      </c>
      <c r="AD19" s="36">
        <f>AD18/AD12</f>
        <v/>
      </c>
      <c r="AE19" s="36">
        <f>AE18/AE12</f>
        <v/>
      </c>
      <c r="AF19" s="36">
        <f>AF18/AF12</f>
        <v/>
      </c>
      <c r="AG19" s="36">
        <f>AG18/AG12</f>
        <v/>
      </c>
      <c r="AH19" s="38">
        <f>T19-S19</f>
        <v/>
      </c>
      <c r="AI19" s="38">
        <f>AF19-S19</f>
        <v/>
      </c>
      <c r="AJ19" s="28" t="n"/>
      <c r="AK19" s="28" t="n"/>
      <c r="AL19" s="28" t="n"/>
      <c r="AM19" s="28" t="n"/>
      <c r="AN19" s="28" t="n"/>
      <c r="AO19" s="36">
        <f>AO18/AO12</f>
        <v/>
      </c>
      <c r="AP19" s="36">
        <f>AP18/AP12</f>
        <v/>
      </c>
      <c r="AQ19" s="36">
        <f>AQ18/AQ12</f>
        <v/>
      </c>
      <c r="AR19" s="36">
        <f>AR18/AR12</f>
        <v/>
      </c>
      <c r="AS19" s="36">
        <f>AS18/AS12</f>
        <v/>
      </c>
      <c r="AT19" s="36">
        <f>AT18/AT12</f>
        <v/>
      </c>
      <c r="AU19" s="36">
        <f>AU18/AU12</f>
        <v/>
      </c>
      <c r="AV19" s="36">
        <f>AV18/AV12</f>
        <v/>
      </c>
      <c r="AW19" s="36">
        <f>AW18/AW12</f>
        <v/>
      </c>
      <c r="AX19" s="36">
        <f>AX18/AX12</f>
        <v/>
      </c>
      <c r="AY19" s="36">
        <f>AY18/AY12</f>
        <v/>
      </c>
      <c r="AZ19" s="36">
        <f>AZ18/AZ12</f>
        <v/>
      </c>
      <c r="BA19" s="56" t="n">
        <v>0.350302821251553</v>
      </c>
      <c r="BB19" s="39" t="n">
        <v>0.971737795128752</v>
      </c>
      <c r="BC19" s="40">
        <f>BC18/BC12</f>
        <v/>
      </c>
      <c r="BD19" s="28" t="n"/>
    </row>
    <row r="20">
      <c r="A20" s="28" t="n"/>
      <c r="B20" s="28" t="n"/>
      <c r="C20" s="28" t="n"/>
      <c r="D20" s="28" t="n"/>
      <c r="E20" s="28" t="n"/>
      <c r="F20" s="28" t="n"/>
      <c r="G20" s="28" t="n"/>
      <c r="H20" s="28" t="n"/>
      <c r="I20" s="28" t="n"/>
      <c r="J20" s="28" t="n"/>
      <c r="K20" s="28" t="n"/>
      <c r="L20" s="28" t="n"/>
      <c r="M20" s="28" t="n"/>
      <c r="N20" s="28" t="n"/>
      <c r="O20" s="28" t="n"/>
      <c r="P20" s="28" t="n"/>
      <c r="Q20" s="28" t="n"/>
      <c r="R20" s="19" t="inlineStr">
        <is>
          <t>GP3毛利</t>
        </is>
      </c>
      <c r="S20" s="20">
        <f>S12-S17</f>
        <v/>
      </c>
      <c r="T20" s="20">
        <f>T12-T17</f>
        <v/>
      </c>
      <c r="U20" s="20">
        <f>U12-U17</f>
        <v/>
      </c>
      <c r="V20" s="20">
        <f>V12-V17</f>
        <v/>
      </c>
      <c r="W20" s="20">
        <f>W12-W17</f>
        <v/>
      </c>
      <c r="X20" s="20">
        <f>X12-X17</f>
        <v/>
      </c>
      <c r="Y20" s="20">
        <f>Y12-Y17</f>
        <v/>
      </c>
      <c r="Z20" s="20">
        <f>Z12-Z17</f>
        <v/>
      </c>
      <c r="AA20" s="20">
        <f>AA12-AA17</f>
        <v/>
      </c>
      <c r="AB20" s="20">
        <f>AB12-AB17</f>
        <v/>
      </c>
      <c r="AC20" s="20">
        <f>AC12-AC17</f>
        <v/>
      </c>
      <c r="AD20" s="20">
        <f>AD12-AD17</f>
        <v/>
      </c>
      <c r="AE20" s="20">
        <f>AE12-AE17</f>
        <v/>
      </c>
      <c r="AF20" s="20">
        <f>AF12-AF17</f>
        <v/>
      </c>
      <c r="AG20" s="20">
        <f>AG12-AG17</f>
        <v/>
      </c>
      <c r="AH20" s="38" t="n">
        <v>0</v>
      </c>
      <c r="AI20" s="38" t="n">
        <v>0</v>
      </c>
      <c r="AJ20" s="28" t="n"/>
      <c r="AK20" s="28" t="n"/>
      <c r="AL20" s="28" t="n"/>
      <c r="AM20" s="28" t="n"/>
      <c r="AN20" s="28" t="n"/>
      <c r="AO20" s="20">
        <f>AO12-AO17</f>
        <v/>
      </c>
      <c r="AP20" s="20">
        <f>AP12-AP17</f>
        <v/>
      </c>
      <c r="AQ20" s="20">
        <f>AQ12-AQ17</f>
        <v/>
      </c>
      <c r="AR20" s="20">
        <f>AR12-AR17</f>
        <v/>
      </c>
      <c r="AS20" s="20">
        <f>AS12-AS17</f>
        <v/>
      </c>
      <c r="AT20" s="20">
        <f>AT12-AT17</f>
        <v/>
      </c>
      <c r="AU20" s="20">
        <f>AU12-AU17</f>
        <v/>
      </c>
      <c r="AV20" s="20">
        <f>AV12-AV17</f>
        <v/>
      </c>
      <c r="AW20" s="20">
        <f>AW12-AW17</f>
        <v/>
      </c>
      <c r="AX20" s="20">
        <f>AX12-AX17</f>
        <v/>
      </c>
      <c r="AY20" s="20">
        <f>AY12-AY17</f>
        <v/>
      </c>
      <c r="AZ20" s="20">
        <f>AZ12-AZ17</f>
        <v/>
      </c>
      <c r="BA20" s="20">
        <f>BA12-BA17</f>
        <v/>
      </c>
      <c r="BB20" s="20">
        <f>BB12-BB17</f>
        <v/>
      </c>
      <c r="BC20" s="20">
        <f>BC12-BC17</f>
        <v/>
      </c>
      <c r="BD20" s="28" t="n"/>
    </row>
    <row r="21">
      <c r="A21" s="41" t="n"/>
      <c r="B21" s="41" t="n"/>
      <c r="C21" s="41" t="n"/>
      <c r="D21" s="41" t="n"/>
      <c r="E21" s="41" t="n"/>
      <c r="F21" s="41" t="n"/>
      <c r="G21" s="41" t="n"/>
      <c r="H21" s="41" t="n"/>
      <c r="I21" s="41" t="n"/>
      <c r="J21" s="41" t="n"/>
      <c r="K21" s="41" t="n"/>
      <c r="L21" s="41" t="n"/>
      <c r="M21" s="41" t="n"/>
      <c r="N21" s="41" t="n"/>
      <c r="O21" s="41" t="n"/>
      <c r="P21" s="41" t="n"/>
      <c r="Q21" s="41" t="n"/>
      <c r="R21" s="35" t="inlineStr">
        <is>
          <t>GP3毛利率(%)</t>
        </is>
      </c>
      <c r="S21" s="36">
        <f>S20/S12</f>
        <v/>
      </c>
      <c r="T21" s="36">
        <f>T20/T12</f>
        <v/>
      </c>
      <c r="U21" s="37">
        <f>U20/U12</f>
        <v/>
      </c>
      <c r="V21" s="36">
        <f>V20/V12</f>
        <v/>
      </c>
      <c r="W21" s="36">
        <f>W20/W12</f>
        <v/>
      </c>
      <c r="X21" s="36">
        <f>X20/X12</f>
        <v/>
      </c>
      <c r="Y21" s="36">
        <f>Y20/Y12</f>
        <v/>
      </c>
      <c r="Z21" s="36">
        <f>Z20/Z12</f>
        <v/>
      </c>
      <c r="AA21" s="36">
        <f>AA20/AA12</f>
        <v/>
      </c>
      <c r="AB21" s="36">
        <f>AB20/AB12</f>
        <v/>
      </c>
      <c r="AC21" s="36">
        <f>AC20/AC12</f>
        <v/>
      </c>
      <c r="AD21" s="36">
        <f>AD20/AD12</f>
        <v/>
      </c>
      <c r="AE21" s="36">
        <f>AE20/AE12</f>
        <v/>
      </c>
      <c r="AF21" s="36">
        <f>AF20/AF12</f>
        <v/>
      </c>
      <c r="AG21" s="36">
        <f>AG20/AG12</f>
        <v/>
      </c>
      <c r="AH21" s="38">
        <f>T21-S21</f>
        <v/>
      </c>
      <c r="AI21" s="38">
        <f>AF21-S21</f>
        <v/>
      </c>
      <c r="AJ21" s="41" t="n"/>
      <c r="AK21" s="41" t="n"/>
      <c r="AL21" s="41" t="n"/>
      <c r="AM21" s="41" t="n"/>
      <c r="AN21" s="41" t="n"/>
      <c r="AO21" s="36">
        <f>AO20/AO12</f>
        <v/>
      </c>
      <c r="AP21" s="36">
        <f>AP20/AP12</f>
        <v/>
      </c>
      <c r="AQ21" s="36">
        <f>AQ20/AQ12</f>
        <v/>
      </c>
      <c r="AR21" s="36">
        <f>AR20/AR12</f>
        <v/>
      </c>
      <c r="AS21" s="36">
        <f>AS20/AS12</f>
        <v/>
      </c>
      <c r="AT21" s="36">
        <f>AT20/AT12</f>
        <v/>
      </c>
      <c r="AU21" s="36">
        <f>AU20/AU12</f>
        <v/>
      </c>
      <c r="AV21" s="36">
        <f>AV20/AV12</f>
        <v/>
      </c>
      <c r="AW21" s="36">
        <f>AW20/AW12</f>
        <v/>
      </c>
      <c r="AX21" s="36">
        <f>AX20/AX12</f>
        <v/>
      </c>
      <c r="AY21" s="36">
        <f>AY20/AY12</f>
        <v/>
      </c>
      <c r="AZ21" s="36">
        <f>AZ20/AZ12</f>
        <v/>
      </c>
      <c r="BA21" s="56" t="n">
        <v>0.354590059575685</v>
      </c>
      <c r="BB21" s="39" t="n">
        <v>0.971524978279632</v>
      </c>
      <c r="BC21" s="40">
        <f>BC20/BC12</f>
        <v/>
      </c>
      <c r="BD21" s="41" t="n"/>
    </row>
    <row r="22">
      <c r="A22" s="42" t="inlineStr">
        <is>
          <t>P202504000428</t>
        </is>
      </c>
      <c r="B22" s="43" t="inlineStr">
        <is>
          <t>全国畜牧总站-2025年度畜牧业综合信息平台种畜禽运维项目-fp项目</t>
        </is>
      </c>
      <c r="C22" s="44" t="n">
        <v>45748</v>
      </c>
      <c r="D22" s="44" t="n">
        <v>46112</v>
      </c>
      <c r="E22" s="15" t="n"/>
      <c r="F22" s="16" t="inlineStr">
        <is>
          <t xml:space="preserve"> -   </t>
        </is>
      </c>
      <c r="G22" s="17" t="n"/>
      <c r="H22" s="45" t="n"/>
      <c r="I22" s="46" t="n"/>
      <c r="J22" s="46" t="n"/>
      <c r="K22" s="46" t="n"/>
      <c r="L22" s="18" t="n"/>
      <c r="M22" s="18" t="n"/>
      <c r="N22" s="18" t="n"/>
      <c r="O22" s="18" t="n"/>
      <c r="P22" s="15" t="n"/>
      <c r="Q22" s="18" t="inlineStr"/>
      <c r="R22" s="47" t="inlineStr">
        <is>
          <t>累计收入（NR）</t>
        </is>
      </c>
      <c r="S22" s="20" t="n">
        <v>150943.4</v>
      </c>
      <c r="T22" s="20">
        <f>SUM(AO22:BC22)</f>
        <v/>
      </c>
      <c r="U22" s="21">
        <f>SUM(BA22:BC22)</f>
        <v/>
      </c>
      <c r="V22" s="20">
        <f>SUM(AO22:AZ22)</f>
        <v/>
      </c>
      <c r="W22" s="20">
        <f>SUM(AP22:AZ22)</f>
        <v/>
      </c>
      <c r="X22" s="20">
        <f>SUM(AQ22:AZ22)</f>
        <v/>
      </c>
      <c r="Y22" s="20">
        <f>SUM(AR22:AZ22)</f>
        <v/>
      </c>
      <c r="Z22" s="20">
        <f>SUM(AS22:AZ22)</f>
        <v/>
      </c>
      <c r="AA22" s="20">
        <f>SUM(AT22:AZ22)</f>
        <v/>
      </c>
      <c r="AB22" s="20">
        <f>SUM(AU22:AZ22)</f>
        <v/>
      </c>
      <c r="AC22" s="20">
        <f>SUM(AV22:AZ22)</f>
        <v/>
      </c>
      <c r="AD22" s="20">
        <f>SUM(AW22:AZ22)</f>
        <v/>
      </c>
      <c r="AE22" s="20">
        <f>SUM(AX22:AZ22)</f>
        <v/>
      </c>
      <c r="AF22" s="20">
        <f>SUM(AY22:AZ22)</f>
        <v/>
      </c>
      <c r="AG22" s="20">
        <f>SUM(AZ22:AZ22)</f>
        <v/>
      </c>
      <c r="AH22" s="22" t="n">
        <v>0</v>
      </c>
      <c r="AI22" s="22" t="n">
        <v>0</v>
      </c>
      <c r="AJ22" s="48" t="inlineStr"/>
      <c r="AK22" s="48" t="inlineStr">
        <is>
          <t>周期性运维项目，系统每月自动计入收入，4~8月每月投入人力成本1.86万超出预算</t>
        </is>
      </c>
      <c r="AL22" s="48" t="inlineStr"/>
      <c r="AM22" s="48" t="inlineStr">
        <is>
          <t>11月投入0.48万成本降低</t>
        </is>
      </c>
      <c r="AN22" s="16" t="n"/>
      <c r="AO22" s="20" t="n">
        <v>0</v>
      </c>
      <c r="AP22" s="20" t="n">
        <v>0</v>
      </c>
      <c r="AQ22" s="20" t="n">
        <v>0</v>
      </c>
      <c r="AR22" s="20" t="n">
        <v>0</v>
      </c>
      <c r="AS22" s="20" t="n">
        <v>0</v>
      </c>
      <c r="AT22" s="20" t="n">
        <v>0</v>
      </c>
      <c r="AU22" s="20" t="n">
        <v>0</v>
      </c>
      <c r="AV22" s="20" t="n">
        <v>0</v>
      </c>
      <c r="AW22" s="20" t="n">
        <v>0</v>
      </c>
      <c r="AX22" s="20" t="n">
        <v>12819.95</v>
      </c>
      <c r="AY22" s="20" t="n">
        <v>11579.17</v>
      </c>
      <c r="AZ22" s="20" t="n">
        <v>12819.77</v>
      </c>
      <c r="BA22" s="49" t="n">
        <v>112589.72</v>
      </c>
      <c r="BB22" s="21" t="n">
        <v>0</v>
      </c>
      <c r="BC22" s="50" t="n">
        <v>0</v>
      </c>
      <c r="BD22" s="51" t="inlineStr">
        <is>
          <t>2026年已结项</t>
        </is>
      </c>
    </row>
    <row r="23">
      <c r="A23" s="28" t="n"/>
      <c r="B23" s="28" t="n"/>
      <c r="C23" s="28" t="n"/>
      <c r="D23" s="28" t="n"/>
      <c r="E23" s="28" t="n"/>
      <c r="F23" s="28" t="n"/>
      <c r="G23" s="28" t="n"/>
      <c r="H23" s="52" t="n"/>
      <c r="I23" s="52" t="n"/>
      <c r="J23" s="52" t="n"/>
      <c r="K23" s="52" t="n"/>
      <c r="L23" s="28" t="n"/>
      <c r="M23" s="28" t="n"/>
      <c r="N23" s="28" t="n"/>
      <c r="O23" s="28" t="n"/>
      <c r="P23" s="28" t="n"/>
      <c r="Q23" s="28" t="n"/>
      <c r="R23" s="29" t="inlineStr">
        <is>
          <t>人工成本（成本１）</t>
        </is>
      </c>
      <c r="S23" s="20" t="n">
        <v>123201.71</v>
      </c>
      <c r="T23" s="20">
        <f>SUM(AO23:BC23)</f>
        <v/>
      </c>
      <c r="U23" s="21">
        <f>SUM(BA23:BC23)</f>
        <v/>
      </c>
      <c r="V23" s="20">
        <f>SUM(AO23:AZ23)</f>
        <v/>
      </c>
      <c r="W23" s="20">
        <f>SUM(AP23:AZ23)</f>
        <v/>
      </c>
      <c r="X23" s="20">
        <f>SUM(AQ23:AZ23)</f>
        <v/>
      </c>
      <c r="Y23" s="20">
        <f>SUM(AR23:AZ23)</f>
        <v/>
      </c>
      <c r="Z23" s="20">
        <f>SUM(AS23:AZ23)</f>
        <v/>
      </c>
      <c r="AA23" s="20">
        <f>SUM(AT23:AZ23)</f>
        <v/>
      </c>
      <c r="AB23" s="20">
        <f>SUM(AU23:AZ23)</f>
        <v/>
      </c>
      <c r="AC23" s="20">
        <f>SUM(AV23:AZ23)</f>
        <v/>
      </c>
      <c r="AD23" s="20">
        <f>SUM(AW23:AZ23)</f>
        <v/>
      </c>
      <c r="AE23" s="20">
        <f>SUM(AX23:AZ23)</f>
        <v/>
      </c>
      <c r="AF23" s="20">
        <f>SUM(AY23:AZ23)</f>
        <v/>
      </c>
      <c r="AG23" s="20">
        <f>SUM(AZ23:AZ23)</f>
        <v/>
      </c>
      <c r="AH23" s="22" t="n">
        <v>0</v>
      </c>
      <c r="AI23" s="22" t="n">
        <v>0</v>
      </c>
      <c r="AJ23" s="28" t="n"/>
      <c r="AK23" s="28" t="n"/>
      <c r="AL23" s="28" t="n"/>
      <c r="AM23" s="28" t="n"/>
      <c r="AN23" s="28" t="n"/>
      <c r="AO23" s="20" t="n">
        <v>0</v>
      </c>
      <c r="AP23" s="20" t="n">
        <v>0</v>
      </c>
      <c r="AQ23" s="20" t="n">
        <v>0</v>
      </c>
      <c r="AR23" s="20" t="n">
        <v>0</v>
      </c>
      <c r="AS23" s="20" t="n">
        <v>0</v>
      </c>
      <c r="AT23" s="20" t="n">
        <v>0</v>
      </c>
      <c r="AU23" s="20" t="n">
        <v>0</v>
      </c>
      <c r="AV23" s="20" t="n">
        <v>0</v>
      </c>
      <c r="AW23" s="20" t="n">
        <v>0</v>
      </c>
      <c r="AX23" s="20" t="n">
        <v>9665.959999999999</v>
      </c>
      <c r="AY23" s="20" t="n">
        <v>0</v>
      </c>
      <c r="AZ23" s="20" t="n">
        <v>7039.31</v>
      </c>
      <c r="BA23" s="49" t="n">
        <v>112560.11</v>
      </c>
      <c r="BB23" s="21" t="n">
        <v>0</v>
      </c>
      <c r="BC23" s="50" t="n">
        <v>0</v>
      </c>
      <c r="BD23" s="28" t="n"/>
    </row>
    <row r="24">
      <c r="A24" s="28" t="n"/>
      <c r="B24" s="28" t="n"/>
      <c r="C24" s="28" t="n"/>
      <c r="D24" s="28" t="n"/>
      <c r="E24" s="28" t="n"/>
      <c r="F24" s="28" t="n"/>
      <c r="G24" s="28" t="n"/>
      <c r="H24" s="52" t="n"/>
      <c r="I24" s="52" t="n"/>
      <c r="J24" s="52" t="n"/>
      <c r="K24" s="52" t="n"/>
      <c r="L24" s="28" t="n"/>
      <c r="M24" s="28" t="n"/>
      <c r="N24" s="28" t="n"/>
      <c r="O24" s="28" t="n"/>
      <c r="P24" s="28" t="n"/>
      <c r="Q24" s="28" t="n"/>
      <c r="R24" s="29" t="inlineStr">
        <is>
          <t>闲置成本（成本2）</t>
        </is>
      </c>
      <c r="S24" s="20" t="n">
        <v>0</v>
      </c>
      <c r="T24" s="20" t="n">
        <v>0</v>
      </c>
      <c r="U24" s="21" t="n">
        <v>0</v>
      </c>
      <c r="V24" s="20" t="n">
        <v>0</v>
      </c>
      <c r="W24" s="20" t="n">
        <v>0</v>
      </c>
      <c r="X24" s="20" t="n">
        <v>0</v>
      </c>
      <c r="Y24" s="20" t="n">
        <v>0</v>
      </c>
      <c r="Z24" s="20" t="n">
        <v>0</v>
      </c>
      <c r="AA24" s="20" t="n">
        <v>0</v>
      </c>
      <c r="AB24" s="20" t="n">
        <v>0</v>
      </c>
      <c r="AC24" s="20" t="n">
        <v>0</v>
      </c>
      <c r="AD24" s="20" t="n">
        <v>0</v>
      </c>
      <c r="AE24" s="20" t="n">
        <v>0</v>
      </c>
      <c r="AF24" s="20" t="n">
        <v>0</v>
      </c>
      <c r="AG24" s="20" t="n">
        <v>0</v>
      </c>
      <c r="AH24" s="22" t="n">
        <v>0</v>
      </c>
      <c r="AI24" s="22" t="n">
        <v>0</v>
      </c>
      <c r="AJ24" s="28" t="n"/>
      <c r="AK24" s="28" t="n"/>
      <c r="AL24" s="28" t="n"/>
      <c r="AM24" s="28" t="n"/>
      <c r="AN24" s="28" t="n"/>
      <c r="AO24" s="20" t="n">
        <v>0</v>
      </c>
      <c r="AP24" s="20" t="n">
        <v>0</v>
      </c>
      <c r="AQ24" s="20" t="n">
        <v>0</v>
      </c>
      <c r="AR24" s="20" t="n">
        <v>0</v>
      </c>
      <c r="AS24" s="20" t="n">
        <v>0</v>
      </c>
      <c r="AT24" s="20" t="n">
        <v>0</v>
      </c>
      <c r="AU24" s="20" t="n">
        <v>0</v>
      </c>
      <c r="AV24" s="20" t="n">
        <v>0</v>
      </c>
      <c r="AW24" s="20" t="n">
        <v>0</v>
      </c>
      <c r="AX24" s="20" t="n">
        <v>11909.61</v>
      </c>
      <c r="AY24" s="20" t="n">
        <v>18638.11</v>
      </c>
      <c r="AZ24" s="20" t="n">
        <v>0</v>
      </c>
      <c r="BA24" s="49" t="n">
        <v>0</v>
      </c>
      <c r="BB24" s="21" t="n">
        <v>0</v>
      </c>
      <c r="BC24" s="50" t="n">
        <v>0</v>
      </c>
      <c r="BD24" s="28" t="n"/>
    </row>
    <row r="25">
      <c r="A25" s="28" t="n"/>
      <c r="B25" s="28" t="n"/>
      <c r="C25" s="28" t="n"/>
      <c r="D25" s="28" t="n"/>
      <c r="E25" s="28" t="n"/>
      <c r="F25" s="28" t="n"/>
      <c r="G25" s="28" t="n"/>
      <c r="H25" s="52" t="n"/>
      <c r="I25" s="52" t="n"/>
      <c r="J25" s="52" t="n"/>
      <c r="K25" s="52" t="n"/>
      <c r="L25" s="28" t="n"/>
      <c r="M25" s="28" t="n"/>
      <c r="N25" s="28" t="n"/>
      <c r="O25" s="28" t="n"/>
      <c r="P25" s="28" t="n"/>
      <c r="Q25" s="28" t="n"/>
      <c r="R25" s="29" t="inlineStr">
        <is>
          <t>差旅费（成本３）</t>
        </is>
      </c>
      <c r="S25" s="20" t="n">
        <v>0</v>
      </c>
      <c r="T25" s="20">
        <f>SUM(AO25:BC25)</f>
        <v/>
      </c>
      <c r="U25" s="21">
        <f>SUM(BA25:BC25)</f>
        <v/>
      </c>
      <c r="V25" s="20">
        <f>SUM(AO25:AZ25)</f>
        <v/>
      </c>
      <c r="W25" s="20">
        <f>SUM(AP25:AZ25)</f>
        <v/>
      </c>
      <c r="X25" s="20">
        <f>SUM(AQ25:AZ25)</f>
        <v/>
      </c>
      <c r="Y25" s="20">
        <f>SUM(AR25:AZ25)</f>
        <v/>
      </c>
      <c r="Z25" s="20">
        <f>SUM(AS25:AZ25)</f>
        <v/>
      </c>
      <c r="AA25" s="20">
        <f>SUM(AT25:AZ25)</f>
        <v/>
      </c>
      <c r="AB25" s="20">
        <f>SUM(AU25:AZ25)</f>
        <v/>
      </c>
      <c r="AC25" s="20">
        <f>SUM(AV25:AZ25)</f>
        <v/>
      </c>
      <c r="AD25" s="20">
        <f>SUM(AW25:AZ25)</f>
        <v/>
      </c>
      <c r="AE25" s="20">
        <f>SUM(AX25:AZ25)</f>
        <v/>
      </c>
      <c r="AF25" s="20">
        <f>SUM(AY25:AZ25)</f>
        <v/>
      </c>
      <c r="AG25" s="20">
        <f>SUM(AZ25:AZ25)</f>
        <v/>
      </c>
      <c r="AH25" s="22" t="n">
        <v>0</v>
      </c>
      <c r="AI25" s="22" t="n">
        <v>0</v>
      </c>
      <c r="AJ25" s="28" t="n"/>
      <c r="AK25" s="28" t="n"/>
      <c r="AL25" s="28" t="n"/>
      <c r="AM25" s="28" t="n"/>
      <c r="AN25" s="28" t="n"/>
      <c r="AO25" s="20" t="n">
        <v>0</v>
      </c>
      <c r="AP25" s="20" t="n">
        <v>0</v>
      </c>
      <c r="AQ25" s="20" t="n">
        <v>0</v>
      </c>
      <c r="AR25" s="20" t="n">
        <v>0</v>
      </c>
      <c r="AS25" s="20" t="n">
        <v>0</v>
      </c>
      <c r="AT25" s="20" t="n">
        <v>0</v>
      </c>
      <c r="AU25" s="20" t="n">
        <v>0</v>
      </c>
      <c r="AV25" s="20" t="n">
        <v>0</v>
      </c>
      <c r="AW25" s="20" t="n">
        <v>0</v>
      </c>
      <c r="AX25" s="20" t="n">
        <v>0</v>
      </c>
      <c r="AY25" s="20" t="n">
        <v>0</v>
      </c>
      <c r="AZ25" s="20" t="n">
        <v>0</v>
      </c>
      <c r="BA25" s="49" t="n">
        <v>0</v>
      </c>
      <c r="BB25" s="21" t="n">
        <v>0</v>
      </c>
      <c r="BC25" s="50" t="n">
        <v>0</v>
      </c>
      <c r="BD25" s="28" t="n"/>
    </row>
    <row r="26">
      <c r="A26" s="28" t="n"/>
      <c r="B26" s="28" t="n"/>
      <c r="C26" s="28" t="n"/>
      <c r="D26" s="28" t="n"/>
      <c r="E26" s="28" t="n"/>
      <c r="F26" s="28" t="n"/>
      <c r="G26" s="28" t="n"/>
      <c r="H26" s="52" t="n"/>
      <c r="I26" s="52" t="n"/>
      <c r="J26" s="52" t="n"/>
      <c r="K26" s="52" t="n"/>
      <c r="L26" s="28" t="n"/>
      <c r="M26" s="28" t="n"/>
      <c r="N26" s="28" t="n"/>
      <c r="O26" s="28" t="n"/>
      <c r="P26" s="28" t="n"/>
      <c r="Q26" s="28" t="n"/>
      <c r="R26" s="29" t="inlineStr">
        <is>
          <t>其他成本（成本３）</t>
        </is>
      </c>
      <c r="S26" s="20" t="n">
        <v>0</v>
      </c>
      <c r="T26" s="20">
        <f>SUM(AO26:BC26)</f>
        <v/>
      </c>
      <c r="U26" s="21">
        <f>SUM(BA26:BC26)</f>
        <v/>
      </c>
      <c r="V26" s="20">
        <f>SUM(AO26:AZ26)</f>
        <v/>
      </c>
      <c r="W26" s="20">
        <f>SUM(AP26:AZ26)</f>
        <v/>
      </c>
      <c r="X26" s="20">
        <f>SUM(AQ26:AZ26)</f>
        <v/>
      </c>
      <c r="Y26" s="20">
        <f>SUM(AR26:AZ26)</f>
        <v/>
      </c>
      <c r="Z26" s="20">
        <f>SUM(AS26:AZ26)</f>
        <v/>
      </c>
      <c r="AA26" s="20">
        <f>SUM(AT26:AZ26)</f>
        <v/>
      </c>
      <c r="AB26" s="20">
        <f>SUM(AU26:AZ26)</f>
        <v/>
      </c>
      <c r="AC26" s="20">
        <f>SUM(AV26:AZ26)</f>
        <v/>
      </c>
      <c r="AD26" s="20">
        <f>SUM(AW26:AZ26)</f>
        <v/>
      </c>
      <c r="AE26" s="20">
        <f>SUM(AX26:AZ26)</f>
        <v/>
      </c>
      <c r="AF26" s="20">
        <f>SUM(AY26:AZ26)</f>
        <v/>
      </c>
      <c r="AG26" s="20">
        <f>SUM(AZ26:AZ26)</f>
        <v/>
      </c>
      <c r="AH26" s="22" t="n">
        <v>0</v>
      </c>
      <c r="AI26" s="22" t="n">
        <v>0</v>
      </c>
      <c r="AJ26" s="28" t="n"/>
      <c r="AK26" s="28" t="n"/>
      <c r="AL26" s="28" t="n"/>
      <c r="AM26" s="28" t="n"/>
      <c r="AN26" s="28" t="n"/>
      <c r="AO26" s="20" t="n">
        <v>0</v>
      </c>
      <c r="AP26" s="20" t="n">
        <v>0</v>
      </c>
      <c r="AQ26" s="20" t="n">
        <v>0</v>
      </c>
      <c r="AR26" s="20" t="n">
        <v>0</v>
      </c>
      <c r="AS26" s="20" t="n">
        <v>0</v>
      </c>
      <c r="AT26" s="20" t="n">
        <v>0</v>
      </c>
      <c r="AU26" s="20" t="n">
        <v>0</v>
      </c>
      <c r="AV26" s="20" t="n">
        <v>0</v>
      </c>
      <c r="AW26" s="20" t="n">
        <v>0</v>
      </c>
      <c r="AX26" s="20" t="n">
        <v>0</v>
      </c>
      <c r="AY26" s="20" t="n">
        <v>-12.82</v>
      </c>
      <c r="AZ26" s="20" t="n">
        <v>-24.4</v>
      </c>
      <c r="BA26" s="49" t="n">
        <v>-790.7</v>
      </c>
      <c r="BB26" s="21" t="n">
        <v>0</v>
      </c>
      <c r="BC26" s="50" t="n">
        <v>0</v>
      </c>
      <c r="BD26" s="28" t="n"/>
    </row>
    <row r="27">
      <c r="A27" s="28" t="n"/>
      <c r="B27" s="28" t="n"/>
      <c r="C27" s="28" t="n"/>
      <c r="D27" s="28" t="n"/>
      <c r="E27" s="28" t="n"/>
      <c r="F27" s="28" t="n"/>
      <c r="G27" s="28" t="n"/>
      <c r="H27" s="52" t="n"/>
      <c r="I27" s="52" t="n"/>
      <c r="J27" s="52" t="n"/>
      <c r="K27" s="52" t="n"/>
      <c r="L27" s="28" t="n"/>
      <c r="M27" s="28" t="n"/>
      <c r="N27" s="28" t="n"/>
      <c r="O27" s="28" t="n"/>
      <c r="P27" s="28" t="n"/>
      <c r="Q27" s="28" t="n"/>
      <c r="R27" s="29" t="inlineStr">
        <is>
          <t>累计成本</t>
        </is>
      </c>
      <c r="S27" s="30">
        <f>SUM(S23:S26)</f>
        <v/>
      </c>
      <c r="T27" s="30">
        <f>SUM(T23:T26)</f>
        <v/>
      </c>
      <c r="U27" s="31">
        <f>SUM(U23:U26)</f>
        <v/>
      </c>
      <c r="V27" s="30">
        <f>SUM(V23:V26)</f>
        <v/>
      </c>
      <c r="W27" s="30">
        <f>SUM(W23:W26)</f>
        <v/>
      </c>
      <c r="X27" s="30">
        <f>SUM(X23:X26)</f>
        <v/>
      </c>
      <c r="Y27" s="30">
        <f>SUM(Y23:Y26)</f>
        <v/>
      </c>
      <c r="Z27" s="30">
        <f>SUM(Z23:Z26)</f>
        <v/>
      </c>
      <c r="AA27" s="30">
        <f>SUM(AA23:AA26)</f>
        <v/>
      </c>
      <c r="AB27" s="30">
        <f>SUM(AB23:AB26)</f>
        <v/>
      </c>
      <c r="AC27" s="30">
        <f>SUM(AC23:AC26)</f>
        <v/>
      </c>
      <c r="AD27" s="30">
        <f>SUM(AD23:AD26)</f>
        <v/>
      </c>
      <c r="AE27" s="30">
        <f>SUM(AE23:AE26)</f>
        <v/>
      </c>
      <c r="AF27" s="30">
        <f>SUM(AF23:AF26)</f>
        <v/>
      </c>
      <c r="AG27" s="30">
        <f>SUM(AG23:AG26)</f>
        <v/>
      </c>
      <c r="AH27" s="30">
        <f>SUM(AH23:AH26)</f>
        <v/>
      </c>
      <c r="AI27" s="30">
        <f>SUM(AI23:AI26)</f>
        <v/>
      </c>
      <c r="AJ27" s="28" t="n"/>
      <c r="AK27" s="28" t="n"/>
      <c r="AL27" s="28" t="n"/>
      <c r="AM27" s="28" t="n"/>
      <c r="AN27" s="28" t="n"/>
      <c r="AO27" s="30">
        <f>SUM(AO23:AO26)</f>
        <v/>
      </c>
      <c r="AP27" s="30">
        <f>SUM(AP23:AP26)</f>
        <v/>
      </c>
      <c r="AQ27" s="30">
        <f>SUM(AQ23:AQ26)</f>
        <v/>
      </c>
      <c r="AR27" s="30">
        <f>SUM(AR23:AR26)</f>
        <v/>
      </c>
      <c r="AS27" s="30">
        <f>SUM(AS23:AS26)</f>
        <v/>
      </c>
      <c r="AT27" s="30">
        <f>SUM(AT23:AT26)</f>
        <v/>
      </c>
      <c r="AU27" s="30">
        <f>SUM(AU23:AU26)</f>
        <v/>
      </c>
      <c r="AV27" s="30">
        <f>SUM(AV23:AV26)</f>
        <v/>
      </c>
      <c r="AW27" s="30">
        <f>SUM(AW23:AW26)</f>
        <v/>
      </c>
      <c r="AX27" s="30">
        <f>SUM(AX23:AX26)</f>
        <v/>
      </c>
      <c r="AY27" s="30" t="n">
        <v>-12.82</v>
      </c>
      <c r="AZ27" s="30">
        <f>SUM(AZ23:AZ26)</f>
        <v/>
      </c>
      <c r="BA27" s="53" t="n">
        <v>111769.41</v>
      </c>
      <c r="BB27" s="31">
        <f>SUM(BB23:BB26)</f>
        <v/>
      </c>
      <c r="BC27" s="54">
        <f>SUM(BC23:BC26)</f>
        <v/>
      </c>
      <c r="BD27" s="28" t="n"/>
    </row>
    <row r="28">
      <c r="A28" s="28" t="n"/>
      <c r="B28" s="28" t="n"/>
      <c r="C28" s="28" t="n"/>
      <c r="D28" s="28" t="n"/>
      <c r="E28" s="28" t="n"/>
      <c r="F28" s="28" t="n"/>
      <c r="G28" s="28" t="n"/>
      <c r="H28" s="52" t="n"/>
      <c r="I28" s="52" t="n"/>
      <c r="J28" s="52" t="n"/>
      <c r="K28" s="52" t="n"/>
      <c r="L28" s="28" t="n"/>
      <c r="M28" s="28" t="n"/>
      <c r="N28" s="28" t="n"/>
      <c r="O28" s="28" t="n"/>
      <c r="P28" s="28" t="n"/>
      <c r="Q28" s="28" t="n"/>
      <c r="R28" s="29" t="inlineStr">
        <is>
          <t>GP1毛利</t>
        </is>
      </c>
      <c r="S28" s="20">
        <f>S22-S23</f>
        <v/>
      </c>
      <c r="T28" s="20">
        <f>T22-T23</f>
        <v/>
      </c>
      <c r="U28" s="21">
        <f>U22-U23</f>
        <v/>
      </c>
      <c r="V28" s="20">
        <f>V22-V23</f>
        <v/>
      </c>
      <c r="W28" s="20">
        <f>W22-W23</f>
        <v/>
      </c>
      <c r="X28" s="20">
        <f>X22-X23</f>
        <v/>
      </c>
      <c r="Y28" s="20">
        <f>Y22-Y23</f>
        <v/>
      </c>
      <c r="Z28" s="20">
        <f>Z22-Z23</f>
        <v/>
      </c>
      <c r="AA28" s="20">
        <f>AA22-AA23</f>
        <v/>
      </c>
      <c r="AB28" s="20">
        <f>AB22-AB23</f>
        <v/>
      </c>
      <c r="AC28" s="20">
        <f>AC22-AC23</f>
        <v/>
      </c>
      <c r="AD28" s="20">
        <f>AD22-AD23</f>
        <v/>
      </c>
      <c r="AE28" s="20">
        <f>AE22-AE23</f>
        <v/>
      </c>
      <c r="AF28" s="20">
        <f>AF22-AF23</f>
        <v/>
      </c>
      <c r="AG28" s="20">
        <f>AG22-AG23</f>
        <v/>
      </c>
      <c r="AH28" s="33" t="n">
        <v>0</v>
      </c>
      <c r="AI28" s="33" t="n">
        <v>0</v>
      </c>
      <c r="AJ28" s="28" t="n"/>
      <c r="AK28" s="28" t="n"/>
      <c r="AL28" s="28" t="n"/>
      <c r="AM28" s="28" t="n"/>
      <c r="AN28" s="28" t="n"/>
      <c r="AO28" s="20">
        <f>AO22-AO23</f>
        <v/>
      </c>
      <c r="AP28" s="20">
        <f>AP22-AP23</f>
        <v/>
      </c>
      <c r="AQ28" s="20">
        <f>AQ22-AQ23</f>
        <v/>
      </c>
      <c r="AR28" s="20">
        <f>AR22-AR23</f>
        <v/>
      </c>
      <c r="AS28" s="20">
        <f>AS22-AS23</f>
        <v/>
      </c>
      <c r="AT28" s="20">
        <f>AT22-AT23</f>
        <v/>
      </c>
      <c r="AU28" s="20">
        <f>AU22-AU23</f>
        <v/>
      </c>
      <c r="AV28" s="20">
        <f>AV22-AV23</f>
        <v/>
      </c>
      <c r="AW28" s="20">
        <f>AW22-AW23</f>
        <v/>
      </c>
      <c r="AX28" s="20">
        <f>AX22-AX23</f>
        <v/>
      </c>
      <c r="AY28" s="20">
        <f>AY22-AY23</f>
        <v/>
      </c>
      <c r="AZ28" s="20">
        <f>AZ22-AZ23</f>
        <v/>
      </c>
      <c r="BA28" s="55" t="n">
        <v>29.609999999986</v>
      </c>
      <c r="BB28" s="31" t="n">
        <v>0</v>
      </c>
      <c r="BC28" s="50" t="n">
        <v>0</v>
      </c>
      <c r="BD28" s="28" t="n"/>
    </row>
    <row r="29">
      <c r="A29" s="28" t="n"/>
      <c r="B29" s="28" t="n"/>
      <c r="C29" s="28" t="n"/>
      <c r="D29" s="28" t="n"/>
      <c r="E29" s="28" t="n"/>
      <c r="F29" s="28" t="n"/>
      <c r="G29" s="28" t="n"/>
      <c r="H29" s="52" t="n"/>
      <c r="I29" s="52" t="n"/>
      <c r="J29" s="52" t="n"/>
      <c r="K29" s="52" t="n"/>
      <c r="L29" s="28" t="n"/>
      <c r="M29" s="28" t="n"/>
      <c r="N29" s="28" t="n"/>
      <c r="O29" s="28" t="n"/>
      <c r="P29" s="28" t="n"/>
      <c r="Q29" s="28" t="n"/>
      <c r="R29" s="35" t="inlineStr">
        <is>
          <t>GP1毛利率(%)</t>
        </is>
      </c>
      <c r="S29" s="36">
        <f>S28/S22</f>
        <v/>
      </c>
      <c r="T29" s="36">
        <f>T28/T22</f>
        <v/>
      </c>
      <c r="U29" s="37">
        <f>U28/U22</f>
        <v/>
      </c>
      <c r="V29" s="36">
        <f>V28/V22</f>
        <v/>
      </c>
      <c r="W29" s="36">
        <f>W28/W22</f>
        <v/>
      </c>
      <c r="X29" s="36">
        <f>X28/X22</f>
        <v/>
      </c>
      <c r="Y29" s="36">
        <f>Y28/Y22</f>
        <v/>
      </c>
      <c r="Z29" s="36">
        <f>Z28/Z22</f>
        <v/>
      </c>
      <c r="AA29" s="36">
        <f>AA28/AA22</f>
        <v/>
      </c>
      <c r="AB29" s="36">
        <f>AB28/AB22</f>
        <v/>
      </c>
      <c r="AC29" s="36">
        <f>AC28/AC22</f>
        <v/>
      </c>
      <c r="AD29" s="36">
        <f>AD28/AD22</f>
        <v/>
      </c>
      <c r="AE29" s="36">
        <f>AE28/AE22</f>
        <v/>
      </c>
      <c r="AF29" s="36">
        <f>AF28/AF22</f>
        <v/>
      </c>
      <c r="AG29" s="36">
        <f>AG28/AG22</f>
        <v/>
      </c>
      <c r="AH29" s="38">
        <f>T29-S29</f>
        <v/>
      </c>
      <c r="AI29" s="38">
        <f>AF29-S29</f>
        <v/>
      </c>
      <c r="AJ29" s="28" t="n"/>
      <c r="AK29" s="28" t="n"/>
      <c r="AL29" s="28" t="n"/>
      <c r="AM29" s="28" t="n"/>
      <c r="AN29" s="28" t="n"/>
      <c r="AO29" s="36">
        <f>AO28/AO22</f>
        <v/>
      </c>
      <c r="AP29" s="36">
        <f>AP28/AP22</f>
        <v/>
      </c>
      <c r="AQ29" s="36">
        <f>AQ28/AQ22</f>
        <v/>
      </c>
      <c r="AR29" s="36">
        <f>AR28/AR22</f>
        <v/>
      </c>
      <c r="AS29" s="36">
        <f>AS28/AS22</f>
        <v/>
      </c>
      <c r="AT29" s="36">
        <f>AT28/AT22</f>
        <v/>
      </c>
      <c r="AU29" s="36">
        <f>AU28/AU22</f>
        <v/>
      </c>
      <c r="AV29" s="36">
        <f>AV28/AV22</f>
        <v/>
      </c>
      <c r="AW29" s="36">
        <f>AW28/AW22</f>
        <v/>
      </c>
      <c r="AX29" s="36">
        <f>AX28/AX22</f>
        <v/>
      </c>
      <c r="AY29" s="36">
        <f>AY28/AY22</f>
        <v/>
      </c>
      <c r="AZ29" s="36">
        <f>AZ28/AZ22</f>
        <v/>
      </c>
      <c r="BA29" s="56" t="n">
        <v>0.000262990262343543</v>
      </c>
      <c r="BB29" s="39" t="n">
        <v>0</v>
      </c>
      <c r="BC29" s="50" t="n">
        <v>0</v>
      </c>
      <c r="BD29" s="28" t="n"/>
    </row>
    <row r="30">
      <c r="A30" s="28" t="n"/>
      <c r="B30" s="28" t="n"/>
      <c r="C30" s="28" t="n"/>
      <c r="D30" s="28" t="n"/>
      <c r="E30" s="28" t="n"/>
      <c r="F30" s="28" t="n"/>
      <c r="G30" s="28" t="n"/>
      <c r="H30" s="52" t="n"/>
      <c r="I30" s="52" t="n"/>
      <c r="J30" s="52" t="n"/>
      <c r="K30" s="52" t="n"/>
      <c r="L30" s="28" t="n"/>
      <c r="M30" s="28" t="n"/>
      <c r="N30" s="28" t="n"/>
      <c r="O30" s="28" t="n"/>
      <c r="P30" s="28" t="n"/>
      <c r="Q30" s="28" t="n"/>
      <c r="R30" s="29" t="inlineStr">
        <is>
          <t>GP3毛利</t>
        </is>
      </c>
      <c r="S30" s="20">
        <f>S22-S27</f>
        <v/>
      </c>
      <c r="T30" s="20">
        <f>T22-T27</f>
        <v/>
      </c>
      <c r="U30" s="20">
        <f>U22-U27</f>
        <v/>
      </c>
      <c r="V30" s="20">
        <f>V22-V27</f>
        <v/>
      </c>
      <c r="W30" s="20">
        <f>W22-W27</f>
        <v/>
      </c>
      <c r="X30" s="20">
        <f>X22-X27</f>
        <v/>
      </c>
      <c r="Y30" s="20">
        <f>Y22-Y27</f>
        <v/>
      </c>
      <c r="Z30" s="20">
        <f>Z22-Z27</f>
        <v/>
      </c>
      <c r="AA30" s="20">
        <f>AA22-AA27</f>
        <v/>
      </c>
      <c r="AB30" s="20">
        <f>AB22-AB27</f>
        <v/>
      </c>
      <c r="AC30" s="20">
        <f>AC22-AC27</f>
        <v/>
      </c>
      <c r="AD30" s="20">
        <f>AD22-AD27</f>
        <v/>
      </c>
      <c r="AE30" s="20">
        <f>AE22-AE27</f>
        <v/>
      </c>
      <c r="AF30" s="20">
        <f>AF22-AF27</f>
        <v/>
      </c>
      <c r="AG30" s="20">
        <f>AG22-AG27</f>
        <v/>
      </c>
      <c r="AH30" s="38" t="n">
        <v>0</v>
      </c>
      <c r="AI30" s="38" t="n">
        <v>0</v>
      </c>
      <c r="AJ30" s="28" t="n"/>
      <c r="AK30" s="28" t="n"/>
      <c r="AL30" s="28" t="n"/>
      <c r="AM30" s="28" t="n"/>
      <c r="AN30" s="28" t="n"/>
      <c r="AO30" s="20">
        <f>AO22-AO27</f>
        <v/>
      </c>
      <c r="AP30" s="20">
        <f>AP22-AP27</f>
        <v/>
      </c>
      <c r="AQ30" s="20">
        <f>AQ22-AQ27</f>
        <v/>
      </c>
      <c r="AR30" s="20">
        <f>AR22-AR27</f>
        <v/>
      </c>
      <c r="AS30" s="20">
        <f>AS22-AS27</f>
        <v/>
      </c>
      <c r="AT30" s="20">
        <f>AT22-AT27</f>
        <v/>
      </c>
      <c r="AU30" s="20">
        <f>AU22-AU27</f>
        <v/>
      </c>
      <c r="AV30" s="20">
        <f>AV22-AV27</f>
        <v/>
      </c>
      <c r="AW30" s="20">
        <f>AW22-AW27</f>
        <v/>
      </c>
      <c r="AX30" s="20">
        <f>AX22-AX27</f>
        <v/>
      </c>
      <c r="AY30" s="20">
        <f>AY22-AY27</f>
        <v/>
      </c>
      <c r="AZ30" s="20">
        <f>AZ22-AZ27</f>
        <v/>
      </c>
      <c r="BA30" s="20">
        <f>BA22-BA27</f>
        <v/>
      </c>
      <c r="BB30" s="20">
        <f>BB22-BB27</f>
        <v/>
      </c>
      <c r="BC30" s="20">
        <f>BC22-BC27</f>
        <v/>
      </c>
      <c r="BD30" s="28" t="n"/>
    </row>
    <row r="31">
      <c r="A31" s="41" t="n"/>
      <c r="B31" s="41" t="n"/>
      <c r="C31" s="41" t="n"/>
      <c r="D31" s="41" t="n"/>
      <c r="E31" s="41" t="n"/>
      <c r="F31" s="41" t="n"/>
      <c r="G31" s="41" t="n"/>
      <c r="H31" s="57" t="n"/>
      <c r="I31" s="57" t="n"/>
      <c r="J31" s="57" t="n"/>
      <c r="K31" s="57" t="n"/>
      <c r="L31" s="41" t="n"/>
      <c r="M31" s="41" t="n"/>
      <c r="N31" s="41" t="n"/>
      <c r="O31" s="41" t="n"/>
      <c r="P31" s="41" t="n"/>
      <c r="Q31" s="41" t="n"/>
      <c r="R31" s="35" t="inlineStr">
        <is>
          <t>GP3毛利率(%)</t>
        </is>
      </c>
      <c r="S31" s="36">
        <f>S30/S22</f>
        <v/>
      </c>
      <c r="T31" s="36">
        <f>T30/T22</f>
        <v/>
      </c>
      <c r="U31" s="37">
        <f>U30/U22</f>
        <v/>
      </c>
      <c r="V31" s="36">
        <f>V30/V22</f>
        <v/>
      </c>
      <c r="W31" s="36">
        <f>W30/W22</f>
        <v/>
      </c>
      <c r="X31" s="36">
        <f>X30/X22</f>
        <v/>
      </c>
      <c r="Y31" s="36">
        <f>Y30/Y22</f>
        <v/>
      </c>
      <c r="Z31" s="36">
        <f>Z30/Z22</f>
        <v/>
      </c>
      <c r="AA31" s="36">
        <f>AA30/AA22</f>
        <v/>
      </c>
      <c r="AB31" s="36">
        <f>AB30/AB22</f>
        <v/>
      </c>
      <c r="AC31" s="36">
        <f>AC30/AC22</f>
        <v/>
      </c>
      <c r="AD31" s="36">
        <f>AD30/AD22</f>
        <v/>
      </c>
      <c r="AE31" s="36">
        <f>AE30/AE22</f>
        <v/>
      </c>
      <c r="AF31" s="36">
        <f>AF30/AF22</f>
        <v/>
      </c>
      <c r="AG31" s="36">
        <f>AG30/AG22</f>
        <v/>
      </c>
      <c r="AH31" s="38">
        <f>T31-S31</f>
        <v/>
      </c>
      <c r="AI31" s="38">
        <f>AF31-S31</f>
        <v/>
      </c>
      <c r="AJ31" s="41" t="n"/>
      <c r="AK31" s="41" t="n"/>
      <c r="AL31" s="41" t="n"/>
      <c r="AM31" s="41" t="n"/>
      <c r="AN31" s="41" t="n"/>
      <c r="AO31" s="36">
        <f>AO30/AO22</f>
        <v/>
      </c>
      <c r="AP31" s="36">
        <f>AP30/AP22</f>
        <v/>
      </c>
      <c r="AQ31" s="36">
        <f>AQ30/AQ22</f>
        <v/>
      </c>
      <c r="AR31" s="36">
        <f>AR30/AR22</f>
        <v/>
      </c>
      <c r="AS31" s="36">
        <f>AS30/AS22</f>
        <v/>
      </c>
      <c r="AT31" s="36">
        <f>AT30/AT22</f>
        <v/>
      </c>
      <c r="AU31" s="36">
        <f>AU30/AU22</f>
        <v/>
      </c>
      <c r="AV31" s="36">
        <f>AV30/AV22</f>
        <v/>
      </c>
      <c r="AW31" s="36">
        <f>AW30/AW22</f>
        <v/>
      </c>
      <c r="AX31" s="36">
        <f>AX30/AX22</f>
        <v/>
      </c>
      <c r="AY31" s="36">
        <f>AY30/AY22</f>
        <v/>
      </c>
      <c r="AZ31" s="36">
        <f>AZ30/AZ22</f>
        <v/>
      </c>
      <c r="BA31" s="56" t="n">
        <v>0.00728583391094663</v>
      </c>
      <c r="BB31" s="39" t="n">
        <v>0</v>
      </c>
      <c r="BC31" s="50" t="n">
        <v>0</v>
      </c>
      <c r="BD31" s="41" t="n"/>
    </row>
    <row r="32">
      <c r="A32" s="42" t="inlineStr">
        <is>
          <t>P202506000290</t>
        </is>
      </c>
      <c r="B32" s="43" t="inlineStr">
        <is>
          <t>中监所-2025年OA办公系统升级改造项目-研究生管理模块-FP项目</t>
        </is>
      </c>
      <c r="C32" s="44" t="n">
        <v>45807</v>
      </c>
      <c r="D32" s="44" t="n">
        <v>46275</v>
      </c>
      <c r="E32" s="15" t="n"/>
      <c r="F32" s="16" t="n">
        <v>0.8100000000000001</v>
      </c>
      <c r="G32" s="17" t="n">
        <v>0</v>
      </c>
      <c r="H32" s="43" t="n"/>
      <c r="I32" s="43" t="n"/>
      <c r="J32" s="18" t="n"/>
      <c r="K32" s="18" t="n"/>
      <c r="L32" s="18" t="n"/>
      <c r="M32" s="18" t="n"/>
      <c r="N32" s="18" t="n"/>
      <c r="O32" s="18" t="n"/>
      <c r="P32" s="15" t="n"/>
      <c r="Q32" s="18" t="inlineStr"/>
      <c r="R32" s="47" t="inlineStr">
        <is>
          <t>累计收入（NR）</t>
        </is>
      </c>
      <c r="S32" s="20" t="n">
        <v>181603.77</v>
      </c>
      <c r="T32" s="20">
        <f>SUM(AO32:BC32)</f>
        <v/>
      </c>
      <c r="U32" s="21">
        <f>SUM(BA32:BC32)</f>
        <v/>
      </c>
      <c r="V32" s="20">
        <f>SUM(AO32:AZ32)</f>
        <v/>
      </c>
      <c r="W32" s="20">
        <f>SUM(AP32:AZ32)</f>
        <v/>
      </c>
      <c r="X32" s="20">
        <f>SUM(AQ32:AZ32)</f>
        <v/>
      </c>
      <c r="Y32" s="20">
        <f>SUM(AR32:AZ32)</f>
        <v/>
      </c>
      <c r="Z32" s="20">
        <f>SUM(AS32:AZ32)</f>
        <v/>
      </c>
      <c r="AA32" s="20">
        <f>SUM(AT32:AZ32)</f>
        <v/>
      </c>
      <c r="AB32" s="20">
        <f>SUM(AU32:AZ32)</f>
        <v/>
      </c>
      <c r="AC32" s="20">
        <f>SUM(AV32:AZ32)</f>
        <v/>
      </c>
      <c r="AD32" s="20">
        <f>SUM(AW32:AZ32)</f>
        <v/>
      </c>
      <c r="AE32" s="20">
        <f>SUM(AX32:AZ32)</f>
        <v/>
      </c>
      <c r="AF32" s="20">
        <f>SUM(AY32:AZ32)</f>
        <v/>
      </c>
      <c r="AG32" s="20">
        <f>SUM(AZ32:AZ32)</f>
        <v/>
      </c>
      <c r="AH32" s="22" t="n">
        <v>0</v>
      </c>
      <c r="AI32" s="22" t="n">
        <v>0</v>
      </c>
      <c r="AJ32" s="48" t="inlineStr"/>
      <c r="AK32" s="17" t="inlineStr">
        <is>
          <t>固定投入1人，人力成本已超出预算</t>
        </is>
      </c>
      <c r="AL32" s="48" t="inlineStr">
        <is>
          <t>建议项目经理及时变更后续月份成本投入计划</t>
        </is>
      </c>
      <c r="AM32" s="48" t="inlineStr"/>
      <c r="AN32" s="58" t="n"/>
      <c r="AO32" s="20" t="n">
        <v>0</v>
      </c>
      <c r="AP32" s="20" t="n">
        <v>0</v>
      </c>
      <c r="AQ32" s="20" t="n">
        <v>0</v>
      </c>
      <c r="AR32" s="20" t="n">
        <v>0</v>
      </c>
      <c r="AS32" s="20" t="n">
        <v>0</v>
      </c>
      <c r="AT32" s="20" t="n">
        <v>0</v>
      </c>
      <c r="AU32" s="20" t="n">
        <v>0</v>
      </c>
      <c r="AV32" s="20" t="n">
        <v>0</v>
      </c>
      <c r="AW32" s="20" t="n">
        <v>0</v>
      </c>
      <c r="AX32" s="20" t="n">
        <v>0</v>
      </c>
      <c r="AY32" s="20" t="n">
        <v>36407.37</v>
      </c>
      <c r="AZ32" s="20" t="n">
        <v>3848.19</v>
      </c>
      <c r="BA32" s="59" t="n">
        <v>139982.95</v>
      </c>
      <c r="BB32" s="21" t="n">
        <v>0</v>
      </c>
      <c r="BC32" s="50" t="n">
        <v>0</v>
      </c>
      <c r="BD32" s="27" t="inlineStr"/>
    </row>
    <row r="33">
      <c r="A33" s="28" t="n"/>
      <c r="B33" s="28" t="n"/>
      <c r="C33" s="28" t="n"/>
      <c r="D33" s="28" t="n"/>
      <c r="E33" s="28" t="n"/>
      <c r="F33" s="28" t="n"/>
      <c r="G33" s="28" t="n"/>
      <c r="H33" s="28" t="n"/>
      <c r="I33" s="28" t="n"/>
      <c r="J33" s="28" t="n"/>
      <c r="K33" s="28" t="n"/>
      <c r="L33" s="28" t="n"/>
      <c r="M33" s="28" t="n"/>
      <c r="N33" s="28" t="n"/>
      <c r="O33" s="28" t="n"/>
      <c r="P33" s="28" t="n"/>
      <c r="Q33" s="28" t="n"/>
      <c r="R33" s="29" t="inlineStr">
        <is>
          <t>人工成本（成本１）</t>
        </is>
      </c>
      <c r="S33" s="20" t="n">
        <v>148783.99</v>
      </c>
      <c r="T33" s="20">
        <f>SUM(AO33:BC33)</f>
        <v/>
      </c>
      <c r="U33" s="21">
        <f>SUM(BA33:BC33)</f>
        <v/>
      </c>
      <c r="V33" s="20">
        <f>SUM(AO33:AZ33)</f>
        <v/>
      </c>
      <c r="W33" s="20">
        <f>SUM(AP33:AZ33)</f>
        <v/>
      </c>
      <c r="X33" s="20">
        <f>SUM(AQ33:AZ33)</f>
        <v/>
      </c>
      <c r="Y33" s="20">
        <f>SUM(AR33:AZ33)</f>
        <v/>
      </c>
      <c r="Z33" s="20">
        <f>SUM(AS33:AZ33)</f>
        <v/>
      </c>
      <c r="AA33" s="20">
        <f>SUM(AT33:AZ33)</f>
        <v/>
      </c>
      <c r="AB33" s="20">
        <f>SUM(AU33:AZ33)</f>
        <v/>
      </c>
      <c r="AC33" s="20">
        <f>SUM(AV33:AZ33)</f>
        <v/>
      </c>
      <c r="AD33" s="20">
        <f>SUM(AW33:AZ33)</f>
        <v/>
      </c>
      <c r="AE33" s="20">
        <f>SUM(AX33:AZ33)</f>
        <v/>
      </c>
      <c r="AF33" s="20">
        <f>SUM(AY33:AZ33)</f>
        <v/>
      </c>
      <c r="AG33" s="20">
        <f>SUM(AZ33:AZ33)</f>
        <v/>
      </c>
      <c r="AH33" s="22" t="n">
        <v>0</v>
      </c>
      <c r="AI33" s="22" t="n">
        <v>0</v>
      </c>
      <c r="AJ33" s="28" t="n"/>
      <c r="AK33" s="28" t="n"/>
      <c r="AL33" s="28" t="n"/>
      <c r="AM33" s="28" t="n"/>
      <c r="AN33" s="28" t="n"/>
      <c r="AO33" s="20" t="n">
        <v>0</v>
      </c>
      <c r="AP33" s="20" t="n">
        <v>0</v>
      </c>
      <c r="AQ33" s="20" t="n">
        <v>0</v>
      </c>
      <c r="AR33" s="20" t="n">
        <v>0</v>
      </c>
      <c r="AS33" s="20" t="n">
        <v>0</v>
      </c>
      <c r="AT33" s="20" t="n">
        <v>0</v>
      </c>
      <c r="AU33" s="20" t="n">
        <v>0</v>
      </c>
      <c r="AV33" s="20" t="n">
        <v>0</v>
      </c>
      <c r="AW33" s="20" t="n">
        <v>0</v>
      </c>
      <c r="AX33" s="20" t="n">
        <v>0.01</v>
      </c>
      <c r="AY33" s="20" t="n">
        <v>17923.23</v>
      </c>
      <c r="AZ33" s="20" t="n">
        <v>0</v>
      </c>
      <c r="BA33" s="59" t="n">
        <v>154415.59</v>
      </c>
      <c r="BB33" s="21" t="n">
        <v>0</v>
      </c>
      <c r="BC33" s="50" t="n">
        <v>0</v>
      </c>
      <c r="BD33" s="27" t="inlineStr"/>
    </row>
    <row r="34">
      <c r="A34" s="28" t="n"/>
      <c r="B34" s="28" t="n"/>
      <c r="C34" s="28" t="n"/>
      <c r="D34" s="28" t="n"/>
      <c r="E34" s="28" t="n"/>
      <c r="F34" s="28" t="n"/>
      <c r="G34" s="28" t="n"/>
      <c r="H34" s="28" t="n"/>
      <c r="I34" s="28" t="n"/>
      <c r="J34" s="28" t="n"/>
      <c r="K34" s="28" t="n"/>
      <c r="L34" s="28" t="n"/>
      <c r="M34" s="28" t="n"/>
      <c r="N34" s="28" t="n"/>
      <c r="O34" s="28" t="n"/>
      <c r="P34" s="28" t="n"/>
      <c r="Q34" s="28" t="n"/>
      <c r="R34" s="29" t="inlineStr">
        <is>
          <t>闲置成本（成本2）</t>
        </is>
      </c>
      <c r="S34" s="20" t="n">
        <v>0</v>
      </c>
      <c r="T34" s="20" t="n">
        <v>0</v>
      </c>
      <c r="U34" s="21" t="n">
        <v>0</v>
      </c>
      <c r="V34" s="20" t="n">
        <v>0</v>
      </c>
      <c r="W34" s="20" t="n">
        <v>0</v>
      </c>
      <c r="X34" s="20" t="n">
        <v>0</v>
      </c>
      <c r="Y34" s="20" t="n">
        <v>0</v>
      </c>
      <c r="Z34" s="20" t="n">
        <v>0</v>
      </c>
      <c r="AA34" s="20" t="n">
        <v>0</v>
      </c>
      <c r="AB34" s="20" t="n">
        <v>0</v>
      </c>
      <c r="AC34" s="20" t="n">
        <v>0</v>
      </c>
      <c r="AD34" s="20" t="n">
        <v>0</v>
      </c>
      <c r="AE34" s="20" t="n">
        <v>0</v>
      </c>
      <c r="AF34" s="20" t="n">
        <v>0</v>
      </c>
      <c r="AG34" s="20" t="n">
        <v>0</v>
      </c>
      <c r="AH34" s="22" t="n">
        <v>0</v>
      </c>
      <c r="AI34" s="22" t="n">
        <v>0</v>
      </c>
      <c r="AJ34" s="28" t="n"/>
      <c r="AK34" s="28" t="n"/>
      <c r="AL34" s="28" t="n"/>
      <c r="AM34" s="28" t="n"/>
      <c r="AN34" s="28" t="n"/>
      <c r="AO34" s="20" t="n">
        <v>0</v>
      </c>
      <c r="AP34" s="20" t="n">
        <v>0</v>
      </c>
      <c r="AQ34" s="20" t="n">
        <v>0</v>
      </c>
      <c r="AR34" s="20" t="n">
        <v>0</v>
      </c>
      <c r="AS34" s="20" t="n">
        <v>0</v>
      </c>
      <c r="AT34" s="20" t="n">
        <v>0</v>
      </c>
      <c r="AU34" s="20" t="n">
        <v>0</v>
      </c>
      <c r="AV34" s="20" t="n">
        <v>0</v>
      </c>
      <c r="AW34" s="20" t="n">
        <v>0</v>
      </c>
      <c r="AX34" s="20" t="n">
        <v>0</v>
      </c>
      <c r="AY34" s="20" t="n">
        <v>0</v>
      </c>
      <c r="AZ34" s="20" t="n">
        <v>0</v>
      </c>
      <c r="BA34" s="59" t="n">
        <v>0</v>
      </c>
      <c r="BB34" s="21" t="n">
        <v>0</v>
      </c>
      <c r="BC34" s="50" t="n">
        <v>0</v>
      </c>
      <c r="BD34" s="27" t="inlineStr"/>
    </row>
    <row r="35">
      <c r="A35" s="28" t="n"/>
      <c r="B35" s="28" t="n"/>
      <c r="C35" s="28" t="n"/>
      <c r="D35" s="28" t="n"/>
      <c r="E35" s="28" t="n"/>
      <c r="F35" s="28" t="n"/>
      <c r="G35" s="28" t="n"/>
      <c r="H35" s="28" t="n"/>
      <c r="I35" s="28" t="n"/>
      <c r="J35" s="28" t="n"/>
      <c r="K35" s="28" t="n"/>
      <c r="L35" s="28" t="n"/>
      <c r="M35" s="28" t="n"/>
      <c r="N35" s="28" t="n"/>
      <c r="O35" s="28" t="n"/>
      <c r="P35" s="28" t="n"/>
      <c r="Q35" s="28" t="n"/>
      <c r="R35" s="29" t="inlineStr">
        <is>
          <t>差旅费（成本３）</t>
        </is>
      </c>
      <c r="S35" s="20" t="n">
        <v>0</v>
      </c>
      <c r="T35" s="20">
        <f>SUM(AO35:BC35)</f>
        <v/>
      </c>
      <c r="U35" s="21">
        <f>SUM(BA35:BC35)</f>
        <v/>
      </c>
      <c r="V35" s="20">
        <f>SUM(AO35:AZ35)</f>
        <v/>
      </c>
      <c r="W35" s="20">
        <f>SUM(AP35:AZ35)</f>
        <v/>
      </c>
      <c r="X35" s="20">
        <f>SUM(AQ35:AZ35)</f>
        <v/>
      </c>
      <c r="Y35" s="20">
        <f>SUM(AR35:AZ35)</f>
        <v/>
      </c>
      <c r="Z35" s="20">
        <f>SUM(AS35:AZ35)</f>
        <v/>
      </c>
      <c r="AA35" s="20">
        <f>SUM(AT35:AZ35)</f>
        <v/>
      </c>
      <c r="AB35" s="20">
        <f>SUM(AU35:AZ35)</f>
        <v/>
      </c>
      <c r="AC35" s="20">
        <f>SUM(AV35:AZ35)</f>
        <v/>
      </c>
      <c r="AD35" s="20">
        <f>SUM(AW35:AZ35)</f>
        <v/>
      </c>
      <c r="AE35" s="20">
        <f>SUM(AX35:AZ35)</f>
        <v/>
      </c>
      <c r="AF35" s="20">
        <f>SUM(AY35:AZ35)</f>
        <v/>
      </c>
      <c r="AG35" s="20">
        <f>SUM(AZ35:AZ35)</f>
        <v/>
      </c>
      <c r="AH35" s="22" t="n">
        <v>0</v>
      </c>
      <c r="AI35" s="22" t="n">
        <v>0</v>
      </c>
      <c r="AJ35" s="28" t="n"/>
      <c r="AK35" s="28" t="n"/>
      <c r="AL35" s="28" t="n"/>
      <c r="AM35" s="28" t="n"/>
      <c r="AN35" s="28" t="n"/>
      <c r="AO35" s="20" t="n">
        <v>0</v>
      </c>
      <c r="AP35" s="20" t="n">
        <v>0</v>
      </c>
      <c r="AQ35" s="20" t="n">
        <v>0</v>
      </c>
      <c r="AR35" s="20" t="n">
        <v>0</v>
      </c>
      <c r="AS35" s="20" t="n">
        <v>0</v>
      </c>
      <c r="AT35" s="20" t="n">
        <v>0</v>
      </c>
      <c r="AU35" s="20" t="n">
        <v>0</v>
      </c>
      <c r="AV35" s="20" t="n">
        <v>0</v>
      </c>
      <c r="AW35" s="20" t="n">
        <v>0</v>
      </c>
      <c r="AX35" s="20" t="n">
        <v>0</v>
      </c>
      <c r="AY35" s="20" t="n">
        <v>0</v>
      </c>
      <c r="AZ35" s="20" t="n">
        <v>0</v>
      </c>
      <c r="BA35" s="59" t="n">
        <v>0</v>
      </c>
      <c r="BB35" s="21" t="n">
        <v>0</v>
      </c>
      <c r="BC35" s="50" t="n">
        <v>0</v>
      </c>
      <c r="BD35" s="27" t="inlineStr"/>
    </row>
    <row r="36">
      <c r="A36" s="28" t="n"/>
      <c r="B36" s="28" t="n"/>
      <c r="C36" s="28" t="n"/>
      <c r="D36" s="28" t="n"/>
      <c r="E36" s="28" t="n"/>
      <c r="F36" s="28" t="n"/>
      <c r="G36" s="28" t="n"/>
      <c r="H36" s="28" t="n"/>
      <c r="I36" s="28" t="n"/>
      <c r="J36" s="28" t="n"/>
      <c r="K36" s="28" t="n"/>
      <c r="L36" s="28" t="n"/>
      <c r="M36" s="28" t="n"/>
      <c r="N36" s="28" t="n"/>
      <c r="O36" s="28" t="n"/>
      <c r="P36" s="28" t="n"/>
      <c r="Q36" s="28" t="n"/>
      <c r="R36" s="29" t="inlineStr">
        <is>
          <t>其他成本（成本３）</t>
        </is>
      </c>
      <c r="S36" s="20" t="n">
        <v>0</v>
      </c>
      <c r="T36" s="20">
        <f>SUM(AO36:BC36)</f>
        <v/>
      </c>
      <c r="U36" s="21">
        <f>SUM(BA36:BC36)</f>
        <v/>
      </c>
      <c r="V36" s="20">
        <f>SUM(AO36:AZ36)</f>
        <v/>
      </c>
      <c r="W36" s="20">
        <f>SUM(AP36:AZ36)</f>
        <v/>
      </c>
      <c r="X36" s="20">
        <f>SUM(AQ36:AZ36)</f>
        <v/>
      </c>
      <c r="Y36" s="20">
        <f>SUM(AR36:AZ36)</f>
        <v/>
      </c>
      <c r="Z36" s="20">
        <f>SUM(AS36:AZ36)</f>
        <v/>
      </c>
      <c r="AA36" s="20">
        <f>SUM(AT36:AZ36)</f>
        <v/>
      </c>
      <c r="AB36" s="20">
        <f>SUM(AU36:AZ36)</f>
        <v/>
      </c>
      <c r="AC36" s="20">
        <f>SUM(AV36:AZ36)</f>
        <v/>
      </c>
      <c r="AD36" s="20">
        <f>SUM(AW36:AZ36)</f>
        <v/>
      </c>
      <c r="AE36" s="20">
        <f>SUM(AX36:AZ36)</f>
        <v/>
      </c>
      <c r="AF36" s="20">
        <f>SUM(AY36:AZ36)</f>
        <v/>
      </c>
      <c r="AG36" s="20">
        <f>SUM(AZ36:AZ36)</f>
        <v/>
      </c>
      <c r="AH36" s="22" t="n">
        <v>0</v>
      </c>
      <c r="AI36" s="22" t="n">
        <v>0</v>
      </c>
      <c r="AJ36" s="28" t="n"/>
      <c r="AK36" s="28" t="n"/>
      <c r="AL36" s="28" t="n"/>
      <c r="AM36" s="28" t="n"/>
      <c r="AN36" s="28" t="n"/>
      <c r="AO36" s="20" t="n">
        <v>0</v>
      </c>
      <c r="AP36" s="20" t="n">
        <v>0</v>
      </c>
      <c r="AQ36" s="20" t="n">
        <v>0</v>
      </c>
      <c r="AR36" s="20" t="n">
        <v>0</v>
      </c>
      <c r="AS36" s="20" t="n">
        <v>0</v>
      </c>
      <c r="AT36" s="20" t="n">
        <v>0</v>
      </c>
      <c r="AU36" s="20" t="n">
        <v>0</v>
      </c>
      <c r="AV36" s="20" t="n">
        <v>0</v>
      </c>
      <c r="AW36" s="20" t="n">
        <v>0</v>
      </c>
      <c r="AX36" s="20" t="n">
        <v>0</v>
      </c>
      <c r="AY36" s="20" t="n">
        <v>0</v>
      </c>
      <c r="AZ36" s="20" t="n">
        <v>-36.41</v>
      </c>
      <c r="BA36" s="59" t="n">
        <v>-195.24</v>
      </c>
      <c r="BB36" s="21" t="n">
        <v>0</v>
      </c>
      <c r="BC36" s="50" t="n">
        <v>0</v>
      </c>
      <c r="BD36" s="27" t="inlineStr"/>
    </row>
    <row r="37">
      <c r="A37" s="28" t="n"/>
      <c r="B37" s="28" t="n"/>
      <c r="C37" s="28" t="n"/>
      <c r="D37" s="28" t="n"/>
      <c r="E37" s="28" t="n"/>
      <c r="F37" s="28" t="n"/>
      <c r="G37" s="28" t="n"/>
      <c r="H37" s="28" t="n"/>
      <c r="I37" s="28" t="n"/>
      <c r="J37" s="28" t="n"/>
      <c r="K37" s="28" t="n"/>
      <c r="L37" s="28" t="n"/>
      <c r="M37" s="28" t="n"/>
      <c r="N37" s="28" t="n"/>
      <c r="O37" s="28" t="n"/>
      <c r="P37" s="28" t="n"/>
      <c r="Q37" s="28" t="n"/>
      <c r="R37" s="29" t="inlineStr">
        <is>
          <t>累计成本</t>
        </is>
      </c>
      <c r="S37" s="30">
        <f>SUM(S33:S36)</f>
        <v/>
      </c>
      <c r="T37" s="30">
        <f>SUM(T33:T36)</f>
        <v/>
      </c>
      <c r="U37" s="31">
        <f>SUM(U33:U36)</f>
        <v/>
      </c>
      <c r="V37" s="30">
        <f>SUM(V33:V36)</f>
        <v/>
      </c>
      <c r="W37" s="30">
        <f>SUM(W33:W36)</f>
        <v/>
      </c>
      <c r="X37" s="30">
        <f>SUM(X33:X36)</f>
        <v/>
      </c>
      <c r="Y37" s="30">
        <f>SUM(Y33:Y36)</f>
        <v/>
      </c>
      <c r="Z37" s="30">
        <f>SUM(Z33:Z36)</f>
        <v/>
      </c>
      <c r="AA37" s="30">
        <f>SUM(AA33:AA36)</f>
        <v/>
      </c>
      <c r="AB37" s="30">
        <f>SUM(AB33:AB36)</f>
        <v/>
      </c>
      <c r="AC37" s="30">
        <f>SUM(AC33:AC36)</f>
        <v/>
      </c>
      <c r="AD37" s="30">
        <f>SUM(AD33:AD36)</f>
        <v/>
      </c>
      <c r="AE37" s="30">
        <f>SUM(AE33:AE36)</f>
        <v/>
      </c>
      <c r="AF37" s="30">
        <f>SUM(AF33:AF36)</f>
        <v/>
      </c>
      <c r="AG37" s="30">
        <f>SUM(AG33:AG36)</f>
        <v/>
      </c>
      <c r="AH37" s="30">
        <f>SUM(AH33:AH36)</f>
        <v/>
      </c>
      <c r="AI37" s="30">
        <f>SUM(AI33:AI36)</f>
        <v/>
      </c>
      <c r="AJ37" s="28" t="n"/>
      <c r="AK37" s="28" t="n"/>
      <c r="AL37" s="28" t="n"/>
      <c r="AM37" s="28" t="n"/>
      <c r="AN37" s="28" t="n"/>
      <c r="AO37" s="30">
        <f>SUM(AO33:AO36)</f>
        <v/>
      </c>
      <c r="AP37" s="30">
        <f>SUM(AP33:AP36)</f>
        <v/>
      </c>
      <c r="AQ37" s="30">
        <f>SUM(AQ33:AQ36)</f>
        <v/>
      </c>
      <c r="AR37" s="30">
        <f>SUM(AR33:AR36)</f>
        <v/>
      </c>
      <c r="AS37" s="30">
        <f>SUM(AS33:AS36)</f>
        <v/>
      </c>
      <c r="AT37" s="30">
        <f>SUM(AT33:AT36)</f>
        <v/>
      </c>
      <c r="AU37" s="30">
        <f>SUM(AU33:AU36)</f>
        <v/>
      </c>
      <c r="AV37" s="30">
        <f>SUM(AV33:AV36)</f>
        <v/>
      </c>
      <c r="AW37" s="30">
        <f>SUM(AW33:AW36)</f>
        <v/>
      </c>
      <c r="AX37" s="30">
        <f>SUM(AX33:AX36)</f>
        <v/>
      </c>
      <c r="AY37" s="30" t="n">
        <v>17923.23</v>
      </c>
      <c r="AZ37" s="30">
        <f>SUM(AZ33:AZ36)</f>
        <v/>
      </c>
      <c r="BA37" s="53" t="n">
        <v>154220.35</v>
      </c>
      <c r="BB37" s="31">
        <f>SUM(BB33:BB36)</f>
        <v/>
      </c>
      <c r="BC37" s="54">
        <f>SUM(BC33:BC36)</f>
        <v/>
      </c>
      <c r="BD37" s="32" t="inlineStr"/>
    </row>
    <row r="38">
      <c r="A38" s="28" t="n"/>
      <c r="B38" s="28" t="n"/>
      <c r="C38" s="28" t="n"/>
      <c r="D38" s="28" t="n"/>
      <c r="E38" s="28" t="n"/>
      <c r="F38" s="28" t="n"/>
      <c r="G38" s="28" t="n"/>
      <c r="H38" s="28" t="n"/>
      <c r="I38" s="28" t="n"/>
      <c r="J38" s="28" t="n"/>
      <c r="K38" s="28" t="n"/>
      <c r="L38" s="28" t="n"/>
      <c r="M38" s="28" t="n"/>
      <c r="N38" s="28" t="n"/>
      <c r="O38" s="28" t="n"/>
      <c r="P38" s="28" t="n"/>
      <c r="Q38" s="28" t="n"/>
      <c r="R38" s="29" t="inlineStr">
        <is>
          <t>GP1毛利</t>
        </is>
      </c>
      <c r="S38" s="20">
        <f>S32-S33</f>
        <v/>
      </c>
      <c r="T38" s="20">
        <f>T32-T33</f>
        <v/>
      </c>
      <c r="U38" s="21">
        <f>U32-U33</f>
        <v/>
      </c>
      <c r="V38" s="20">
        <f>V32-V33</f>
        <v/>
      </c>
      <c r="W38" s="20">
        <f>W32-W33</f>
        <v/>
      </c>
      <c r="X38" s="20">
        <f>X32-X33</f>
        <v/>
      </c>
      <c r="Y38" s="20">
        <f>Y32-Y33</f>
        <v/>
      </c>
      <c r="Z38" s="20">
        <f>Z32-Z33</f>
        <v/>
      </c>
      <c r="AA38" s="20">
        <f>AA32-AA33</f>
        <v/>
      </c>
      <c r="AB38" s="20">
        <f>AB32-AB33</f>
        <v/>
      </c>
      <c r="AC38" s="20">
        <f>AC32-AC33</f>
        <v/>
      </c>
      <c r="AD38" s="20">
        <f>AD32-AD33</f>
        <v/>
      </c>
      <c r="AE38" s="20">
        <f>AE32-AE33</f>
        <v/>
      </c>
      <c r="AF38" s="20">
        <f>AF32-AF33</f>
        <v/>
      </c>
      <c r="AG38" s="20">
        <f>AG32-AG33</f>
        <v/>
      </c>
      <c r="AH38" s="33" t="n">
        <v>0</v>
      </c>
      <c r="AI38" s="33" t="n">
        <v>0</v>
      </c>
      <c r="AJ38" s="28" t="n"/>
      <c r="AK38" s="28" t="n"/>
      <c r="AL38" s="28" t="n"/>
      <c r="AM38" s="28" t="n"/>
      <c r="AN38" s="28" t="n"/>
      <c r="AO38" s="20">
        <f>AO32-AO33</f>
        <v/>
      </c>
      <c r="AP38" s="20">
        <f>AP32-AP33</f>
        <v/>
      </c>
      <c r="AQ38" s="20">
        <f>AQ32-AQ33</f>
        <v/>
      </c>
      <c r="AR38" s="20">
        <f>AR32-AR33</f>
        <v/>
      </c>
      <c r="AS38" s="20">
        <f>AS32-AS33</f>
        <v/>
      </c>
      <c r="AT38" s="20">
        <f>AT32-AT33</f>
        <v/>
      </c>
      <c r="AU38" s="20">
        <f>AU32-AU33</f>
        <v/>
      </c>
      <c r="AV38" s="20">
        <f>AV32-AV33</f>
        <v/>
      </c>
      <c r="AW38" s="20">
        <f>AW32-AW33</f>
        <v/>
      </c>
      <c r="AX38" s="20">
        <f>AX32-AX33</f>
        <v/>
      </c>
      <c r="AY38" s="20">
        <f>AY32-AY33</f>
        <v/>
      </c>
      <c r="AZ38" s="20">
        <f>AZ32-AZ33</f>
        <v/>
      </c>
      <c r="BA38" s="59" t="n">
        <v>-14432.64</v>
      </c>
      <c r="BB38" s="31" t="n">
        <v>0</v>
      </c>
      <c r="BC38" s="50" t="n">
        <v>0</v>
      </c>
      <c r="BD38" s="27" t="inlineStr"/>
    </row>
    <row r="39">
      <c r="A39" s="28" t="n"/>
      <c r="B39" s="28" t="n"/>
      <c r="C39" s="28" t="n"/>
      <c r="D39" s="28" t="n"/>
      <c r="E39" s="28" t="n"/>
      <c r="F39" s="28" t="n"/>
      <c r="G39" s="28" t="n"/>
      <c r="H39" s="28" t="n"/>
      <c r="I39" s="28" t="n"/>
      <c r="J39" s="28" t="n"/>
      <c r="K39" s="28" t="n"/>
      <c r="L39" s="28" t="n"/>
      <c r="M39" s="28" t="n"/>
      <c r="N39" s="28" t="n"/>
      <c r="O39" s="28" t="n"/>
      <c r="P39" s="28" t="n"/>
      <c r="Q39" s="28" t="n"/>
      <c r="R39" s="35" t="inlineStr">
        <is>
          <t>GP1毛利率(%)</t>
        </is>
      </c>
      <c r="S39" s="36">
        <f>S38/S32</f>
        <v/>
      </c>
      <c r="T39" s="36">
        <f>T38/T32</f>
        <v/>
      </c>
      <c r="U39" s="37">
        <f>U38/U32</f>
        <v/>
      </c>
      <c r="V39" s="36">
        <f>V38/V32</f>
        <v/>
      </c>
      <c r="W39" s="36">
        <f>W38/W32</f>
        <v/>
      </c>
      <c r="X39" s="36">
        <f>X38/X32</f>
        <v/>
      </c>
      <c r="Y39" s="36">
        <f>Y38/Y32</f>
        <v/>
      </c>
      <c r="Z39" s="36">
        <f>Z38/Z32</f>
        <v/>
      </c>
      <c r="AA39" s="36">
        <f>AA38/AA32</f>
        <v/>
      </c>
      <c r="AB39" s="36">
        <f>AB38/AB32</f>
        <v/>
      </c>
      <c r="AC39" s="36">
        <f>AC38/AC32</f>
        <v/>
      </c>
      <c r="AD39" s="36">
        <f>AD38/AD32</f>
        <v/>
      </c>
      <c r="AE39" s="36">
        <f>AE38/AE32</f>
        <v/>
      </c>
      <c r="AF39" s="36">
        <f>AF38/AF32</f>
        <v/>
      </c>
      <c r="AG39" s="36">
        <f>AG38/AG32</f>
        <v/>
      </c>
      <c r="AH39" s="38">
        <f>T39-S39</f>
        <v/>
      </c>
      <c r="AI39" s="38">
        <f>AF39-S39</f>
        <v/>
      </c>
      <c r="AJ39" s="28" t="n"/>
      <c r="AK39" s="28" t="n"/>
      <c r="AL39" s="28" t="n"/>
      <c r="AM39" s="28" t="n"/>
      <c r="AN39" s="28" t="n"/>
      <c r="AO39" s="36">
        <f>AO38/AO32</f>
        <v/>
      </c>
      <c r="AP39" s="36">
        <f>AP38/AP32</f>
        <v/>
      </c>
      <c r="AQ39" s="36">
        <f>AQ38/AQ32</f>
        <v/>
      </c>
      <c r="AR39" s="36">
        <f>AR38/AR32</f>
        <v/>
      </c>
      <c r="AS39" s="36">
        <f>AS38/AS32</f>
        <v/>
      </c>
      <c r="AT39" s="36">
        <f>AT38/AT32</f>
        <v/>
      </c>
      <c r="AU39" s="36">
        <f>AU38/AU32</f>
        <v/>
      </c>
      <c r="AV39" s="36">
        <f>AV38/AV32</f>
        <v/>
      </c>
      <c r="AW39" s="36">
        <f>AW38/AW32</f>
        <v/>
      </c>
      <c r="AX39" s="36">
        <f>AX38/AX32</f>
        <v/>
      </c>
      <c r="AY39" s="36">
        <f>AY38/AY32</f>
        <v/>
      </c>
      <c r="AZ39" s="36">
        <f>AZ38/AZ32</f>
        <v/>
      </c>
      <c r="BA39" s="56" t="n">
        <v>-0.103102842167564</v>
      </c>
      <c r="BB39" s="39" t="n">
        <v>0</v>
      </c>
      <c r="BC39" s="50" t="n">
        <v>0</v>
      </c>
      <c r="BD39" s="27" t="inlineStr"/>
    </row>
    <row r="40">
      <c r="A40" s="28" t="n"/>
      <c r="B40" s="28" t="n"/>
      <c r="C40" s="28" t="n"/>
      <c r="D40" s="28" t="n"/>
      <c r="E40" s="28" t="n"/>
      <c r="F40" s="28" t="n"/>
      <c r="G40" s="28" t="n"/>
      <c r="H40" s="28" t="n"/>
      <c r="I40" s="28" t="n"/>
      <c r="J40" s="28" t="n"/>
      <c r="K40" s="28" t="n"/>
      <c r="L40" s="28" t="n"/>
      <c r="M40" s="28" t="n"/>
      <c r="N40" s="28" t="n"/>
      <c r="O40" s="28" t="n"/>
      <c r="P40" s="28" t="n"/>
      <c r="Q40" s="28" t="n"/>
      <c r="R40" s="29" t="inlineStr">
        <is>
          <t>GP3毛利</t>
        </is>
      </c>
      <c r="S40" s="20">
        <f>S32-S37</f>
        <v/>
      </c>
      <c r="T40" s="20">
        <f>T32-T37</f>
        <v/>
      </c>
      <c r="U40" s="20">
        <f>U32-U37</f>
        <v/>
      </c>
      <c r="V40" s="20">
        <f>V32-V37</f>
        <v/>
      </c>
      <c r="W40" s="20">
        <f>W32-W37</f>
        <v/>
      </c>
      <c r="X40" s="20">
        <f>X32-X37</f>
        <v/>
      </c>
      <c r="Y40" s="20">
        <f>Y32-Y37</f>
        <v/>
      </c>
      <c r="Z40" s="20">
        <f>Z32-Z37</f>
        <v/>
      </c>
      <c r="AA40" s="20">
        <f>AA32-AA37</f>
        <v/>
      </c>
      <c r="AB40" s="20">
        <f>AB32-AB37</f>
        <v/>
      </c>
      <c r="AC40" s="20">
        <f>AC32-AC37</f>
        <v/>
      </c>
      <c r="AD40" s="20">
        <f>AD32-AD37</f>
        <v/>
      </c>
      <c r="AE40" s="20">
        <f>AE32-AE37</f>
        <v/>
      </c>
      <c r="AF40" s="20">
        <f>AF32-AF37</f>
        <v/>
      </c>
      <c r="AG40" s="20">
        <f>AG32-AG37</f>
        <v/>
      </c>
      <c r="AH40" s="38" t="n">
        <v>0</v>
      </c>
      <c r="AI40" s="38" t="n">
        <v>0</v>
      </c>
      <c r="AJ40" s="28" t="n"/>
      <c r="AK40" s="28" t="n"/>
      <c r="AL40" s="28" t="n"/>
      <c r="AM40" s="28" t="n"/>
      <c r="AN40" s="28" t="n"/>
      <c r="AO40" s="20">
        <f>AO32-AO37</f>
        <v/>
      </c>
      <c r="AP40" s="20">
        <f>AP32-AP37</f>
        <v/>
      </c>
      <c r="AQ40" s="20">
        <f>AQ32-AQ37</f>
        <v/>
      </c>
      <c r="AR40" s="20">
        <f>AR32-AR37</f>
        <v/>
      </c>
      <c r="AS40" s="20">
        <f>AS32-AS37</f>
        <v/>
      </c>
      <c r="AT40" s="20">
        <f>AT32-AT37</f>
        <v/>
      </c>
      <c r="AU40" s="20">
        <f>AU32-AU37</f>
        <v/>
      </c>
      <c r="AV40" s="20">
        <f>AV32-AV37</f>
        <v/>
      </c>
      <c r="AW40" s="20">
        <f>AW32-AW37</f>
        <v/>
      </c>
      <c r="AX40" s="20">
        <f>AX32-AX37</f>
        <v/>
      </c>
      <c r="AY40" s="20">
        <f>AY32-AY37</f>
        <v/>
      </c>
      <c r="AZ40" s="20">
        <f>AZ32-AZ37</f>
        <v/>
      </c>
      <c r="BA40" s="20">
        <f>BA32-BA37</f>
        <v/>
      </c>
      <c r="BB40" s="20">
        <f>BB32-BB37</f>
        <v/>
      </c>
      <c r="BC40" s="20">
        <f>BC32-BC37</f>
        <v/>
      </c>
      <c r="BD40" s="27" t="inlineStr"/>
    </row>
    <row r="41">
      <c r="A41" s="41" t="n"/>
      <c r="B41" s="41" t="n"/>
      <c r="C41" s="41" t="n"/>
      <c r="D41" s="41" t="n"/>
      <c r="E41" s="41" t="n"/>
      <c r="F41" s="41" t="n"/>
      <c r="G41" s="41" t="n"/>
      <c r="H41" s="41" t="n"/>
      <c r="I41" s="41" t="n"/>
      <c r="J41" s="41" t="n"/>
      <c r="K41" s="41" t="n"/>
      <c r="L41" s="41" t="n"/>
      <c r="M41" s="41" t="n"/>
      <c r="N41" s="41" t="n"/>
      <c r="O41" s="41" t="n"/>
      <c r="P41" s="41" t="n"/>
      <c r="Q41" s="41" t="n"/>
      <c r="R41" s="35" t="inlineStr">
        <is>
          <t>GP3毛利率(%)</t>
        </is>
      </c>
      <c r="S41" s="36">
        <f>S40/S32</f>
        <v/>
      </c>
      <c r="T41" s="36">
        <f>T40/T32</f>
        <v/>
      </c>
      <c r="U41" s="37">
        <f>U40/U32</f>
        <v/>
      </c>
      <c r="V41" s="36">
        <f>V40/V32</f>
        <v/>
      </c>
      <c r="W41" s="36">
        <f>W40/W32</f>
        <v/>
      </c>
      <c r="X41" s="36">
        <f>X40/X32</f>
        <v/>
      </c>
      <c r="Y41" s="36">
        <f>Y40/Y32</f>
        <v/>
      </c>
      <c r="Z41" s="36">
        <f>Z40/Z32</f>
        <v/>
      </c>
      <c r="AA41" s="36">
        <f>AA40/AA32</f>
        <v/>
      </c>
      <c r="AB41" s="36">
        <f>AB40/AB32</f>
        <v/>
      </c>
      <c r="AC41" s="36">
        <f>AC40/AC32</f>
        <v/>
      </c>
      <c r="AD41" s="36">
        <f>AD40/AD32</f>
        <v/>
      </c>
      <c r="AE41" s="36">
        <f>AE40/AE32</f>
        <v/>
      </c>
      <c r="AF41" s="36">
        <f>AF40/AF32</f>
        <v/>
      </c>
      <c r="AG41" s="36">
        <f>AG40/AG32</f>
        <v/>
      </c>
      <c r="AH41" s="38">
        <f>T41-S41</f>
        <v/>
      </c>
      <c r="AI41" s="38">
        <f>AF41-S41</f>
        <v/>
      </c>
      <c r="AJ41" s="41" t="n"/>
      <c r="AK41" s="41" t="n"/>
      <c r="AL41" s="41" t="n"/>
      <c r="AM41" s="41" t="n"/>
      <c r="AN41" s="41" t="n"/>
      <c r="AO41" s="36">
        <f>AO40/AO32</f>
        <v/>
      </c>
      <c r="AP41" s="36">
        <f>AP40/AP32</f>
        <v/>
      </c>
      <c r="AQ41" s="36">
        <f>AQ40/AQ32</f>
        <v/>
      </c>
      <c r="AR41" s="36">
        <f>AR40/AR32</f>
        <v/>
      </c>
      <c r="AS41" s="36">
        <f>AS40/AS32</f>
        <v/>
      </c>
      <c r="AT41" s="36">
        <f>AT40/AT32</f>
        <v/>
      </c>
      <c r="AU41" s="36">
        <f>AU40/AU32</f>
        <v/>
      </c>
      <c r="AV41" s="36">
        <f>AV40/AV32</f>
        <v/>
      </c>
      <c r="AW41" s="36">
        <f>AW40/AW32</f>
        <v/>
      </c>
      <c r="AX41" s="36">
        <f>AX40/AX32</f>
        <v/>
      </c>
      <c r="AY41" s="36">
        <f>AY40/AY32</f>
        <v/>
      </c>
      <c r="AZ41" s="36">
        <f>AZ40/AZ32</f>
        <v/>
      </c>
      <c r="BA41" s="56" t="n">
        <v>-0.101708100879428</v>
      </c>
      <c r="BB41" s="39" t="n">
        <v>0</v>
      </c>
      <c r="BC41" s="50" t="n">
        <v>0</v>
      </c>
      <c r="BD41" s="27" t="inlineStr"/>
    </row>
    <row r="42">
      <c r="A42" s="42" t="inlineStr">
        <is>
          <t>P202507000656</t>
        </is>
      </c>
      <c r="B42" s="43" t="inlineStr">
        <is>
          <t>全国畜牧总站-畜牧核心数据查询APP开发-FP项目</t>
        </is>
      </c>
      <c r="C42" s="44" t="n">
        <v>45839</v>
      </c>
      <c r="D42" s="44" t="n">
        <v>46203</v>
      </c>
      <c r="E42" s="15" t="n"/>
      <c r="F42" s="16" t="inlineStr">
        <is>
          <t xml:space="preserve"> -   </t>
        </is>
      </c>
      <c r="G42" s="18" t="n">
        <v>0</v>
      </c>
      <c r="H42" s="18" t="n"/>
      <c r="I42" s="18" t="n"/>
      <c r="J42" s="18" t="n"/>
      <c r="K42" s="18" t="n"/>
      <c r="L42" s="18" t="n"/>
      <c r="M42" s="18" t="n"/>
      <c r="N42" s="18" t="n"/>
      <c r="O42" s="18" t="n"/>
      <c r="P42" s="15" t="n"/>
      <c r="Q42" s="18" t="inlineStr"/>
      <c r="R42" s="47" t="inlineStr">
        <is>
          <t>累计收入（NR）</t>
        </is>
      </c>
      <c r="S42" s="20" t="n">
        <v>188679.25</v>
      </c>
      <c r="T42" s="20">
        <f>SUM(AO42:BC42)</f>
        <v/>
      </c>
      <c r="U42" s="21">
        <f>SUM(BA42:BC42)</f>
        <v/>
      </c>
      <c r="V42" s="20">
        <f>SUM(AO42:AZ42)</f>
        <v/>
      </c>
      <c r="W42" s="20">
        <f>SUM(AP42:AZ42)</f>
        <v/>
      </c>
      <c r="X42" s="20">
        <f>SUM(AQ42:AZ42)</f>
        <v/>
      </c>
      <c r="Y42" s="20">
        <f>SUM(AR42:AZ42)</f>
        <v/>
      </c>
      <c r="Z42" s="20">
        <f>SUM(AS42:AZ42)</f>
        <v/>
      </c>
      <c r="AA42" s="20">
        <f>SUM(AT42:AZ42)</f>
        <v/>
      </c>
      <c r="AB42" s="20">
        <f>SUM(AU42:AZ42)</f>
        <v/>
      </c>
      <c r="AC42" s="20">
        <f>SUM(AV42:AZ42)</f>
        <v/>
      </c>
      <c r="AD42" s="20">
        <f>SUM(AW42:AZ42)</f>
        <v/>
      </c>
      <c r="AE42" s="20">
        <f>SUM(AX42:AZ42)</f>
        <v/>
      </c>
      <c r="AF42" s="20">
        <f>SUM(AY42:AZ42)</f>
        <v/>
      </c>
      <c r="AG42" s="20">
        <f>SUM(AZ42:AZ42)</f>
        <v/>
      </c>
      <c r="AH42" s="22" t="n">
        <v>0</v>
      </c>
      <c r="AI42" s="22" t="n">
        <v>0</v>
      </c>
      <c r="AJ42" s="43" t="inlineStr"/>
      <c r="AK42" s="48" t="inlineStr">
        <is>
          <t>项目已于12月中旬上线了并验收回款，后面不再投入。已投入成本超出预算2W，预计全周期GP3%毛利率7.55%</t>
        </is>
      </c>
      <c r="AL42" s="48" t="inlineStr">
        <is>
          <t>后续不再投入人力，随着交付进度提升毛利率</t>
        </is>
      </c>
      <c r="AM42" s="48" t="inlineStr"/>
      <c r="AN42" s="60" t="n"/>
      <c r="AO42" s="20" t="n">
        <v>0</v>
      </c>
      <c r="AP42" s="20" t="n">
        <v>0</v>
      </c>
      <c r="AQ42" s="20" t="n">
        <v>0</v>
      </c>
      <c r="AR42" s="20" t="n">
        <v>0</v>
      </c>
      <c r="AS42" s="20" t="n">
        <v>0</v>
      </c>
      <c r="AT42" s="20" t="n">
        <v>0</v>
      </c>
      <c r="AU42" s="20" t="n">
        <v>0</v>
      </c>
      <c r="AV42" s="20" t="n">
        <v>0</v>
      </c>
      <c r="AW42" s="20" t="n">
        <v>0</v>
      </c>
      <c r="AX42" s="20" t="n">
        <v>9609.059999999999</v>
      </c>
      <c r="AY42" s="20" t="n">
        <v>8055.28</v>
      </c>
      <c r="AZ42" s="20" t="n">
        <v>7201.51</v>
      </c>
      <c r="BA42" s="49" t="n">
        <v>127263.98</v>
      </c>
      <c r="BB42" s="21" t="n">
        <v>0</v>
      </c>
      <c r="BC42" s="61" t="n">
        <v>0</v>
      </c>
      <c r="BD42" s="27" t="inlineStr"/>
    </row>
    <row r="43">
      <c r="A43" s="28" t="n"/>
      <c r="B43" s="28" t="n"/>
      <c r="C43" s="28" t="n"/>
      <c r="D43" s="28" t="n"/>
      <c r="E43" s="28" t="n"/>
      <c r="F43" s="28" t="n"/>
      <c r="G43" s="28" t="n"/>
      <c r="H43" s="28" t="n"/>
      <c r="I43" s="28" t="n"/>
      <c r="J43" s="28" t="n"/>
      <c r="K43" s="28" t="n"/>
      <c r="L43" s="28" t="n"/>
      <c r="M43" s="28" t="n"/>
      <c r="N43" s="28" t="n"/>
      <c r="O43" s="28" t="n"/>
      <c r="P43" s="28" t="n"/>
      <c r="Q43" s="28" t="n"/>
      <c r="R43" s="29" t="inlineStr">
        <is>
          <t>人工成本（成本１）</t>
        </is>
      </c>
      <c r="S43" s="20" t="n">
        <v>154705.8</v>
      </c>
      <c r="T43" s="20">
        <f>SUM(AO43:BC43)</f>
        <v/>
      </c>
      <c r="U43" s="21">
        <f>SUM(BA43:BC43)</f>
        <v/>
      </c>
      <c r="V43" s="20">
        <f>SUM(AO43:AZ43)</f>
        <v/>
      </c>
      <c r="W43" s="20">
        <f>SUM(AP43:AZ43)</f>
        <v/>
      </c>
      <c r="X43" s="20">
        <f>SUM(AQ43:AZ43)</f>
        <v/>
      </c>
      <c r="Y43" s="20">
        <f>SUM(AR43:AZ43)</f>
        <v/>
      </c>
      <c r="Z43" s="20">
        <f>SUM(AS43:AZ43)</f>
        <v/>
      </c>
      <c r="AA43" s="20">
        <f>SUM(AT43:AZ43)</f>
        <v/>
      </c>
      <c r="AB43" s="20">
        <f>SUM(AU43:AZ43)</f>
        <v/>
      </c>
      <c r="AC43" s="20">
        <f>SUM(AV43:AZ43)</f>
        <v/>
      </c>
      <c r="AD43" s="20">
        <f>SUM(AW43:AZ43)</f>
        <v/>
      </c>
      <c r="AE43" s="20">
        <f>SUM(AX43:AZ43)</f>
        <v/>
      </c>
      <c r="AF43" s="20">
        <f>SUM(AY43:AZ43)</f>
        <v/>
      </c>
      <c r="AG43" s="20">
        <f>SUM(AZ43:AZ43)</f>
        <v/>
      </c>
      <c r="AH43" s="22" t="n">
        <v>0</v>
      </c>
      <c r="AI43" s="22" t="n">
        <v>0</v>
      </c>
      <c r="AJ43" s="28" t="n"/>
      <c r="AK43" s="28" t="n"/>
      <c r="AL43" s="28" t="n"/>
      <c r="AM43" s="28" t="n"/>
      <c r="AN43" s="28" t="n"/>
      <c r="AO43" s="20" t="n">
        <v>0</v>
      </c>
      <c r="AP43" s="20" t="n">
        <v>0</v>
      </c>
      <c r="AQ43" s="20" t="n">
        <v>0</v>
      </c>
      <c r="AR43" s="20" t="n">
        <v>0</v>
      </c>
      <c r="AS43" s="20" t="n">
        <v>0</v>
      </c>
      <c r="AT43" s="20" t="n">
        <v>0</v>
      </c>
      <c r="AU43" s="20" t="n">
        <v>0</v>
      </c>
      <c r="AV43" s="20" t="n">
        <v>0</v>
      </c>
      <c r="AW43" s="20" t="n">
        <v>0</v>
      </c>
      <c r="AX43" s="20" t="n">
        <v>0</v>
      </c>
      <c r="AY43" s="20" t="n">
        <v>0</v>
      </c>
      <c r="AZ43" s="20" t="n">
        <v>0</v>
      </c>
      <c r="BA43" s="49" t="n">
        <v>174002.79</v>
      </c>
      <c r="BB43" s="21" t="n">
        <v>0</v>
      </c>
      <c r="BC43" s="61" t="n">
        <v>0</v>
      </c>
      <c r="BD43" s="27" t="inlineStr"/>
    </row>
    <row r="44">
      <c r="A44" s="28" t="n"/>
      <c r="B44" s="28" t="n"/>
      <c r="C44" s="28" t="n"/>
      <c r="D44" s="28" t="n"/>
      <c r="E44" s="28" t="n"/>
      <c r="F44" s="28" t="n"/>
      <c r="G44" s="28" t="n"/>
      <c r="H44" s="28" t="n"/>
      <c r="I44" s="28" t="n"/>
      <c r="J44" s="28" t="n"/>
      <c r="K44" s="28" t="n"/>
      <c r="L44" s="28" t="n"/>
      <c r="M44" s="28" t="n"/>
      <c r="N44" s="28" t="n"/>
      <c r="O44" s="28" t="n"/>
      <c r="P44" s="28" t="n"/>
      <c r="Q44" s="28" t="n"/>
      <c r="R44" s="29" t="inlineStr">
        <is>
          <t>闲置成本（成本2）</t>
        </is>
      </c>
      <c r="S44" s="20" t="n">
        <v>0</v>
      </c>
      <c r="T44" s="20" t="n">
        <v>0</v>
      </c>
      <c r="U44" s="21" t="n">
        <v>0</v>
      </c>
      <c r="V44" s="20" t="n">
        <v>0</v>
      </c>
      <c r="W44" s="20" t="n">
        <v>0</v>
      </c>
      <c r="X44" s="20" t="n">
        <v>0</v>
      </c>
      <c r="Y44" s="20" t="n">
        <v>0</v>
      </c>
      <c r="Z44" s="20" t="n">
        <v>0</v>
      </c>
      <c r="AA44" s="20" t="n">
        <v>0</v>
      </c>
      <c r="AB44" s="20" t="n">
        <v>0</v>
      </c>
      <c r="AC44" s="20" t="n">
        <v>0</v>
      </c>
      <c r="AD44" s="20" t="n">
        <v>0</v>
      </c>
      <c r="AE44" s="20" t="n">
        <v>0</v>
      </c>
      <c r="AF44" s="20" t="n">
        <v>0</v>
      </c>
      <c r="AG44" s="20" t="n">
        <v>0</v>
      </c>
      <c r="AH44" s="22" t="n">
        <v>0</v>
      </c>
      <c r="AI44" s="22" t="n">
        <v>0</v>
      </c>
      <c r="AJ44" s="28" t="n"/>
      <c r="AK44" s="28" t="n"/>
      <c r="AL44" s="28" t="n"/>
      <c r="AM44" s="28" t="n"/>
      <c r="AN44" s="28" t="n"/>
      <c r="AO44" s="20" t="n">
        <v>0</v>
      </c>
      <c r="AP44" s="20" t="n">
        <v>0</v>
      </c>
      <c r="AQ44" s="20" t="n">
        <v>0</v>
      </c>
      <c r="AR44" s="20" t="n">
        <v>0</v>
      </c>
      <c r="AS44" s="20" t="n">
        <v>0</v>
      </c>
      <c r="AT44" s="20" t="n">
        <v>0</v>
      </c>
      <c r="AU44" s="20" t="n">
        <v>0</v>
      </c>
      <c r="AV44" s="20" t="n">
        <v>0</v>
      </c>
      <c r="AW44" s="20" t="n">
        <v>0</v>
      </c>
      <c r="AX44" s="20" t="n">
        <v>0</v>
      </c>
      <c r="AY44" s="20" t="n">
        <v>0</v>
      </c>
      <c r="AZ44" s="20" t="n">
        <v>0</v>
      </c>
      <c r="BA44" s="49" t="n">
        <v>0</v>
      </c>
      <c r="BB44" s="21" t="n">
        <v>0</v>
      </c>
      <c r="BC44" s="61" t="n">
        <v>0</v>
      </c>
      <c r="BD44" s="27" t="inlineStr"/>
    </row>
    <row r="45">
      <c r="A45" s="28" t="n"/>
      <c r="B45" s="28" t="n"/>
      <c r="C45" s="28" t="n"/>
      <c r="D45" s="28" t="n"/>
      <c r="E45" s="28" t="n"/>
      <c r="F45" s="28" t="n"/>
      <c r="G45" s="28" t="n"/>
      <c r="H45" s="28" t="n"/>
      <c r="I45" s="28" t="n"/>
      <c r="J45" s="28" t="n"/>
      <c r="K45" s="28" t="n"/>
      <c r="L45" s="28" t="n"/>
      <c r="M45" s="28" t="n"/>
      <c r="N45" s="28" t="n"/>
      <c r="O45" s="28" t="n"/>
      <c r="P45" s="28" t="n"/>
      <c r="Q45" s="28" t="n"/>
      <c r="R45" s="29" t="inlineStr">
        <is>
          <t>差旅费（成本３）</t>
        </is>
      </c>
      <c r="S45" s="20" t="n">
        <v>0</v>
      </c>
      <c r="T45" s="20">
        <f>SUM(AO45:BC45)</f>
        <v/>
      </c>
      <c r="U45" s="21">
        <f>SUM(BA45:BC45)</f>
        <v/>
      </c>
      <c r="V45" s="20">
        <f>SUM(AO45:AZ45)</f>
        <v/>
      </c>
      <c r="W45" s="20">
        <f>SUM(AP45:AZ45)</f>
        <v/>
      </c>
      <c r="X45" s="20">
        <f>SUM(AQ45:AZ45)</f>
        <v/>
      </c>
      <c r="Y45" s="20">
        <f>SUM(AR45:AZ45)</f>
        <v/>
      </c>
      <c r="Z45" s="20">
        <f>SUM(AS45:AZ45)</f>
        <v/>
      </c>
      <c r="AA45" s="20">
        <f>SUM(AT45:AZ45)</f>
        <v/>
      </c>
      <c r="AB45" s="20">
        <f>SUM(AU45:AZ45)</f>
        <v/>
      </c>
      <c r="AC45" s="20">
        <f>SUM(AV45:AZ45)</f>
        <v/>
      </c>
      <c r="AD45" s="20">
        <f>SUM(AW45:AZ45)</f>
        <v/>
      </c>
      <c r="AE45" s="20">
        <f>SUM(AX45:AZ45)</f>
        <v/>
      </c>
      <c r="AF45" s="20">
        <f>SUM(AY45:AZ45)</f>
        <v/>
      </c>
      <c r="AG45" s="20">
        <f>SUM(AZ45:AZ45)</f>
        <v/>
      </c>
      <c r="AH45" s="22" t="n">
        <v>0</v>
      </c>
      <c r="AI45" s="22" t="n">
        <v>0</v>
      </c>
      <c r="AJ45" s="28" t="n"/>
      <c r="AK45" s="28" t="n"/>
      <c r="AL45" s="28" t="n"/>
      <c r="AM45" s="28" t="n"/>
      <c r="AN45" s="28" t="n"/>
      <c r="AO45" s="20" t="n">
        <v>0</v>
      </c>
      <c r="AP45" s="20" t="n">
        <v>0</v>
      </c>
      <c r="AQ45" s="20" t="n">
        <v>0</v>
      </c>
      <c r="AR45" s="20" t="n">
        <v>0</v>
      </c>
      <c r="AS45" s="20" t="n">
        <v>0</v>
      </c>
      <c r="AT45" s="20" t="n">
        <v>0</v>
      </c>
      <c r="AU45" s="20" t="n">
        <v>0</v>
      </c>
      <c r="AV45" s="20" t="n">
        <v>0</v>
      </c>
      <c r="AW45" s="20" t="n">
        <v>0</v>
      </c>
      <c r="AX45" s="20" t="n">
        <v>0</v>
      </c>
      <c r="AY45" s="20" t="n">
        <v>0</v>
      </c>
      <c r="AZ45" s="20" t="n">
        <v>0</v>
      </c>
      <c r="BA45" s="49" t="n">
        <v>0</v>
      </c>
      <c r="BB45" s="21" t="n">
        <v>0</v>
      </c>
      <c r="BC45" s="61" t="n">
        <v>0</v>
      </c>
      <c r="BD45" s="27" t="inlineStr"/>
    </row>
    <row r="46">
      <c r="A46" s="28" t="n"/>
      <c r="B46" s="28" t="n"/>
      <c r="C46" s="28" t="n"/>
      <c r="D46" s="28" t="n"/>
      <c r="E46" s="28" t="n"/>
      <c r="F46" s="28" t="n"/>
      <c r="G46" s="28" t="n"/>
      <c r="H46" s="28" t="n"/>
      <c r="I46" s="28" t="n"/>
      <c r="J46" s="28" t="n"/>
      <c r="K46" s="28" t="n"/>
      <c r="L46" s="28" t="n"/>
      <c r="M46" s="28" t="n"/>
      <c r="N46" s="28" t="n"/>
      <c r="O46" s="28" t="n"/>
      <c r="P46" s="28" t="n"/>
      <c r="Q46" s="28" t="n"/>
      <c r="R46" s="29" t="inlineStr">
        <is>
          <t>其他成本（成本３）</t>
        </is>
      </c>
      <c r="S46" s="20" t="n">
        <v>0</v>
      </c>
      <c r="T46" s="20">
        <f>SUM(AO46:BC46)</f>
        <v/>
      </c>
      <c r="U46" s="21">
        <f>SUM(BA46:BC46)</f>
        <v/>
      </c>
      <c r="V46" s="20">
        <f>SUM(AO46:AZ46)</f>
        <v/>
      </c>
      <c r="W46" s="20">
        <f>SUM(AP46:AZ46)</f>
        <v/>
      </c>
      <c r="X46" s="20">
        <f>SUM(AQ46:AZ46)</f>
        <v/>
      </c>
      <c r="Y46" s="20">
        <f>SUM(AR46:AZ46)</f>
        <v/>
      </c>
      <c r="Z46" s="20">
        <f>SUM(AS46:AZ46)</f>
        <v/>
      </c>
      <c r="AA46" s="20">
        <f>SUM(AT46:AZ46)</f>
        <v/>
      </c>
      <c r="AB46" s="20">
        <f>SUM(AU46:AZ46)</f>
        <v/>
      </c>
      <c r="AC46" s="20">
        <f>SUM(AV46:AZ46)</f>
        <v/>
      </c>
      <c r="AD46" s="20">
        <f>SUM(AW46:AZ46)</f>
        <v/>
      </c>
      <c r="AE46" s="20">
        <f>SUM(AX46:AZ46)</f>
        <v/>
      </c>
      <c r="AF46" s="20">
        <f>SUM(AY46:AZ46)</f>
        <v/>
      </c>
      <c r="AG46" s="20">
        <f>SUM(AZ46:AZ46)</f>
        <v/>
      </c>
      <c r="AH46" s="22" t="n">
        <v>0</v>
      </c>
      <c r="AI46" s="22" t="n">
        <v>0</v>
      </c>
      <c r="AJ46" s="28" t="n"/>
      <c r="AK46" s="28" t="n"/>
      <c r="AL46" s="28" t="n"/>
      <c r="AM46" s="28" t="n"/>
      <c r="AN46" s="28" t="n"/>
      <c r="AO46" s="20" t="n">
        <v>0</v>
      </c>
      <c r="AP46" s="20" t="n">
        <v>0</v>
      </c>
      <c r="AQ46" s="20" t="n">
        <v>0</v>
      </c>
      <c r="AR46" s="20" t="n">
        <v>0</v>
      </c>
      <c r="AS46" s="20" t="n">
        <v>0</v>
      </c>
      <c r="AT46" s="20" t="n">
        <v>0</v>
      </c>
      <c r="AU46" s="20" t="n">
        <v>0</v>
      </c>
      <c r="AV46" s="20" t="n">
        <v>0</v>
      </c>
      <c r="AW46" s="20" t="n">
        <v>0</v>
      </c>
      <c r="AX46" s="20" t="n">
        <v>-35.13</v>
      </c>
      <c r="AY46" s="20" t="n">
        <v>-44.74</v>
      </c>
      <c r="AZ46" s="20" t="n">
        <v>-52.8</v>
      </c>
      <c r="BA46" s="49" t="n">
        <v>374.87</v>
      </c>
      <c r="BB46" s="21" t="n">
        <v>0</v>
      </c>
      <c r="BC46" s="61" t="n">
        <v>0</v>
      </c>
      <c r="BD46" s="27" t="inlineStr"/>
    </row>
    <row r="47">
      <c r="A47" s="28" t="n"/>
      <c r="B47" s="28" t="n"/>
      <c r="C47" s="28" t="n"/>
      <c r="D47" s="28" t="n"/>
      <c r="E47" s="28" t="n"/>
      <c r="F47" s="28" t="n"/>
      <c r="G47" s="28" t="n"/>
      <c r="H47" s="28" t="n"/>
      <c r="I47" s="28" t="n"/>
      <c r="J47" s="28" t="n"/>
      <c r="K47" s="28" t="n"/>
      <c r="L47" s="28" t="n"/>
      <c r="M47" s="28" t="n"/>
      <c r="N47" s="28" t="n"/>
      <c r="O47" s="28" t="n"/>
      <c r="P47" s="28" t="n"/>
      <c r="Q47" s="28" t="n"/>
      <c r="R47" s="29" t="inlineStr">
        <is>
          <t>累计成本</t>
        </is>
      </c>
      <c r="S47" s="30">
        <f>SUM(S43:S46)</f>
        <v/>
      </c>
      <c r="T47" s="30">
        <f>SUM(T43:T46)</f>
        <v/>
      </c>
      <c r="U47" s="31">
        <f>SUM(U43:U46)</f>
        <v/>
      </c>
      <c r="V47" s="30">
        <f>SUM(V43:V46)</f>
        <v/>
      </c>
      <c r="W47" s="30">
        <f>SUM(W43:W46)</f>
        <v/>
      </c>
      <c r="X47" s="30">
        <f>SUM(X43:X46)</f>
        <v/>
      </c>
      <c r="Y47" s="30">
        <f>SUM(Y43:Y46)</f>
        <v/>
      </c>
      <c r="Z47" s="30">
        <f>SUM(Z43:Z46)</f>
        <v/>
      </c>
      <c r="AA47" s="30">
        <f>SUM(AA43:AA46)</f>
        <v/>
      </c>
      <c r="AB47" s="30">
        <f>SUM(AB43:AB46)</f>
        <v/>
      </c>
      <c r="AC47" s="30">
        <f>SUM(AC43:AC46)</f>
        <v/>
      </c>
      <c r="AD47" s="30">
        <f>SUM(AD43:AD46)</f>
        <v/>
      </c>
      <c r="AE47" s="30">
        <f>SUM(AE43:AE46)</f>
        <v/>
      </c>
      <c r="AF47" s="30">
        <f>SUM(AF43:AF46)</f>
        <v/>
      </c>
      <c r="AG47" s="30">
        <f>SUM(AG43:AG46)</f>
        <v/>
      </c>
      <c r="AH47" s="30">
        <f>SUM(AH43:AH46)</f>
        <v/>
      </c>
      <c r="AI47" s="30">
        <f>SUM(AI43:AI46)</f>
        <v/>
      </c>
      <c r="AJ47" s="28" t="n"/>
      <c r="AK47" s="28" t="n"/>
      <c r="AL47" s="28" t="n"/>
      <c r="AM47" s="28" t="n"/>
      <c r="AN47" s="28" t="n"/>
      <c r="AO47" s="30">
        <f>SUM(AO43:AO46)</f>
        <v/>
      </c>
      <c r="AP47" s="30">
        <f>SUM(AP43:AP46)</f>
        <v/>
      </c>
      <c r="AQ47" s="30">
        <f>SUM(AQ43:AQ46)</f>
        <v/>
      </c>
      <c r="AR47" s="30">
        <f>SUM(AR43:AR46)</f>
        <v/>
      </c>
      <c r="AS47" s="30">
        <f>SUM(AS43:AS46)</f>
        <v/>
      </c>
      <c r="AT47" s="30">
        <f>SUM(AT43:AT46)</f>
        <v/>
      </c>
      <c r="AU47" s="30">
        <f>SUM(AU43:AU46)</f>
        <v/>
      </c>
      <c r="AV47" s="30">
        <f>SUM(AV43:AV46)</f>
        <v/>
      </c>
      <c r="AW47" s="30">
        <f>SUM(AW43:AW46)</f>
        <v/>
      </c>
      <c r="AX47" s="30">
        <f>SUM(AX43:AX46)</f>
        <v/>
      </c>
      <c r="AY47" s="30" t="n">
        <v>-44.74</v>
      </c>
      <c r="AZ47" s="30">
        <f>SUM(AZ43:AZ46)</f>
        <v/>
      </c>
      <c r="BA47" s="53" t="n">
        <v>174377.66</v>
      </c>
      <c r="BB47" s="31">
        <f>SUM(BB43:BB46)</f>
        <v/>
      </c>
      <c r="BC47" s="54">
        <f>SUM(BC43:BC46)</f>
        <v/>
      </c>
      <c r="BD47" s="32" t="inlineStr"/>
    </row>
    <row r="48">
      <c r="A48" s="28" t="n"/>
      <c r="B48" s="28" t="n"/>
      <c r="C48" s="28" t="n"/>
      <c r="D48" s="28" t="n"/>
      <c r="E48" s="28" t="n"/>
      <c r="F48" s="28" t="n"/>
      <c r="G48" s="28" t="n"/>
      <c r="H48" s="28" t="n"/>
      <c r="I48" s="28" t="n"/>
      <c r="J48" s="28" t="n"/>
      <c r="K48" s="28" t="n"/>
      <c r="L48" s="28" t="n"/>
      <c r="M48" s="28" t="n"/>
      <c r="N48" s="28" t="n"/>
      <c r="O48" s="28" t="n"/>
      <c r="P48" s="28" t="n"/>
      <c r="Q48" s="28" t="n"/>
      <c r="R48" s="29" t="inlineStr">
        <is>
          <t>GP1毛利</t>
        </is>
      </c>
      <c r="S48" s="30">
        <f>S42-S43</f>
        <v/>
      </c>
      <c r="T48" s="20">
        <f>T42-T43</f>
        <v/>
      </c>
      <c r="U48" s="21">
        <f>U42-U43</f>
        <v/>
      </c>
      <c r="V48" s="20">
        <f>V42-V43</f>
        <v/>
      </c>
      <c r="W48" s="20">
        <f>W42-W43</f>
        <v/>
      </c>
      <c r="X48" s="20">
        <f>X42-X43</f>
        <v/>
      </c>
      <c r="Y48" s="20">
        <f>Y42-Y43</f>
        <v/>
      </c>
      <c r="Z48" s="20">
        <f>Z42-Z43</f>
        <v/>
      </c>
      <c r="AA48" s="20">
        <f>AA42-AA43</f>
        <v/>
      </c>
      <c r="AB48" s="20">
        <f>AB42-AB43</f>
        <v/>
      </c>
      <c r="AC48" s="20">
        <f>AC42-AC43</f>
        <v/>
      </c>
      <c r="AD48" s="20">
        <f>AD42-AD43</f>
        <v/>
      </c>
      <c r="AE48" s="20">
        <f>AE42-AE43</f>
        <v/>
      </c>
      <c r="AF48" s="20">
        <f>AF42-AF43</f>
        <v/>
      </c>
      <c r="AG48" s="20">
        <f>AG42-AG43</f>
        <v/>
      </c>
      <c r="AH48" s="33" t="n">
        <v>0</v>
      </c>
      <c r="AI48" s="33" t="n">
        <v>0</v>
      </c>
      <c r="AJ48" s="28" t="n"/>
      <c r="AK48" s="28" t="n"/>
      <c r="AL48" s="28" t="n"/>
      <c r="AM48" s="28" t="n"/>
      <c r="AN48" s="28" t="n"/>
      <c r="AO48" s="20">
        <f>AO42-AO43</f>
        <v/>
      </c>
      <c r="AP48" s="20">
        <f>AP42-AP43</f>
        <v/>
      </c>
      <c r="AQ48" s="20">
        <f>AQ42-AQ43</f>
        <v/>
      </c>
      <c r="AR48" s="20">
        <f>AR42-AR43</f>
        <v/>
      </c>
      <c r="AS48" s="20">
        <f>AS42-AS43</f>
        <v/>
      </c>
      <c r="AT48" s="20">
        <f>AT42-AT43</f>
        <v/>
      </c>
      <c r="AU48" s="20">
        <f>AU42-AU43</f>
        <v/>
      </c>
      <c r="AV48" s="20">
        <f>AV42-AV43</f>
        <v/>
      </c>
      <c r="AW48" s="20">
        <f>AW42-AW43</f>
        <v/>
      </c>
      <c r="AX48" s="20">
        <f>AX42-AX43</f>
        <v/>
      </c>
      <c r="AY48" s="20">
        <f>AY42-AY43</f>
        <v/>
      </c>
      <c r="AZ48" s="20">
        <f>AZ42-AZ43</f>
        <v/>
      </c>
      <c r="BA48" s="55" t="n">
        <v>-46738.81</v>
      </c>
      <c r="BB48" s="31" t="n">
        <v>0</v>
      </c>
      <c r="BC48" s="61" t="n">
        <v>0</v>
      </c>
      <c r="BD48" s="27" t="inlineStr"/>
    </row>
    <row r="49">
      <c r="A49" s="28" t="n"/>
      <c r="B49" s="28" t="n"/>
      <c r="C49" s="28" t="n"/>
      <c r="D49" s="28" t="n"/>
      <c r="E49" s="28" t="n"/>
      <c r="F49" s="28" t="n"/>
      <c r="G49" s="28" t="n"/>
      <c r="H49" s="28" t="n"/>
      <c r="I49" s="28" t="n"/>
      <c r="J49" s="28" t="n"/>
      <c r="K49" s="28" t="n"/>
      <c r="L49" s="28" t="n"/>
      <c r="M49" s="28" t="n"/>
      <c r="N49" s="28" t="n"/>
      <c r="O49" s="28" t="n"/>
      <c r="P49" s="28" t="n"/>
      <c r="Q49" s="28" t="n"/>
      <c r="R49" s="35" t="inlineStr">
        <is>
          <t>GP1毛利率(%)</t>
        </is>
      </c>
      <c r="S49" s="62">
        <f>S48/S42</f>
        <v/>
      </c>
      <c r="T49" s="36">
        <f>T48/T42</f>
        <v/>
      </c>
      <c r="U49" s="37">
        <f>U48/U42</f>
        <v/>
      </c>
      <c r="V49" s="36">
        <f>V48/V42</f>
        <v/>
      </c>
      <c r="W49" s="36">
        <f>W48/W42</f>
        <v/>
      </c>
      <c r="X49" s="36">
        <f>X48/X42</f>
        <v/>
      </c>
      <c r="Y49" s="36">
        <f>Y48/Y42</f>
        <v/>
      </c>
      <c r="Z49" s="36">
        <f>Z48/Z42</f>
        <v/>
      </c>
      <c r="AA49" s="36">
        <f>AA48/AA42</f>
        <v/>
      </c>
      <c r="AB49" s="36">
        <f>AB48/AB42</f>
        <v/>
      </c>
      <c r="AC49" s="36">
        <f>AC48/AC42</f>
        <v/>
      </c>
      <c r="AD49" s="36">
        <f>AD48/AD42</f>
        <v/>
      </c>
      <c r="AE49" s="36">
        <f>AE48/AE42</f>
        <v/>
      </c>
      <c r="AF49" s="36">
        <f>AF48/AF42</f>
        <v/>
      </c>
      <c r="AG49" s="36">
        <f>AG48/AG42</f>
        <v/>
      </c>
      <c r="AH49" s="38">
        <f>T49-S49</f>
        <v/>
      </c>
      <c r="AI49" s="38">
        <f>AF49-S49</f>
        <v/>
      </c>
      <c r="AJ49" s="28" t="n"/>
      <c r="AK49" s="28" t="n"/>
      <c r="AL49" s="28" t="n"/>
      <c r="AM49" s="28" t="n"/>
      <c r="AN49" s="28" t="n"/>
      <c r="AO49" s="36">
        <f>AO48/AO42</f>
        <v/>
      </c>
      <c r="AP49" s="36">
        <f>AP48/AP42</f>
        <v/>
      </c>
      <c r="AQ49" s="36">
        <f>AQ48/AQ42</f>
        <v/>
      </c>
      <c r="AR49" s="36">
        <f>AR48/AR42</f>
        <v/>
      </c>
      <c r="AS49" s="36">
        <f>AS48/AS42</f>
        <v/>
      </c>
      <c r="AT49" s="36">
        <f>AT48/AT42</f>
        <v/>
      </c>
      <c r="AU49" s="36">
        <f>AU48/AU42</f>
        <v/>
      </c>
      <c r="AV49" s="36">
        <f>AV48/AV42</f>
        <v/>
      </c>
      <c r="AW49" s="36">
        <f>AW48/AW42</f>
        <v/>
      </c>
      <c r="AX49" s="36">
        <f>AX48/AX42</f>
        <v/>
      </c>
      <c r="AY49" s="36">
        <f>AY48/AY42</f>
        <v/>
      </c>
      <c r="AZ49" s="36">
        <f>AZ48/AZ42</f>
        <v/>
      </c>
      <c r="BA49" s="56" t="n">
        <v>-0.367258748311973</v>
      </c>
      <c r="BB49" s="39" t="n">
        <v>0</v>
      </c>
      <c r="BC49" s="61" t="n">
        <v>0</v>
      </c>
      <c r="BD49" s="27" t="inlineStr"/>
    </row>
    <row r="50">
      <c r="A50" s="28" t="n"/>
      <c r="B50" s="28" t="n"/>
      <c r="C50" s="28" t="n"/>
      <c r="D50" s="28" t="n"/>
      <c r="E50" s="28" t="n"/>
      <c r="F50" s="28" t="n"/>
      <c r="G50" s="28" t="n"/>
      <c r="H50" s="28" t="n"/>
      <c r="I50" s="28" t="n"/>
      <c r="J50" s="28" t="n"/>
      <c r="K50" s="28" t="n"/>
      <c r="L50" s="28" t="n"/>
      <c r="M50" s="28" t="n"/>
      <c r="N50" s="28" t="n"/>
      <c r="O50" s="28" t="n"/>
      <c r="P50" s="28" t="n"/>
      <c r="Q50" s="28" t="n"/>
      <c r="R50" s="29" t="inlineStr">
        <is>
          <t>GP3毛利</t>
        </is>
      </c>
      <c r="S50" s="20">
        <f>S42-S47</f>
        <v/>
      </c>
      <c r="T50" s="20">
        <f>T42-T47</f>
        <v/>
      </c>
      <c r="U50" s="20">
        <f>U42-U47</f>
        <v/>
      </c>
      <c r="V50" s="20">
        <f>V42-V47</f>
        <v/>
      </c>
      <c r="W50" s="20">
        <f>W42-W47</f>
        <v/>
      </c>
      <c r="X50" s="20">
        <f>X42-X47</f>
        <v/>
      </c>
      <c r="Y50" s="20">
        <f>Y42-Y47</f>
        <v/>
      </c>
      <c r="Z50" s="20">
        <f>Z42-Z47</f>
        <v/>
      </c>
      <c r="AA50" s="20">
        <f>AA42-AA47</f>
        <v/>
      </c>
      <c r="AB50" s="20">
        <f>AB42-AB47</f>
        <v/>
      </c>
      <c r="AC50" s="20">
        <f>AC42-AC47</f>
        <v/>
      </c>
      <c r="AD50" s="20">
        <f>AD42-AD47</f>
        <v/>
      </c>
      <c r="AE50" s="20">
        <f>AE42-AE47</f>
        <v/>
      </c>
      <c r="AF50" s="20">
        <f>AF42-AF47</f>
        <v/>
      </c>
      <c r="AG50" s="20">
        <f>AG42-AG47</f>
        <v/>
      </c>
      <c r="AH50" s="38" t="n">
        <v>0</v>
      </c>
      <c r="AI50" s="38" t="n">
        <v>0</v>
      </c>
      <c r="AJ50" s="28" t="n"/>
      <c r="AK50" s="28" t="n"/>
      <c r="AL50" s="28" t="n"/>
      <c r="AM50" s="28" t="n"/>
      <c r="AN50" s="28" t="n"/>
      <c r="AO50" s="20">
        <f>AO42-AO47</f>
        <v/>
      </c>
      <c r="AP50" s="20">
        <f>AP42-AP47</f>
        <v/>
      </c>
      <c r="AQ50" s="20">
        <f>AQ42-AQ47</f>
        <v/>
      </c>
      <c r="AR50" s="20">
        <f>AR42-AR47</f>
        <v/>
      </c>
      <c r="AS50" s="20">
        <f>AS42-AS47</f>
        <v/>
      </c>
      <c r="AT50" s="20">
        <f>AT42-AT47</f>
        <v/>
      </c>
      <c r="AU50" s="20">
        <f>AU42-AU47</f>
        <v/>
      </c>
      <c r="AV50" s="20">
        <f>AV42-AV47</f>
        <v/>
      </c>
      <c r="AW50" s="20">
        <f>AW42-AW47</f>
        <v/>
      </c>
      <c r="AX50" s="20">
        <f>AX42-AX47</f>
        <v/>
      </c>
      <c r="AY50" s="20">
        <f>AY42-AY47</f>
        <v/>
      </c>
      <c r="AZ50" s="20">
        <f>AZ42-AZ47</f>
        <v/>
      </c>
      <c r="BA50" s="20">
        <f>BA42-BA47</f>
        <v/>
      </c>
      <c r="BB50" s="20">
        <f>BB42-BB47</f>
        <v/>
      </c>
      <c r="BC50" s="20">
        <f>BC42-BC47</f>
        <v/>
      </c>
      <c r="BD50" s="27" t="inlineStr"/>
    </row>
    <row r="51">
      <c r="A51" s="41" t="n"/>
      <c r="B51" s="41" t="n"/>
      <c r="C51" s="41" t="n"/>
      <c r="D51" s="41" t="n"/>
      <c r="E51" s="41" t="n"/>
      <c r="F51" s="41" t="n"/>
      <c r="G51" s="41" t="n"/>
      <c r="H51" s="41" t="n"/>
      <c r="I51" s="41" t="n"/>
      <c r="J51" s="41" t="n"/>
      <c r="K51" s="41" t="n"/>
      <c r="L51" s="41" t="n"/>
      <c r="M51" s="41" t="n"/>
      <c r="N51" s="41" t="n"/>
      <c r="O51" s="41" t="n"/>
      <c r="P51" s="41" t="n"/>
      <c r="Q51" s="41" t="n"/>
      <c r="R51" s="35" t="inlineStr">
        <is>
          <t>GP3毛利率(%)</t>
        </is>
      </c>
      <c r="S51" s="62">
        <f>S50/S42</f>
        <v/>
      </c>
      <c r="T51" s="36">
        <f>T50/T42</f>
        <v/>
      </c>
      <c r="U51" s="37">
        <f>U50/U42</f>
        <v/>
      </c>
      <c r="V51" s="36">
        <f>V50/V42</f>
        <v/>
      </c>
      <c r="W51" s="36">
        <f>W50/W42</f>
        <v/>
      </c>
      <c r="X51" s="36">
        <f>X50/X42</f>
        <v/>
      </c>
      <c r="Y51" s="36">
        <f>Y50/Y42</f>
        <v/>
      </c>
      <c r="Z51" s="36">
        <f>Z50/Z42</f>
        <v/>
      </c>
      <c r="AA51" s="36">
        <f>AA50/AA42</f>
        <v/>
      </c>
      <c r="AB51" s="36">
        <f>AB50/AB42</f>
        <v/>
      </c>
      <c r="AC51" s="36">
        <f>AC50/AC42</f>
        <v/>
      </c>
      <c r="AD51" s="36">
        <f>AD50/AD42</f>
        <v/>
      </c>
      <c r="AE51" s="36">
        <f>AE50/AE42</f>
        <v/>
      </c>
      <c r="AF51" s="36">
        <f>AF50/AF42</f>
        <v/>
      </c>
      <c r="AG51" s="36">
        <f>AG50/AG42</f>
        <v/>
      </c>
      <c r="AH51" s="38">
        <f>T51-S51</f>
        <v/>
      </c>
      <c r="AI51" s="38">
        <f>AF51-S51</f>
        <v/>
      </c>
      <c r="AJ51" s="41" t="n"/>
      <c r="AK51" s="41" t="n"/>
      <c r="AL51" s="41" t="n"/>
      <c r="AM51" s="41" t="n"/>
      <c r="AN51" s="41" t="n"/>
      <c r="AO51" s="36">
        <f>AO50/AO42</f>
        <v/>
      </c>
      <c r="AP51" s="36">
        <f>AP50/AP42</f>
        <v/>
      </c>
      <c r="AQ51" s="36">
        <f>AQ50/AQ42</f>
        <v/>
      </c>
      <c r="AR51" s="36">
        <f>AR50/AR42</f>
        <v/>
      </c>
      <c r="AS51" s="36">
        <f>AS50/AS42</f>
        <v/>
      </c>
      <c r="AT51" s="36">
        <f>AT50/AT42</f>
        <v/>
      </c>
      <c r="AU51" s="36">
        <f>AU50/AU42</f>
        <v/>
      </c>
      <c r="AV51" s="36">
        <f>AV50/AV42</f>
        <v/>
      </c>
      <c r="AW51" s="36">
        <f>AW50/AW42</f>
        <v/>
      </c>
      <c r="AX51" s="36">
        <f>AX50/AX42</f>
        <v/>
      </c>
      <c r="AY51" s="36">
        <f>AY50/AY42</f>
        <v/>
      </c>
      <c r="AZ51" s="36">
        <f>AZ50/AZ42</f>
        <v/>
      </c>
      <c r="BA51" s="56" t="n">
        <v>-0.370204357902369</v>
      </c>
      <c r="BB51" s="39" t="n">
        <v>0</v>
      </c>
      <c r="BC51" s="61" t="n">
        <v>0</v>
      </c>
      <c r="BD51" s="27" t="inlineStr"/>
    </row>
    <row r="52">
      <c r="A52" s="42" t="inlineStr">
        <is>
          <t>P202508000162</t>
        </is>
      </c>
      <c r="B52" s="43" t="inlineStr">
        <is>
          <t>农业农村部信息中心-农业信息采集系统2025年度运行维护服务项目-FP运维</t>
        </is>
      </c>
      <c r="C52" s="44" t="n">
        <v>45870</v>
      </c>
      <c r="D52" s="44" t="n">
        <v>46234</v>
      </c>
      <c r="E52" s="15" t="n"/>
      <c r="F52" s="16" t="n">
        <v>5</v>
      </c>
      <c r="G52" s="18" t="n">
        <v>5</v>
      </c>
      <c r="H52" s="18" t="n"/>
      <c r="I52" s="18" t="n"/>
      <c r="J52" s="18" t="n"/>
      <c r="K52" s="18" t="n"/>
      <c r="L52" s="18" t="n"/>
      <c r="M52" s="18" t="n"/>
      <c r="N52" s="18" t="n"/>
      <c r="O52" s="18" t="n"/>
      <c r="P52" s="15" t="n"/>
      <c r="Q52" s="18" t="inlineStr"/>
      <c r="R52" s="47" t="inlineStr">
        <is>
          <t>累计收入（NR）</t>
        </is>
      </c>
      <c r="S52" s="20" t="n">
        <v>1000000</v>
      </c>
      <c r="T52" s="20">
        <f>SUM(AO52:BC52)</f>
        <v/>
      </c>
      <c r="U52" s="21">
        <f>SUM(BA52:BC52)</f>
        <v/>
      </c>
      <c r="V52" s="20">
        <f>SUM(AO52:AZ52)</f>
        <v/>
      </c>
      <c r="W52" s="20">
        <f>SUM(AP52:AZ52)</f>
        <v/>
      </c>
      <c r="X52" s="20">
        <f>SUM(AQ52:AZ52)</f>
        <v/>
      </c>
      <c r="Y52" s="20">
        <f>SUM(AR52:AZ52)</f>
        <v/>
      </c>
      <c r="Z52" s="20">
        <f>SUM(AS52:AZ52)</f>
        <v/>
      </c>
      <c r="AA52" s="20">
        <f>SUM(AT52:AZ52)</f>
        <v/>
      </c>
      <c r="AB52" s="20">
        <f>SUM(AU52:AZ52)</f>
        <v/>
      </c>
      <c r="AC52" s="20">
        <f>SUM(AV52:AZ52)</f>
        <v/>
      </c>
      <c r="AD52" s="20">
        <f>SUM(AW52:AZ52)</f>
        <v/>
      </c>
      <c r="AE52" s="20">
        <f>SUM(AX52:AZ52)</f>
        <v/>
      </c>
      <c r="AF52" s="20">
        <f>SUM(AY52:AZ52)</f>
        <v/>
      </c>
      <c r="AG52" s="20">
        <f>SUM(AZ52:AZ52)</f>
        <v/>
      </c>
      <c r="AH52" s="22" t="n">
        <v>0</v>
      </c>
      <c r="AI52" s="22" t="n">
        <v>0</v>
      </c>
      <c r="AJ52" s="43" t="inlineStr"/>
      <c r="AK52" s="48" t="inlineStr"/>
      <c r="AL52" s="48" t="inlineStr"/>
      <c r="AM52" s="48" t="inlineStr"/>
      <c r="AN52" s="16" t="n"/>
      <c r="AO52" s="20" t="n">
        <v>0</v>
      </c>
      <c r="AP52" s="20" t="n">
        <v>0</v>
      </c>
      <c r="AQ52" s="20" t="n">
        <v>0</v>
      </c>
      <c r="AR52" s="20" t="n">
        <v>0</v>
      </c>
      <c r="AS52" s="20" t="n">
        <v>0</v>
      </c>
      <c r="AT52" s="20" t="n">
        <v>0</v>
      </c>
      <c r="AU52" s="20" t="n">
        <v>0</v>
      </c>
      <c r="AV52" s="20" t="n">
        <v>0</v>
      </c>
      <c r="AW52" s="20" t="n">
        <v>0</v>
      </c>
      <c r="AX52" s="20" t="n">
        <v>84931</v>
      </c>
      <c r="AY52" s="20" t="n">
        <v>76712</v>
      </c>
      <c r="AZ52" s="20" t="n">
        <v>84932</v>
      </c>
      <c r="BA52" s="49" t="n">
        <v>411660</v>
      </c>
      <c r="BB52" s="21" t="n">
        <v>0</v>
      </c>
      <c r="BC52" s="61" t="n">
        <v>0</v>
      </c>
      <c r="BD52" s="27" t="inlineStr"/>
    </row>
    <row r="53">
      <c r="A53" s="28" t="n"/>
      <c r="B53" s="28" t="n"/>
      <c r="C53" s="28" t="n"/>
      <c r="D53" s="28" t="n"/>
      <c r="E53" s="28" t="n"/>
      <c r="F53" s="28" t="n"/>
      <c r="G53" s="28" t="n"/>
      <c r="H53" s="28" t="n"/>
      <c r="I53" s="28" t="n"/>
      <c r="J53" s="28" t="n"/>
      <c r="K53" s="28" t="n"/>
      <c r="L53" s="28" t="n"/>
      <c r="M53" s="28" t="n"/>
      <c r="N53" s="28" t="n"/>
      <c r="O53" s="28" t="n"/>
      <c r="P53" s="28" t="n"/>
      <c r="Q53" s="28" t="n"/>
      <c r="R53" s="29" t="inlineStr">
        <is>
          <t>人工成本（成本１）</t>
        </is>
      </c>
      <c r="S53" s="20" t="n">
        <v>783494.65</v>
      </c>
      <c r="T53" s="20">
        <f>SUM(AO53:BC53)</f>
        <v/>
      </c>
      <c r="U53" s="21">
        <f>SUM(BA53:BC53)</f>
        <v/>
      </c>
      <c r="V53" s="20">
        <f>SUM(AO53:AZ53)</f>
        <v/>
      </c>
      <c r="W53" s="20">
        <f>SUM(AP53:AZ53)</f>
        <v/>
      </c>
      <c r="X53" s="20">
        <f>SUM(AQ53:AZ53)</f>
        <v/>
      </c>
      <c r="Y53" s="20">
        <f>SUM(AR53:AZ53)</f>
        <v/>
      </c>
      <c r="Z53" s="20">
        <f>SUM(AS53:AZ53)</f>
        <v/>
      </c>
      <c r="AA53" s="20">
        <f>SUM(AT53:AZ53)</f>
        <v/>
      </c>
      <c r="AB53" s="20">
        <f>SUM(AU53:AZ53)</f>
        <v/>
      </c>
      <c r="AC53" s="20">
        <f>SUM(AV53:AZ53)</f>
        <v/>
      </c>
      <c r="AD53" s="20">
        <f>SUM(AW53:AZ53)</f>
        <v/>
      </c>
      <c r="AE53" s="20">
        <f>SUM(AX53:AZ53)</f>
        <v/>
      </c>
      <c r="AF53" s="20">
        <f>SUM(AY53:AZ53)</f>
        <v/>
      </c>
      <c r="AG53" s="20">
        <f>SUM(AZ53:AZ53)</f>
        <v/>
      </c>
      <c r="AH53" s="22" t="n">
        <v>0</v>
      </c>
      <c r="AI53" s="22" t="n">
        <v>0</v>
      </c>
      <c r="AJ53" s="28" t="n"/>
      <c r="AK53" s="28" t="n"/>
      <c r="AL53" s="28" t="n"/>
      <c r="AM53" s="28" t="n"/>
      <c r="AN53" s="28" t="n"/>
      <c r="AO53" s="20" t="n">
        <v>0</v>
      </c>
      <c r="AP53" s="20" t="n">
        <v>0</v>
      </c>
      <c r="AQ53" s="20" t="n">
        <v>0</v>
      </c>
      <c r="AR53" s="20" t="n">
        <v>0</v>
      </c>
      <c r="AS53" s="20" t="n">
        <v>0</v>
      </c>
      <c r="AT53" s="20" t="n">
        <v>0</v>
      </c>
      <c r="AU53" s="20" t="n">
        <v>0</v>
      </c>
      <c r="AV53" s="20" t="n">
        <v>0</v>
      </c>
      <c r="AW53" s="20" t="n">
        <v>0</v>
      </c>
      <c r="AX53" s="20" t="n">
        <v>87203.78999999999</v>
      </c>
      <c r="AY53" s="20" t="n">
        <v>87203.78999999999</v>
      </c>
      <c r="AZ53" s="20" t="n">
        <v>66585.86</v>
      </c>
      <c r="BA53" s="49" t="n">
        <v>331483.93</v>
      </c>
      <c r="BB53" s="21" t="n">
        <v>0</v>
      </c>
      <c r="BC53" s="61" t="n">
        <v>0</v>
      </c>
      <c r="BD53" s="27" t="inlineStr"/>
    </row>
    <row r="54">
      <c r="A54" s="28" t="n"/>
      <c r="B54" s="28" t="n"/>
      <c r="C54" s="28" t="n"/>
      <c r="D54" s="28" t="n"/>
      <c r="E54" s="28" t="n"/>
      <c r="F54" s="28" t="n"/>
      <c r="G54" s="28" t="n"/>
      <c r="H54" s="28" t="n"/>
      <c r="I54" s="28" t="n"/>
      <c r="J54" s="28" t="n"/>
      <c r="K54" s="28" t="n"/>
      <c r="L54" s="28" t="n"/>
      <c r="M54" s="28" t="n"/>
      <c r="N54" s="28" t="n"/>
      <c r="O54" s="28" t="n"/>
      <c r="P54" s="28" t="n"/>
      <c r="Q54" s="28" t="n"/>
      <c r="R54" s="29" t="inlineStr">
        <is>
          <t>闲置成本（成本2）</t>
        </is>
      </c>
      <c r="S54" s="20" t="n">
        <v>0</v>
      </c>
      <c r="T54" s="20" t="n">
        <v>0</v>
      </c>
      <c r="U54" s="21" t="n">
        <v>0</v>
      </c>
      <c r="V54" s="20" t="n">
        <v>0</v>
      </c>
      <c r="W54" s="20" t="n">
        <v>0</v>
      </c>
      <c r="X54" s="20" t="n">
        <v>0</v>
      </c>
      <c r="Y54" s="20" t="n">
        <v>0</v>
      </c>
      <c r="Z54" s="20" t="n">
        <v>0</v>
      </c>
      <c r="AA54" s="20" t="n">
        <v>0</v>
      </c>
      <c r="AB54" s="20" t="n">
        <v>0</v>
      </c>
      <c r="AC54" s="20" t="n">
        <v>0</v>
      </c>
      <c r="AD54" s="20" t="n">
        <v>0</v>
      </c>
      <c r="AE54" s="20" t="n">
        <v>0</v>
      </c>
      <c r="AF54" s="20" t="n">
        <v>0</v>
      </c>
      <c r="AG54" s="20" t="n">
        <v>0</v>
      </c>
      <c r="AH54" s="22" t="n">
        <v>0</v>
      </c>
      <c r="AI54" s="22" t="n">
        <v>0</v>
      </c>
      <c r="AJ54" s="28" t="n"/>
      <c r="AK54" s="28" t="n"/>
      <c r="AL54" s="28" t="n"/>
      <c r="AM54" s="28" t="n"/>
      <c r="AN54" s="28" t="n"/>
      <c r="AO54" s="20" t="n">
        <v>0</v>
      </c>
      <c r="AP54" s="20" t="n">
        <v>0</v>
      </c>
      <c r="AQ54" s="20" t="n">
        <v>0</v>
      </c>
      <c r="AR54" s="20" t="n">
        <v>0</v>
      </c>
      <c r="AS54" s="20" t="n">
        <v>0</v>
      </c>
      <c r="AT54" s="20" t="n">
        <v>0</v>
      </c>
      <c r="AU54" s="20" t="n">
        <v>0</v>
      </c>
      <c r="AV54" s="20" t="n">
        <v>0</v>
      </c>
      <c r="AW54" s="20" t="n">
        <v>0</v>
      </c>
      <c r="AX54" s="20" t="n">
        <v>0</v>
      </c>
      <c r="AY54" s="20" t="n">
        <v>0</v>
      </c>
      <c r="AZ54" s="20" t="n">
        <v>0</v>
      </c>
      <c r="BA54" s="49" t="n">
        <v>0</v>
      </c>
      <c r="BB54" s="21" t="n">
        <v>0</v>
      </c>
      <c r="BC54" s="61" t="n">
        <v>0</v>
      </c>
      <c r="BD54" s="27" t="inlineStr"/>
    </row>
    <row r="55">
      <c r="A55" s="28" t="n"/>
      <c r="B55" s="28" t="n"/>
      <c r="C55" s="28" t="n"/>
      <c r="D55" s="28" t="n"/>
      <c r="E55" s="28" t="n"/>
      <c r="F55" s="28" t="n"/>
      <c r="G55" s="28" t="n"/>
      <c r="H55" s="28" t="n"/>
      <c r="I55" s="28" t="n"/>
      <c r="J55" s="28" t="n"/>
      <c r="K55" s="28" t="n"/>
      <c r="L55" s="28" t="n"/>
      <c r="M55" s="28" t="n"/>
      <c r="N55" s="28" t="n"/>
      <c r="O55" s="28" t="n"/>
      <c r="P55" s="28" t="n"/>
      <c r="Q55" s="28" t="n"/>
      <c r="R55" s="29" t="inlineStr">
        <is>
          <t>差旅费（成本３）</t>
        </is>
      </c>
      <c r="S55" s="20" t="n">
        <v>25000</v>
      </c>
      <c r="T55" s="20">
        <f>SUM(AO55:BC55)</f>
        <v/>
      </c>
      <c r="U55" s="21">
        <f>SUM(BA55:BC55)</f>
        <v/>
      </c>
      <c r="V55" s="20">
        <f>SUM(AO55:AZ55)</f>
        <v/>
      </c>
      <c r="W55" s="20">
        <f>SUM(AP55:AZ55)</f>
        <v/>
      </c>
      <c r="X55" s="20">
        <f>SUM(AQ55:AZ55)</f>
        <v/>
      </c>
      <c r="Y55" s="20">
        <f>SUM(AR55:AZ55)</f>
        <v/>
      </c>
      <c r="Z55" s="20">
        <f>SUM(AS55:AZ55)</f>
        <v/>
      </c>
      <c r="AA55" s="20">
        <f>SUM(AT55:AZ55)</f>
        <v/>
      </c>
      <c r="AB55" s="20">
        <f>SUM(AU55:AZ55)</f>
        <v/>
      </c>
      <c r="AC55" s="20">
        <f>SUM(AV55:AZ55)</f>
        <v/>
      </c>
      <c r="AD55" s="20">
        <f>SUM(AW55:AZ55)</f>
        <v/>
      </c>
      <c r="AE55" s="20">
        <f>SUM(AX55:AZ55)</f>
        <v/>
      </c>
      <c r="AF55" s="20">
        <f>SUM(AY55:AZ55)</f>
        <v/>
      </c>
      <c r="AG55" s="20">
        <f>SUM(AZ55:AZ55)</f>
        <v/>
      </c>
      <c r="AH55" s="22" t="n">
        <v>0</v>
      </c>
      <c r="AI55" s="22" t="n">
        <v>0</v>
      </c>
      <c r="AJ55" s="28" t="n"/>
      <c r="AK55" s="28" t="n"/>
      <c r="AL55" s="28" t="n"/>
      <c r="AM55" s="28" t="n"/>
      <c r="AN55" s="28" t="n"/>
      <c r="AO55" s="20" t="n">
        <v>0</v>
      </c>
      <c r="AP55" s="20" t="n">
        <v>0</v>
      </c>
      <c r="AQ55" s="20" t="n">
        <v>0</v>
      </c>
      <c r="AR55" s="20" t="n">
        <v>0</v>
      </c>
      <c r="AS55" s="20" t="n">
        <v>0</v>
      </c>
      <c r="AT55" s="20" t="n">
        <v>0</v>
      </c>
      <c r="AU55" s="20" t="n">
        <v>0</v>
      </c>
      <c r="AV55" s="20" t="n">
        <v>0</v>
      </c>
      <c r="AW55" s="20" t="n">
        <v>0</v>
      </c>
      <c r="AX55" s="20" t="n">
        <v>0</v>
      </c>
      <c r="AY55" s="20" t="n">
        <v>0</v>
      </c>
      <c r="AZ55" s="20" t="n">
        <v>0</v>
      </c>
      <c r="BA55" s="49" t="n">
        <v>0</v>
      </c>
      <c r="BB55" s="21" t="n">
        <v>0</v>
      </c>
      <c r="BC55" s="61" t="n">
        <v>0</v>
      </c>
      <c r="BD55" s="27" t="inlineStr"/>
    </row>
    <row r="56">
      <c r="A56" s="28" t="n"/>
      <c r="B56" s="28" t="n"/>
      <c r="C56" s="28" t="n"/>
      <c r="D56" s="28" t="n"/>
      <c r="E56" s="28" t="n"/>
      <c r="F56" s="28" t="n"/>
      <c r="G56" s="28" t="n"/>
      <c r="H56" s="28" t="n"/>
      <c r="I56" s="28" t="n"/>
      <c r="J56" s="28" t="n"/>
      <c r="K56" s="28" t="n"/>
      <c r="L56" s="28" t="n"/>
      <c r="M56" s="28" t="n"/>
      <c r="N56" s="28" t="n"/>
      <c r="O56" s="28" t="n"/>
      <c r="P56" s="28" t="n"/>
      <c r="Q56" s="28" t="n"/>
      <c r="R56" s="29" t="inlineStr">
        <is>
          <t>其他成本（成本３）</t>
        </is>
      </c>
      <c r="S56" s="20" t="n">
        <v>35000</v>
      </c>
      <c r="T56" s="20">
        <f>SUM(AO56:BC56)</f>
        <v/>
      </c>
      <c r="U56" s="21">
        <f>SUM(BA56:BC56)</f>
        <v/>
      </c>
      <c r="V56" s="20">
        <f>SUM(AO56:AZ56)</f>
        <v/>
      </c>
      <c r="W56" s="20">
        <f>SUM(AP56:AZ56)</f>
        <v/>
      </c>
      <c r="X56" s="20">
        <f>SUM(AQ56:AZ56)</f>
        <v/>
      </c>
      <c r="Y56" s="20">
        <f>SUM(AR56:AZ56)</f>
        <v/>
      </c>
      <c r="Z56" s="20">
        <f>SUM(AS56:AZ56)</f>
        <v/>
      </c>
      <c r="AA56" s="20">
        <f>SUM(AT56:AZ56)</f>
        <v/>
      </c>
      <c r="AB56" s="20">
        <f>SUM(AU56:AZ56)</f>
        <v/>
      </c>
      <c r="AC56" s="20">
        <f>SUM(AV56:AZ56)</f>
        <v/>
      </c>
      <c r="AD56" s="20">
        <f>SUM(AW56:AZ56)</f>
        <v/>
      </c>
      <c r="AE56" s="20">
        <f>SUM(AX56:AZ56)</f>
        <v/>
      </c>
      <c r="AF56" s="20">
        <f>SUM(AY56:AZ56)</f>
        <v/>
      </c>
      <c r="AG56" s="20">
        <f>SUM(AZ56:AZ56)</f>
        <v/>
      </c>
      <c r="AH56" s="22" t="n">
        <v>0</v>
      </c>
      <c r="AI56" s="22" t="n">
        <v>0</v>
      </c>
      <c r="AJ56" s="28" t="n"/>
      <c r="AK56" s="28" t="n"/>
      <c r="AL56" s="28" t="n"/>
      <c r="AM56" s="28" t="n"/>
      <c r="AN56" s="28" t="n"/>
      <c r="AO56" s="20" t="n">
        <v>0</v>
      </c>
      <c r="AP56" s="20" t="n">
        <v>0</v>
      </c>
      <c r="AQ56" s="20" t="n">
        <v>0</v>
      </c>
      <c r="AR56" s="20" t="n">
        <v>0</v>
      </c>
      <c r="AS56" s="20" t="n">
        <v>0</v>
      </c>
      <c r="AT56" s="20" t="n">
        <v>0</v>
      </c>
      <c r="AU56" s="20" t="n">
        <v>0</v>
      </c>
      <c r="AV56" s="20" t="n">
        <v>0</v>
      </c>
      <c r="AW56" s="20" t="n">
        <v>0</v>
      </c>
      <c r="AX56" s="20" t="n">
        <v>-334.25</v>
      </c>
      <c r="AY56" s="20" t="n">
        <v>-419.18</v>
      </c>
      <c r="AZ56" s="20" t="n">
        <v>-495.89</v>
      </c>
      <c r="BA56" s="49" t="n">
        <v>-3142.47</v>
      </c>
      <c r="BB56" s="21" t="n">
        <v>0</v>
      </c>
      <c r="BC56" s="61" t="n">
        <v>0</v>
      </c>
      <c r="BD56" s="27" t="inlineStr"/>
    </row>
    <row r="57">
      <c r="A57" s="28" t="n"/>
      <c r="B57" s="28" t="n"/>
      <c r="C57" s="28" t="n"/>
      <c r="D57" s="28" t="n"/>
      <c r="E57" s="28" t="n"/>
      <c r="F57" s="28" t="n"/>
      <c r="G57" s="28" t="n"/>
      <c r="H57" s="28" t="n"/>
      <c r="I57" s="28" t="n"/>
      <c r="J57" s="28" t="n"/>
      <c r="K57" s="28" t="n"/>
      <c r="L57" s="28" t="n"/>
      <c r="M57" s="28" t="n"/>
      <c r="N57" s="28" t="n"/>
      <c r="O57" s="28" t="n"/>
      <c r="P57" s="28" t="n"/>
      <c r="Q57" s="28" t="n"/>
      <c r="R57" s="29" t="inlineStr">
        <is>
          <t>累计成本</t>
        </is>
      </c>
      <c r="S57" s="30">
        <f>SUM(S53:S56)</f>
        <v/>
      </c>
      <c r="T57" s="30">
        <f>SUM(T53:T56)</f>
        <v/>
      </c>
      <c r="U57" s="31">
        <f>SUM(U53:U56)</f>
        <v/>
      </c>
      <c r="V57" s="30">
        <f>SUM(V53:V56)</f>
        <v/>
      </c>
      <c r="W57" s="30">
        <f>SUM(W53:W56)</f>
        <v/>
      </c>
      <c r="X57" s="30">
        <f>SUM(X53:X56)</f>
        <v/>
      </c>
      <c r="Y57" s="30">
        <f>SUM(Y53:Y56)</f>
        <v/>
      </c>
      <c r="Z57" s="30">
        <f>SUM(Z53:Z56)</f>
        <v/>
      </c>
      <c r="AA57" s="30">
        <f>SUM(AA53:AA56)</f>
        <v/>
      </c>
      <c r="AB57" s="30">
        <f>SUM(AB53:AB56)</f>
        <v/>
      </c>
      <c r="AC57" s="30">
        <f>SUM(AC53:AC56)</f>
        <v/>
      </c>
      <c r="AD57" s="30">
        <f>SUM(AD53:AD56)</f>
        <v/>
      </c>
      <c r="AE57" s="30">
        <f>SUM(AE53:AE56)</f>
        <v/>
      </c>
      <c r="AF57" s="30">
        <f>SUM(AF53:AF56)</f>
        <v/>
      </c>
      <c r="AG57" s="30">
        <f>SUM(AG53:AG56)</f>
        <v/>
      </c>
      <c r="AH57" s="30">
        <f>SUM(AH53:AH56)</f>
        <v/>
      </c>
      <c r="AI57" s="30">
        <f>SUM(AI53:AI56)</f>
        <v/>
      </c>
      <c r="AJ57" s="28" t="n"/>
      <c r="AK57" s="28" t="n"/>
      <c r="AL57" s="28" t="n"/>
      <c r="AM57" s="28" t="n"/>
      <c r="AN57" s="28" t="n"/>
      <c r="AO57" s="30">
        <f>SUM(AO53:AO56)</f>
        <v/>
      </c>
      <c r="AP57" s="30">
        <f>SUM(AP53:AP56)</f>
        <v/>
      </c>
      <c r="AQ57" s="30">
        <f>SUM(AQ53:AQ56)</f>
        <v/>
      </c>
      <c r="AR57" s="30">
        <f>SUM(AR53:AR56)</f>
        <v/>
      </c>
      <c r="AS57" s="30">
        <f>SUM(AS53:AS56)</f>
        <v/>
      </c>
      <c r="AT57" s="30">
        <f>SUM(AT53:AT56)</f>
        <v/>
      </c>
      <c r="AU57" s="30">
        <f>SUM(AU53:AU56)</f>
        <v/>
      </c>
      <c r="AV57" s="30">
        <f>SUM(AV53:AV56)</f>
        <v/>
      </c>
      <c r="AW57" s="30">
        <f>SUM(AW53:AW56)</f>
        <v/>
      </c>
      <c r="AX57" s="30">
        <f>SUM(AX53:AX56)</f>
        <v/>
      </c>
      <c r="AY57" s="30" t="n">
        <v>86784.61</v>
      </c>
      <c r="AZ57" s="30">
        <f>SUM(AZ53:AZ56)</f>
        <v/>
      </c>
      <c r="BA57" s="53" t="n">
        <v>328341.46</v>
      </c>
      <c r="BB57" s="31">
        <f>SUM(BB53:BB56)</f>
        <v/>
      </c>
      <c r="BC57" s="54">
        <f>SUM(BC53:BC56)</f>
        <v/>
      </c>
      <c r="BD57" s="32" t="inlineStr"/>
    </row>
    <row r="58">
      <c r="A58" s="28" t="n"/>
      <c r="B58" s="28" t="n"/>
      <c r="C58" s="28" t="n"/>
      <c r="D58" s="28" t="n"/>
      <c r="E58" s="28" t="n"/>
      <c r="F58" s="28" t="n"/>
      <c r="G58" s="28" t="n"/>
      <c r="H58" s="28" t="n"/>
      <c r="I58" s="28" t="n"/>
      <c r="J58" s="28" t="n"/>
      <c r="K58" s="28" t="n"/>
      <c r="L58" s="28" t="n"/>
      <c r="M58" s="28" t="n"/>
      <c r="N58" s="28" t="n"/>
      <c r="O58" s="28" t="n"/>
      <c r="P58" s="28" t="n"/>
      <c r="Q58" s="28" t="n"/>
      <c r="R58" s="29" t="inlineStr">
        <is>
          <t>GP1毛利</t>
        </is>
      </c>
      <c r="S58" s="20">
        <f>S52-S53</f>
        <v/>
      </c>
      <c r="T58" s="20">
        <f>T52-T53</f>
        <v/>
      </c>
      <c r="U58" s="21">
        <f>U52-U53</f>
        <v/>
      </c>
      <c r="V58" s="20">
        <f>V52-V53</f>
        <v/>
      </c>
      <c r="W58" s="20">
        <f>W52-W53</f>
        <v/>
      </c>
      <c r="X58" s="20">
        <f>X52-X53</f>
        <v/>
      </c>
      <c r="Y58" s="20">
        <f>Y52-Y53</f>
        <v/>
      </c>
      <c r="Z58" s="20">
        <f>Z52-Z53</f>
        <v/>
      </c>
      <c r="AA58" s="20">
        <f>AA52-AA53</f>
        <v/>
      </c>
      <c r="AB58" s="20">
        <f>AB52-AB53</f>
        <v/>
      </c>
      <c r="AC58" s="20">
        <f>AC52-AC53</f>
        <v/>
      </c>
      <c r="AD58" s="20">
        <f>AD52-AD53</f>
        <v/>
      </c>
      <c r="AE58" s="20">
        <f>AE52-AE53</f>
        <v/>
      </c>
      <c r="AF58" s="20">
        <f>AF52-AF53</f>
        <v/>
      </c>
      <c r="AG58" s="20">
        <f>AG52-AG53</f>
        <v/>
      </c>
      <c r="AH58" s="33" t="n">
        <v>0</v>
      </c>
      <c r="AI58" s="33" t="n">
        <v>0</v>
      </c>
      <c r="AJ58" s="28" t="n"/>
      <c r="AK58" s="28" t="n"/>
      <c r="AL58" s="28" t="n"/>
      <c r="AM58" s="28" t="n"/>
      <c r="AN58" s="28" t="n"/>
      <c r="AO58" s="20">
        <f>AO52-AO53</f>
        <v/>
      </c>
      <c r="AP58" s="20">
        <f>AP52-AP53</f>
        <v/>
      </c>
      <c r="AQ58" s="20">
        <f>AQ52-AQ53</f>
        <v/>
      </c>
      <c r="AR58" s="20">
        <f>AR52-AR53</f>
        <v/>
      </c>
      <c r="AS58" s="20">
        <f>AS52-AS53</f>
        <v/>
      </c>
      <c r="AT58" s="20">
        <f>AT52-AT53</f>
        <v/>
      </c>
      <c r="AU58" s="20">
        <f>AU52-AU53</f>
        <v/>
      </c>
      <c r="AV58" s="20">
        <f>AV52-AV53</f>
        <v/>
      </c>
      <c r="AW58" s="20">
        <f>AW52-AW53</f>
        <v/>
      </c>
      <c r="AX58" s="20">
        <f>AX52-AX53</f>
        <v/>
      </c>
      <c r="AY58" s="20">
        <f>AY52-AY53</f>
        <v/>
      </c>
      <c r="AZ58" s="20">
        <f>AZ52-AZ53</f>
        <v/>
      </c>
      <c r="BA58" s="55" t="n">
        <v>80176.07000000001</v>
      </c>
      <c r="BB58" s="31" t="n">
        <v>0</v>
      </c>
      <c r="BC58" s="61" t="n">
        <v>0</v>
      </c>
      <c r="BD58" s="27" t="inlineStr"/>
    </row>
    <row r="59">
      <c r="A59" s="28" t="n"/>
      <c r="B59" s="28" t="n"/>
      <c r="C59" s="28" t="n"/>
      <c r="D59" s="28" t="n"/>
      <c r="E59" s="28" t="n"/>
      <c r="F59" s="28" t="n"/>
      <c r="G59" s="28" t="n"/>
      <c r="H59" s="28" t="n"/>
      <c r="I59" s="28" t="n"/>
      <c r="J59" s="28" t="n"/>
      <c r="K59" s="28" t="n"/>
      <c r="L59" s="28" t="n"/>
      <c r="M59" s="28" t="n"/>
      <c r="N59" s="28" t="n"/>
      <c r="O59" s="28" t="n"/>
      <c r="P59" s="28" t="n"/>
      <c r="Q59" s="28" t="n"/>
      <c r="R59" s="35" t="inlineStr">
        <is>
          <t>GP1毛利率(%)</t>
        </is>
      </c>
      <c r="S59" s="36">
        <f>S58/S52</f>
        <v/>
      </c>
      <c r="T59" s="36">
        <f>T58/T52</f>
        <v/>
      </c>
      <c r="U59" s="37">
        <f>U58/U52</f>
        <v/>
      </c>
      <c r="V59" s="36">
        <f>V58/V52</f>
        <v/>
      </c>
      <c r="W59" s="36">
        <f>W58/W52</f>
        <v/>
      </c>
      <c r="X59" s="36">
        <f>X58/X52</f>
        <v/>
      </c>
      <c r="Y59" s="36">
        <f>Y58/Y52</f>
        <v/>
      </c>
      <c r="Z59" s="36">
        <f>Z58/Z52</f>
        <v/>
      </c>
      <c r="AA59" s="36">
        <f>AA58/AA52</f>
        <v/>
      </c>
      <c r="AB59" s="36">
        <f>AB58/AB52</f>
        <v/>
      </c>
      <c r="AC59" s="36">
        <f>AC58/AC52</f>
        <v/>
      </c>
      <c r="AD59" s="36">
        <f>AD58/AD52</f>
        <v/>
      </c>
      <c r="AE59" s="36">
        <f>AE58/AE52</f>
        <v/>
      </c>
      <c r="AF59" s="36">
        <f>AF58/AF52</f>
        <v/>
      </c>
      <c r="AG59" s="36">
        <f>AG58/AG52</f>
        <v/>
      </c>
      <c r="AH59" s="38">
        <f>T59-S59</f>
        <v/>
      </c>
      <c r="AI59" s="38">
        <f>AF59-S59</f>
        <v/>
      </c>
      <c r="AJ59" s="28" t="n"/>
      <c r="AK59" s="28" t="n"/>
      <c r="AL59" s="28" t="n"/>
      <c r="AM59" s="28" t="n"/>
      <c r="AN59" s="28" t="n"/>
      <c r="AO59" s="36">
        <f>AO58/AO52</f>
        <v/>
      </c>
      <c r="AP59" s="36">
        <f>AP58/AP52</f>
        <v/>
      </c>
      <c r="AQ59" s="36">
        <f>AQ58/AQ52</f>
        <v/>
      </c>
      <c r="AR59" s="36">
        <f>AR58/AR52</f>
        <v/>
      </c>
      <c r="AS59" s="36">
        <f>AS58/AS52</f>
        <v/>
      </c>
      <c r="AT59" s="36">
        <f>AT58/AT52</f>
        <v/>
      </c>
      <c r="AU59" s="36">
        <f>AU58/AU52</f>
        <v/>
      </c>
      <c r="AV59" s="36">
        <f>AV58/AV52</f>
        <v/>
      </c>
      <c r="AW59" s="36">
        <f>AW58/AW52</f>
        <v/>
      </c>
      <c r="AX59" s="36">
        <f>AX58/AX52</f>
        <v/>
      </c>
      <c r="AY59" s="36">
        <f>AY58/AY52</f>
        <v/>
      </c>
      <c r="AZ59" s="36">
        <f>AZ58/AZ52</f>
        <v/>
      </c>
      <c r="BA59" s="56" t="n">
        <v>0.194762838264587</v>
      </c>
      <c r="BB59" s="39" t="n">
        <v>0</v>
      </c>
      <c r="BC59" s="61" t="n">
        <v>0</v>
      </c>
      <c r="BD59" s="27" t="inlineStr"/>
    </row>
    <row r="60">
      <c r="A60" s="28" t="n"/>
      <c r="B60" s="28" t="n"/>
      <c r="C60" s="28" t="n"/>
      <c r="D60" s="28" t="n"/>
      <c r="E60" s="28" t="n"/>
      <c r="F60" s="28" t="n"/>
      <c r="G60" s="28" t="n"/>
      <c r="H60" s="28" t="n"/>
      <c r="I60" s="28" t="n"/>
      <c r="J60" s="28" t="n"/>
      <c r="K60" s="28" t="n"/>
      <c r="L60" s="28" t="n"/>
      <c r="M60" s="28" t="n"/>
      <c r="N60" s="28" t="n"/>
      <c r="O60" s="28" t="n"/>
      <c r="P60" s="28" t="n"/>
      <c r="Q60" s="28" t="n"/>
      <c r="R60" s="29" t="inlineStr">
        <is>
          <t>GP3毛利</t>
        </is>
      </c>
      <c r="S60" s="20">
        <f>S52-S57</f>
        <v/>
      </c>
      <c r="T60" s="20">
        <f>T52-T57</f>
        <v/>
      </c>
      <c r="U60" s="20">
        <f>U52-U57</f>
        <v/>
      </c>
      <c r="V60" s="20">
        <f>V52-V57</f>
        <v/>
      </c>
      <c r="W60" s="20">
        <f>W52-W57</f>
        <v/>
      </c>
      <c r="X60" s="20">
        <f>X52-X57</f>
        <v/>
      </c>
      <c r="Y60" s="20">
        <f>Y52-Y57</f>
        <v/>
      </c>
      <c r="Z60" s="20">
        <f>Z52-Z57</f>
        <v/>
      </c>
      <c r="AA60" s="20">
        <f>AA52-AA57</f>
        <v/>
      </c>
      <c r="AB60" s="20">
        <f>AB52-AB57</f>
        <v/>
      </c>
      <c r="AC60" s="20">
        <f>AC52-AC57</f>
        <v/>
      </c>
      <c r="AD60" s="20">
        <f>AD52-AD57</f>
        <v/>
      </c>
      <c r="AE60" s="20">
        <f>AE52-AE57</f>
        <v/>
      </c>
      <c r="AF60" s="20">
        <f>AF52-AF57</f>
        <v/>
      </c>
      <c r="AG60" s="20">
        <f>AG52-AG57</f>
        <v/>
      </c>
      <c r="AH60" s="38" t="n">
        <v>0</v>
      </c>
      <c r="AI60" s="38" t="n">
        <v>0</v>
      </c>
      <c r="AJ60" s="28" t="n"/>
      <c r="AK60" s="28" t="n"/>
      <c r="AL60" s="28" t="n"/>
      <c r="AM60" s="28" t="n"/>
      <c r="AN60" s="28" t="n"/>
      <c r="AO60" s="20">
        <f>AO52-AO57</f>
        <v/>
      </c>
      <c r="AP60" s="20">
        <f>AP52-AP57</f>
        <v/>
      </c>
      <c r="AQ60" s="20">
        <f>AQ52-AQ57</f>
        <v/>
      </c>
      <c r="AR60" s="20">
        <f>AR52-AR57</f>
        <v/>
      </c>
      <c r="AS60" s="20">
        <f>AS52-AS57</f>
        <v/>
      </c>
      <c r="AT60" s="20">
        <f>AT52-AT57</f>
        <v/>
      </c>
      <c r="AU60" s="20">
        <f>AU52-AU57</f>
        <v/>
      </c>
      <c r="AV60" s="20">
        <f>AV52-AV57</f>
        <v/>
      </c>
      <c r="AW60" s="20">
        <f>AW52-AW57</f>
        <v/>
      </c>
      <c r="AX60" s="20">
        <f>AX52-AX57</f>
        <v/>
      </c>
      <c r="AY60" s="20">
        <f>AY52-AY57</f>
        <v/>
      </c>
      <c r="AZ60" s="20">
        <f>AZ52-AZ57</f>
        <v/>
      </c>
      <c r="BA60" s="20">
        <f>BA52-BA57</f>
        <v/>
      </c>
      <c r="BB60" s="20">
        <f>BB52-BB57</f>
        <v/>
      </c>
      <c r="BC60" s="20">
        <f>BC52-BC57</f>
        <v/>
      </c>
      <c r="BD60" s="27" t="inlineStr"/>
    </row>
    <row r="61">
      <c r="A61" s="41" t="n"/>
      <c r="B61" s="41" t="n"/>
      <c r="C61" s="41" t="n"/>
      <c r="D61" s="41" t="n"/>
      <c r="E61" s="41" t="n"/>
      <c r="F61" s="41" t="n"/>
      <c r="G61" s="41" t="n"/>
      <c r="H61" s="41" t="n"/>
      <c r="I61" s="41" t="n"/>
      <c r="J61" s="41" t="n"/>
      <c r="K61" s="41" t="n"/>
      <c r="L61" s="41" t="n"/>
      <c r="M61" s="41" t="n"/>
      <c r="N61" s="41" t="n"/>
      <c r="O61" s="41" t="n"/>
      <c r="P61" s="41" t="n"/>
      <c r="Q61" s="41" t="n"/>
      <c r="R61" s="35" t="inlineStr">
        <is>
          <t>GP3毛利率(%)</t>
        </is>
      </c>
      <c r="S61" s="36">
        <f>S60/S52</f>
        <v/>
      </c>
      <c r="T61" s="36">
        <f>T60/T52</f>
        <v/>
      </c>
      <c r="U61" s="37">
        <f>U60/U52</f>
        <v/>
      </c>
      <c r="V61" s="36">
        <f>V60/V52</f>
        <v/>
      </c>
      <c r="W61" s="36">
        <f>W60/W52</f>
        <v/>
      </c>
      <c r="X61" s="36">
        <f>X60/X52</f>
        <v/>
      </c>
      <c r="Y61" s="36">
        <f>Y60/Y52</f>
        <v/>
      </c>
      <c r="Z61" s="36">
        <f>Z60/Z52</f>
        <v/>
      </c>
      <c r="AA61" s="36">
        <f>AA60/AA52</f>
        <v/>
      </c>
      <c r="AB61" s="36">
        <f>AB60/AB52</f>
        <v/>
      </c>
      <c r="AC61" s="36">
        <f>AC60/AC52</f>
        <v/>
      </c>
      <c r="AD61" s="36">
        <f>AD60/AD52</f>
        <v/>
      </c>
      <c r="AE61" s="36">
        <f>AE60/AE52</f>
        <v/>
      </c>
      <c r="AF61" s="36">
        <f>AF60/AF52</f>
        <v/>
      </c>
      <c r="AG61" s="36">
        <f>AG60/AG52</f>
        <v/>
      </c>
      <c r="AH61" s="38">
        <f>T61-S61</f>
        <v/>
      </c>
      <c r="AI61" s="38">
        <f>AF61-S61</f>
        <v/>
      </c>
      <c r="AJ61" s="41" t="n"/>
      <c r="AK61" s="41" t="n"/>
      <c r="AL61" s="41" t="n"/>
      <c r="AM61" s="41" t="n"/>
      <c r="AN61" s="41" t="n"/>
      <c r="AO61" s="36">
        <f>AO60/AO52</f>
        <v/>
      </c>
      <c r="AP61" s="36">
        <f>AP60/AP52</f>
        <v/>
      </c>
      <c r="AQ61" s="36">
        <f>AQ60/AQ52</f>
        <v/>
      </c>
      <c r="AR61" s="36">
        <f>AR60/AR52</f>
        <v/>
      </c>
      <c r="AS61" s="36">
        <f>AS60/AS52</f>
        <v/>
      </c>
      <c r="AT61" s="36">
        <f>AT60/AT52</f>
        <v/>
      </c>
      <c r="AU61" s="36">
        <f>AU60/AU52</f>
        <v/>
      </c>
      <c r="AV61" s="36">
        <f>AV60/AV52</f>
        <v/>
      </c>
      <c r="AW61" s="36">
        <f>AW60/AW52</f>
        <v/>
      </c>
      <c r="AX61" s="36">
        <f>AX60/AX52</f>
        <v/>
      </c>
      <c r="AY61" s="36">
        <f>AY60/AY52</f>
        <v/>
      </c>
      <c r="AZ61" s="36">
        <f>AZ60/AZ52</f>
        <v/>
      </c>
      <c r="BA61" s="56" t="n">
        <v>0.202396492250887</v>
      </c>
      <c r="BB61" s="39" t="n">
        <v>0</v>
      </c>
      <c r="BC61" s="61" t="n">
        <v>0</v>
      </c>
      <c r="BD61" s="27" t="inlineStr"/>
    </row>
    <row r="62">
      <c r="A62" s="42" t="inlineStr">
        <is>
          <t>P202509000658</t>
        </is>
      </c>
      <c r="B62" s="43" t="inlineStr">
        <is>
          <t>全国畜牧总站-2025年农生物育种大数据与知识产权支撑体系建设联合实施4-FP项目（有分包）</t>
        </is>
      </c>
      <c r="C62" s="44" t="n">
        <v>45809</v>
      </c>
      <c r="D62" s="44" t="n">
        <v>46173</v>
      </c>
      <c r="E62" s="15" t="n"/>
      <c r="F62" s="16" t="n">
        <v>0.75</v>
      </c>
      <c r="G62" s="18" t="n">
        <v>0.5</v>
      </c>
      <c r="H62" s="18" t="n"/>
      <c r="I62" s="18" t="n"/>
      <c r="J62" s="18" t="n"/>
      <c r="K62" s="18" t="n"/>
      <c r="L62" s="18" t="n"/>
      <c r="M62" s="18" t="n"/>
      <c r="N62" s="18" t="n"/>
      <c r="O62" s="18" t="n"/>
      <c r="P62" s="15" t="n"/>
      <c r="Q62" s="18" t="inlineStr"/>
      <c r="R62" s="47" t="inlineStr">
        <is>
          <t>累计收入（NR）</t>
        </is>
      </c>
      <c r="S62" s="20" t="n">
        <v>435000</v>
      </c>
      <c r="T62" s="20">
        <f>SUM(AO62:BC62)</f>
        <v/>
      </c>
      <c r="U62" s="21">
        <f>SUM(BA62:BC62)</f>
        <v/>
      </c>
      <c r="V62" s="20">
        <f>SUM(AO62:AZ62)</f>
        <v/>
      </c>
      <c r="W62" s="20">
        <f>SUM(AP62:AZ62)</f>
        <v/>
      </c>
      <c r="X62" s="20">
        <f>SUM(AQ62:AZ62)</f>
        <v/>
      </c>
      <c r="Y62" s="20">
        <f>SUM(AR62:AZ62)</f>
        <v/>
      </c>
      <c r="Z62" s="20">
        <f>SUM(AS62:AZ62)</f>
        <v/>
      </c>
      <c r="AA62" s="20">
        <f>SUM(AT62:AZ62)</f>
        <v/>
      </c>
      <c r="AB62" s="20">
        <f>SUM(AU62:AZ62)</f>
        <v/>
      </c>
      <c r="AC62" s="20">
        <f>SUM(AV62:AZ62)</f>
        <v/>
      </c>
      <c r="AD62" s="20">
        <f>SUM(AW62:AZ62)</f>
        <v/>
      </c>
      <c r="AE62" s="20">
        <f>SUM(AX62:AZ62)</f>
        <v/>
      </c>
      <c r="AF62" s="20">
        <f>SUM(AY62:AZ62)</f>
        <v/>
      </c>
      <c r="AG62" s="20">
        <f>SUM(AZ62:AZ62)</f>
        <v/>
      </c>
      <c r="AH62" s="22" t="n">
        <v>0</v>
      </c>
      <c r="AI62" s="22" t="n">
        <v>0</v>
      </c>
      <c r="AJ62" s="43" t="inlineStr"/>
      <c r="AK62" s="48" t="inlineStr">
        <is>
          <t>农业科研项目，12月成本13.76万，超出当月NR 2.9万，导致亏损</t>
        </is>
      </c>
      <c r="AL62" s="43" t="inlineStr">
        <is>
          <t>d</t>
        </is>
      </c>
      <c r="AM62" s="48" t="inlineStr"/>
      <c r="AN62" s="16" t="n"/>
      <c r="AO62" s="20" t="n">
        <v>0</v>
      </c>
      <c r="AP62" s="20" t="n">
        <v>0</v>
      </c>
      <c r="AQ62" s="20" t="n">
        <v>0</v>
      </c>
      <c r="AR62" s="20" t="n">
        <v>0</v>
      </c>
      <c r="AS62" s="20" t="n">
        <v>0</v>
      </c>
      <c r="AT62" s="20" t="n">
        <v>0</v>
      </c>
      <c r="AU62" s="20" t="n">
        <v>0</v>
      </c>
      <c r="AV62" s="20" t="n">
        <v>0</v>
      </c>
      <c r="AW62" s="20" t="n">
        <v>0</v>
      </c>
      <c r="AX62" s="20" t="n">
        <v>0</v>
      </c>
      <c r="AY62" s="20" t="n">
        <v>0</v>
      </c>
      <c r="AZ62" s="20" t="n">
        <v>0</v>
      </c>
      <c r="BA62" s="49" t="n">
        <v>435000</v>
      </c>
      <c r="BB62" s="21" t="n">
        <v>0</v>
      </c>
      <c r="BC62" s="61" t="n">
        <v>0</v>
      </c>
      <c r="BD62" s="27" t="inlineStr"/>
    </row>
    <row r="63">
      <c r="A63" s="28" t="n"/>
      <c r="B63" s="28" t="n"/>
      <c r="C63" s="28" t="n"/>
      <c r="D63" s="28" t="n"/>
      <c r="E63" s="28" t="n"/>
      <c r="F63" s="28" t="n"/>
      <c r="G63" s="28" t="n"/>
      <c r="H63" s="28" t="n"/>
      <c r="I63" s="28" t="n"/>
      <c r="J63" s="28" t="n"/>
      <c r="K63" s="28" t="n"/>
      <c r="L63" s="28" t="n"/>
      <c r="M63" s="28" t="n"/>
      <c r="N63" s="28" t="n"/>
      <c r="O63" s="28" t="n"/>
      <c r="P63" s="28" t="n"/>
      <c r="Q63" s="28" t="n"/>
      <c r="R63" s="29" t="inlineStr">
        <is>
          <t>人工成本（成本１）</t>
        </is>
      </c>
      <c r="S63" s="20" t="n">
        <v>354384.65</v>
      </c>
      <c r="T63" s="20">
        <f>SUM(AO63:BC63)</f>
        <v/>
      </c>
      <c r="U63" s="21">
        <f>SUM(BA63:BC63)</f>
        <v/>
      </c>
      <c r="V63" s="20">
        <f>SUM(AO63:AZ63)</f>
        <v/>
      </c>
      <c r="W63" s="20">
        <f>SUM(AP63:AZ63)</f>
        <v/>
      </c>
      <c r="X63" s="20">
        <f>SUM(AQ63:AZ63)</f>
        <v/>
      </c>
      <c r="Y63" s="20">
        <f>SUM(AR63:AZ63)</f>
        <v/>
      </c>
      <c r="Z63" s="20">
        <f>SUM(AS63:AZ63)</f>
        <v/>
      </c>
      <c r="AA63" s="20">
        <f>SUM(AT63:AZ63)</f>
        <v/>
      </c>
      <c r="AB63" s="20">
        <f>SUM(AU63:AZ63)</f>
        <v/>
      </c>
      <c r="AC63" s="20">
        <f>SUM(AV63:AZ63)</f>
        <v/>
      </c>
      <c r="AD63" s="20">
        <f>SUM(AW63:AZ63)</f>
        <v/>
      </c>
      <c r="AE63" s="20">
        <f>SUM(AX63:AZ63)</f>
        <v/>
      </c>
      <c r="AF63" s="20">
        <f>SUM(AY63:AZ63)</f>
        <v/>
      </c>
      <c r="AG63" s="20">
        <f>SUM(AZ63:AZ63)</f>
        <v/>
      </c>
      <c r="AH63" s="22" t="n">
        <v>0</v>
      </c>
      <c r="AI63" s="22" t="n">
        <v>0</v>
      </c>
      <c r="AJ63" s="28" t="n"/>
      <c r="AK63" s="28" t="n"/>
      <c r="AL63" s="28" t="n"/>
      <c r="AM63" s="28" t="n"/>
      <c r="AN63" s="28" t="n"/>
      <c r="AO63" s="20" t="n">
        <v>0</v>
      </c>
      <c r="AP63" s="20" t="n">
        <v>0</v>
      </c>
      <c r="AQ63" s="20" t="n">
        <v>0</v>
      </c>
      <c r="AR63" s="20" t="n">
        <v>0</v>
      </c>
      <c r="AS63" s="20" t="n">
        <v>0</v>
      </c>
      <c r="AT63" s="20" t="n">
        <v>0</v>
      </c>
      <c r="AU63" s="20" t="n">
        <v>0</v>
      </c>
      <c r="AV63" s="20" t="n">
        <v>0</v>
      </c>
      <c r="AW63" s="20" t="n">
        <v>0</v>
      </c>
      <c r="AX63" s="20" t="n">
        <v>0</v>
      </c>
      <c r="AY63" s="20" t="n">
        <v>28405.83</v>
      </c>
      <c r="AZ63" s="20" t="n">
        <v>0</v>
      </c>
      <c r="BA63" s="49" t="n">
        <v>317303.07</v>
      </c>
      <c r="BB63" s="21" t="n">
        <v>0</v>
      </c>
      <c r="BC63" s="61" t="n">
        <v>0</v>
      </c>
      <c r="BD63" s="27" t="inlineStr"/>
    </row>
    <row r="64">
      <c r="A64" s="28" t="n"/>
      <c r="B64" s="28" t="n"/>
      <c r="C64" s="28" t="n"/>
      <c r="D64" s="28" t="n"/>
      <c r="E64" s="28" t="n"/>
      <c r="F64" s="28" t="n"/>
      <c r="G64" s="28" t="n"/>
      <c r="H64" s="28" t="n"/>
      <c r="I64" s="28" t="n"/>
      <c r="J64" s="28" t="n"/>
      <c r="K64" s="28" t="n"/>
      <c r="L64" s="28" t="n"/>
      <c r="M64" s="28" t="n"/>
      <c r="N64" s="28" t="n"/>
      <c r="O64" s="28" t="n"/>
      <c r="P64" s="28" t="n"/>
      <c r="Q64" s="28" t="n"/>
      <c r="R64" s="29" t="inlineStr">
        <is>
          <t>闲置成本（成本2）</t>
        </is>
      </c>
      <c r="S64" s="20" t="n">
        <v>0</v>
      </c>
      <c r="T64" s="20" t="n">
        <v>0</v>
      </c>
      <c r="U64" s="21" t="n">
        <v>0</v>
      </c>
      <c r="V64" s="20" t="n">
        <v>0</v>
      </c>
      <c r="W64" s="20" t="n">
        <v>0</v>
      </c>
      <c r="X64" s="20" t="n">
        <v>0</v>
      </c>
      <c r="Y64" s="20" t="n">
        <v>0</v>
      </c>
      <c r="Z64" s="20" t="n">
        <v>0</v>
      </c>
      <c r="AA64" s="20" t="n">
        <v>0</v>
      </c>
      <c r="AB64" s="20" t="n">
        <v>0</v>
      </c>
      <c r="AC64" s="20" t="n">
        <v>0</v>
      </c>
      <c r="AD64" s="20" t="n">
        <v>0</v>
      </c>
      <c r="AE64" s="20" t="n">
        <v>0</v>
      </c>
      <c r="AF64" s="20" t="n">
        <v>0</v>
      </c>
      <c r="AG64" s="20" t="n">
        <v>0</v>
      </c>
      <c r="AH64" s="22" t="n">
        <v>0</v>
      </c>
      <c r="AI64" s="22" t="n">
        <v>0</v>
      </c>
      <c r="AJ64" s="28" t="n"/>
      <c r="AK64" s="28" t="n"/>
      <c r="AL64" s="28" t="n"/>
      <c r="AM64" s="28" t="n"/>
      <c r="AN64" s="28" t="n"/>
      <c r="AO64" s="20" t="n">
        <v>0</v>
      </c>
      <c r="AP64" s="20" t="n">
        <v>0</v>
      </c>
      <c r="AQ64" s="20" t="n">
        <v>0</v>
      </c>
      <c r="AR64" s="20" t="n">
        <v>0</v>
      </c>
      <c r="AS64" s="20" t="n">
        <v>0</v>
      </c>
      <c r="AT64" s="20" t="n">
        <v>0</v>
      </c>
      <c r="AU64" s="20" t="n">
        <v>0</v>
      </c>
      <c r="AV64" s="20" t="n">
        <v>0</v>
      </c>
      <c r="AW64" s="20" t="n">
        <v>0</v>
      </c>
      <c r="AX64" s="20" t="n">
        <v>0</v>
      </c>
      <c r="AY64" s="20" t="n">
        <v>0</v>
      </c>
      <c r="AZ64" s="20" t="n">
        <v>0</v>
      </c>
      <c r="BA64" s="49" t="n">
        <v>0</v>
      </c>
      <c r="BB64" s="21" t="n">
        <v>0</v>
      </c>
      <c r="BC64" s="61" t="n">
        <v>0</v>
      </c>
      <c r="BD64" s="27" t="inlineStr"/>
    </row>
    <row r="65">
      <c r="A65" s="28" t="n"/>
      <c r="B65" s="28" t="n"/>
      <c r="C65" s="28" t="n"/>
      <c r="D65" s="28" t="n"/>
      <c r="E65" s="28" t="n"/>
      <c r="F65" s="28" t="n"/>
      <c r="G65" s="28" t="n"/>
      <c r="H65" s="28" t="n"/>
      <c r="I65" s="28" t="n"/>
      <c r="J65" s="28" t="n"/>
      <c r="K65" s="28" t="n"/>
      <c r="L65" s="28" t="n"/>
      <c r="M65" s="28" t="n"/>
      <c r="N65" s="28" t="n"/>
      <c r="O65" s="28" t="n"/>
      <c r="P65" s="28" t="n"/>
      <c r="Q65" s="28" t="n"/>
      <c r="R65" s="29" t="inlineStr">
        <is>
          <t>差旅费（成本３）</t>
        </is>
      </c>
      <c r="S65" s="20" t="n">
        <v>13000</v>
      </c>
      <c r="T65" s="20">
        <f>SUM(AO65:BC65)</f>
        <v/>
      </c>
      <c r="U65" s="21">
        <f>SUM(BA65:BC65)</f>
        <v/>
      </c>
      <c r="V65" s="20">
        <f>SUM(AO65:AZ65)</f>
        <v/>
      </c>
      <c r="W65" s="20">
        <f>SUM(AP65:AZ65)</f>
        <v/>
      </c>
      <c r="X65" s="20">
        <f>SUM(AQ65:AZ65)</f>
        <v/>
      </c>
      <c r="Y65" s="20">
        <f>SUM(AR65:AZ65)</f>
        <v/>
      </c>
      <c r="Z65" s="20">
        <f>SUM(AS65:AZ65)</f>
        <v/>
      </c>
      <c r="AA65" s="20">
        <f>SUM(AT65:AZ65)</f>
        <v/>
      </c>
      <c r="AB65" s="20">
        <f>SUM(AU65:AZ65)</f>
        <v/>
      </c>
      <c r="AC65" s="20">
        <f>SUM(AV65:AZ65)</f>
        <v/>
      </c>
      <c r="AD65" s="20">
        <f>SUM(AW65:AZ65)</f>
        <v/>
      </c>
      <c r="AE65" s="20">
        <f>SUM(AX65:AZ65)</f>
        <v/>
      </c>
      <c r="AF65" s="20">
        <f>SUM(AY65:AZ65)</f>
        <v/>
      </c>
      <c r="AG65" s="20">
        <f>SUM(AZ65:AZ65)</f>
        <v/>
      </c>
      <c r="AH65" s="22" t="n">
        <v>0</v>
      </c>
      <c r="AI65" s="22" t="n">
        <v>0</v>
      </c>
      <c r="AJ65" s="28" t="n"/>
      <c r="AK65" s="28" t="n"/>
      <c r="AL65" s="28" t="n"/>
      <c r="AM65" s="28" t="n"/>
      <c r="AN65" s="28" t="n"/>
      <c r="AO65" s="20" t="n">
        <v>0</v>
      </c>
      <c r="AP65" s="20" t="n">
        <v>0</v>
      </c>
      <c r="AQ65" s="20" t="n">
        <v>0</v>
      </c>
      <c r="AR65" s="20" t="n">
        <v>0</v>
      </c>
      <c r="AS65" s="20" t="n">
        <v>0</v>
      </c>
      <c r="AT65" s="20" t="n">
        <v>0</v>
      </c>
      <c r="AU65" s="20" t="n">
        <v>0</v>
      </c>
      <c r="AV65" s="20" t="n">
        <v>0</v>
      </c>
      <c r="AW65" s="20" t="n">
        <v>0</v>
      </c>
      <c r="AX65" s="20" t="n">
        <v>0</v>
      </c>
      <c r="AY65" s="20" t="n">
        <v>0</v>
      </c>
      <c r="AZ65" s="20" t="n">
        <v>0</v>
      </c>
      <c r="BA65" s="49" t="n">
        <v>0</v>
      </c>
      <c r="BB65" s="21" t="n">
        <v>0</v>
      </c>
      <c r="BC65" s="61" t="n">
        <v>0</v>
      </c>
      <c r="BD65" s="27" t="inlineStr"/>
    </row>
    <row r="66">
      <c r="A66" s="28" t="n"/>
      <c r="B66" s="28" t="n"/>
      <c r="C66" s="28" t="n"/>
      <c r="D66" s="28" t="n"/>
      <c r="E66" s="28" t="n"/>
      <c r="F66" s="28" t="n"/>
      <c r="G66" s="28" t="n"/>
      <c r="H66" s="28" t="n"/>
      <c r="I66" s="28" t="n"/>
      <c r="J66" s="28" t="n"/>
      <c r="K66" s="28" t="n"/>
      <c r="L66" s="28" t="n"/>
      <c r="M66" s="28" t="n"/>
      <c r="N66" s="28" t="n"/>
      <c r="O66" s="28" t="n"/>
      <c r="P66" s="28" t="n"/>
      <c r="Q66" s="28" t="n"/>
      <c r="R66" s="29" t="inlineStr">
        <is>
          <t>其他成本（成本３）</t>
        </is>
      </c>
      <c r="S66" s="20" t="n">
        <v>0</v>
      </c>
      <c r="T66" s="20">
        <f>SUM(AO66:BC66)</f>
        <v/>
      </c>
      <c r="U66" s="21">
        <f>SUM(BA66:BC66)</f>
        <v/>
      </c>
      <c r="V66" s="20">
        <f>SUM(AO66:AZ66)</f>
        <v/>
      </c>
      <c r="W66" s="20">
        <f>SUM(AP66:AZ66)</f>
        <v/>
      </c>
      <c r="X66" s="20">
        <f>SUM(AQ66:AZ66)</f>
        <v/>
      </c>
      <c r="Y66" s="20">
        <f>SUM(AR66:AZ66)</f>
        <v/>
      </c>
      <c r="Z66" s="20">
        <f>SUM(AS66:AZ66)</f>
        <v/>
      </c>
      <c r="AA66" s="20">
        <f>SUM(AT66:AZ66)</f>
        <v/>
      </c>
      <c r="AB66" s="20">
        <f>SUM(AU66:AZ66)</f>
        <v/>
      </c>
      <c r="AC66" s="20">
        <f>SUM(AV66:AZ66)</f>
        <v/>
      </c>
      <c r="AD66" s="20">
        <f>SUM(AW66:AZ66)</f>
        <v/>
      </c>
      <c r="AE66" s="20">
        <f>SUM(AX66:AZ66)</f>
        <v/>
      </c>
      <c r="AF66" s="20" t="n">
        <v>0</v>
      </c>
      <c r="AG66" s="20">
        <f>SUM(AZ66:AZ66)</f>
        <v/>
      </c>
      <c r="AH66" s="22" t="n">
        <v>0</v>
      </c>
      <c r="AI66" s="22" t="n">
        <v>0</v>
      </c>
      <c r="AJ66" s="28" t="n"/>
      <c r="AK66" s="28" t="n"/>
      <c r="AL66" s="28" t="n"/>
      <c r="AM66" s="28" t="n"/>
      <c r="AN66" s="28" t="n"/>
      <c r="AO66" s="20" t="n">
        <v>0</v>
      </c>
      <c r="AP66" s="20" t="n">
        <v>0</v>
      </c>
      <c r="AQ66" s="20" t="n">
        <v>0</v>
      </c>
      <c r="AR66" s="20" t="n">
        <v>0</v>
      </c>
      <c r="AS66" s="20" t="n">
        <v>0</v>
      </c>
      <c r="AT66" s="20" t="n">
        <v>0</v>
      </c>
      <c r="AU66" s="20" t="n">
        <v>0</v>
      </c>
      <c r="AV66" s="20" t="n">
        <v>0</v>
      </c>
      <c r="AW66" s="20" t="n">
        <v>0</v>
      </c>
      <c r="AX66" s="20" t="n">
        <v>0</v>
      </c>
      <c r="AY66" s="20" t="n">
        <v>-28405.83</v>
      </c>
      <c r="AZ66" s="20" t="n">
        <v>0</v>
      </c>
      <c r="BA66" s="49" t="n">
        <v>0</v>
      </c>
      <c r="BB66" s="21" t="n">
        <v>0</v>
      </c>
      <c r="BC66" s="61" t="n">
        <v>0</v>
      </c>
      <c r="BD66" s="27" t="inlineStr"/>
    </row>
    <row r="67">
      <c r="A67" s="28" t="n"/>
      <c r="B67" s="28" t="n"/>
      <c r="C67" s="28" t="n"/>
      <c r="D67" s="28" t="n"/>
      <c r="E67" s="28" t="n"/>
      <c r="F67" s="28" t="n"/>
      <c r="G67" s="28" t="n"/>
      <c r="H67" s="28" t="n"/>
      <c r="I67" s="28" t="n"/>
      <c r="J67" s="28" t="n"/>
      <c r="K67" s="28" t="n"/>
      <c r="L67" s="28" t="n"/>
      <c r="M67" s="28" t="n"/>
      <c r="N67" s="28" t="n"/>
      <c r="O67" s="28" t="n"/>
      <c r="P67" s="28" t="n"/>
      <c r="Q67" s="28" t="n"/>
      <c r="R67" s="29" t="inlineStr">
        <is>
          <t>累计成本</t>
        </is>
      </c>
      <c r="S67" s="30">
        <f>SUM(S63:S66)</f>
        <v/>
      </c>
      <c r="T67" s="30">
        <f>SUM(T63:T66)</f>
        <v/>
      </c>
      <c r="U67" s="31">
        <f>SUM(U63:U66)</f>
        <v/>
      </c>
      <c r="V67" s="30">
        <f>SUM(V63:V66)</f>
        <v/>
      </c>
      <c r="W67" s="30">
        <f>SUM(W63:W66)</f>
        <v/>
      </c>
      <c r="X67" s="30">
        <f>SUM(X63:X66)</f>
        <v/>
      </c>
      <c r="Y67" s="30">
        <f>SUM(Y63:Y66)</f>
        <v/>
      </c>
      <c r="Z67" s="30">
        <f>SUM(Z63:Z66)</f>
        <v/>
      </c>
      <c r="AA67" s="30">
        <f>SUM(AA63:AA66)</f>
        <v/>
      </c>
      <c r="AB67" s="30">
        <f>SUM(AB63:AB66)</f>
        <v/>
      </c>
      <c r="AC67" s="30">
        <f>SUM(AC63:AC66)</f>
        <v/>
      </c>
      <c r="AD67" s="30">
        <f>SUM(AD63:AD66)</f>
        <v/>
      </c>
      <c r="AE67" s="30">
        <f>SUM(AE63:AE66)</f>
        <v/>
      </c>
      <c r="AF67" s="30">
        <f>SUM(AF63:AF66)</f>
        <v/>
      </c>
      <c r="AG67" s="30">
        <f>SUM(AG63:AG66)</f>
        <v/>
      </c>
      <c r="AH67" s="30">
        <f>SUM(AH63:AH66)</f>
        <v/>
      </c>
      <c r="AI67" s="30">
        <f>SUM(AI63:AI66)</f>
        <v/>
      </c>
      <c r="AJ67" s="28" t="n"/>
      <c r="AK67" s="28" t="n"/>
      <c r="AL67" s="28" t="n"/>
      <c r="AM67" s="28" t="n"/>
      <c r="AN67" s="28" t="n"/>
      <c r="AO67" s="30">
        <f>SUM(AO63:AO66)</f>
        <v/>
      </c>
      <c r="AP67" s="30">
        <f>SUM(AP63:AP66)</f>
        <v/>
      </c>
      <c r="AQ67" s="30">
        <f>SUM(AQ63:AQ66)</f>
        <v/>
      </c>
      <c r="AR67" s="30">
        <f>SUM(AR63:AR66)</f>
        <v/>
      </c>
      <c r="AS67" s="30">
        <f>SUM(AS63:AS66)</f>
        <v/>
      </c>
      <c r="AT67" s="30">
        <f>SUM(AT63:AT66)</f>
        <v/>
      </c>
      <c r="AU67" s="30">
        <f>SUM(AU63:AU66)</f>
        <v/>
      </c>
      <c r="AV67" s="30">
        <f>SUM(AV63:AV66)</f>
        <v/>
      </c>
      <c r="AW67" s="30">
        <f>SUM(AW63:AW66)</f>
        <v/>
      </c>
      <c r="AX67" s="30">
        <f>SUM(AX63:AX66)</f>
        <v/>
      </c>
      <c r="AY67" s="30" t="n">
        <v>0</v>
      </c>
      <c r="AZ67" s="30">
        <f>SUM(AZ63:AZ66)</f>
        <v/>
      </c>
      <c r="BA67" s="53" t="n">
        <v>317303.07</v>
      </c>
      <c r="BB67" s="31">
        <f>SUM(BB63:BB66)</f>
        <v/>
      </c>
      <c r="BC67" s="54">
        <f>SUM(BC63:BC66)</f>
        <v/>
      </c>
      <c r="BD67" s="32" t="inlineStr"/>
    </row>
    <row r="68">
      <c r="A68" s="28" t="n"/>
      <c r="B68" s="28" t="n"/>
      <c r="C68" s="28" t="n"/>
      <c r="D68" s="28" t="n"/>
      <c r="E68" s="28" t="n"/>
      <c r="F68" s="28" t="n"/>
      <c r="G68" s="28" t="n"/>
      <c r="H68" s="28" t="n"/>
      <c r="I68" s="28" t="n"/>
      <c r="J68" s="28" t="n"/>
      <c r="K68" s="28" t="n"/>
      <c r="L68" s="28" t="n"/>
      <c r="M68" s="28" t="n"/>
      <c r="N68" s="28" t="n"/>
      <c r="O68" s="28" t="n"/>
      <c r="P68" s="28" t="n"/>
      <c r="Q68" s="28" t="n"/>
      <c r="R68" s="29" t="inlineStr">
        <is>
          <t>GP1毛利</t>
        </is>
      </c>
      <c r="S68" s="20">
        <f>S62-S63</f>
        <v/>
      </c>
      <c r="T68" s="20">
        <f>T62-T63</f>
        <v/>
      </c>
      <c r="U68" s="21">
        <f>U62-U63</f>
        <v/>
      </c>
      <c r="V68" s="20">
        <f>V62-V63</f>
        <v/>
      </c>
      <c r="W68" s="20">
        <f>W62-W63</f>
        <v/>
      </c>
      <c r="X68" s="20">
        <f>X62-X63</f>
        <v/>
      </c>
      <c r="Y68" s="20">
        <f>Y62-Y63</f>
        <v/>
      </c>
      <c r="Z68" s="20">
        <f>Z62-Z63</f>
        <v/>
      </c>
      <c r="AA68" s="20">
        <f>AA62-AA63</f>
        <v/>
      </c>
      <c r="AB68" s="20">
        <f>AB62-AB63</f>
        <v/>
      </c>
      <c r="AC68" s="20">
        <f>AC62-AC63</f>
        <v/>
      </c>
      <c r="AD68" s="20">
        <f>AD62-AD63</f>
        <v/>
      </c>
      <c r="AE68" s="20">
        <f>AE62-AE63</f>
        <v/>
      </c>
      <c r="AF68" s="20">
        <f>AF62-AF63</f>
        <v/>
      </c>
      <c r="AG68" s="20">
        <f>AG62-AG63</f>
        <v/>
      </c>
      <c r="AH68" s="33" t="n">
        <v>0</v>
      </c>
      <c r="AI68" s="33" t="n">
        <v>0</v>
      </c>
      <c r="AJ68" s="28" t="n"/>
      <c r="AK68" s="28" t="n"/>
      <c r="AL68" s="28" t="n"/>
      <c r="AM68" s="28" t="n"/>
      <c r="AN68" s="28" t="n"/>
      <c r="AO68" s="20">
        <f>AO62-AO63</f>
        <v/>
      </c>
      <c r="AP68" s="20">
        <f>AP62-AP63</f>
        <v/>
      </c>
      <c r="AQ68" s="20">
        <f>AQ62-AQ63</f>
        <v/>
      </c>
      <c r="AR68" s="20">
        <f>AR62-AR63</f>
        <v/>
      </c>
      <c r="AS68" s="20">
        <f>AS62-AS63</f>
        <v/>
      </c>
      <c r="AT68" s="20">
        <f>AT62-AT63</f>
        <v/>
      </c>
      <c r="AU68" s="20">
        <f>AU62-AU63</f>
        <v/>
      </c>
      <c r="AV68" s="20">
        <f>AV62-AV63</f>
        <v/>
      </c>
      <c r="AW68" s="20">
        <f>AW62-AW63</f>
        <v/>
      </c>
      <c r="AX68" s="20">
        <f>AX62-AX63</f>
        <v/>
      </c>
      <c r="AY68" s="20">
        <f>AY62-AY63</f>
        <v/>
      </c>
      <c r="AZ68" s="20">
        <f>AZ62-AZ63</f>
        <v/>
      </c>
      <c r="BA68" s="55" t="n">
        <v>117696.93</v>
      </c>
      <c r="BB68" s="31" t="n">
        <v>0</v>
      </c>
      <c r="BC68" s="61" t="n">
        <v>0</v>
      </c>
      <c r="BD68" s="27" t="inlineStr"/>
    </row>
    <row r="69">
      <c r="A69" s="28" t="n"/>
      <c r="B69" s="28" t="n"/>
      <c r="C69" s="28" t="n"/>
      <c r="D69" s="28" t="n"/>
      <c r="E69" s="28" t="n"/>
      <c r="F69" s="28" t="n"/>
      <c r="G69" s="28" t="n"/>
      <c r="H69" s="28" t="n"/>
      <c r="I69" s="28" t="n"/>
      <c r="J69" s="28" t="n"/>
      <c r="K69" s="28" t="n"/>
      <c r="L69" s="28" t="n"/>
      <c r="M69" s="28" t="n"/>
      <c r="N69" s="28" t="n"/>
      <c r="O69" s="28" t="n"/>
      <c r="P69" s="28" t="n"/>
      <c r="Q69" s="28" t="n"/>
      <c r="R69" s="35" t="inlineStr">
        <is>
          <t>GP1毛利率(%)</t>
        </is>
      </c>
      <c r="S69" s="36">
        <f>S68/S62</f>
        <v/>
      </c>
      <c r="T69" s="36">
        <f>T68/T62</f>
        <v/>
      </c>
      <c r="U69" s="37">
        <f>U68/U62</f>
        <v/>
      </c>
      <c r="V69" s="36">
        <f>V68/V62</f>
        <v/>
      </c>
      <c r="W69" s="36">
        <f>W68/W62</f>
        <v/>
      </c>
      <c r="X69" s="36">
        <f>X68/X62</f>
        <v/>
      </c>
      <c r="Y69" s="36">
        <f>Y68/Y62</f>
        <v/>
      </c>
      <c r="Z69" s="36">
        <f>Z68/Z62</f>
        <v/>
      </c>
      <c r="AA69" s="36">
        <f>AA68/AA62</f>
        <v/>
      </c>
      <c r="AB69" s="36">
        <f>AB68/AB62</f>
        <v/>
      </c>
      <c r="AC69" s="36">
        <f>AC68/AC62</f>
        <v/>
      </c>
      <c r="AD69" s="36">
        <f>AD68/AD62</f>
        <v/>
      </c>
      <c r="AE69" s="36">
        <f>AE68/AE62</f>
        <v/>
      </c>
      <c r="AF69" s="36">
        <f>AF68/AF62</f>
        <v/>
      </c>
      <c r="AG69" s="36">
        <f>AG68/AG62</f>
        <v/>
      </c>
      <c r="AH69" s="38">
        <f>T69-S69</f>
        <v/>
      </c>
      <c r="AI69" s="38">
        <f>AF69-S69</f>
        <v/>
      </c>
      <c r="AJ69" s="28" t="n"/>
      <c r="AK69" s="28" t="n"/>
      <c r="AL69" s="28" t="n"/>
      <c r="AM69" s="28" t="n"/>
      <c r="AN69" s="28" t="n"/>
      <c r="AO69" s="36">
        <f>AO68/AO62</f>
        <v/>
      </c>
      <c r="AP69" s="36">
        <f>AP68/AP62</f>
        <v/>
      </c>
      <c r="AQ69" s="36">
        <f>AQ68/AQ62</f>
        <v/>
      </c>
      <c r="AR69" s="36">
        <f>AR68/AR62</f>
        <v/>
      </c>
      <c r="AS69" s="36">
        <f>AS68/AS62</f>
        <v/>
      </c>
      <c r="AT69" s="36">
        <f>AT68/AT62</f>
        <v/>
      </c>
      <c r="AU69" s="36">
        <f>AU68/AU62</f>
        <v/>
      </c>
      <c r="AV69" s="36">
        <f>AV68/AV62</f>
        <v/>
      </c>
      <c r="AW69" s="36">
        <f>AW68/AW62</f>
        <v/>
      </c>
      <c r="AX69" s="36">
        <f>AX68/AX62</f>
        <v/>
      </c>
      <c r="AY69" s="36">
        <f>AY68/AY62</f>
        <v/>
      </c>
      <c r="AZ69" s="36">
        <f>AZ68/AZ62</f>
        <v/>
      </c>
      <c r="BA69" s="56" t="n">
        <v>0.270567655172414</v>
      </c>
      <c r="BB69" s="39" t="n">
        <v>0</v>
      </c>
      <c r="BC69" s="61" t="n">
        <v>0</v>
      </c>
      <c r="BD69" s="27" t="inlineStr"/>
    </row>
    <row r="70">
      <c r="A70" s="28" t="n"/>
      <c r="B70" s="28" t="n"/>
      <c r="C70" s="28" t="n"/>
      <c r="D70" s="28" t="n"/>
      <c r="E70" s="28" t="n"/>
      <c r="F70" s="28" t="n"/>
      <c r="G70" s="28" t="n"/>
      <c r="H70" s="28" t="n"/>
      <c r="I70" s="28" t="n"/>
      <c r="J70" s="28" t="n"/>
      <c r="K70" s="28" t="n"/>
      <c r="L70" s="28" t="n"/>
      <c r="M70" s="28" t="n"/>
      <c r="N70" s="28" t="n"/>
      <c r="O70" s="28" t="n"/>
      <c r="P70" s="28" t="n"/>
      <c r="Q70" s="28" t="n"/>
      <c r="R70" s="29" t="inlineStr">
        <is>
          <t>GP3毛利</t>
        </is>
      </c>
      <c r="S70" s="20">
        <f>S62-S67</f>
        <v/>
      </c>
      <c r="T70" s="20">
        <f>T62-T67</f>
        <v/>
      </c>
      <c r="U70" s="20">
        <f>U62-U67</f>
        <v/>
      </c>
      <c r="V70" s="20">
        <f>V62-V67</f>
        <v/>
      </c>
      <c r="W70" s="20">
        <f>W62-W67</f>
        <v/>
      </c>
      <c r="X70" s="20">
        <f>X62-X67</f>
        <v/>
      </c>
      <c r="Y70" s="20">
        <f>Y62-Y67</f>
        <v/>
      </c>
      <c r="Z70" s="20">
        <f>Z62-Z67</f>
        <v/>
      </c>
      <c r="AA70" s="20">
        <f>AA62-AA67</f>
        <v/>
      </c>
      <c r="AB70" s="20">
        <f>AB62-AB67</f>
        <v/>
      </c>
      <c r="AC70" s="20">
        <f>AC62-AC67</f>
        <v/>
      </c>
      <c r="AD70" s="20">
        <f>AD62-AD67</f>
        <v/>
      </c>
      <c r="AE70" s="20">
        <f>AE62-AE67</f>
        <v/>
      </c>
      <c r="AF70" s="20">
        <f>AF62-AF67</f>
        <v/>
      </c>
      <c r="AG70" s="20">
        <f>AG62-AG67</f>
        <v/>
      </c>
      <c r="AH70" s="38" t="n">
        <v>0</v>
      </c>
      <c r="AI70" s="38" t="n">
        <v>0</v>
      </c>
      <c r="AJ70" s="28" t="n"/>
      <c r="AK70" s="28" t="n"/>
      <c r="AL70" s="28" t="n"/>
      <c r="AM70" s="28" t="n"/>
      <c r="AN70" s="28" t="n"/>
      <c r="AO70" s="20">
        <f>AO62-AO67</f>
        <v/>
      </c>
      <c r="AP70" s="20">
        <f>AP62-AP67</f>
        <v/>
      </c>
      <c r="AQ70" s="20">
        <f>AQ62-AQ67</f>
        <v/>
      </c>
      <c r="AR70" s="20">
        <f>AR62-AR67</f>
        <v/>
      </c>
      <c r="AS70" s="20">
        <f>AS62-AS67</f>
        <v/>
      </c>
      <c r="AT70" s="20">
        <f>AT62-AT67</f>
        <v/>
      </c>
      <c r="AU70" s="20">
        <f>AU62-AU67</f>
        <v/>
      </c>
      <c r="AV70" s="20">
        <f>AV62-AV67</f>
        <v/>
      </c>
      <c r="AW70" s="20">
        <f>AW62-AW67</f>
        <v/>
      </c>
      <c r="AX70" s="20">
        <f>AX62-AX67</f>
        <v/>
      </c>
      <c r="AY70" s="20">
        <f>AY62-AY67</f>
        <v/>
      </c>
      <c r="AZ70" s="20">
        <f>AZ62-AZ67</f>
        <v/>
      </c>
      <c r="BA70" s="20">
        <f>BA62-BA67</f>
        <v/>
      </c>
      <c r="BB70" s="20">
        <f>BB62-BB67</f>
        <v/>
      </c>
      <c r="BC70" s="20">
        <f>BC62-BC67</f>
        <v/>
      </c>
      <c r="BD70" s="27" t="inlineStr"/>
    </row>
    <row r="71">
      <c r="A71" s="41" t="n"/>
      <c r="B71" s="41" t="n"/>
      <c r="C71" s="41" t="n"/>
      <c r="D71" s="41" t="n"/>
      <c r="E71" s="41" t="n"/>
      <c r="F71" s="41" t="n"/>
      <c r="G71" s="41" t="n"/>
      <c r="H71" s="41" t="n"/>
      <c r="I71" s="41" t="n"/>
      <c r="J71" s="41" t="n"/>
      <c r="K71" s="41" t="n"/>
      <c r="L71" s="41" t="n"/>
      <c r="M71" s="41" t="n"/>
      <c r="N71" s="41" t="n"/>
      <c r="O71" s="41" t="n"/>
      <c r="P71" s="41" t="n"/>
      <c r="Q71" s="41" t="n"/>
      <c r="R71" s="35" t="inlineStr">
        <is>
          <t>GP3毛利率(%)</t>
        </is>
      </c>
      <c r="S71" s="36">
        <f>S70/S62</f>
        <v/>
      </c>
      <c r="T71" s="36">
        <f>T70/T62</f>
        <v/>
      </c>
      <c r="U71" s="37">
        <f>U70/U62</f>
        <v/>
      </c>
      <c r="V71" s="36">
        <f>V70/V62</f>
        <v/>
      </c>
      <c r="W71" s="36">
        <f>W70/W62</f>
        <v/>
      </c>
      <c r="X71" s="36">
        <f>X70/X62</f>
        <v/>
      </c>
      <c r="Y71" s="36">
        <f>Y70/Y62</f>
        <v/>
      </c>
      <c r="Z71" s="36">
        <f>Z70/Z62</f>
        <v/>
      </c>
      <c r="AA71" s="36">
        <f>AA70/AA62</f>
        <v/>
      </c>
      <c r="AB71" s="36">
        <f>AB70/AB62</f>
        <v/>
      </c>
      <c r="AC71" s="36">
        <f>AC70/AC62</f>
        <v/>
      </c>
      <c r="AD71" s="36">
        <f>AD70/AD62</f>
        <v/>
      </c>
      <c r="AE71" s="36">
        <f>AE70/AE62</f>
        <v/>
      </c>
      <c r="AF71" s="36">
        <f>AF70/AF62</f>
        <v/>
      </c>
      <c r="AG71" s="36">
        <f>AG70/AG62</f>
        <v/>
      </c>
      <c r="AH71" s="38">
        <f>T71-S71</f>
        <v/>
      </c>
      <c r="AI71" s="38">
        <f>AF71-S71</f>
        <v/>
      </c>
      <c r="AJ71" s="41" t="n"/>
      <c r="AK71" s="41" t="n"/>
      <c r="AL71" s="41" t="n"/>
      <c r="AM71" s="41" t="n"/>
      <c r="AN71" s="41" t="n"/>
      <c r="AO71" s="36">
        <f>AO70/AO62</f>
        <v/>
      </c>
      <c r="AP71" s="36">
        <f>AP70/AP62</f>
        <v/>
      </c>
      <c r="AQ71" s="36">
        <f>AQ70/AQ62</f>
        <v/>
      </c>
      <c r="AR71" s="36">
        <f>AR70/AR62</f>
        <v/>
      </c>
      <c r="AS71" s="36">
        <f>AS70/AS62</f>
        <v/>
      </c>
      <c r="AT71" s="36">
        <f>AT70/AT62</f>
        <v/>
      </c>
      <c r="AU71" s="36">
        <f>AU70/AU62</f>
        <v/>
      </c>
      <c r="AV71" s="36">
        <f>AV70/AV62</f>
        <v/>
      </c>
      <c r="AW71" s="36">
        <f>AW70/AW62</f>
        <v/>
      </c>
      <c r="AX71" s="36">
        <f>AX70/AX62</f>
        <v/>
      </c>
      <c r="AY71" s="36">
        <f>AY70/AY62</f>
        <v/>
      </c>
      <c r="AZ71" s="36">
        <f>AZ70/AZ62</f>
        <v/>
      </c>
      <c r="BA71" s="56" t="n">
        <v>0.270567655172414</v>
      </c>
      <c r="BB71" s="39" t="n">
        <v>0</v>
      </c>
      <c r="BC71" s="61" t="n">
        <v>0</v>
      </c>
      <c r="BD71" s="27" t="inlineStr"/>
    </row>
    <row r="72">
      <c r="A72" s="42" t="inlineStr">
        <is>
          <t>P202511000193</t>
        </is>
      </c>
      <c r="B72" s="43" t="inlineStr">
        <is>
          <t>中国兽医药品监察所-2025-2026年OA办公系统运行维护服务-FP项目</t>
        </is>
      </c>
      <c r="C72" s="44" t="n">
        <v>45962</v>
      </c>
      <c r="D72" s="44" t="n">
        <v>46271</v>
      </c>
      <c r="E72" s="15" t="n"/>
      <c r="F72" s="16" t="n">
        <v>0.19</v>
      </c>
      <c r="G72" s="18" t="n">
        <v>1</v>
      </c>
      <c r="H72" s="18" t="n"/>
      <c r="I72" s="18" t="n"/>
      <c r="J72" s="18" t="n"/>
      <c r="K72" s="18" t="n"/>
      <c r="L72" s="18" t="n"/>
      <c r="M72" s="18" t="n"/>
      <c r="N72" s="18" t="n"/>
      <c r="O72" s="18" t="n"/>
      <c r="P72" s="15" t="n"/>
      <c r="Q72" s="18" t="inlineStr"/>
      <c r="R72" s="47" t="inlineStr">
        <is>
          <t>累计收入（NR）</t>
        </is>
      </c>
      <c r="S72" s="20" t="n">
        <v>80188.67999999999</v>
      </c>
      <c r="T72" s="20">
        <f>SUM(AO72:BC72)</f>
        <v/>
      </c>
      <c r="U72" s="21">
        <f>SUM(BA72:BC72)</f>
        <v/>
      </c>
      <c r="V72" s="20">
        <f>SUM(AO72:AZ72)</f>
        <v/>
      </c>
      <c r="W72" s="20">
        <f>SUM(AP72:AZ72)</f>
        <v/>
      </c>
      <c r="X72" s="20" t="n">
        <v>0</v>
      </c>
      <c r="Y72" s="20" t="n">
        <v>0</v>
      </c>
      <c r="Z72" s="20">
        <f>SUM(AS72:AZ72)</f>
        <v/>
      </c>
      <c r="AA72" s="20">
        <f>SUM(AT72:AZ72)</f>
        <v/>
      </c>
      <c r="AB72" s="20">
        <f>SUM(AU72:AZ72)</f>
        <v/>
      </c>
      <c r="AC72" s="20">
        <f>SUM(AV72:AZ72)</f>
        <v/>
      </c>
      <c r="AD72" s="20">
        <f>SUM(AW72:AZ72)</f>
        <v/>
      </c>
      <c r="AE72" s="20">
        <f>SUM(AX72:AZ72)</f>
        <v/>
      </c>
      <c r="AF72" s="20">
        <f>SUM(AY72:AZ72)</f>
        <v/>
      </c>
      <c r="AG72" s="20">
        <f>SUM(AZ72:AZ72)</f>
        <v/>
      </c>
      <c r="AH72" s="22" t="n">
        <v>0</v>
      </c>
      <c r="AI72" s="22" t="n">
        <v>0</v>
      </c>
      <c r="AJ72" s="43" t="inlineStr"/>
      <c r="AK72" s="48" t="inlineStr">
        <is>
          <t>农业运维项目，收入由系统每月自动计入，成本视实际投入情况填报</t>
        </is>
      </c>
      <c r="AL72" s="48" t="inlineStr"/>
      <c r="AM72" s="48" t="inlineStr"/>
      <c r="AN72" s="16" t="n"/>
      <c r="AO72" s="20" t="n">
        <v>0</v>
      </c>
      <c r="AP72" s="20" t="n">
        <v>0</v>
      </c>
      <c r="AQ72" s="20" t="n">
        <v>0</v>
      </c>
      <c r="AR72" s="20" t="n">
        <v>0</v>
      </c>
      <c r="AS72" s="20" t="n">
        <v>0</v>
      </c>
      <c r="AT72" s="20" t="n">
        <v>0</v>
      </c>
      <c r="AU72" s="20" t="n">
        <v>0</v>
      </c>
      <c r="AV72" s="20" t="n">
        <v>0</v>
      </c>
      <c r="AW72" s="20" t="n">
        <v>0</v>
      </c>
      <c r="AX72" s="20" t="n">
        <v>8018.87</v>
      </c>
      <c r="AY72" s="20" t="n">
        <v>7242.89</v>
      </c>
      <c r="AZ72" s="20" t="n">
        <v>8018.87</v>
      </c>
      <c r="BA72" s="49" t="n">
        <v>15477.62</v>
      </c>
      <c r="BB72" s="21" t="n">
        <v>0</v>
      </c>
      <c r="BC72" s="61" t="n">
        <v>0</v>
      </c>
      <c r="BD72" s="27" t="inlineStr"/>
    </row>
    <row r="73">
      <c r="A73" s="28" t="n"/>
      <c r="B73" s="28" t="n"/>
      <c r="C73" s="28" t="n"/>
      <c r="D73" s="28" t="n"/>
      <c r="E73" s="28" t="n"/>
      <c r="F73" s="28" t="n"/>
      <c r="G73" s="28" t="n"/>
      <c r="H73" s="28" t="n"/>
      <c r="I73" s="28" t="n"/>
      <c r="J73" s="28" t="n"/>
      <c r="K73" s="28" t="n"/>
      <c r="L73" s="28" t="n"/>
      <c r="M73" s="28" t="n"/>
      <c r="N73" s="28" t="n"/>
      <c r="O73" s="28" t="n"/>
      <c r="P73" s="28" t="n"/>
      <c r="Q73" s="28" t="n"/>
      <c r="R73" s="29" t="inlineStr">
        <is>
          <t>人工成本（成本１）</t>
        </is>
      </c>
      <c r="S73" s="20" t="n">
        <v>64941.27</v>
      </c>
      <c r="T73" s="20">
        <f>SUM(AO73:BC73)</f>
        <v/>
      </c>
      <c r="U73" s="21">
        <f>SUM(BA73:BC73)</f>
        <v/>
      </c>
      <c r="V73" s="20">
        <f>SUM(AO73:AZ73)</f>
        <v/>
      </c>
      <c r="W73" s="20">
        <f>SUM(AP73:AZ73)</f>
        <v/>
      </c>
      <c r="X73" s="20" t="n">
        <v>0</v>
      </c>
      <c r="Y73" s="20" t="n">
        <v>0</v>
      </c>
      <c r="Z73" s="20">
        <f>SUM(AS73:AZ73)</f>
        <v/>
      </c>
      <c r="AA73" s="20">
        <f>SUM(AT73:AZ73)</f>
        <v/>
      </c>
      <c r="AB73" s="20">
        <f>SUM(AU73:AZ73)</f>
        <v/>
      </c>
      <c r="AC73" s="20">
        <f>SUM(AV73:AZ73)</f>
        <v/>
      </c>
      <c r="AD73" s="20">
        <f>SUM(AW73:AZ73)</f>
        <v/>
      </c>
      <c r="AE73" s="20">
        <f>SUM(AX73:AZ73)</f>
        <v/>
      </c>
      <c r="AF73" s="20">
        <f>SUM(AY73:AZ73)</f>
        <v/>
      </c>
      <c r="AG73" s="20">
        <f>SUM(AZ73:AZ73)</f>
        <v/>
      </c>
      <c r="AH73" s="22" t="n">
        <v>0</v>
      </c>
      <c r="AI73" s="22" t="n">
        <v>0</v>
      </c>
      <c r="AJ73" s="28" t="n"/>
      <c r="AK73" s="28" t="n"/>
      <c r="AL73" s="28" t="n"/>
      <c r="AM73" s="28" t="n"/>
      <c r="AN73" s="28" t="n"/>
      <c r="AO73" s="20" t="n">
        <v>0</v>
      </c>
      <c r="AP73" s="20" t="n">
        <v>0</v>
      </c>
      <c r="AQ73" s="20" t="n">
        <v>0</v>
      </c>
      <c r="AR73" s="20" t="n">
        <v>0</v>
      </c>
      <c r="AS73" s="20" t="n">
        <v>0</v>
      </c>
      <c r="AT73" s="20" t="n">
        <v>0</v>
      </c>
      <c r="AU73" s="20" t="n">
        <v>0</v>
      </c>
      <c r="AV73" s="20" t="n">
        <v>0</v>
      </c>
      <c r="AW73" s="20" t="n">
        <v>0</v>
      </c>
      <c r="AX73" s="20" t="n">
        <v>22059.36</v>
      </c>
      <c r="AY73" s="20" t="n">
        <v>4136.15</v>
      </c>
      <c r="AZ73" s="20" t="n">
        <v>22059.37</v>
      </c>
      <c r="BA73" s="49" t="n">
        <v>0</v>
      </c>
      <c r="BB73" s="21" t="n">
        <v>0</v>
      </c>
      <c r="BC73" s="61" t="n">
        <v>0</v>
      </c>
      <c r="BD73" s="27" t="inlineStr"/>
    </row>
    <row r="74">
      <c r="A74" s="28" t="n"/>
      <c r="B74" s="28" t="n"/>
      <c r="C74" s="28" t="n"/>
      <c r="D74" s="28" t="n"/>
      <c r="E74" s="28" t="n"/>
      <c r="F74" s="28" t="n"/>
      <c r="G74" s="28" t="n"/>
      <c r="H74" s="28" t="n"/>
      <c r="I74" s="28" t="n"/>
      <c r="J74" s="28" t="n"/>
      <c r="K74" s="28" t="n"/>
      <c r="L74" s="28" t="n"/>
      <c r="M74" s="28" t="n"/>
      <c r="N74" s="28" t="n"/>
      <c r="O74" s="28" t="n"/>
      <c r="P74" s="28" t="n"/>
      <c r="Q74" s="28" t="n"/>
      <c r="R74" s="29" t="inlineStr">
        <is>
          <t>闲置成本（成本2）</t>
        </is>
      </c>
      <c r="S74" s="20" t="n">
        <v>0</v>
      </c>
      <c r="T74" s="20" t="n">
        <v>0</v>
      </c>
      <c r="U74" s="21" t="n">
        <v>0</v>
      </c>
      <c r="V74" s="20" t="n">
        <v>0</v>
      </c>
      <c r="W74" s="20" t="n">
        <v>0</v>
      </c>
      <c r="X74" s="20" t="n">
        <v>0</v>
      </c>
      <c r="Y74" s="20" t="n">
        <v>0</v>
      </c>
      <c r="Z74" s="20" t="n">
        <v>0</v>
      </c>
      <c r="AA74" s="20" t="n">
        <v>0</v>
      </c>
      <c r="AB74" s="20" t="n">
        <v>0</v>
      </c>
      <c r="AC74" s="20" t="n">
        <v>0</v>
      </c>
      <c r="AD74" s="20" t="n">
        <v>0</v>
      </c>
      <c r="AE74" s="20" t="n">
        <v>0</v>
      </c>
      <c r="AF74" s="20" t="n">
        <v>0</v>
      </c>
      <c r="AG74" s="20" t="n">
        <v>0</v>
      </c>
      <c r="AH74" s="22" t="n">
        <v>0</v>
      </c>
      <c r="AI74" s="22" t="n">
        <v>0</v>
      </c>
      <c r="AJ74" s="28" t="n"/>
      <c r="AK74" s="28" t="n"/>
      <c r="AL74" s="28" t="n"/>
      <c r="AM74" s="28" t="n"/>
      <c r="AN74" s="28" t="n"/>
      <c r="AO74" s="20" t="n">
        <v>0</v>
      </c>
      <c r="AP74" s="20" t="n">
        <v>0</v>
      </c>
      <c r="AQ74" s="20" t="n">
        <v>0</v>
      </c>
      <c r="AR74" s="20" t="n">
        <v>0</v>
      </c>
      <c r="AS74" s="20" t="n">
        <v>0</v>
      </c>
      <c r="AT74" s="20" t="n">
        <v>0</v>
      </c>
      <c r="AU74" s="20" t="n">
        <v>0</v>
      </c>
      <c r="AV74" s="20" t="n">
        <v>0</v>
      </c>
      <c r="AW74" s="20" t="n">
        <v>0</v>
      </c>
      <c r="AX74" s="20" t="n">
        <v>0</v>
      </c>
      <c r="AY74" s="20" t="n">
        <v>0</v>
      </c>
      <c r="AZ74" s="20" t="n">
        <v>0</v>
      </c>
      <c r="BA74" s="49" t="n">
        <v>0</v>
      </c>
      <c r="BB74" s="21" t="n">
        <v>0</v>
      </c>
      <c r="BC74" s="61" t="n">
        <v>0</v>
      </c>
      <c r="BD74" s="27" t="inlineStr"/>
    </row>
    <row r="75">
      <c r="A75" s="28" t="n"/>
      <c r="B75" s="28" t="n"/>
      <c r="C75" s="28" t="n"/>
      <c r="D75" s="28" t="n"/>
      <c r="E75" s="28" t="n"/>
      <c r="F75" s="28" t="n"/>
      <c r="G75" s="28" t="n"/>
      <c r="H75" s="28" t="n"/>
      <c r="I75" s="28" t="n"/>
      <c r="J75" s="28" t="n"/>
      <c r="K75" s="28" t="n"/>
      <c r="L75" s="28" t="n"/>
      <c r="M75" s="28" t="n"/>
      <c r="N75" s="28" t="n"/>
      <c r="O75" s="28" t="n"/>
      <c r="P75" s="28" t="n"/>
      <c r="Q75" s="28" t="n"/>
      <c r="R75" s="29" t="inlineStr">
        <is>
          <t>差旅费（成本３）</t>
        </is>
      </c>
      <c r="S75" s="20" t="n">
        <v>0</v>
      </c>
      <c r="T75" s="20">
        <f>SUM(AO75:BC75)</f>
        <v/>
      </c>
      <c r="U75" s="21">
        <f>SUM(BA75:BC75)</f>
        <v/>
      </c>
      <c r="V75" s="20">
        <f>SUM(AO75:AZ75)</f>
        <v/>
      </c>
      <c r="W75" s="20">
        <f>SUM(AP75:AZ75)</f>
        <v/>
      </c>
      <c r="X75" s="20" t="n">
        <v>0</v>
      </c>
      <c r="Y75" s="20" t="n">
        <v>0</v>
      </c>
      <c r="Z75" s="20">
        <f>SUM(AS75:AZ75)</f>
        <v/>
      </c>
      <c r="AA75" s="20">
        <f>SUM(AT75:AZ75)</f>
        <v/>
      </c>
      <c r="AB75" s="20">
        <f>SUM(AU75:AZ75)</f>
        <v/>
      </c>
      <c r="AC75" s="20">
        <f>SUM(AV75:AZ75)</f>
        <v/>
      </c>
      <c r="AD75" s="20">
        <f>SUM(AW75:AZ75)</f>
        <v/>
      </c>
      <c r="AE75" s="20">
        <f>SUM(AX75:AZ75)</f>
        <v/>
      </c>
      <c r="AF75" s="20">
        <f>SUM(AY75:AZ75)</f>
        <v/>
      </c>
      <c r="AG75" s="20">
        <f>SUM(AZ75:AZ75)</f>
        <v/>
      </c>
      <c r="AH75" s="22" t="n">
        <v>0</v>
      </c>
      <c r="AI75" s="22" t="n">
        <v>0</v>
      </c>
      <c r="AJ75" s="28" t="n"/>
      <c r="AK75" s="28" t="n"/>
      <c r="AL75" s="28" t="n"/>
      <c r="AM75" s="28" t="n"/>
      <c r="AN75" s="28" t="n"/>
      <c r="AO75" s="20" t="n">
        <v>0</v>
      </c>
      <c r="AP75" s="20" t="n">
        <v>0</v>
      </c>
      <c r="AQ75" s="20" t="n">
        <v>0</v>
      </c>
      <c r="AR75" s="20" t="n">
        <v>0</v>
      </c>
      <c r="AS75" s="20" t="n">
        <v>0</v>
      </c>
      <c r="AT75" s="20" t="n">
        <v>0</v>
      </c>
      <c r="AU75" s="20" t="n">
        <v>0</v>
      </c>
      <c r="AV75" s="20" t="n">
        <v>0</v>
      </c>
      <c r="AW75" s="20" t="n">
        <v>0</v>
      </c>
      <c r="AX75" s="20" t="n">
        <v>0</v>
      </c>
      <c r="AY75" s="20" t="n">
        <v>0</v>
      </c>
      <c r="AZ75" s="20" t="n">
        <v>0</v>
      </c>
      <c r="BA75" s="49" t="n">
        <v>0</v>
      </c>
      <c r="BB75" s="21" t="n">
        <v>0</v>
      </c>
      <c r="BC75" s="61" t="n">
        <v>0</v>
      </c>
      <c r="BD75" s="27" t="inlineStr"/>
    </row>
    <row r="76">
      <c r="A76" s="28" t="n"/>
      <c r="B76" s="28" t="n"/>
      <c r="C76" s="28" t="n"/>
      <c r="D76" s="28" t="n"/>
      <c r="E76" s="28" t="n"/>
      <c r="F76" s="28" t="n"/>
      <c r="G76" s="28" t="n"/>
      <c r="H76" s="28" t="n"/>
      <c r="I76" s="28" t="n"/>
      <c r="J76" s="28" t="n"/>
      <c r="K76" s="28" t="n"/>
      <c r="L76" s="28" t="n"/>
      <c r="M76" s="28" t="n"/>
      <c r="N76" s="28" t="n"/>
      <c r="O76" s="28" t="n"/>
      <c r="P76" s="28" t="n"/>
      <c r="Q76" s="28" t="n"/>
      <c r="R76" s="29" t="inlineStr">
        <is>
          <t>其他成本（成本３）</t>
        </is>
      </c>
      <c r="S76" s="20" t="n">
        <v>0</v>
      </c>
      <c r="T76" s="20">
        <f>SUM(AO76:BC76)</f>
        <v/>
      </c>
      <c r="U76" s="21">
        <f>SUM(BA76:BC76)</f>
        <v/>
      </c>
      <c r="V76" s="20">
        <f>SUM(AO76:AZ76)</f>
        <v/>
      </c>
      <c r="W76" s="20">
        <f>SUM(AP76:AZ76)</f>
        <v/>
      </c>
      <c r="X76" s="20" t="n">
        <v>0</v>
      </c>
      <c r="Y76" s="20" t="n">
        <v>0</v>
      </c>
      <c r="Z76" s="20">
        <f>SUM(AS76:AZ76)</f>
        <v/>
      </c>
      <c r="AA76" s="20">
        <f>SUM(AT76:AZ76)</f>
        <v/>
      </c>
      <c r="AB76" s="20">
        <f>SUM(AU76:AZ76)</f>
        <v/>
      </c>
      <c r="AC76" s="20">
        <f>SUM(AV76:AZ76)</f>
        <v/>
      </c>
      <c r="AD76" s="20">
        <f>SUM(AW76:AZ76)</f>
        <v/>
      </c>
      <c r="AE76" s="20">
        <f>SUM(AX76:AZ76)</f>
        <v/>
      </c>
      <c r="AF76" s="20">
        <f>SUM(AY76:AZ76)</f>
        <v/>
      </c>
      <c r="AG76" s="20">
        <f>SUM(AZ76:AZ76)</f>
        <v/>
      </c>
      <c r="AH76" s="22" t="n">
        <v>0</v>
      </c>
      <c r="AI76" s="22" t="n">
        <v>0</v>
      </c>
      <c r="AJ76" s="28" t="n"/>
      <c r="AK76" s="28" t="n"/>
      <c r="AL76" s="28" t="n"/>
      <c r="AM76" s="28" t="n"/>
      <c r="AN76" s="28" t="n"/>
      <c r="AO76" s="20" t="n">
        <v>0</v>
      </c>
      <c r="AP76" s="20" t="n">
        <v>0</v>
      </c>
      <c r="AQ76" s="20" t="n">
        <v>0</v>
      </c>
      <c r="AR76" s="20" t="n">
        <v>0</v>
      </c>
      <c r="AS76" s="20" t="n">
        <v>0</v>
      </c>
      <c r="AT76" s="20" t="n">
        <v>0</v>
      </c>
      <c r="AU76" s="20" t="n">
        <v>0</v>
      </c>
      <c r="AV76" s="20" t="n">
        <v>0</v>
      </c>
      <c r="AW76" s="20" t="n">
        <v>0</v>
      </c>
      <c r="AX76" s="20" t="n">
        <v>0</v>
      </c>
      <c r="AY76" s="20" t="n">
        <v>0</v>
      </c>
      <c r="AZ76" s="20" t="n">
        <v>-16.3</v>
      </c>
      <c r="BA76" s="49" t="n">
        <v>-56.65</v>
      </c>
      <c r="BB76" s="21" t="n">
        <v>0</v>
      </c>
      <c r="BC76" s="61" t="n">
        <v>0</v>
      </c>
      <c r="BD76" s="27" t="inlineStr"/>
    </row>
    <row r="77">
      <c r="A77" s="28" t="n"/>
      <c r="B77" s="28" t="n"/>
      <c r="C77" s="28" t="n"/>
      <c r="D77" s="28" t="n"/>
      <c r="E77" s="28" t="n"/>
      <c r="F77" s="28" t="n"/>
      <c r="G77" s="28" t="n"/>
      <c r="H77" s="28" t="n"/>
      <c r="I77" s="28" t="n"/>
      <c r="J77" s="28" t="n"/>
      <c r="K77" s="28" t="n"/>
      <c r="L77" s="28" t="n"/>
      <c r="M77" s="28" t="n"/>
      <c r="N77" s="28" t="n"/>
      <c r="O77" s="28" t="n"/>
      <c r="P77" s="28" t="n"/>
      <c r="Q77" s="28" t="n"/>
      <c r="R77" s="29" t="inlineStr">
        <is>
          <t>累计成本</t>
        </is>
      </c>
      <c r="S77" s="30">
        <f>SUM(S73:S76)</f>
        <v/>
      </c>
      <c r="T77" s="30">
        <f>SUM(T73:T76)</f>
        <v/>
      </c>
      <c r="U77" s="31">
        <f>SUM(U73:U76)</f>
        <v/>
      </c>
      <c r="V77" s="30">
        <f>SUM(V73:V76)</f>
        <v/>
      </c>
      <c r="W77" s="30">
        <f>SUM(W73:W76)</f>
        <v/>
      </c>
      <c r="X77" s="30">
        <f>SUM(X73:X76)</f>
        <v/>
      </c>
      <c r="Y77" s="30">
        <f>SUM(Y73:Y76)</f>
        <v/>
      </c>
      <c r="Z77" s="30">
        <f>SUM(Z73:Z76)</f>
        <v/>
      </c>
      <c r="AA77" s="30">
        <f>SUM(AA73:AA76)</f>
        <v/>
      </c>
      <c r="AB77" s="30">
        <f>SUM(AB73:AB76)</f>
        <v/>
      </c>
      <c r="AC77" s="30">
        <f>SUM(AC73:AC76)</f>
        <v/>
      </c>
      <c r="AD77" s="30">
        <f>SUM(AD73:AD76)</f>
        <v/>
      </c>
      <c r="AE77" s="30">
        <f>SUM(AE73:AE76)</f>
        <v/>
      </c>
      <c r="AF77" s="30">
        <f>SUM(AF73:AF76)</f>
        <v/>
      </c>
      <c r="AG77" s="30">
        <f>SUM(AG73:AG76)</f>
        <v/>
      </c>
      <c r="AH77" s="30">
        <f>SUM(AH73:AH76)</f>
        <v/>
      </c>
      <c r="AI77" s="30">
        <f>SUM(AI73:AI76)</f>
        <v/>
      </c>
      <c r="AJ77" s="28" t="n"/>
      <c r="AK77" s="28" t="n"/>
      <c r="AL77" s="28" t="n"/>
      <c r="AM77" s="28" t="n"/>
      <c r="AN77" s="28" t="n"/>
      <c r="AO77" s="30">
        <f>SUM(AO73:AO76)</f>
        <v/>
      </c>
      <c r="AP77" s="30">
        <f>SUM(AP73:AP76)</f>
        <v/>
      </c>
      <c r="AQ77" s="30">
        <f>SUM(AQ73:AQ76)</f>
        <v/>
      </c>
      <c r="AR77" s="30">
        <f>SUM(AR73:AR76)</f>
        <v/>
      </c>
      <c r="AS77" s="30">
        <f>SUM(AS73:AS76)</f>
        <v/>
      </c>
      <c r="AT77" s="30">
        <f>SUM(AT73:AT76)</f>
        <v/>
      </c>
      <c r="AU77" s="30">
        <f>SUM(AU73:AU76)</f>
        <v/>
      </c>
      <c r="AV77" s="30">
        <f>SUM(AV73:AV76)</f>
        <v/>
      </c>
      <c r="AW77" s="30">
        <f>SUM(AW73:AW76)</f>
        <v/>
      </c>
      <c r="AX77" s="30">
        <f>SUM(AX73:AX76)</f>
        <v/>
      </c>
      <c r="AY77" s="30" t="n">
        <v>4136.15</v>
      </c>
      <c r="AZ77" s="30">
        <f>SUM(AZ73:AZ76)</f>
        <v/>
      </c>
      <c r="BA77" s="53" t="n">
        <v>-56.65</v>
      </c>
      <c r="BB77" s="31">
        <f>SUM(BB73:BB76)</f>
        <v/>
      </c>
      <c r="BC77" s="54">
        <f>SUM(BC73:BC76)</f>
        <v/>
      </c>
      <c r="BD77" s="32" t="inlineStr"/>
    </row>
    <row r="78">
      <c r="A78" s="28" t="n"/>
      <c r="B78" s="28" t="n"/>
      <c r="C78" s="28" t="n"/>
      <c r="D78" s="28" t="n"/>
      <c r="E78" s="28" t="n"/>
      <c r="F78" s="28" t="n"/>
      <c r="G78" s="28" t="n"/>
      <c r="H78" s="28" t="n"/>
      <c r="I78" s="28" t="n"/>
      <c r="J78" s="28" t="n"/>
      <c r="K78" s="28" t="n"/>
      <c r="L78" s="28" t="n"/>
      <c r="M78" s="28" t="n"/>
      <c r="N78" s="28" t="n"/>
      <c r="O78" s="28" t="n"/>
      <c r="P78" s="28" t="n"/>
      <c r="Q78" s="28" t="n"/>
      <c r="R78" s="29" t="inlineStr">
        <is>
          <t>GP1毛利</t>
        </is>
      </c>
      <c r="S78" s="20">
        <f>S72-S73</f>
        <v/>
      </c>
      <c r="T78" s="20">
        <f>T72-T73</f>
        <v/>
      </c>
      <c r="U78" s="21">
        <f>U72-U73</f>
        <v/>
      </c>
      <c r="V78" s="20">
        <f>V72-V73</f>
        <v/>
      </c>
      <c r="W78" s="20">
        <f>W72-W73</f>
        <v/>
      </c>
      <c r="X78" s="20" t="n">
        <v>0</v>
      </c>
      <c r="Y78" s="20" t="n">
        <v>0</v>
      </c>
      <c r="Z78" s="20">
        <f>Z72-Z73</f>
        <v/>
      </c>
      <c r="AA78" s="20">
        <f>AA72-AA73</f>
        <v/>
      </c>
      <c r="AB78" s="20">
        <f>AB72-AB73</f>
        <v/>
      </c>
      <c r="AC78" s="20">
        <f>AC72-AC73</f>
        <v/>
      </c>
      <c r="AD78" s="20">
        <f>AD72-AD73</f>
        <v/>
      </c>
      <c r="AE78" s="20">
        <f>AE72-AE73</f>
        <v/>
      </c>
      <c r="AF78" s="20">
        <f>AF72-AF73</f>
        <v/>
      </c>
      <c r="AG78" s="20">
        <f>AG72-AG73</f>
        <v/>
      </c>
      <c r="AH78" s="33" t="n">
        <v>0</v>
      </c>
      <c r="AI78" s="33" t="n">
        <v>0</v>
      </c>
      <c r="AJ78" s="28" t="n"/>
      <c r="AK78" s="28" t="n"/>
      <c r="AL78" s="28" t="n"/>
      <c r="AM78" s="28" t="n"/>
      <c r="AN78" s="28" t="n"/>
      <c r="AO78" s="20">
        <f>AO72-AO73</f>
        <v/>
      </c>
      <c r="AP78" s="20">
        <f>AP72-AP73</f>
        <v/>
      </c>
      <c r="AQ78" s="20">
        <f>AQ72-AQ73</f>
        <v/>
      </c>
      <c r="AR78" s="20">
        <f>AR72-AR73</f>
        <v/>
      </c>
      <c r="AS78" s="20">
        <f>AS72-AS73</f>
        <v/>
      </c>
      <c r="AT78" s="20">
        <f>AT72-AT73</f>
        <v/>
      </c>
      <c r="AU78" s="20">
        <f>AU72-AU73</f>
        <v/>
      </c>
      <c r="AV78" s="20">
        <f>AV72-AV73</f>
        <v/>
      </c>
      <c r="AW78" s="20">
        <f>AW72-AW73</f>
        <v/>
      </c>
      <c r="AX78" s="20">
        <f>AX72-AX73</f>
        <v/>
      </c>
      <c r="AY78" s="20">
        <f>AY72-AY73</f>
        <v/>
      </c>
      <c r="AZ78" s="20">
        <f>AZ72-AZ73</f>
        <v/>
      </c>
      <c r="BA78" s="55" t="n">
        <v>15477.62</v>
      </c>
      <c r="BB78" s="31" t="n">
        <v>0</v>
      </c>
      <c r="BC78" s="61" t="n">
        <v>0</v>
      </c>
      <c r="BD78" s="27" t="inlineStr"/>
    </row>
    <row r="79">
      <c r="A79" s="28" t="n"/>
      <c r="B79" s="28" t="n"/>
      <c r="C79" s="28" t="n"/>
      <c r="D79" s="28" t="n"/>
      <c r="E79" s="28" t="n"/>
      <c r="F79" s="28" t="n"/>
      <c r="G79" s="28" t="n"/>
      <c r="H79" s="28" t="n"/>
      <c r="I79" s="28" t="n"/>
      <c r="J79" s="28" t="n"/>
      <c r="K79" s="28" t="n"/>
      <c r="L79" s="28" t="n"/>
      <c r="M79" s="28" t="n"/>
      <c r="N79" s="28" t="n"/>
      <c r="O79" s="28" t="n"/>
      <c r="P79" s="28" t="n"/>
      <c r="Q79" s="28" t="n"/>
      <c r="R79" s="35" t="inlineStr">
        <is>
          <t>GP1毛利率(%)</t>
        </is>
      </c>
      <c r="S79" s="36">
        <f>S78/S72</f>
        <v/>
      </c>
      <c r="T79" s="36">
        <f>T78/T72</f>
        <v/>
      </c>
      <c r="U79" s="37">
        <f>U78/U72</f>
        <v/>
      </c>
      <c r="V79" s="36">
        <f>V78/V72</f>
        <v/>
      </c>
      <c r="W79" s="36">
        <f>W78/W72</f>
        <v/>
      </c>
      <c r="X79" s="36" t="n">
        <v>0</v>
      </c>
      <c r="Y79" s="36" t="n">
        <v>0</v>
      </c>
      <c r="Z79" s="36">
        <f>Z78/Z72</f>
        <v/>
      </c>
      <c r="AA79" s="36">
        <f>AA78/AA72</f>
        <v/>
      </c>
      <c r="AB79" s="36">
        <f>AB78/AB72</f>
        <v/>
      </c>
      <c r="AC79" s="36">
        <f>AC78/AC72</f>
        <v/>
      </c>
      <c r="AD79" s="36">
        <f>AD78/AD72</f>
        <v/>
      </c>
      <c r="AE79" s="36">
        <f>AE78/AE72</f>
        <v/>
      </c>
      <c r="AF79" s="36">
        <f>AF78/AF72</f>
        <v/>
      </c>
      <c r="AG79" s="36">
        <f>AG78/AG72</f>
        <v/>
      </c>
      <c r="AH79" s="38">
        <f>T79-S79</f>
        <v/>
      </c>
      <c r="AI79" s="38">
        <f>AF79-S79</f>
        <v/>
      </c>
      <c r="AJ79" s="28" t="n"/>
      <c r="AK79" s="28" t="n"/>
      <c r="AL79" s="28" t="n"/>
      <c r="AM79" s="28" t="n"/>
      <c r="AN79" s="28" t="n"/>
      <c r="AO79" s="36">
        <f>AO78/AO72</f>
        <v/>
      </c>
      <c r="AP79" s="36">
        <f>AP78/AP72</f>
        <v/>
      </c>
      <c r="AQ79" s="36">
        <f>AQ78/AQ72</f>
        <v/>
      </c>
      <c r="AR79" s="36">
        <f>AR78/AR72</f>
        <v/>
      </c>
      <c r="AS79" s="36">
        <f>AS78/AS72</f>
        <v/>
      </c>
      <c r="AT79" s="36">
        <f>AT78/AT72</f>
        <v/>
      </c>
      <c r="AU79" s="36">
        <f>AU78/AU72</f>
        <v/>
      </c>
      <c r="AV79" s="36">
        <f>AV78/AV72</f>
        <v/>
      </c>
      <c r="AW79" s="36">
        <f>AW78/AW72</f>
        <v/>
      </c>
      <c r="AX79" s="36">
        <f>AX78/AX72</f>
        <v/>
      </c>
      <c r="AY79" s="36">
        <f>AY78/AY72</f>
        <v/>
      </c>
      <c r="AZ79" s="36">
        <f>AZ78/AZ72</f>
        <v/>
      </c>
      <c r="BA79" s="56" t="n">
        <v>1</v>
      </c>
      <c r="BB79" s="39" t="n">
        <v>0</v>
      </c>
      <c r="BC79" s="61" t="n">
        <v>0</v>
      </c>
      <c r="BD79" s="27" t="inlineStr"/>
    </row>
    <row r="80">
      <c r="A80" s="28" t="n"/>
      <c r="B80" s="28" t="n"/>
      <c r="C80" s="28" t="n"/>
      <c r="D80" s="28" t="n"/>
      <c r="E80" s="28" t="n"/>
      <c r="F80" s="28" t="n"/>
      <c r="G80" s="28" t="n"/>
      <c r="H80" s="28" t="n"/>
      <c r="I80" s="28" t="n"/>
      <c r="J80" s="28" t="n"/>
      <c r="K80" s="28" t="n"/>
      <c r="L80" s="28" t="n"/>
      <c r="M80" s="28" t="n"/>
      <c r="N80" s="28" t="n"/>
      <c r="O80" s="28" t="n"/>
      <c r="P80" s="28" t="n"/>
      <c r="Q80" s="28" t="n"/>
      <c r="R80" s="29" t="inlineStr">
        <is>
          <t>GP3毛利</t>
        </is>
      </c>
      <c r="S80" s="20">
        <f>S72-S77</f>
        <v/>
      </c>
      <c r="T80" s="20">
        <f>T72-T77</f>
        <v/>
      </c>
      <c r="U80" s="20">
        <f>U72-U77</f>
        <v/>
      </c>
      <c r="V80" s="20">
        <f>V72-V77</f>
        <v/>
      </c>
      <c r="W80" s="20">
        <f>W72-W77</f>
        <v/>
      </c>
      <c r="X80" s="20">
        <f>X72-X77</f>
        <v/>
      </c>
      <c r="Y80" s="20">
        <f>Y72-Y77</f>
        <v/>
      </c>
      <c r="Z80" s="20">
        <f>Z72-Z77</f>
        <v/>
      </c>
      <c r="AA80" s="20">
        <f>AA72-AA77</f>
        <v/>
      </c>
      <c r="AB80" s="20">
        <f>AB72-AB77</f>
        <v/>
      </c>
      <c r="AC80" s="20">
        <f>AC72-AC77</f>
        <v/>
      </c>
      <c r="AD80" s="20">
        <f>AD72-AD77</f>
        <v/>
      </c>
      <c r="AE80" s="20">
        <f>AE72-AE77</f>
        <v/>
      </c>
      <c r="AF80" s="20">
        <f>AF72-AF77</f>
        <v/>
      </c>
      <c r="AG80" s="20">
        <f>AG72-AG77</f>
        <v/>
      </c>
      <c r="AH80" s="38" t="n">
        <v>0</v>
      </c>
      <c r="AI80" s="38" t="n">
        <v>0</v>
      </c>
      <c r="AJ80" s="28" t="n"/>
      <c r="AK80" s="28" t="n"/>
      <c r="AL80" s="28" t="n"/>
      <c r="AM80" s="28" t="n"/>
      <c r="AN80" s="28" t="n"/>
      <c r="AO80" s="20">
        <f>AO72-AO77</f>
        <v/>
      </c>
      <c r="AP80" s="20">
        <f>AP72-AP77</f>
        <v/>
      </c>
      <c r="AQ80" s="20">
        <f>AQ72-AQ77</f>
        <v/>
      </c>
      <c r="AR80" s="20">
        <f>AR72-AR77</f>
        <v/>
      </c>
      <c r="AS80" s="20">
        <f>AS72-AS77</f>
        <v/>
      </c>
      <c r="AT80" s="20">
        <f>AT72-AT77</f>
        <v/>
      </c>
      <c r="AU80" s="20">
        <f>AU72-AU77</f>
        <v/>
      </c>
      <c r="AV80" s="20">
        <f>AV72-AV77</f>
        <v/>
      </c>
      <c r="AW80" s="20">
        <f>AW72-AW77</f>
        <v/>
      </c>
      <c r="AX80" s="20">
        <f>AX72-AX77</f>
        <v/>
      </c>
      <c r="AY80" s="20">
        <f>AY72-AY77</f>
        <v/>
      </c>
      <c r="AZ80" s="20">
        <f>AZ72-AZ77</f>
        <v/>
      </c>
      <c r="BA80" s="20">
        <f>BA72-BA77</f>
        <v/>
      </c>
      <c r="BB80" s="20">
        <f>BB72-BB77</f>
        <v/>
      </c>
      <c r="BC80" s="20">
        <f>BC72-BC77</f>
        <v/>
      </c>
      <c r="BD80" s="27" t="inlineStr"/>
    </row>
    <row r="81">
      <c r="A81" s="41" t="n"/>
      <c r="B81" s="41" t="n"/>
      <c r="C81" s="41" t="n"/>
      <c r="D81" s="41" t="n"/>
      <c r="E81" s="41" t="n"/>
      <c r="F81" s="41" t="n"/>
      <c r="G81" s="41" t="n"/>
      <c r="H81" s="41" t="n"/>
      <c r="I81" s="41" t="n"/>
      <c r="J81" s="41" t="n"/>
      <c r="K81" s="41" t="n"/>
      <c r="L81" s="41" t="n"/>
      <c r="M81" s="41" t="n"/>
      <c r="N81" s="41" t="n"/>
      <c r="O81" s="41" t="n"/>
      <c r="P81" s="41" t="n"/>
      <c r="Q81" s="41" t="n"/>
      <c r="R81" s="35" t="inlineStr">
        <is>
          <t>GP3毛利率(%)</t>
        </is>
      </c>
      <c r="S81" s="36">
        <f>S80/S72</f>
        <v/>
      </c>
      <c r="T81" s="36">
        <f>T80/T72</f>
        <v/>
      </c>
      <c r="U81" s="37">
        <f>U80/U72</f>
        <v/>
      </c>
      <c r="V81" s="36">
        <f>V80/V72</f>
        <v/>
      </c>
      <c r="W81" s="36">
        <f>W80/W72</f>
        <v/>
      </c>
      <c r="X81" s="36" t="n">
        <v>0</v>
      </c>
      <c r="Y81" s="36" t="n">
        <v>0</v>
      </c>
      <c r="Z81" s="36">
        <f>Z80/Z72</f>
        <v/>
      </c>
      <c r="AA81" s="36">
        <f>AA80/AA72</f>
        <v/>
      </c>
      <c r="AB81" s="36">
        <f>AB80/AB72</f>
        <v/>
      </c>
      <c r="AC81" s="36">
        <f>AC80/AC72</f>
        <v/>
      </c>
      <c r="AD81" s="36">
        <f>AD80/AD72</f>
        <v/>
      </c>
      <c r="AE81" s="36">
        <f>AE80/AE72</f>
        <v/>
      </c>
      <c r="AF81" s="36">
        <f>AF80/AF72</f>
        <v/>
      </c>
      <c r="AG81" s="36">
        <f>AG80/AG72</f>
        <v/>
      </c>
      <c r="AH81" s="38">
        <f>T81-S81</f>
        <v/>
      </c>
      <c r="AI81" s="38">
        <f>AF81-S81</f>
        <v/>
      </c>
      <c r="AJ81" s="41" t="n"/>
      <c r="AK81" s="41" t="n"/>
      <c r="AL81" s="41" t="n"/>
      <c r="AM81" s="41" t="n"/>
      <c r="AN81" s="41" t="n"/>
      <c r="AO81" s="36">
        <f>AO80/AO72</f>
        <v/>
      </c>
      <c r="AP81" s="36">
        <f>AP80/AP72</f>
        <v/>
      </c>
      <c r="AQ81" s="36">
        <f>AQ80/AQ72</f>
        <v/>
      </c>
      <c r="AR81" s="36">
        <f>AR80/AR72</f>
        <v/>
      </c>
      <c r="AS81" s="36">
        <f>AS80/AS72</f>
        <v/>
      </c>
      <c r="AT81" s="36">
        <f>AT80/AT72</f>
        <v/>
      </c>
      <c r="AU81" s="36">
        <f>AU80/AU72</f>
        <v/>
      </c>
      <c r="AV81" s="36">
        <f>AV80/AV72</f>
        <v/>
      </c>
      <c r="AW81" s="36">
        <f>AW80/AW72</f>
        <v/>
      </c>
      <c r="AX81" s="36">
        <f>AX80/AX72</f>
        <v/>
      </c>
      <c r="AY81" s="36">
        <f>AY80/AY72</f>
        <v/>
      </c>
      <c r="AZ81" s="36">
        <f>AZ80/AZ72</f>
        <v/>
      </c>
      <c r="BA81" s="56" t="n">
        <v>1.00366012345567</v>
      </c>
      <c r="BB81" s="39" t="n">
        <v>0</v>
      </c>
      <c r="BC81" s="61" t="n">
        <v>0</v>
      </c>
      <c r="BD81" s="27" t="inlineStr"/>
    </row>
    <row r="82">
      <c r="A82" s="42" t="inlineStr">
        <is>
          <t>P202512000483</t>
        </is>
      </c>
      <c r="B82" s="43" t="inlineStr">
        <is>
          <t>审计署审计干部培训中心（审计宣传中心）-信息报送系统2026年度运维服务合同-FP项目</t>
        </is>
      </c>
      <c r="C82" s="44" t="n">
        <v>46023</v>
      </c>
      <c r="D82" s="44" t="n">
        <v>46387</v>
      </c>
      <c r="E82" s="15" t="n"/>
      <c r="F82" s="16" t="inlineStr">
        <is>
          <t xml:space="preserve"> -   </t>
        </is>
      </c>
      <c r="G82" s="18" t="n">
        <v>0</v>
      </c>
      <c r="H82" s="18" t="n"/>
      <c r="I82" s="18" t="n"/>
      <c r="J82" s="18" t="n"/>
      <c r="K82" s="18" t="n"/>
      <c r="L82" s="18" t="n"/>
      <c r="M82" s="18" t="n"/>
      <c r="N82" s="18" t="n"/>
      <c r="O82" s="18" t="n"/>
      <c r="P82" s="15" t="n"/>
      <c r="Q82" s="18" t="inlineStr"/>
      <c r="R82" s="47" t="inlineStr">
        <is>
          <t>累计收入（NR）</t>
        </is>
      </c>
      <c r="S82" s="20" t="n">
        <v>66037.74000000001</v>
      </c>
      <c r="T82" s="20" t="n">
        <v>0</v>
      </c>
      <c r="U82" s="21">
        <f>SUM(BA82:BC82)</f>
        <v/>
      </c>
      <c r="V82" s="20">
        <f>SUM(AO82:AZ82)</f>
        <v/>
      </c>
      <c r="W82" s="20">
        <f>SUM(AP82:AZ82)</f>
        <v/>
      </c>
      <c r="X82" s="20" t="n">
        <v>0</v>
      </c>
      <c r="Y82" s="20" t="n">
        <v>0</v>
      </c>
      <c r="Z82" s="20">
        <f>SUM(AS82:AZ82)</f>
        <v/>
      </c>
      <c r="AA82" s="20">
        <f>SUM(AT82:AZ82)</f>
        <v/>
      </c>
      <c r="AB82" s="20">
        <f>SUM(AU82:AZ82)</f>
        <v/>
      </c>
      <c r="AC82" s="20">
        <f>SUM(AV82:AZ82)</f>
        <v/>
      </c>
      <c r="AD82" s="20">
        <f>SUM(AW82:AZ82)</f>
        <v/>
      </c>
      <c r="AE82" s="20">
        <f>SUM(AX82:AZ82)</f>
        <v/>
      </c>
      <c r="AF82" s="20">
        <f>SUM(AY82:AZ82)</f>
        <v/>
      </c>
      <c r="AG82" s="20">
        <f>SUM(AZ82:AZ82)</f>
        <v/>
      </c>
      <c r="AH82" s="22" t="n">
        <v>0</v>
      </c>
      <c r="AI82" s="22" t="n">
        <v>0</v>
      </c>
      <c r="AJ82" s="43" t="inlineStr"/>
      <c r="AK82" s="48" t="inlineStr"/>
      <c r="AL82" s="48" t="inlineStr"/>
      <c r="AM82" s="48" t="inlineStr"/>
      <c r="AN82" s="16" t="n"/>
      <c r="AO82" s="20" t="n">
        <v>0</v>
      </c>
      <c r="AP82" s="20" t="n">
        <v>0</v>
      </c>
      <c r="AQ82" s="20" t="n">
        <v>0</v>
      </c>
      <c r="AR82" s="20" t="n">
        <v>0</v>
      </c>
      <c r="AS82" s="20" t="n">
        <v>0</v>
      </c>
      <c r="AT82" s="20" t="n">
        <v>0</v>
      </c>
      <c r="AU82" s="20" t="n">
        <v>0</v>
      </c>
      <c r="AV82" s="20" t="n">
        <v>0</v>
      </c>
      <c r="AW82" s="20" t="n">
        <v>0</v>
      </c>
      <c r="AX82" s="20" t="n">
        <v>5608.65</v>
      </c>
      <c r="AY82" s="20" t="n">
        <v>5065.89</v>
      </c>
      <c r="AZ82" s="20" t="n">
        <v>5608.72</v>
      </c>
      <c r="BA82" s="49" t="n">
        <v>-297.88</v>
      </c>
      <c r="BB82" s="21" t="n">
        <v>0</v>
      </c>
      <c r="BC82" s="61" t="n">
        <v>0</v>
      </c>
      <c r="BD82" s="27" t="inlineStr"/>
    </row>
    <row r="83">
      <c r="A83" s="28" t="n"/>
      <c r="B83" s="28" t="n"/>
      <c r="C83" s="28" t="n"/>
      <c r="D83" s="28" t="n"/>
      <c r="E83" s="28" t="n"/>
      <c r="F83" s="28" t="n"/>
      <c r="G83" s="28" t="n"/>
      <c r="H83" s="28" t="n"/>
      <c r="I83" s="28" t="n"/>
      <c r="J83" s="28" t="n"/>
      <c r="K83" s="28" t="n"/>
      <c r="L83" s="28" t="n"/>
      <c r="M83" s="28" t="n"/>
      <c r="N83" s="28" t="n"/>
      <c r="O83" s="28" t="n"/>
      <c r="P83" s="28" t="n"/>
      <c r="Q83" s="28" t="n"/>
      <c r="R83" s="29" t="inlineStr">
        <is>
          <t>人工成本（成本１）</t>
        </is>
      </c>
      <c r="S83" s="20" t="n">
        <v>47233.8</v>
      </c>
      <c r="T83" s="20" t="n">
        <v>0</v>
      </c>
      <c r="U83" s="21">
        <f>SUM(BA83:BC83)</f>
        <v/>
      </c>
      <c r="V83" s="20">
        <f>SUM(AO83:AZ83)</f>
        <v/>
      </c>
      <c r="W83" s="20">
        <f>SUM(AP83:AZ83)</f>
        <v/>
      </c>
      <c r="X83" s="20" t="n">
        <v>0</v>
      </c>
      <c r="Y83" s="20" t="n">
        <v>0</v>
      </c>
      <c r="Z83" s="20">
        <f>SUM(AS83:AZ83)</f>
        <v/>
      </c>
      <c r="AA83" s="20">
        <f>SUM(AT83:AZ83)</f>
        <v/>
      </c>
      <c r="AB83" s="20">
        <f>SUM(AU83:AZ83)</f>
        <v/>
      </c>
      <c r="AC83" s="20">
        <f>SUM(AV83:AZ83)</f>
        <v/>
      </c>
      <c r="AD83" s="20">
        <f>SUM(AW83:AZ83)</f>
        <v/>
      </c>
      <c r="AE83" s="20">
        <f>SUM(AX83:AZ83)</f>
        <v/>
      </c>
      <c r="AF83" s="20">
        <f>SUM(AY83:AZ83)</f>
        <v/>
      </c>
      <c r="AG83" s="20">
        <f>SUM(AZ83:AZ83)</f>
        <v/>
      </c>
      <c r="AH83" s="22" t="n">
        <v>0</v>
      </c>
      <c r="AI83" s="22" t="n">
        <v>0</v>
      </c>
      <c r="AJ83" s="28" t="n"/>
      <c r="AK83" s="28" t="n"/>
      <c r="AL83" s="28" t="n"/>
      <c r="AM83" s="28" t="n"/>
      <c r="AN83" s="28" t="n"/>
      <c r="AO83" s="20" t="n">
        <v>0</v>
      </c>
      <c r="AP83" s="20" t="n">
        <v>0</v>
      </c>
      <c r="AQ83" s="20" t="n">
        <v>0</v>
      </c>
      <c r="AR83" s="20" t="n">
        <v>0</v>
      </c>
      <c r="AS83" s="20" t="n">
        <v>0</v>
      </c>
      <c r="AT83" s="20" t="n">
        <v>0</v>
      </c>
      <c r="AU83" s="20" t="n">
        <v>0</v>
      </c>
      <c r="AV83" s="20" t="n">
        <v>0</v>
      </c>
      <c r="AW83" s="20" t="n">
        <v>0</v>
      </c>
      <c r="AX83" s="20" t="n">
        <v>0</v>
      </c>
      <c r="AY83" s="20" t="n">
        <v>0.01</v>
      </c>
      <c r="AZ83" s="20" t="n">
        <v>4659.53</v>
      </c>
      <c r="BA83" s="49" t="n">
        <v>0</v>
      </c>
      <c r="BB83" s="21" t="n">
        <v>0</v>
      </c>
      <c r="BC83" s="61" t="n">
        <v>0</v>
      </c>
      <c r="BD83" s="27" t="inlineStr"/>
    </row>
    <row r="84">
      <c r="A84" s="28" t="n"/>
      <c r="B84" s="28" t="n"/>
      <c r="C84" s="28" t="n"/>
      <c r="D84" s="28" t="n"/>
      <c r="E84" s="28" t="n"/>
      <c r="F84" s="28" t="n"/>
      <c r="G84" s="28" t="n"/>
      <c r="H84" s="28" t="n"/>
      <c r="I84" s="28" t="n"/>
      <c r="J84" s="28" t="n"/>
      <c r="K84" s="28" t="n"/>
      <c r="L84" s="28" t="n"/>
      <c r="M84" s="28" t="n"/>
      <c r="N84" s="28" t="n"/>
      <c r="O84" s="28" t="n"/>
      <c r="P84" s="28" t="n"/>
      <c r="Q84" s="28" t="n"/>
      <c r="R84" s="29" t="inlineStr">
        <is>
          <t>闲置成本（成本2）</t>
        </is>
      </c>
      <c r="S84" s="20" t="n">
        <v>0</v>
      </c>
      <c r="T84" s="20" t="n">
        <v>0</v>
      </c>
      <c r="U84" s="21" t="n">
        <v>0</v>
      </c>
      <c r="V84" s="20" t="n">
        <v>0</v>
      </c>
      <c r="W84" s="20" t="n">
        <v>0</v>
      </c>
      <c r="X84" s="20" t="n">
        <v>0</v>
      </c>
      <c r="Y84" s="20" t="n">
        <v>0</v>
      </c>
      <c r="Z84" s="20" t="n">
        <v>0</v>
      </c>
      <c r="AA84" s="20" t="n">
        <v>0</v>
      </c>
      <c r="AB84" s="20" t="n">
        <v>0</v>
      </c>
      <c r="AC84" s="20" t="n">
        <v>0</v>
      </c>
      <c r="AD84" s="20" t="n">
        <v>0</v>
      </c>
      <c r="AE84" s="20" t="n">
        <v>0</v>
      </c>
      <c r="AF84" s="20" t="n">
        <v>0</v>
      </c>
      <c r="AG84" s="20" t="n">
        <v>0</v>
      </c>
      <c r="AH84" s="22" t="n">
        <v>0</v>
      </c>
      <c r="AI84" s="22" t="n">
        <v>0</v>
      </c>
      <c r="AJ84" s="28" t="n"/>
      <c r="AK84" s="28" t="n"/>
      <c r="AL84" s="28" t="n"/>
      <c r="AM84" s="28" t="n"/>
      <c r="AN84" s="28" t="n"/>
      <c r="AO84" s="20" t="n">
        <v>0</v>
      </c>
      <c r="AP84" s="20" t="n">
        <v>0</v>
      </c>
      <c r="AQ84" s="20" t="n">
        <v>0</v>
      </c>
      <c r="AR84" s="20" t="n">
        <v>0</v>
      </c>
      <c r="AS84" s="20" t="n">
        <v>0</v>
      </c>
      <c r="AT84" s="20" t="n">
        <v>0</v>
      </c>
      <c r="AU84" s="20" t="n">
        <v>0</v>
      </c>
      <c r="AV84" s="20" t="n">
        <v>0</v>
      </c>
      <c r="AW84" s="20" t="n">
        <v>0</v>
      </c>
      <c r="AX84" s="20" t="n">
        <v>0</v>
      </c>
      <c r="AY84" s="20" t="n">
        <v>0</v>
      </c>
      <c r="AZ84" s="20" t="n">
        <v>0</v>
      </c>
      <c r="BA84" s="49" t="n">
        <v>0</v>
      </c>
      <c r="BB84" s="21" t="n">
        <v>0</v>
      </c>
      <c r="BC84" s="61" t="n">
        <v>0</v>
      </c>
      <c r="BD84" s="27" t="inlineStr"/>
    </row>
    <row r="85">
      <c r="A85" s="28" t="n"/>
      <c r="B85" s="28" t="n"/>
      <c r="C85" s="28" t="n"/>
      <c r="D85" s="28" t="n"/>
      <c r="E85" s="28" t="n"/>
      <c r="F85" s="28" t="n"/>
      <c r="G85" s="28" t="n"/>
      <c r="H85" s="28" t="n"/>
      <c r="I85" s="28" t="n"/>
      <c r="J85" s="28" t="n"/>
      <c r="K85" s="28" t="n"/>
      <c r="L85" s="28" t="n"/>
      <c r="M85" s="28" t="n"/>
      <c r="N85" s="28" t="n"/>
      <c r="O85" s="28" t="n"/>
      <c r="P85" s="28" t="n"/>
      <c r="Q85" s="28" t="n"/>
      <c r="R85" s="29" t="inlineStr">
        <is>
          <t>差旅费（成本３）</t>
        </is>
      </c>
      <c r="S85" s="20" t="n">
        <v>8000</v>
      </c>
      <c r="T85" s="20" t="n">
        <v>0</v>
      </c>
      <c r="U85" s="21">
        <f>SUM(BA85:BC85)</f>
        <v/>
      </c>
      <c r="V85" s="20">
        <f>SUM(AO85:AZ85)</f>
        <v/>
      </c>
      <c r="W85" s="20">
        <f>SUM(AP85:AZ85)</f>
        <v/>
      </c>
      <c r="X85" s="20" t="n">
        <v>0</v>
      </c>
      <c r="Y85" s="20" t="n">
        <v>0</v>
      </c>
      <c r="Z85" s="20">
        <f>SUM(AS85:AZ85)</f>
        <v/>
      </c>
      <c r="AA85" s="20">
        <f>SUM(AT85:AZ85)</f>
        <v/>
      </c>
      <c r="AB85" s="20">
        <f>SUM(AU85:AZ85)</f>
        <v/>
      </c>
      <c r="AC85" s="20">
        <f>SUM(AV85:AZ85)</f>
        <v/>
      </c>
      <c r="AD85" s="20">
        <f>SUM(AW85:AZ85)</f>
        <v/>
      </c>
      <c r="AE85" s="20">
        <f>SUM(AX85:AZ85)</f>
        <v/>
      </c>
      <c r="AF85" s="20">
        <f>SUM(AY85:AZ85)</f>
        <v/>
      </c>
      <c r="AG85" s="20">
        <f>SUM(AZ85:AZ85)</f>
        <v/>
      </c>
      <c r="AH85" s="22" t="n">
        <v>0</v>
      </c>
      <c r="AI85" s="22" t="n">
        <v>0</v>
      </c>
      <c r="AJ85" s="28" t="n"/>
      <c r="AK85" s="28" t="n"/>
      <c r="AL85" s="28" t="n"/>
      <c r="AM85" s="28" t="n"/>
      <c r="AN85" s="28" t="n"/>
      <c r="AO85" s="20" t="n">
        <v>0</v>
      </c>
      <c r="AP85" s="20" t="n">
        <v>0</v>
      </c>
      <c r="AQ85" s="20" t="n">
        <v>0</v>
      </c>
      <c r="AR85" s="20" t="n">
        <v>0</v>
      </c>
      <c r="AS85" s="20" t="n">
        <v>0</v>
      </c>
      <c r="AT85" s="20" t="n">
        <v>0</v>
      </c>
      <c r="AU85" s="20" t="n">
        <v>0</v>
      </c>
      <c r="AV85" s="20" t="n">
        <v>0</v>
      </c>
      <c r="AW85" s="20" t="n">
        <v>0</v>
      </c>
      <c r="AX85" s="20" t="n">
        <v>0</v>
      </c>
      <c r="AY85" s="20" t="n">
        <v>0</v>
      </c>
      <c r="AZ85" s="20" t="n">
        <v>0</v>
      </c>
      <c r="BA85" s="49" t="n">
        <v>0</v>
      </c>
      <c r="BB85" s="21" t="n">
        <v>0</v>
      </c>
      <c r="BC85" s="61" t="n">
        <v>0</v>
      </c>
      <c r="BD85" s="27" t="inlineStr"/>
    </row>
    <row r="86">
      <c r="A86" s="28" t="n"/>
      <c r="B86" s="28" t="n"/>
      <c r="C86" s="28" t="n"/>
      <c r="D86" s="28" t="n"/>
      <c r="E86" s="28" t="n"/>
      <c r="F86" s="28" t="n"/>
      <c r="G86" s="28" t="n"/>
      <c r="H86" s="28" t="n"/>
      <c r="I86" s="28" t="n"/>
      <c r="J86" s="28" t="n"/>
      <c r="K86" s="28" t="n"/>
      <c r="L86" s="28" t="n"/>
      <c r="M86" s="28" t="n"/>
      <c r="N86" s="28" t="n"/>
      <c r="O86" s="28" t="n"/>
      <c r="P86" s="28" t="n"/>
      <c r="Q86" s="28" t="n"/>
      <c r="R86" s="29" t="inlineStr">
        <is>
          <t>其他成本（成本３）</t>
        </is>
      </c>
      <c r="S86" s="20" t="n">
        <v>0</v>
      </c>
      <c r="T86" s="20" t="n">
        <v>0</v>
      </c>
      <c r="U86" s="21">
        <f>SUM(BA86:BC86)</f>
        <v/>
      </c>
      <c r="V86" s="20">
        <f>SUM(AO86:AZ86)</f>
        <v/>
      </c>
      <c r="W86" s="20">
        <f>SUM(AP86:AZ86)</f>
        <v/>
      </c>
      <c r="X86" s="20" t="n">
        <v>0</v>
      </c>
      <c r="Y86" s="20" t="n">
        <v>0</v>
      </c>
      <c r="Z86" s="20">
        <f>SUM(AS86:AZ86)</f>
        <v/>
      </c>
      <c r="AA86" s="20">
        <f>SUM(AT86:AZ86)</f>
        <v/>
      </c>
      <c r="AB86" s="20">
        <f>SUM(AU86:AZ86)</f>
        <v/>
      </c>
      <c r="AC86" s="20">
        <f>SUM(AV86:AZ86)</f>
        <v/>
      </c>
      <c r="AD86" s="20">
        <f>SUM(AW86:AZ86)</f>
        <v/>
      </c>
      <c r="AE86" s="20">
        <f>SUM(AX86:AZ86)</f>
        <v/>
      </c>
      <c r="AF86" s="20">
        <f>SUM(AY86:AZ86)</f>
        <v/>
      </c>
      <c r="AG86" s="20">
        <f>SUM(AZ86:AZ86)</f>
        <v/>
      </c>
      <c r="AH86" s="22" t="n">
        <v>0</v>
      </c>
      <c r="AI86" s="22" t="n">
        <v>0</v>
      </c>
      <c r="AJ86" s="28" t="n"/>
      <c r="AK86" s="28" t="n"/>
      <c r="AL86" s="28" t="n"/>
      <c r="AM86" s="28" t="n"/>
      <c r="AN86" s="28" t="n"/>
      <c r="AO86" s="20" t="n">
        <v>0</v>
      </c>
      <c r="AP86" s="20" t="n">
        <v>0</v>
      </c>
      <c r="AQ86" s="20" t="n">
        <v>0</v>
      </c>
      <c r="AR86" s="20" t="n">
        <v>0</v>
      </c>
      <c r="AS86" s="20" t="n">
        <v>0</v>
      </c>
      <c r="AT86" s="20" t="n">
        <v>0</v>
      </c>
      <c r="AU86" s="20" t="n">
        <v>0</v>
      </c>
      <c r="AV86" s="20" t="n">
        <v>0</v>
      </c>
      <c r="AW86" s="20" t="n">
        <v>0</v>
      </c>
      <c r="AX86" s="20" t="n">
        <v>-23.34</v>
      </c>
      <c r="AY86" s="20" t="n">
        <v>-28.95</v>
      </c>
      <c r="AZ86" s="20" t="n">
        <v>-34.01</v>
      </c>
      <c r="BA86" s="49" t="n">
        <v>-39.62</v>
      </c>
      <c r="BB86" s="21" t="n">
        <v>0</v>
      </c>
      <c r="BC86" s="61" t="n">
        <v>0</v>
      </c>
      <c r="BD86" s="27" t="inlineStr"/>
    </row>
    <row r="87">
      <c r="A87" s="28" t="n"/>
      <c r="B87" s="28" t="n"/>
      <c r="C87" s="28" t="n"/>
      <c r="D87" s="28" t="n"/>
      <c r="E87" s="28" t="n"/>
      <c r="F87" s="28" t="n"/>
      <c r="G87" s="28" t="n"/>
      <c r="H87" s="28" t="n"/>
      <c r="I87" s="28" t="n"/>
      <c r="J87" s="28" t="n"/>
      <c r="K87" s="28" t="n"/>
      <c r="L87" s="28" t="n"/>
      <c r="M87" s="28" t="n"/>
      <c r="N87" s="28" t="n"/>
      <c r="O87" s="28" t="n"/>
      <c r="P87" s="28" t="n"/>
      <c r="Q87" s="28" t="n"/>
      <c r="R87" s="29" t="inlineStr">
        <is>
          <t>累计成本</t>
        </is>
      </c>
      <c r="S87" s="30">
        <f>SUM(S83:S86)</f>
        <v/>
      </c>
      <c r="T87" s="30">
        <f>SUM(T83:T86)</f>
        <v/>
      </c>
      <c r="U87" s="31">
        <f>SUM(U83:U86)</f>
        <v/>
      </c>
      <c r="V87" s="30">
        <f>SUM(V83:V86)</f>
        <v/>
      </c>
      <c r="W87" s="30">
        <f>SUM(W83:W86)</f>
        <v/>
      </c>
      <c r="X87" s="30">
        <f>SUM(X83:X86)</f>
        <v/>
      </c>
      <c r="Y87" s="30">
        <f>SUM(Y83:Y86)</f>
        <v/>
      </c>
      <c r="Z87" s="30">
        <f>SUM(Z83:Z86)</f>
        <v/>
      </c>
      <c r="AA87" s="30">
        <f>SUM(AA83:AA86)</f>
        <v/>
      </c>
      <c r="AB87" s="30">
        <f>SUM(AB83:AB86)</f>
        <v/>
      </c>
      <c r="AC87" s="30">
        <f>SUM(AC83:AC86)</f>
        <v/>
      </c>
      <c r="AD87" s="30">
        <f>SUM(AD83:AD86)</f>
        <v/>
      </c>
      <c r="AE87" s="30">
        <f>SUM(AE83:AE86)</f>
        <v/>
      </c>
      <c r="AF87" s="30">
        <f>SUM(AF83:AF86)</f>
        <v/>
      </c>
      <c r="AG87" s="30">
        <f>SUM(AG83:AG86)</f>
        <v/>
      </c>
      <c r="AH87" s="30">
        <f>SUM(AH83:AH86)</f>
        <v/>
      </c>
      <c r="AI87" s="30">
        <f>SUM(AI83:AI86)</f>
        <v/>
      </c>
      <c r="AJ87" s="28" t="n"/>
      <c r="AK87" s="28" t="n"/>
      <c r="AL87" s="28" t="n"/>
      <c r="AM87" s="28" t="n"/>
      <c r="AN87" s="28" t="n"/>
      <c r="AO87" s="30">
        <f>SUM(AO83:AO86)</f>
        <v/>
      </c>
      <c r="AP87" s="30">
        <f>SUM(AP83:AP86)</f>
        <v/>
      </c>
      <c r="AQ87" s="30">
        <f>SUM(AQ83:AQ86)</f>
        <v/>
      </c>
      <c r="AR87" s="30">
        <f>SUM(AR83:AR86)</f>
        <v/>
      </c>
      <c r="AS87" s="30">
        <f>SUM(AS83:AS86)</f>
        <v/>
      </c>
      <c r="AT87" s="30">
        <f>SUM(AT83:AT86)</f>
        <v/>
      </c>
      <c r="AU87" s="30">
        <f>SUM(AU83:AU86)</f>
        <v/>
      </c>
      <c r="AV87" s="30">
        <f>SUM(AV83:AV86)</f>
        <v/>
      </c>
      <c r="AW87" s="30">
        <f>SUM(AW83:AW86)</f>
        <v/>
      </c>
      <c r="AX87" s="30">
        <f>SUM(AX83:AX86)</f>
        <v/>
      </c>
      <c r="AY87" s="30" t="n">
        <v>-28.94</v>
      </c>
      <c r="AZ87" s="30">
        <f>SUM(AZ83:AZ86)</f>
        <v/>
      </c>
      <c r="BA87" s="53" t="n">
        <v>-56.65</v>
      </c>
      <c r="BB87" s="31">
        <f>SUM(BB83:BB86)</f>
        <v/>
      </c>
      <c r="BC87" s="54">
        <f>SUM(BC83:BC86)</f>
        <v/>
      </c>
      <c r="BD87" s="32" t="inlineStr"/>
    </row>
    <row r="88">
      <c r="A88" s="28" t="n"/>
      <c r="B88" s="28" t="n"/>
      <c r="C88" s="28" t="n"/>
      <c r="D88" s="28" t="n"/>
      <c r="E88" s="28" t="n"/>
      <c r="F88" s="28" t="n"/>
      <c r="G88" s="28" t="n"/>
      <c r="H88" s="28" t="n"/>
      <c r="I88" s="28" t="n"/>
      <c r="J88" s="28" t="n"/>
      <c r="K88" s="28" t="n"/>
      <c r="L88" s="28" t="n"/>
      <c r="M88" s="28" t="n"/>
      <c r="N88" s="28" t="n"/>
      <c r="O88" s="28" t="n"/>
      <c r="P88" s="28" t="n"/>
      <c r="Q88" s="28" t="n"/>
      <c r="R88" s="29" t="inlineStr">
        <is>
          <t>GP1毛利</t>
        </is>
      </c>
      <c r="S88" s="20">
        <f>S82-S83</f>
        <v/>
      </c>
      <c r="T88" s="20" t="n">
        <v>0</v>
      </c>
      <c r="U88" s="21">
        <f>U82-U83</f>
        <v/>
      </c>
      <c r="V88" s="20">
        <f>V82-V83</f>
        <v/>
      </c>
      <c r="W88" s="20">
        <f>W82-W83</f>
        <v/>
      </c>
      <c r="X88" s="20" t="n">
        <v>0</v>
      </c>
      <c r="Y88" s="20" t="n">
        <v>0</v>
      </c>
      <c r="Z88" s="20">
        <f>Z82-Z83</f>
        <v/>
      </c>
      <c r="AA88" s="20">
        <f>AA82-AA83</f>
        <v/>
      </c>
      <c r="AB88" s="20">
        <f>AB82-AB83</f>
        <v/>
      </c>
      <c r="AC88" s="20">
        <f>AC82-AC83</f>
        <v/>
      </c>
      <c r="AD88" s="20">
        <f>AD82-AD83</f>
        <v/>
      </c>
      <c r="AE88" s="20">
        <f>AE82-AE83</f>
        <v/>
      </c>
      <c r="AF88" s="20">
        <f>AF82-AF83</f>
        <v/>
      </c>
      <c r="AG88" s="20">
        <f>AG82-AG83</f>
        <v/>
      </c>
      <c r="AH88" s="33" t="n">
        <v>0</v>
      </c>
      <c r="AI88" s="33" t="n">
        <v>0</v>
      </c>
      <c r="AJ88" s="28" t="n"/>
      <c r="AK88" s="28" t="n"/>
      <c r="AL88" s="28" t="n"/>
      <c r="AM88" s="28" t="n"/>
      <c r="AN88" s="28" t="n"/>
      <c r="AO88" s="20">
        <f>AO82-AO83</f>
        <v/>
      </c>
      <c r="AP88" s="20">
        <f>AP82-AP83</f>
        <v/>
      </c>
      <c r="AQ88" s="20">
        <f>AQ82-AQ83</f>
        <v/>
      </c>
      <c r="AR88" s="20">
        <f>AR82-AR83</f>
        <v/>
      </c>
      <c r="AS88" s="20">
        <f>AS82-AS83</f>
        <v/>
      </c>
      <c r="AT88" s="20">
        <f>AT82-AT83</f>
        <v/>
      </c>
      <c r="AU88" s="20">
        <f>AU82-AU83</f>
        <v/>
      </c>
      <c r="AV88" s="20">
        <f>AV82-AV83</f>
        <v/>
      </c>
      <c r="AW88" s="20">
        <f>AW82-AW83</f>
        <v/>
      </c>
      <c r="AX88" s="20">
        <f>AX82-AX83</f>
        <v/>
      </c>
      <c r="AY88" s="20">
        <f>AY82-AY83</f>
        <v/>
      </c>
      <c r="AZ88" s="20">
        <f>AZ82-AZ83</f>
        <v/>
      </c>
      <c r="BA88" s="31">
        <f>BA82-BA83</f>
        <v/>
      </c>
      <c r="BB88" s="31" t="n">
        <v>0</v>
      </c>
      <c r="BC88" s="61" t="n">
        <v>0</v>
      </c>
      <c r="BD88" s="27" t="inlineStr"/>
    </row>
    <row r="89">
      <c r="A89" s="28" t="n"/>
      <c r="B89" s="28" t="n"/>
      <c r="C89" s="28" t="n"/>
      <c r="D89" s="28" t="n"/>
      <c r="E89" s="28" t="n"/>
      <c r="F89" s="28" t="n"/>
      <c r="G89" s="28" t="n"/>
      <c r="H89" s="28" t="n"/>
      <c r="I89" s="28" t="n"/>
      <c r="J89" s="28" t="n"/>
      <c r="K89" s="28" t="n"/>
      <c r="L89" s="28" t="n"/>
      <c r="M89" s="28" t="n"/>
      <c r="N89" s="28" t="n"/>
      <c r="O89" s="28" t="n"/>
      <c r="P89" s="28" t="n"/>
      <c r="Q89" s="28" t="n"/>
      <c r="R89" s="35" t="inlineStr">
        <is>
          <t>GP1毛利率(%)</t>
        </is>
      </c>
      <c r="S89" s="36">
        <f>S88/S82</f>
        <v/>
      </c>
      <c r="T89" s="36" t="n">
        <v>0</v>
      </c>
      <c r="U89" s="37">
        <f>U88/U82</f>
        <v/>
      </c>
      <c r="V89" s="36">
        <f>V88/V82</f>
        <v/>
      </c>
      <c r="W89" s="36">
        <f>W88/W82</f>
        <v/>
      </c>
      <c r="X89" s="36" t="n">
        <v>0</v>
      </c>
      <c r="Y89" s="36" t="n">
        <v>0</v>
      </c>
      <c r="Z89" s="36">
        <f>Z88/Z82</f>
        <v/>
      </c>
      <c r="AA89" s="36">
        <f>AA88/AA82</f>
        <v/>
      </c>
      <c r="AB89" s="36">
        <f>AB88/AB82</f>
        <v/>
      </c>
      <c r="AC89" s="36">
        <f>AC88/AC82</f>
        <v/>
      </c>
      <c r="AD89" s="36">
        <f>AD88/AD82</f>
        <v/>
      </c>
      <c r="AE89" s="36">
        <f>AE88/AE82</f>
        <v/>
      </c>
      <c r="AF89" s="36">
        <f>AF88/AF82</f>
        <v/>
      </c>
      <c r="AG89" s="36">
        <f>AG88/AG82</f>
        <v/>
      </c>
      <c r="AH89" s="38">
        <f>T89-S89</f>
        <v/>
      </c>
      <c r="AI89" s="38">
        <f>AF89-S89</f>
        <v/>
      </c>
      <c r="AJ89" s="28" t="n"/>
      <c r="AK89" s="28" t="n"/>
      <c r="AL89" s="28" t="n"/>
      <c r="AM89" s="28" t="n"/>
      <c r="AN89" s="28" t="n"/>
      <c r="AO89" s="36">
        <f>AO88/AO82</f>
        <v/>
      </c>
      <c r="AP89" s="36">
        <f>AP88/AP82</f>
        <v/>
      </c>
      <c r="AQ89" s="36">
        <f>AQ88/AQ82</f>
        <v/>
      </c>
      <c r="AR89" s="36">
        <f>AR88/AR82</f>
        <v/>
      </c>
      <c r="AS89" s="36">
        <f>AS88/AS82</f>
        <v/>
      </c>
      <c r="AT89" s="36">
        <f>AT88/AT82</f>
        <v/>
      </c>
      <c r="AU89" s="36">
        <f>AU88/AU82</f>
        <v/>
      </c>
      <c r="AV89" s="36">
        <f>AV88/AV82</f>
        <v/>
      </c>
      <c r="AW89" s="36">
        <f>AW88/AW82</f>
        <v/>
      </c>
      <c r="AX89" s="36">
        <f>AX88/AX82</f>
        <v/>
      </c>
      <c r="AY89" s="36">
        <f>AY88/AY82</f>
        <v/>
      </c>
      <c r="AZ89" s="36">
        <f>AZ88/AZ82</f>
        <v/>
      </c>
      <c r="BA89" s="39">
        <f>BA88/BA82</f>
        <v/>
      </c>
      <c r="BB89" s="39" t="n">
        <v>0</v>
      </c>
      <c r="BC89" s="61" t="n">
        <v>0</v>
      </c>
      <c r="BD89" s="27" t="inlineStr"/>
    </row>
    <row r="90">
      <c r="A90" s="28" t="n"/>
      <c r="B90" s="28" t="n"/>
      <c r="C90" s="28" t="n"/>
      <c r="D90" s="28" t="n"/>
      <c r="E90" s="28" t="n"/>
      <c r="F90" s="28" t="n"/>
      <c r="G90" s="28" t="n"/>
      <c r="H90" s="28" t="n"/>
      <c r="I90" s="28" t="n"/>
      <c r="J90" s="28" t="n"/>
      <c r="K90" s="28" t="n"/>
      <c r="L90" s="28" t="n"/>
      <c r="M90" s="28" t="n"/>
      <c r="N90" s="28" t="n"/>
      <c r="O90" s="28" t="n"/>
      <c r="P90" s="28" t="n"/>
      <c r="Q90" s="28" t="n"/>
      <c r="R90" s="29" t="inlineStr">
        <is>
          <t>GP3毛利</t>
        </is>
      </c>
      <c r="S90" s="20">
        <f>S82-S87</f>
        <v/>
      </c>
      <c r="T90" s="20">
        <f>T82-T87</f>
        <v/>
      </c>
      <c r="U90" s="20">
        <f>U82-U87</f>
        <v/>
      </c>
      <c r="V90" s="20">
        <f>V82-V87</f>
        <v/>
      </c>
      <c r="W90" s="20">
        <f>W82-W87</f>
        <v/>
      </c>
      <c r="X90" s="20">
        <f>X82-X87</f>
        <v/>
      </c>
      <c r="Y90" s="20">
        <f>Y82-Y87</f>
        <v/>
      </c>
      <c r="Z90" s="20">
        <f>Z82-Z87</f>
        <v/>
      </c>
      <c r="AA90" s="20">
        <f>AA82-AA87</f>
        <v/>
      </c>
      <c r="AB90" s="20">
        <f>AB82-AB87</f>
        <v/>
      </c>
      <c r="AC90" s="20">
        <f>AC82-AC87</f>
        <v/>
      </c>
      <c r="AD90" s="20">
        <f>AD82-AD87</f>
        <v/>
      </c>
      <c r="AE90" s="20">
        <f>AE82-AE87</f>
        <v/>
      </c>
      <c r="AF90" s="20">
        <f>AF82-AF87</f>
        <v/>
      </c>
      <c r="AG90" s="20">
        <f>AG82-AG87</f>
        <v/>
      </c>
      <c r="AH90" s="38" t="n">
        <v>0</v>
      </c>
      <c r="AI90" s="38" t="n">
        <v>0</v>
      </c>
      <c r="AJ90" s="28" t="n"/>
      <c r="AK90" s="28" t="n"/>
      <c r="AL90" s="28" t="n"/>
      <c r="AM90" s="28" t="n"/>
      <c r="AN90" s="28" t="n"/>
      <c r="AO90" s="20">
        <f>AO82-AO87</f>
        <v/>
      </c>
      <c r="AP90" s="20">
        <f>AP82-AP87</f>
        <v/>
      </c>
      <c r="AQ90" s="20">
        <f>AQ82-AQ87</f>
        <v/>
      </c>
      <c r="AR90" s="20">
        <f>AR82-AR87</f>
        <v/>
      </c>
      <c r="AS90" s="20">
        <f>AS82-AS87</f>
        <v/>
      </c>
      <c r="AT90" s="20">
        <f>AT82-AT87</f>
        <v/>
      </c>
      <c r="AU90" s="20">
        <f>AU82-AU87</f>
        <v/>
      </c>
      <c r="AV90" s="20">
        <f>AV82-AV87</f>
        <v/>
      </c>
      <c r="AW90" s="20">
        <f>AW82-AW87</f>
        <v/>
      </c>
      <c r="AX90" s="20">
        <f>AX82-AX87</f>
        <v/>
      </c>
      <c r="AY90" s="20">
        <f>AY82-AY87</f>
        <v/>
      </c>
      <c r="AZ90" s="20">
        <f>AZ82-AZ87</f>
        <v/>
      </c>
      <c r="BA90" s="20">
        <f>BA82-BA87</f>
        <v/>
      </c>
      <c r="BB90" s="20">
        <f>BB82-BB87</f>
        <v/>
      </c>
      <c r="BC90" s="20">
        <f>BC82-BC87</f>
        <v/>
      </c>
      <c r="BD90" s="27" t="inlineStr"/>
    </row>
    <row r="91">
      <c r="A91" s="41" t="n"/>
      <c r="B91" s="41" t="n"/>
      <c r="C91" s="41" t="n"/>
      <c r="D91" s="41" t="n"/>
      <c r="E91" s="41" t="n"/>
      <c r="F91" s="41" t="n"/>
      <c r="G91" s="41" t="n"/>
      <c r="H91" s="41" t="n"/>
      <c r="I91" s="41" t="n"/>
      <c r="J91" s="41" t="n"/>
      <c r="K91" s="41" t="n"/>
      <c r="L91" s="41" t="n"/>
      <c r="M91" s="41" t="n"/>
      <c r="N91" s="41" t="n"/>
      <c r="O91" s="41" t="n"/>
      <c r="P91" s="41" t="n"/>
      <c r="Q91" s="41" t="n"/>
      <c r="R91" s="35" t="inlineStr">
        <is>
          <t>GP3毛利率(%)</t>
        </is>
      </c>
      <c r="S91" s="36">
        <f>S90/S82</f>
        <v/>
      </c>
      <c r="T91" s="36" t="n">
        <v>0</v>
      </c>
      <c r="U91" s="37">
        <f>U90/U82</f>
        <v/>
      </c>
      <c r="V91" s="36">
        <f>V90/V82</f>
        <v/>
      </c>
      <c r="W91" s="36">
        <f>W90/W82</f>
        <v/>
      </c>
      <c r="X91" s="36" t="n">
        <v>0</v>
      </c>
      <c r="Y91" s="36" t="n">
        <v>0</v>
      </c>
      <c r="Z91" s="36">
        <f>Z90/Z82</f>
        <v/>
      </c>
      <c r="AA91" s="36">
        <f>AA90/AA82</f>
        <v/>
      </c>
      <c r="AB91" s="36">
        <f>AB90/AB82</f>
        <v/>
      </c>
      <c r="AC91" s="36">
        <f>AC90/AC82</f>
        <v/>
      </c>
      <c r="AD91" s="36">
        <f>AD90/AD82</f>
        <v/>
      </c>
      <c r="AE91" s="36">
        <f>AE90/AE82</f>
        <v/>
      </c>
      <c r="AF91" s="36">
        <f>AF90/AF82</f>
        <v/>
      </c>
      <c r="AG91" s="36">
        <f>AG90/AG82</f>
        <v/>
      </c>
      <c r="AH91" s="38">
        <f>T91-S91</f>
        <v/>
      </c>
      <c r="AI91" s="38">
        <f>AF91-S91</f>
        <v/>
      </c>
      <c r="AJ91" s="41" t="n"/>
      <c r="AK91" s="41" t="n"/>
      <c r="AL91" s="41" t="n"/>
      <c r="AM91" s="41" t="n"/>
      <c r="AN91" s="41" t="n"/>
      <c r="AO91" s="36">
        <f>AO90/AO82</f>
        <v/>
      </c>
      <c r="AP91" s="36">
        <f>AP90/AP82</f>
        <v/>
      </c>
      <c r="AQ91" s="36">
        <f>AQ90/AQ82</f>
        <v/>
      </c>
      <c r="AR91" s="36">
        <f>AR90/AR82</f>
        <v/>
      </c>
      <c r="AS91" s="36">
        <f>AS90/AS82</f>
        <v/>
      </c>
      <c r="AT91" s="36">
        <f>AT90/AT82</f>
        <v/>
      </c>
      <c r="AU91" s="36">
        <f>AU90/AU82</f>
        <v/>
      </c>
      <c r="AV91" s="36">
        <f>AV90/AV82</f>
        <v/>
      </c>
      <c r="AW91" s="36">
        <f>AW90/AW82</f>
        <v/>
      </c>
      <c r="AX91" s="36">
        <f>AX90/AX82</f>
        <v/>
      </c>
      <c r="AY91" s="36">
        <f>AY90/AY82</f>
        <v/>
      </c>
      <c r="AZ91" s="36">
        <f>AZ90/AZ82</f>
        <v/>
      </c>
      <c r="BA91" s="39">
        <f>BA90/BA82</f>
        <v/>
      </c>
      <c r="BB91" s="39" t="n">
        <v>0</v>
      </c>
      <c r="BC91" s="61" t="n">
        <v>0</v>
      </c>
      <c r="BD91" s="27" t="inlineStr"/>
    </row>
    <row r="92">
      <c r="A92" s="42" t="inlineStr">
        <is>
          <t>P202511000622</t>
        </is>
      </c>
      <c r="B92" s="43" t="inlineStr">
        <is>
          <t>甘肃省畜牧技术推广总站-甘肃省畜牧业统计监测系统项目2026年度运维-FP项目</t>
        </is>
      </c>
      <c r="C92" s="44" t="n">
        <v>46023</v>
      </c>
      <c r="D92" s="44" t="n">
        <v>46387</v>
      </c>
      <c r="E92" s="15" t="n"/>
      <c r="F92" s="16" t="inlineStr">
        <is>
          <t xml:space="preserve"> -   </t>
        </is>
      </c>
      <c r="G92" s="18" t="n">
        <v>0</v>
      </c>
      <c r="H92" s="18" t="n"/>
      <c r="I92" s="18" t="n"/>
      <c r="J92" s="18" t="n"/>
      <c r="K92" s="18" t="n"/>
      <c r="L92" s="18" t="n"/>
      <c r="M92" s="18" t="n"/>
      <c r="N92" s="18" t="n"/>
      <c r="O92" s="18" t="n"/>
      <c r="P92" s="15" t="n"/>
      <c r="Q92" s="18" t="inlineStr"/>
      <c r="R92" s="47" t="inlineStr">
        <is>
          <t>累计收入（NR）</t>
        </is>
      </c>
      <c r="S92" s="20" t="n">
        <v>75471.7</v>
      </c>
      <c r="T92" s="20" t="n">
        <v>0</v>
      </c>
      <c r="U92" s="21">
        <f>SUM(BA92:BC92)</f>
        <v/>
      </c>
      <c r="V92" s="20">
        <f>SUM(AO92:AZ92)</f>
        <v/>
      </c>
      <c r="W92" s="20">
        <f>SUM(AP92:AZ92)</f>
        <v/>
      </c>
      <c r="X92" s="20" t="n">
        <v>0</v>
      </c>
      <c r="Y92" s="20" t="n">
        <v>0</v>
      </c>
      <c r="Z92" s="20">
        <f>SUM(AS92:AZ92)</f>
        <v/>
      </c>
      <c r="AA92" s="20">
        <f>SUM(AT92:AZ92)</f>
        <v/>
      </c>
      <c r="AB92" s="20">
        <f>SUM(AU92:AZ92)</f>
        <v/>
      </c>
      <c r="AC92" s="20">
        <f>SUM(AV92:AZ92)</f>
        <v/>
      </c>
      <c r="AD92" s="20">
        <f>SUM(AW92:AZ92)</f>
        <v/>
      </c>
      <c r="AE92" s="20">
        <f>SUM(AX92:AZ92)</f>
        <v/>
      </c>
      <c r="AF92" s="20">
        <f>SUM(AY92:AZ92)</f>
        <v/>
      </c>
      <c r="AG92" s="20">
        <f>SUM(AZ92:AZ92)</f>
        <v/>
      </c>
      <c r="AH92" s="22" t="n">
        <v>0</v>
      </c>
      <c r="AI92" s="22" t="n">
        <v>0</v>
      </c>
      <c r="AJ92" s="43" t="inlineStr"/>
      <c r="AK92" s="48" t="inlineStr">
        <is>
          <t>农业运维项目，收入由系统每月自动计入，成本视实际投入情况填报</t>
        </is>
      </c>
      <c r="AL92" s="48" t="inlineStr"/>
      <c r="AM92" s="48" t="inlineStr"/>
      <c r="AN92" s="16" t="n"/>
      <c r="AO92" s="20" t="n">
        <v>0</v>
      </c>
      <c r="AP92" s="20" t="n">
        <v>0</v>
      </c>
      <c r="AQ92" s="20" t="n">
        <v>0</v>
      </c>
      <c r="AR92" s="20" t="n">
        <v>0</v>
      </c>
      <c r="AS92" s="20" t="n">
        <v>0</v>
      </c>
      <c r="AT92" s="20" t="n">
        <v>0</v>
      </c>
      <c r="AU92" s="20" t="n">
        <v>0</v>
      </c>
      <c r="AV92" s="20" t="n">
        <v>0</v>
      </c>
      <c r="AW92" s="20" t="n">
        <v>0</v>
      </c>
      <c r="AX92" s="20" t="n">
        <v>6409.89</v>
      </c>
      <c r="AY92" s="20" t="n">
        <v>5789.59</v>
      </c>
      <c r="AZ92" s="20" t="n">
        <v>6409.96</v>
      </c>
      <c r="BA92" s="49" t="n">
        <v>15477.62</v>
      </c>
      <c r="BB92" s="21" t="n">
        <v>0</v>
      </c>
      <c r="BC92" s="61" t="n">
        <v>0</v>
      </c>
      <c r="BD92" s="27" t="inlineStr"/>
    </row>
    <row r="93">
      <c r="A93" s="28" t="n"/>
      <c r="B93" s="28" t="n"/>
      <c r="C93" s="28" t="n"/>
      <c r="D93" s="28" t="n"/>
      <c r="E93" s="28" t="n"/>
      <c r="F93" s="28" t="n"/>
      <c r="G93" s="28" t="n"/>
      <c r="H93" s="28" t="n"/>
      <c r="I93" s="28" t="n"/>
      <c r="J93" s="28" t="n"/>
      <c r="K93" s="28" t="n"/>
      <c r="L93" s="28" t="n"/>
      <c r="M93" s="28" t="n"/>
      <c r="N93" s="28" t="n"/>
      <c r="O93" s="28" t="n"/>
      <c r="P93" s="28" t="n"/>
      <c r="Q93" s="28" t="n"/>
      <c r="R93" s="29" t="inlineStr">
        <is>
          <t>人工成本（成本１）</t>
        </is>
      </c>
      <c r="S93" s="20" t="n">
        <v>34151.4</v>
      </c>
      <c r="T93" s="20" t="n">
        <v>0</v>
      </c>
      <c r="U93" s="21">
        <f>SUM(BA93:BC93)</f>
        <v/>
      </c>
      <c r="V93" s="20">
        <f>SUM(AO93:AZ93)</f>
        <v/>
      </c>
      <c r="W93" s="20">
        <f>SUM(AP93:AZ93)</f>
        <v/>
      </c>
      <c r="X93" s="20" t="n">
        <v>0</v>
      </c>
      <c r="Y93" s="20" t="n">
        <v>0</v>
      </c>
      <c r="Z93" s="20">
        <f>SUM(AS93:AZ93)</f>
        <v/>
      </c>
      <c r="AA93" s="20">
        <f>SUM(AT93:AZ93)</f>
        <v/>
      </c>
      <c r="AB93" s="20">
        <f>SUM(AU93:AZ93)</f>
        <v/>
      </c>
      <c r="AC93" s="20">
        <f>SUM(AV93:AZ93)</f>
        <v/>
      </c>
      <c r="AD93" s="20">
        <f>SUM(AW93:AZ93)</f>
        <v/>
      </c>
      <c r="AE93" s="20">
        <f>SUM(AX93:AZ93)</f>
        <v/>
      </c>
      <c r="AF93" s="20">
        <f>SUM(AY93:AZ93)</f>
        <v/>
      </c>
      <c r="AG93" s="20">
        <f>SUM(AZ93:AZ93)</f>
        <v/>
      </c>
      <c r="AH93" s="22" t="n">
        <v>0</v>
      </c>
      <c r="AI93" s="22" t="n">
        <v>0</v>
      </c>
      <c r="AJ93" s="28" t="n"/>
      <c r="AK93" s="28" t="n"/>
      <c r="AL93" s="28" t="n"/>
      <c r="AM93" s="28" t="n"/>
      <c r="AN93" s="28" t="n"/>
      <c r="AO93" s="20" t="n">
        <v>0</v>
      </c>
      <c r="AP93" s="20" t="n">
        <v>0</v>
      </c>
      <c r="AQ93" s="20" t="n">
        <v>0</v>
      </c>
      <c r="AR93" s="20" t="n">
        <v>0</v>
      </c>
      <c r="AS93" s="20" t="n">
        <v>0</v>
      </c>
      <c r="AT93" s="20" t="n">
        <v>0</v>
      </c>
      <c r="AU93" s="20" t="n">
        <v>0</v>
      </c>
      <c r="AV93" s="20" t="n">
        <v>0</v>
      </c>
      <c r="AW93" s="20" t="n">
        <v>0</v>
      </c>
      <c r="AX93" s="20" t="n">
        <v>0</v>
      </c>
      <c r="AY93" s="20" t="n">
        <v>0</v>
      </c>
      <c r="AZ93" s="20" t="n">
        <v>19659.83</v>
      </c>
      <c r="BA93" s="49" t="n">
        <v>0</v>
      </c>
      <c r="BB93" s="21" t="n">
        <v>0</v>
      </c>
      <c r="BC93" s="61" t="n">
        <v>0</v>
      </c>
      <c r="BD93" s="27" t="inlineStr"/>
    </row>
    <row r="94">
      <c r="A94" s="28" t="n"/>
      <c r="B94" s="28" t="n"/>
      <c r="C94" s="28" t="n"/>
      <c r="D94" s="28" t="n"/>
      <c r="E94" s="28" t="n"/>
      <c r="F94" s="28" t="n"/>
      <c r="G94" s="28" t="n"/>
      <c r="H94" s="28" t="n"/>
      <c r="I94" s="28" t="n"/>
      <c r="J94" s="28" t="n"/>
      <c r="K94" s="28" t="n"/>
      <c r="L94" s="28" t="n"/>
      <c r="M94" s="28" t="n"/>
      <c r="N94" s="28" t="n"/>
      <c r="O94" s="28" t="n"/>
      <c r="P94" s="28" t="n"/>
      <c r="Q94" s="28" t="n"/>
      <c r="R94" s="29" t="inlineStr">
        <is>
          <t>闲置成本（成本2）</t>
        </is>
      </c>
      <c r="S94" s="20" t="n">
        <v>0</v>
      </c>
      <c r="T94" s="20" t="n">
        <v>0</v>
      </c>
      <c r="U94" s="21" t="n">
        <v>0</v>
      </c>
      <c r="V94" s="20" t="n">
        <v>0</v>
      </c>
      <c r="W94" s="20" t="n">
        <v>0</v>
      </c>
      <c r="X94" s="20" t="n">
        <v>0</v>
      </c>
      <c r="Y94" s="20" t="n">
        <v>0</v>
      </c>
      <c r="Z94" s="20" t="n">
        <v>0</v>
      </c>
      <c r="AA94" s="20" t="n">
        <v>0</v>
      </c>
      <c r="AB94" s="20" t="n">
        <v>0</v>
      </c>
      <c r="AC94" s="20" t="n">
        <v>0</v>
      </c>
      <c r="AD94" s="20" t="n">
        <v>0</v>
      </c>
      <c r="AE94" s="20" t="n">
        <v>0</v>
      </c>
      <c r="AF94" s="20" t="n">
        <v>0</v>
      </c>
      <c r="AG94" s="20" t="n">
        <v>0</v>
      </c>
      <c r="AH94" s="22" t="n">
        <v>0</v>
      </c>
      <c r="AI94" s="22" t="n">
        <v>0</v>
      </c>
      <c r="AJ94" s="28" t="n"/>
      <c r="AK94" s="28" t="n"/>
      <c r="AL94" s="28" t="n"/>
      <c r="AM94" s="28" t="n"/>
      <c r="AN94" s="28" t="n"/>
      <c r="AO94" s="20" t="n">
        <v>0</v>
      </c>
      <c r="AP94" s="20" t="n">
        <v>0</v>
      </c>
      <c r="AQ94" s="20" t="n">
        <v>0</v>
      </c>
      <c r="AR94" s="20" t="n">
        <v>0</v>
      </c>
      <c r="AS94" s="20" t="n">
        <v>0</v>
      </c>
      <c r="AT94" s="20" t="n">
        <v>0</v>
      </c>
      <c r="AU94" s="20" t="n">
        <v>0</v>
      </c>
      <c r="AV94" s="20" t="n">
        <v>0</v>
      </c>
      <c r="AW94" s="20" t="n">
        <v>0</v>
      </c>
      <c r="AX94" s="20" t="n">
        <v>0</v>
      </c>
      <c r="AY94" s="20" t="n">
        <v>0</v>
      </c>
      <c r="AZ94" s="20" t="n">
        <v>0</v>
      </c>
      <c r="BA94" s="49" t="n">
        <v>0</v>
      </c>
      <c r="BB94" s="21" t="n">
        <v>0</v>
      </c>
      <c r="BC94" s="61" t="n">
        <v>0</v>
      </c>
      <c r="BD94" s="27" t="inlineStr"/>
    </row>
    <row r="95">
      <c r="A95" s="28" t="n"/>
      <c r="B95" s="28" t="n"/>
      <c r="C95" s="28" t="n"/>
      <c r="D95" s="28" t="n"/>
      <c r="E95" s="28" t="n"/>
      <c r="F95" s="28" t="n"/>
      <c r="G95" s="28" t="n"/>
      <c r="H95" s="28" t="n"/>
      <c r="I95" s="28" t="n"/>
      <c r="J95" s="28" t="n"/>
      <c r="K95" s="28" t="n"/>
      <c r="L95" s="28" t="n"/>
      <c r="M95" s="28" t="n"/>
      <c r="N95" s="28" t="n"/>
      <c r="O95" s="28" t="n"/>
      <c r="P95" s="28" t="n"/>
      <c r="Q95" s="28" t="n"/>
      <c r="R95" s="29" t="inlineStr">
        <is>
          <t>差旅费（成本３）</t>
        </is>
      </c>
      <c r="S95" s="20" t="n">
        <v>0</v>
      </c>
      <c r="T95" s="20" t="n">
        <v>0</v>
      </c>
      <c r="U95" s="21">
        <f>SUM(BA95:BC95)</f>
        <v/>
      </c>
      <c r="V95" s="20">
        <f>SUM(AO95:AZ95)</f>
        <v/>
      </c>
      <c r="W95" s="20">
        <f>SUM(AP95:AZ95)</f>
        <v/>
      </c>
      <c r="X95" s="20" t="n">
        <v>0</v>
      </c>
      <c r="Y95" s="20" t="n">
        <v>0</v>
      </c>
      <c r="Z95" s="20">
        <f>SUM(AS95:AZ95)</f>
        <v/>
      </c>
      <c r="AA95" s="20">
        <f>SUM(AT95:AZ95)</f>
        <v/>
      </c>
      <c r="AB95" s="20">
        <f>SUM(AU95:AZ95)</f>
        <v/>
      </c>
      <c r="AC95" s="20">
        <f>SUM(AV95:AZ95)</f>
        <v/>
      </c>
      <c r="AD95" s="20">
        <f>SUM(AW95:AZ95)</f>
        <v/>
      </c>
      <c r="AE95" s="20">
        <f>SUM(AX95:AZ95)</f>
        <v/>
      </c>
      <c r="AF95" s="20">
        <f>SUM(AY95:AZ95)</f>
        <v/>
      </c>
      <c r="AG95" s="20">
        <f>SUM(AZ95:AZ95)</f>
        <v/>
      </c>
      <c r="AH95" s="22" t="n">
        <v>0</v>
      </c>
      <c r="AI95" s="22" t="n">
        <v>0</v>
      </c>
      <c r="AJ95" s="28" t="n"/>
      <c r="AK95" s="28" t="n"/>
      <c r="AL95" s="28" t="n"/>
      <c r="AM95" s="28" t="n"/>
      <c r="AN95" s="28" t="n"/>
      <c r="AO95" s="20" t="n">
        <v>0</v>
      </c>
      <c r="AP95" s="20" t="n">
        <v>0</v>
      </c>
      <c r="AQ95" s="20" t="n">
        <v>0</v>
      </c>
      <c r="AR95" s="20" t="n">
        <v>0</v>
      </c>
      <c r="AS95" s="20" t="n">
        <v>0</v>
      </c>
      <c r="AT95" s="20" t="n">
        <v>0</v>
      </c>
      <c r="AU95" s="20" t="n">
        <v>0</v>
      </c>
      <c r="AV95" s="20" t="n">
        <v>0</v>
      </c>
      <c r="AW95" s="20" t="n">
        <v>0</v>
      </c>
      <c r="AX95" s="20" t="n">
        <v>0</v>
      </c>
      <c r="AY95" s="20" t="n">
        <v>0</v>
      </c>
      <c r="AZ95" s="20" t="n">
        <v>0</v>
      </c>
      <c r="BA95" s="49" t="n">
        <v>0</v>
      </c>
      <c r="BB95" s="21" t="n">
        <v>0</v>
      </c>
      <c r="BC95" s="61" t="n">
        <v>0</v>
      </c>
      <c r="BD95" s="27" t="inlineStr"/>
    </row>
    <row r="96">
      <c r="A96" s="28" t="n"/>
      <c r="B96" s="28" t="n"/>
      <c r="C96" s="28" t="n"/>
      <c r="D96" s="28" t="n"/>
      <c r="E96" s="28" t="n"/>
      <c r="F96" s="28" t="n"/>
      <c r="G96" s="28" t="n"/>
      <c r="H96" s="28" t="n"/>
      <c r="I96" s="28" t="n"/>
      <c r="J96" s="28" t="n"/>
      <c r="K96" s="28" t="n"/>
      <c r="L96" s="28" t="n"/>
      <c r="M96" s="28" t="n"/>
      <c r="N96" s="28" t="n"/>
      <c r="O96" s="28" t="n"/>
      <c r="P96" s="28" t="n"/>
      <c r="Q96" s="28" t="n"/>
      <c r="R96" s="29" t="inlineStr">
        <is>
          <t>其他成本（成本３）</t>
        </is>
      </c>
      <c r="S96" s="20" t="n">
        <v>29037</v>
      </c>
      <c r="T96" s="20" t="n">
        <v>0</v>
      </c>
      <c r="U96" s="21">
        <f>SUM(BA96:BC96)</f>
        <v/>
      </c>
      <c r="V96" s="20">
        <f>SUM(AO96:AZ96)</f>
        <v/>
      </c>
      <c r="W96" s="20">
        <f>SUM(AP96:AZ96)</f>
        <v/>
      </c>
      <c r="X96" s="20" t="n">
        <v>0</v>
      </c>
      <c r="Y96" s="20" t="n">
        <v>0</v>
      </c>
      <c r="Z96" s="20">
        <f>SUM(AS96:AZ96)</f>
        <v/>
      </c>
      <c r="AA96" s="20">
        <f>SUM(AT96:AZ96)</f>
        <v/>
      </c>
      <c r="AB96" s="20">
        <f>SUM(AU96:AZ96)</f>
        <v/>
      </c>
      <c r="AC96" s="20">
        <f>SUM(AV96:AZ96)</f>
        <v/>
      </c>
      <c r="AD96" s="20">
        <f>SUM(AW96:AZ96)</f>
        <v/>
      </c>
      <c r="AE96" s="20">
        <f>SUM(AX96:AZ96)</f>
        <v/>
      </c>
      <c r="AF96" s="20">
        <f>SUM(AY96:AZ96)</f>
        <v/>
      </c>
      <c r="AG96" s="20">
        <f>SUM(AZ96:AZ96)</f>
        <v/>
      </c>
      <c r="AH96" s="22" t="n">
        <v>0</v>
      </c>
      <c r="AI96" s="22" t="n">
        <v>0</v>
      </c>
      <c r="AJ96" s="28" t="n"/>
      <c r="AK96" s="28" t="n"/>
      <c r="AL96" s="28" t="n"/>
      <c r="AM96" s="28" t="n"/>
      <c r="AN96" s="28" t="n"/>
      <c r="AO96" s="20" t="n">
        <v>0</v>
      </c>
      <c r="AP96" s="20" t="n">
        <v>0</v>
      </c>
      <c r="AQ96" s="20" t="n">
        <v>0</v>
      </c>
      <c r="AR96" s="20" t="n">
        <v>0</v>
      </c>
      <c r="AS96" s="20" t="n">
        <v>0</v>
      </c>
      <c r="AT96" s="20" t="n">
        <v>0</v>
      </c>
      <c r="AU96" s="20" t="n">
        <v>0</v>
      </c>
      <c r="AV96" s="20" t="n">
        <v>0</v>
      </c>
      <c r="AW96" s="20" t="n">
        <v>0</v>
      </c>
      <c r="AX96" s="20" t="n">
        <v>-56.86</v>
      </c>
      <c r="AY96" s="20" t="n">
        <v>5032.3</v>
      </c>
      <c r="AZ96" s="20" t="n">
        <v>-69.06</v>
      </c>
      <c r="BA96" s="49" t="n">
        <v>-56.65</v>
      </c>
      <c r="BB96" s="21" t="n">
        <v>0</v>
      </c>
      <c r="BC96" s="61" t="n">
        <v>0</v>
      </c>
      <c r="BD96" s="27" t="inlineStr"/>
    </row>
    <row r="97">
      <c r="A97" s="28" t="n"/>
      <c r="B97" s="28" t="n"/>
      <c r="C97" s="28" t="n"/>
      <c r="D97" s="28" t="n"/>
      <c r="E97" s="28" t="n"/>
      <c r="F97" s="28" t="n"/>
      <c r="G97" s="28" t="n"/>
      <c r="H97" s="28" t="n"/>
      <c r="I97" s="28" t="n"/>
      <c r="J97" s="28" t="n"/>
      <c r="K97" s="28" t="n"/>
      <c r="L97" s="28" t="n"/>
      <c r="M97" s="28" t="n"/>
      <c r="N97" s="28" t="n"/>
      <c r="O97" s="28" t="n"/>
      <c r="P97" s="28" t="n"/>
      <c r="Q97" s="28" t="n"/>
      <c r="R97" s="29" t="inlineStr">
        <is>
          <t>累计成本</t>
        </is>
      </c>
      <c r="S97" s="30">
        <f>SUM(S93:S96)</f>
        <v/>
      </c>
      <c r="T97" s="30">
        <f>SUM(T93:T96)</f>
        <v/>
      </c>
      <c r="U97" s="31">
        <f>SUM(U93:U96)</f>
        <v/>
      </c>
      <c r="V97" s="30">
        <f>SUM(V93:V96)</f>
        <v/>
      </c>
      <c r="W97" s="30">
        <f>SUM(W93:W96)</f>
        <v/>
      </c>
      <c r="X97" s="30">
        <f>SUM(X93:X96)</f>
        <v/>
      </c>
      <c r="Y97" s="30">
        <f>SUM(Y93:Y96)</f>
        <v/>
      </c>
      <c r="Z97" s="30">
        <f>SUM(Z93:Z96)</f>
        <v/>
      </c>
      <c r="AA97" s="30">
        <f>SUM(AA93:AA96)</f>
        <v/>
      </c>
      <c r="AB97" s="30">
        <f>SUM(AB93:AB96)</f>
        <v/>
      </c>
      <c r="AC97" s="30">
        <f>SUM(AC93:AC96)</f>
        <v/>
      </c>
      <c r="AD97" s="30">
        <f>SUM(AD93:AD96)</f>
        <v/>
      </c>
      <c r="AE97" s="30">
        <f>SUM(AE93:AE96)</f>
        <v/>
      </c>
      <c r="AF97" s="30">
        <f>SUM(AF93:AF96)</f>
        <v/>
      </c>
      <c r="AG97" s="30">
        <f>SUM(AG93:AG96)</f>
        <v/>
      </c>
      <c r="AH97" s="30">
        <f>SUM(AH93:AH96)</f>
        <v/>
      </c>
      <c r="AI97" s="30">
        <f>SUM(AI93:AI96)</f>
        <v/>
      </c>
      <c r="AJ97" s="28" t="n"/>
      <c r="AK97" s="28" t="n"/>
      <c r="AL97" s="28" t="n"/>
      <c r="AM97" s="28" t="n"/>
      <c r="AN97" s="28" t="n"/>
      <c r="AO97" s="30">
        <f>SUM(AO93:AO96)</f>
        <v/>
      </c>
      <c r="AP97" s="30">
        <f>SUM(AP93:AP96)</f>
        <v/>
      </c>
      <c r="AQ97" s="30">
        <f>SUM(AQ93:AQ96)</f>
        <v/>
      </c>
      <c r="AR97" s="30">
        <f>SUM(AR93:AR96)</f>
        <v/>
      </c>
      <c r="AS97" s="30">
        <f>SUM(AS93:AS96)</f>
        <v/>
      </c>
      <c r="AT97" s="30">
        <f>SUM(AT93:AT96)</f>
        <v/>
      </c>
      <c r="AU97" s="30">
        <f>SUM(AU93:AU96)</f>
        <v/>
      </c>
      <c r="AV97" s="30">
        <f>SUM(AV93:AV96)</f>
        <v/>
      </c>
      <c r="AW97" s="30">
        <f>SUM(AW93:AW96)</f>
        <v/>
      </c>
      <c r="AX97" s="30">
        <f>SUM(AX93:AX96)</f>
        <v/>
      </c>
      <c r="AY97" s="30" t="n">
        <v>-63.27</v>
      </c>
      <c r="AZ97" s="30">
        <f>SUM(AZ93:AZ96)</f>
        <v/>
      </c>
      <c r="BA97" s="53" t="n">
        <v>-56.65</v>
      </c>
      <c r="BB97" s="31">
        <f>SUM(BB93:BB96)</f>
        <v/>
      </c>
      <c r="BC97" s="54">
        <f>SUM(BC93:BC96)</f>
        <v/>
      </c>
      <c r="BD97" s="32" t="inlineStr"/>
    </row>
    <row r="98">
      <c r="A98" s="28" t="n"/>
      <c r="B98" s="28" t="n"/>
      <c r="C98" s="28" t="n"/>
      <c r="D98" s="28" t="n"/>
      <c r="E98" s="28" t="n"/>
      <c r="F98" s="28" t="n"/>
      <c r="G98" s="28" t="n"/>
      <c r="H98" s="28" t="n"/>
      <c r="I98" s="28" t="n"/>
      <c r="J98" s="28" t="n"/>
      <c r="K98" s="28" t="n"/>
      <c r="L98" s="28" t="n"/>
      <c r="M98" s="28" t="n"/>
      <c r="N98" s="28" t="n"/>
      <c r="O98" s="28" t="n"/>
      <c r="P98" s="28" t="n"/>
      <c r="Q98" s="28" t="n"/>
      <c r="R98" s="29" t="inlineStr">
        <is>
          <t>GP1毛利</t>
        </is>
      </c>
      <c r="S98" s="20">
        <f>S92-S93</f>
        <v/>
      </c>
      <c r="T98" s="20" t="n">
        <v>0</v>
      </c>
      <c r="U98" s="21">
        <f>U92-U93</f>
        <v/>
      </c>
      <c r="V98" s="20">
        <f>V92-V93</f>
        <v/>
      </c>
      <c r="W98" s="20">
        <f>W92-W93</f>
        <v/>
      </c>
      <c r="X98" s="20" t="n">
        <v>0</v>
      </c>
      <c r="Y98" s="20" t="n">
        <v>0</v>
      </c>
      <c r="Z98" s="20">
        <f>Z92-Z93</f>
        <v/>
      </c>
      <c r="AA98" s="20">
        <f>AA92-AA93</f>
        <v/>
      </c>
      <c r="AB98" s="20">
        <f>AB92-AB93</f>
        <v/>
      </c>
      <c r="AC98" s="20">
        <f>AC92-AC93</f>
        <v/>
      </c>
      <c r="AD98" s="20">
        <f>AD92-AD93</f>
        <v/>
      </c>
      <c r="AE98" s="20">
        <f>AE92-AE93</f>
        <v/>
      </c>
      <c r="AF98" s="20">
        <f>AF92-AF93</f>
        <v/>
      </c>
      <c r="AG98" s="20">
        <f>AG92-AG93</f>
        <v/>
      </c>
      <c r="AH98" s="33" t="n">
        <v>0</v>
      </c>
      <c r="AI98" s="33" t="n">
        <v>0</v>
      </c>
      <c r="AJ98" s="28" t="n"/>
      <c r="AK98" s="28" t="n"/>
      <c r="AL98" s="28" t="n"/>
      <c r="AM98" s="28" t="n"/>
      <c r="AN98" s="28" t="n"/>
      <c r="AO98" s="20">
        <f>AO92-AO93</f>
        <v/>
      </c>
      <c r="AP98" s="20">
        <f>AP92-AP93</f>
        <v/>
      </c>
      <c r="AQ98" s="20">
        <f>AQ92-AQ93</f>
        <v/>
      </c>
      <c r="AR98" s="20">
        <f>AR92-AR93</f>
        <v/>
      </c>
      <c r="AS98" s="20">
        <f>AS92-AS93</f>
        <v/>
      </c>
      <c r="AT98" s="20">
        <f>AT92-AT93</f>
        <v/>
      </c>
      <c r="AU98" s="20">
        <f>AU92-AU93</f>
        <v/>
      </c>
      <c r="AV98" s="20">
        <f>AV92-AV93</f>
        <v/>
      </c>
      <c r="AW98" s="20">
        <f>AW92-AW93</f>
        <v/>
      </c>
      <c r="AX98" s="20">
        <f>AX92-AX93</f>
        <v/>
      </c>
      <c r="AY98" s="20">
        <f>AY92-AY93</f>
        <v/>
      </c>
      <c r="AZ98" s="20">
        <f>AZ92-AZ93</f>
        <v/>
      </c>
      <c r="BA98" s="55" t="n">
        <v>15477.62</v>
      </c>
      <c r="BB98" s="31" t="n">
        <v>0</v>
      </c>
      <c r="BC98" s="61" t="n">
        <v>0</v>
      </c>
      <c r="BD98" s="27" t="inlineStr"/>
    </row>
    <row r="99">
      <c r="A99" s="28" t="n"/>
      <c r="B99" s="28" t="n"/>
      <c r="C99" s="28" t="n"/>
      <c r="D99" s="28" t="n"/>
      <c r="E99" s="28" t="n"/>
      <c r="F99" s="28" t="n"/>
      <c r="G99" s="28" t="n"/>
      <c r="H99" s="28" t="n"/>
      <c r="I99" s="28" t="n"/>
      <c r="J99" s="28" t="n"/>
      <c r="K99" s="28" t="n"/>
      <c r="L99" s="28" t="n"/>
      <c r="M99" s="28" t="n"/>
      <c r="N99" s="28" t="n"/>
      <c r="O99" s="28" t="n"/>
      <c r="P99" s="28" t="n"/>
      <c r="Q99" s="28" t="n"/>
      <c r="R99" s="35" t="inlineStr">
        <is>
          <t>GP1毛利率(%)</t>
        </is>
      </c>
      <c r="S99" s="36">
        <f>S98/S92</f>
        <v/>
      </c>
      <c r="T99" s="36" t="n">
        <v>0</v>
      </c>
      <c r="U99" s="37">
        <f>U98/U92</f>
        <v/>
      </c>
      <c r="V99" s="36">
        <f>V98/V92</f>
        <v/>
      </c>
      <c r="W99" s="36">
        <f>W98/W92</f>
        <v/>
      </c>
      <c r="X99" s="36" t="n">
        <v>0</v>
      </c>
      <c r="Y99" s="36" t="n">
        <v>0</v>
      </c>
      <c r="Z99" s="36">
        <f>Z98/Z92</f>
        <v/>
      </c>
      <c r="AA99" s="36">
        <f>AA98/AA92</f>
        <v/>
      </c>
      <c r="AB99" s="36">
        <f>AB98/AB92</f>
        <v/>
      </c>
      <c r="AC99" s="36">
        <f>AC98/AC92</f>
        <v/>
      </c>
      <c r="AD99" s="36">
        <f>AD98/AD92</f>
        <v/>
      </c>
      <c r="AE99" s="36">
        <f>AE98/AE92</f>
        <v/>
      </c>
      <c r="AF99" s="36">
        <f>AF98/AF92</f>
        <v/>
      </c>
      <c r="AG99" s="36">
        <f>AG98/AG92</f>
        <v/>
      </c>
      <c r="AH99" s="38">
        <f>T99-S99</f>
        <v/>
      </c>
      <c r="AI99" s="38">
        <f>AF99-S99</f>
        <v/>
      </c>
      <c r="AJ99" s="28" t="n"/>
      <c r="AK99" s="28" t="n"/>
      <c r="AL99" s="28" t="n"/>
      <c r="AM99" s="28" t="n"/>
      <c r="AN99" s="28" t="n"/>
      <c r="AO99" s="36">
        <f>AO98/AO92</f>
        <v/>
      </c>
      <c r="AP99" s="36">
        <f>AP98/AP92</f>
        <v/>
      </c>
      <c r="AQ99" s="36">
        <f>AQ98/AQ92</f>
        <v/>
      </c>
      <c r="AR99" s="36">
        <f>AR98/AR92</f>
        <v/>
      </c>
      <c r="AS99" s="36">
        <f>AS98/AS92</f>
        <v/>
      </c>
      <c r="AT99" s="36">
        <f>AT98/AT92</f>
        <v/>
      </c>
      <c r="AU99" s="36">
        <f>AU98/AU92</f>
        <v/>
      </c>
      <c r="AV99" s="36">
        <f>AV98/AV92</f>
        <v/>
      </c>
      <c r="AW99" s="36">
        <f>AW98/AW92</f>
        <v/>
      </c>
      <c r="AX99" s="36">
        <f>AX98/AX92</f>
        <v/>
      </c>
      <c r="AY99" s="36">
        <f>AY98/AY92</f>
        <v/>
      </c>
      <c r="AZ99" s="36">
        <f>AZ98/AZ92</f>
        <v/>
      </c>
      <c r="BA99" s="56" t="n">
        <v>1</v>
      </c>
      <c r="BB99" s="39" t="n">
        <v>0</v>
      </c>
      <c r="BC99" s="61" t="n">
        <v>0</v>
      </c>
      <c r="BD99" s="27" t="inlineStr"/>
    </row>
    <row r="100">
      <c r="A100" s="28" t="n"/>
      <c r="B100" s="28" t="n"/>
      <c r="C100" s="28" t="n"/>
      <c r="D100" s="28" t="n"/>
      <c r="E100" s="28" t="n"/>
      <c r="F100" s="28" t="n"/>
      <c r="G100" s="28" t="n"/>
      <c r="H100" s="28" t="n"/>
      <c r="I100" s="28" t="n"/>
      <c r="J100" s="28" t="n"/>
      <c r="K100" s="28" t="n"/>
      <c r="L100" s="28" t="n"/>
      <c r="M100" s="28" t="n"/>
      <c r="N100" s="28" t="n"/>
      <c r="O100" s="28" t="n"/>
      <c r="P100" s="28" t="n"/>
      <c r="Q100" s="28" t="n"/>
      <c r="R100" s="29" t="inlineStr">
        <is>
          <t>GP3毛利</t>
        </is>
      </c>
      <c r="S100" s="20">
        <f>S92-S97</f>
        <v/>
      </c>
      <c r="T100" s="20">
        <f>T92-T97</f>
        <v/>
      </c>
      <c r="U100" s="20">
        <f>U92-U97</f>
        <v/>
      </c>
      <c r="V100" s="20">
        <f>V92-V97</f>
        <v/>
      </c>
      <c r="W100" s="20">
        <f>W92-W97</f>
        <v/>
      </c>
      <c r="X100" s="20">
        <f>X92-X97</f>
        <v/>
      </c>
      <c r="Y100" s="20">
        <f>Y92-Y97</f>
        <v/>
      </c>
      <c r="Z100" s="20">
        <f>Z92-Z97</f>
        <v/>
      </c>
      <c r="AA100" s="20">
        <f>AA92-AA97</f>
        <v/>
      </c>
      <c r="AB100" s="20">
        <f>AB92-AB97</f>
        <v/>
      </c>
      <c r="AC100" s="20">
        <f>AC92-AC97</f>
        <v/>
      </c>
      <c r="AD100" s="20">
        <f>AD92-AD97</f>
        <v/>
      </c>
      <c r="AE100" s="20">
        <f>AE92-AE97</f>
        <v/>
      </c>
      <c r="AF100" s="20">
        <f>AF92-AF97</f>
        <v/>
      </c>
      <c r="AG100" s="20">
        <f>AG92-AG97</f>
        <v/>
      </c>
      <c r="AH100" s="38" t="n">
        <v>0</v>
      </c>
      <c r="AI100" s="38" t="n">
        <v>0</v>
      </c>
      <c r="AJ100" s="28" t="n"/>
      <c r="AK100" s="28" t="n"/>
      <c r="AL100" s="28" t="n"/>
      <c r="AM100" s="28" t="n"/>
      <c r="AN100" s="28" t="n"/>
      <c r="AO100" s="20">
        <f>AO92-AO97</f>
        <v/>
      </c>
      <c r="AP100" s="20">
        <f>AP92-AP97</f>
        <v/>
      </c>
      <c r="AQ100" s="20">
        <f>AQ92-AQ97</f>
        <v/>
      </c>
      <c r="AR100" s="20">
        <f>AR92-AR97</f>
        <v/>
      </c>
      <c r="AS100" s="20">
        <f>AS92-AS97</f>
        <v/>
      </c>
      <c r="AT100" s="20">
        <f>AT92-AT97</f>
        <v/>
      </c>
      <c r="AU100" s="20">
        <f>AU92-AU97</f>
        <v/>
      </c>
      <c r="AV100" s="20">
        <f>AV92-AV97</f>
        <v/>
      </c>
      <c r="AW100" s="20">
        <f>AW92-AW97</f>
        <v/>
      </c>
      <c r="AX100" s="20">
        <f>AX92-AX97</f>
        <v/>
      </c>
      <c r="AY100" s="20">
        <f>AY92-AY97</f>
        <v/>
      </c>
      <c r="AZ100" s="20">
        <f>AZ92-AZ97</f>
        <v/>
      </c>
      <c r="BA100" s="20">
        <f>BA92-BA97</f>
        <v/>
      </c>
      <c r="BB100" s="20">
        <f>BB92-BB97</f>
        <v/>
      </c>
      <c r="BC100" s="20">
        <f>BC92-BC97</f>
        <v/>
      </c>
      <c r="BD100" s="27" t="inlineStr"/>
    </row>
    <row r="101">
      <c r="A101" s="41" t="n"/>
      <c r="B101" s="41" t="n"/>
      <c r="C101" s="41" t="n"/>
      <c r="D101" s="41" t="n"/>
      <c r="E101" s="41" t="n"/>
      <c r="F101" s="41" t="n"/>
      <c r="G101" s="41" t="n"/>
      <c r="H101" s="41" t="n"/>
      <c r="I101" s="41" t="n"/>
      <c r="J101" s="41" t="n"/>
      <c r="K101" s="41" t="n"/>
      <c r="L101" s="41" t="n"/>
      <c r="M101" s="41" t="n"/>
      <c r="N101" s="41" t="n"/>
      <c r="O101" s="41" t="n"/>
      <c r="P101" s="41" t="n"/>
      <c r="Q101" s="41" t="n"/>
      <c r="R101" s="35" t="inlineStr">
        <is>
          <t>GP3毛利率(%)</t>
        </is>
      </c>
      <c r="S101" s="36">
        <f>S100/S92</f>
        <v/>
      </c>
      <c r="T101" s="36" t="n">
        <v>0</v>
      </c>
      <c r="U101" s="37">
        <f>U100/U92</f>
        <v/>
      </c>
      <c r="V101" s="36">
        <f>V100/V92</f>
        <v/>
      </c>
      <c r="W101" s="36">
        <f>W100/W92</f>
        <v/>
      </c>
      <c r="X101" s="36" t="n">
        <v>0</v>
      </c>
      <c r="Y101" s="36" t="n">
        <v>0</v>
      </c>
      <c r="Z101" s="36">
        <f>Z100/Z92</f>
        <v/>
      </c>
      <c r="AA101" s="36">
        <f>AA100/AA92</f>
        <v/>
      </c>
      <c r="AB101" s="36">
        <f>AB100/AB92</f>
        <v/>
      </c>
      <c r="AC101" s="36">
        <f>AC100/AC92</f>
        <v/>
      </c>
      <c r="AD101" s="36">
        <f>AD100/AD92</f>
        <v/>
      </c>
      <c r="AE101" s="36">
        <f>AE100/AE92</f>
        <v/>
      </c>
      <c r="AF101" s="36">
        <f>AF100/AF92</f>
        <v/>
      </c>
      <c r="AG101" s="36">
        <f>AG100/AG92</f>
        <v/>
      </c>
      <c r="AH101" s="38">
        <f>T101-S101</f>
        <v/>
      </c>
      <c r="AI101" s="38">
        <f>AF101-S101</f>
        <v/>
      </c>
      <c r="AJ101" s="41" t="n"/>
      <c r="AK101" s="41" t="n"/>
      <c r="AL101" s="41" t="n"/>
      <c r="AM101" s="41" t="n"/>
      <c r="AN101" s="41" t="n"/>
      <c r="AO101" s="36">
        <f>AO100/AO92</f>
        <v/>
      </c>
      <c r="AP101" s="36">
        <f>AP100/AP92</f>
        <v/>
      </c>
      <c r="AQ101" s="36">
        <f>AQ100/AQ92</f>
        <v/>
      </c>
      <c r="AR101" s="36">
        <f>AR100/AR92</f>
        <v/>
      </c>
      <c r="AS101" s="36">
        <f>AS100/AS92</f>
        <v/>
      </c>
      <c r="AT101" s="36">
        <f>AT100/AT92</f>
        <v/>
      </c>
      <c r="AU101" s="36">
        <f>AU100/AU92</f>
        <v/>
      </c>
      <c r="AV101" s="36">
        <f>AV100/AV92</f>
        <v/>
      </c>
      <c r="AW101" s="36">
        <f>AW100/AW92</f>
        <v/>
      </c>
      <c r="AX101" s="36">
        <f>AX100/AX92</f>
        <v/>
      </c>
      <c r="AY101" s="36">
        <f>AY100/AY92</f>
        <v/>
      </c>
      <c r="AZ101" s="36">
        <f>AZ100/AZ92</f>
        <v/>
      </c>
      <c r="BA101" s="56" t="n">
        <v>1.00366012345567</v>
      </c>
      <c r="BB101" s="39" t="n">
        <v>0</v>
      </c>
      <c r="BC101" s="61" t="n">
        <v>0</v>
      </c>
      <c r="BD101" s="27" t="inlineStr"/>
    </row>
    <row r="102">
      <c r="A102" s="42" t="inlineStr">
        <is>
          <t>P202601001368</t>
        </is>
      </c>
      <c r="B102" s="43" t="inlineStr">
        <is>
          <t>全国畜牧总站-2026年畜牧核心数据查询APP（牧数查）项目-FP项目</t>
        </is>
      </c>
      <c r="C102" s="44" t="n">
        <v>46023</v>
      </c>
      <c r="D102" s="44" t="n">
        <v>46387</v>
      </c>
      <c r="E102" s="15" t="n"/>
      <c r="F102" s="16" t="n">
        <v>2</v>
      </c>
      <c r="G102" s="18" t="n">
        <v>2</v>
      </c>
      <c r="H102" s="18" t="n"/>
      <c r="I102" s="18" t="n"/>
      <c r="J102" s="18" t="n"/>
      <c r="K102" s="18" t="n"/>
      <c r="L102" s="18" t="n"/>
      <c r="M102" s="18" t="n"/>
      <c r="N102" s="18" t="n"/>
      <c r="O102" s="18" t="n"/>
      <c r="P102" s="15" t="n"/>
      <c r="Q102" s="18" t="inlineStr"/>
      <c r="R102" s="47" t="inlineStr">
        <is>
          <t>累计收入（NR）</t>
        </is>
      </c>
      <c r="S102" s="20" t="n">
        <v>75471.7</v>
      </c>
      <c r="T102" s="20" t="n">
        <v>0</v>
      </c>
      <c r="U102" s="21" t="n">
        <v>0</v>
      </c>
      <c r="V102" s="20">
        <f>SUM(AO102:AZ102)</f>
        <v/>
      </c>
      <c r="W102" s="20">
        <f>SUM(AP102:AZ102)</f>
        <v/>
      </c>
      <c r="X102" s="20" t="n">
        <v>0</v>
      </c>
      <c r="Y102" s="20" t="n">
        <v>0</v>
      </c>
      <c r="Z102" s="20" t="n">
        <v>0</v>
      </c>
      <c r="AA102" s="20" t="n">
        <v>0</v>
      </c>
      <c r="AB102" s="20" t="n">
        <v>0</v>
      </c>
      <c r="AC102" s="20" t="n">
        <v>0</v>
      </c>
      <c r="AD102" s="20" t="n">
        <v>0</v>
      </c>
      <c r="AE102" s="20" t="n">
        <v>0</v>
      </c>
      <c r="AF102" s="20">
        <f>SUM(AY102:AZ102)</f>
        <v/>
      </c>
      <c r="AG102" s="20">
        <f>SUM(AZ102:AZ102)</f>
        <v/>
      </c>
      <c r="AH102" s="22" t="n">
        <v>0</v>
      </c>
      <c r="AI102" s="22" t="n">
        <v>0</v>
      </c>
      <c r="AJ102" s="43" t="inlineStr"/>
      <c r="AK102" s="48" t="inlineStr"/>
      <c r="AL102" s="48" t="inlineStr"/>
      <c r="AM102" s="48" t="inlineStr"/>
      <c r="AN102" s="16" t="n"/>
      <c r="AO102" s="20" t="n">
        <v>0</v>
      </c>
      <c r="AP102" s="20" t="n">
        <v>0</v>
      </c>
      <c r="AQ102" s="20" t="n">
        <v>0</v>
      </c>
      <c r="AR102" s="20" t="n">
        <v>0</v>
      </c>
      <c r="AS102" s="20" t="n">
        <v>0</v>
      </c>
      <c r="AT102" s="20" t="n">
        <v>0</v>
      </c>
      <c r="AU102" s="20" t="n">
        <v>0</v>
      </c>
      <c r="AV102" s="20" t="n">
        <v>0</v>
      </c>
      <c r="AW102" s="20" t="n">
        <v>0</v>
      </c>
      <c r="AX102" s="20" t="n">
        <v>65515.05</v>
      </c>
      <c r="AY102" s="20" t="n">
        <v>62945.83</v>
      </c>
      <c r="AZ102" s="20" t="n">
        <v>62991.71</v>
      </c>
      <c r="BA102" s="49" t="n">
        <v>0</v>
      </c>
      <c r="BB102" s="21" t="n">
        <v>0</v>
      </c>
      <c r="BC102" s="61" t="n">
        <v>0</v>
      </c>
      <c r="BD102" s="27" t="inlineStr"/>
    </row>
    <row r="103">
      <c r="A103" s="28" t="n"/>
      <c r="B103" s="28" t="n"/>
      <c r="C103" s="28" t="n"/>
      <c r="D103" s="28" t="n"/>
      <c r="E103" s="28" t="n"/>
      <c r="F103" s="28" t="n"/>
      <c r="G103" s="28" t="n"/>
      <c r="H103" s="28" t="n"/>
      <c r="I103" s="28" t="n"/>
      <c r="J103" s="28" t="n"/>
      <c r="K103" s="28" t="n"/>
      <c r="L103" s="28" t="n"/>
      <c r="M103" s="28" t="n"/>
      <c r="N103" s="28" t="n"/>
      <c r="O103" s="28" t="n"/>
      <c r="P103" s="28" t="n"/>
      <c r="Q103" s="28" t="n"/>
      <c r="R103" s="29" t="inlineStr">
        <is>
          <t>人工成本（成本１）</t>
        </is>
      </c>
      <c r="S103" s="20" t="n">
        <v>34151.4</v>
      </c>
      <c r="T103" s="20" t="n">
        <v>0</v>
      </c>
      <c r="U103" s="21" t="n">
        <v>0</v>
      </c>
      <c r="V103" s="20">
        <f>SUM(AO103:AZ103)</f>
        <v/>
      </c>
      <c r="W103" s="20">
        <f>SUM(AP103:AZ103)</f>
        <v/>
      </c>
      <c r="X103" s="20" t="n">
        <v>0</v>
      </c>
      <c r="Y103" s="20" t="n">
        <v>0</v>
      </c>
      <c r="Z103" s="20" t="n">
        <v>0</v>
      </c>
      <c r="AA103" s="20" t="n">
        <v>0</v>
      </c>
      <c r="AB103" s="20" t="n">
        <v>0</v>
      </c>
      <c r="AC103" s="20" t="n">
        <v>0</v>
      </c>
      <c r="AD103" s="20" t="n">
        <v>0</v>
      </c>
      <c r="AE103" s="20" t="n">
        <v>0</v>
      </c>
      <c r="AF103" s="20">
        <f>SUM(AY103:AZ103)</f>
        <v/>
      </c>
      <c r="AG103" s="20">
        <f>SUM(AZ103:AZ103)</f>
        <v/>
      </c>
      <c r="AH103" s="22" t="n">
        <v>0</v>
      </c>
      <c r="AI103" s="22" t="n">
        <v>0</v>
      </c>
      <c r="AJ103" s="28" t="n"/>
      <c r="AK103" s="28" t="n"/>
      <c r="AL103" s="28" t="n"/>
      <c r="AM103" s="28" t="n"/>
      <c r="AN103" s="28" t="n"/>
      <c r="AO103" s="20" t="n">
        <v>0</v>
      </c>
      <c r="AP103" s="20" t="n">
        <v>0</v>
      </c>
      <c r="AQ103" s="20" t="n">
        <v>0</v>
      </c>
      <c r="AR103" s="20" t="n">
        <v>0</v>
      </c>
      <c r="AS103" s="20" t="n">
        <v>0</v>
      </c>
      <c r="AT103" s="20" t="n">
        <v>0</v>
      </c>
      <c r="AU103" s="20" t="n">
        <v>0</v>
      </c>
      <c r="AV103" s="20" t="n">
        <v>0</v>
      </c>
      <c r="AW103" s="20" t="n">
        <v>0</v>
      </c>
      <c r="AX103" s="20" t="n">
        <v>61858.83</v>
      </c>
      <c r="AY103" s="20" t="n">
        <v>61858.83</v>
      </c>
      <c r="AZ103" s="20" t="n">
        <v>61858.83</v>
      </c>
      <c r="BA103" s="49" t="n">
        <v>0</v>
      </c>
      <c r="BB103" s="21" t="n">
        <v>0</v>
      </c>
      <c r="BC103" s="61" t="n">
        <v>0</v>
      </c>
      <c r="BD103" s="27" t="inlineStr"/>
    </row>
    <row r="104">
      <c r="A104" s="28" t="n"/>
      <c r="B104" s="28" t="n"/>
      <c r="C104" s="28" t="n"/>
      <c r="D104" s="28" t="n"/>
      <c r="E104" s="28" t="n"/>
      <c r="F104" s="28" t="n"/>
      <c r="G104" s="28" t="n"/>
      <c r="H104" s="28" t="n"/>
      <c r="I104" s="28" t="n"/>
      <c r="J104" s="28" t="n"/>
      <c r="K104" s="28" t="n"/>
      <c r="L104" s="28" t="n"/>
      <c r="M104" s="28" t="n"/>
      <c r="N104" s="28" t="n"/>
      <c r="O104" s="28" t="n"/>
      <c r="P104" s="28" t="n"/>
      <c r="Q104" s="28" t="n"/>
      <c r="R104" s="29" t="inlineStr">
        <is>
          <t>闲置成本（成本2）</t>
        </is>
      </c>
      <c r="S104" s="20" t="n">
        <v>0</v>
      </c>
      <c r="T104" s="20" t="n">
        <v>0</v>
      </c>
      <c r="U104" s="21" t="n">
        <v>0</v>
      </c>
      <c r="V104" s="20" t="n">
        <v>0</v>
      </c>
      <c r="W104" s="20" t="n">
        <v>0</v>
      </c>
      <c r="X104" s="20" t="n">
        <v>0</v>
      </c>
      <c r="Y104" s="20" t="n">
        <v>0</v>
      </c>
      <c r="Z104" s="20" t="n">
        <v>0</v>
      </c>
      <c r="AA104" s="20" t="n">
        <v>0</v>
      </c>
      <c r="AB104" s="20" t="n">
        <v>0</v>
      </c>
      <c r="AC104" s="20" t="n">
        <v>0</v>
      </c>
      <c r="AD104" s="20" t="n">
        <v>0</v>
      </c>
      <c r="AE104" s="20" t="n">
        <v>0</v>
      </c>
      <c r="AF104" s="20" t="n">
        <v>0</v>
      </c>
      <c r="AG104" s="20" t="n">
        <v>0</v>
      </c>
      <c r="AH104" s="22" t="n">
        <v>0</v>
      </c>
      <c r="AI104" s="22" t="n">
        <v>0</v>
      </c>
      <c r="AJ104" s="28" t="n"/>
      <c r="AK104" s="28" t="n"/>
      <c r="AL104" s="28" t="n"/>
      <c r="AM104" s="28" t="n"/>
      <c r="AN104" s="28" t="n"/>
      <c r="AO104" s="20" t="n">
        <v>0</v>
      </c>
      <c r="AP104" s="20" t="n">
        <v>0</v>
      </c>
      <c r="AQ104" s="20" t="n">
        <v>0</v>
      </c>
      <c r="AR104" s="20" t="n">
        <v>0</v>
      </c>
      <c r="AS104" s="20" t="n">
        <v>0</v>
      </c>
      <c r="AT104" s="20" t="n">
        <v>0</v>
      </c>
      <c r="AU104" s="20" t="n">
        <v>0</v>
      </c>
      <c r="AV104" s="20" t="n">
        <v>0</v>
      </c>
      <c r="AW104" s="20" t="n">
        <v>0</v>
      </c>
      <c r="AX104" s="20" t="n">
        <v>0</v>
      </c>
      <c r="AY104" s="20" t="n">
        <v>0</v>
      </c>
      <c r="AZ104" s="20" t="n">
        <v>0</v>
      </c>
      <c r="BA104" s="49" t="n">
        <v>0</v>
      </c>
      <c r="BB104" s="21" t="n">
        <v>0</v>
      </c>
      <c r="BC104" s="61" t="n">
        <v>0</v>
      </c>
      <c r="BD104" s="27" t="inlineStr"/>
    </row>
    <row r="105">
      <c r="A105" s="28" t="n"/>
      <c r="B105" s="28" t="n"/>
      <c r="C105" s="28" t="n"/>
      <c r="D105" s="28" t="n"/>
      <c r="E105" s="28" t="n"/>
      <c r="F105" s="28" t="n"/>
      <c r="G105" s="28" t="n"/>
      <c r="H105" s="28" t="n"/>
      <c r="I105" s="28" t="n"/>
      <c r="J105" s="28" t="n"/>
      <c r="K105" s="28" t="n"/>
      <c r="L105" s="28" t="n"/>
      <c r="M105" s="28" t="n"/>
      <c r="N105" s="28" t="n"/>
      <c r="O105" s="28" t="n"/>
      <c r="P105" s="28" t="n"/>
      <c r="Q105" s="28" t="n"/>
      <c r="R105" s="29" t="inlineStr">
        <is>
          <t>差旅费（成本３）</t>
        </is>
      </c>
      <c r="S105" s="20" t="n">
        <v>0</v>
      </c>
      <c r="T105" s="20" t="n">
        <v>0</v>
      </c>
      <c r="U105" s="21" t="n">
        <v>0</v>
      </c>
      <c r="V105" s="20">
        <f>SUM(AO105:AZ105)</f>
        <v/>
      </c>
      <c r="W105" s="20">
        <f>SUM(AP105:AZ105)</f>
        <v/>
      </c>
      <c r="X105" s="20" t="n">
        <v>0</v>
      </c>
      <c r="Y105" s="20" t="n">
        <v>0</v>
      </c>
      <c r="Z105" s="20" t="n">
        <v>0</v>
      </c>
      <c r="AA105" s="20" t="n">
        <v>0</v>
      </c>
      <c r="AB105" s="20" t="n">
        <v>0</v>
      </c>
      <c r="AC105" s="20" t="n">
        <v>0</v>
      </c>
      <c r="AD105" s="20" t="n">
        <v>0</v>
      </c>
      <c r="AE105" s="20" t="n">
        <v>0</v>
      </c>
      <c r="AF105" s="20">
        <f>SUM(AY105:AZ105)</f>
        <v/>
      </c>
      <c r="AG105" s="20">
        <f>SUM(AZ105:AZ105)</f>
        <v/>
      </c>
      <c r="AH105" s="22" t="n">
        <v>0</v>
      </c>
      <c r="AI105" s="22" t="n">
        <v>0</v>
      </c>
      <c r="AJ105" s="28" t="n"/>
      <c r="AK105" s="28" t="n"/>
      <c r="AL105" s="28" t="n"/>
      <c r="AM105" s="28" t="n"/>
      <c r="AN105" s="28" t="n"/>
      <c r="AO105" s="20" t="n">
        <v>0</v>
      </c>
      <c r="AP105" s="20" t="n">
        <v>0</v>
      </c>
      <c r="AQ105" s="20" t="n">
        <v>0</v>
      </c>
      <c r="AR105" s="20" t="n">
        <v>0</v>
      </c>
      <c r="AS105" s="20" t="n">
        <v>0</v>
      </c>
      <c r="AT105" s="20" t="n">
        <v>0</v>
      </c>
      <c r="AU105" s="20" t="n">
        <v>0</v>
      </c>
      <c r="AV105" s="20" t="n">
        <v>0</v>
      </c>
      <c r="AW105" s="20" t="n">
        <v>0</v>
      </c>
      <c r="AX105" s="20" t="n">
        <v>0</v>
      </c>
      <c r="AY105" s="20" t="n">
        <v>0</v>
      </c>
      <c r="AZ105" s="20" t="n">
        <v>0</v>
      </c>
      <c r="BA105" s="49" t="n">
        <v>0</v>
      </c>
      <c r="BB105" s="21" t="n">
        <v>0</v>
      </c>
      <c r="BC105" s="61" t="n">
        <v>0</v>
      </c>
      <c r="BD105" s="27" t="inlineStr"/>
    </row>
    <row r="106">
      <c r="A106" s="28" t="n"/>
      <c r="B106" s="28" t="n"/>
      <c r="C106" s="28" t="n"/>
      <c r="D106" s="28" t="n"/>
      <c r="E106" s="28" t="n"/>
      <c r="F106" s="28" t="n"/>
      <c r="G106" s="28" t="n"/>
      <c r="H106" s="28" t="n"/>
      <c r="I106" s="28" t="n"/>
      <c r="J106" s="28" t="n"/>
      <c r="K106" s="28" t="n"/>
      <c r="L106" s="28" t="n"/>
      <c r="M106" s="28" t="n"/>
      <c r="N106" s="28" t="n"/>
      <c r="O106" s="28" t="n"/>
      <c r="P106" s="28" t="n"/>
      <c r="Q106" s="28" t="n"/>
      <c r="R106" s="29" t="inlineStr">
        <is>
          <t>其他成本（成本３）</t>
        </is>
      </c>
      <c r="S106" s="20" t="n">
        <v>29037</v>
      </c>
      <c r="T106" s="20" t="n">
        <v>0</v>
      </c>
      <c r="U106" s="21" t="n">
        <v>0</v>
      </c>
      <c r="V106" s="20">
        <f>SUM(AO106:AZ106)</f>
        <v/>
      </c>
      <c r="W106" s="20">
        <f>SUM(AP106:AZ106)</f>
        <v/>
      </c>
      <c r="X106" s="20" t="n">
        <v>0</v>
      </c>
      <c r="Y106" s="20" t="n">
        <v>0</v>
      </c>
      <c r="Z106" s="20" t="n">
        <v>0</v>
      </c>
      <c r="AA106" s="20" t="n">
        <v>0</v>
      </c>
      <c r="AB106" s="20" t="n">
        <v>0</v>
      </c>
      <c r="AC106" s="20" t="n">
        <v>0</v>
      </c>
      <c r="AD106" s="20" t="n">
        <v>0</v>
      </c>
      <c r="AE106" s="20" t="n">
        <v>0</v>
      </c>
      <c r="AF106" s="20">
        <f>SUM(AY106:AZ106)</f>
        <v/>
      </c>
      <c r="AG106" s="20">
        <f>SUM(AZ106:AZ106)</f>
        <v/>
      </c>
      <c r="AH106" s="22" t="n">
        <v>0</v>
      </c>
      <c r="AI106" s="22" t="n">
        <v>0</v>
      </c>
      <c r="AJ106" s="28" t="n"/>
      <c r="AK106" s="28" t="n"/>
      <c r="AL106" s="28" t="n"/>
      <c r="AM106" s="28" t="n"/>
      <c r="AN106" s="28" t="n"/>
      <c r="AO106" s="20" t="n">
        <v>0</v>
      </c>
      <c r="AP106" s="20" t="n">
        <v>0</v>
      </c>
      <c r="AQ106" s="20" t="n">
        <v>0</v>
      </c>
      <c r="AR106" s="20" t="n">
        <v>0</v>
      </c>
      <c r="AS106" s="20" t="n">
        <v>0</v>
      </c>
      <c r="AT106" s="20" t="n">
        <v>0</v>
      </c>
      <c r="AU106" s="20" t="n">
        <v>0</v>
      </c>
      <c r="AV106" s="20" t="n">
        <v>0</v>
      </c>
      <c r="AW106" s="20" t="n">
        <v>0</v>
      </c>
      <c r="AX106" s="20" t="n">
        <v>204.48</v>
      </c>
      <c r="AY106" s="20" t="n">
        <v>134.51</v>
      </c>
      <c r="AZ106" s="20" t="n">
        <v>67.28</v>
      </c>
      <c r="BA106" s="49" t="n">
        <v>0</v>
      </c>
      <c r="BB106" s="21" t="n">
        <v>0</v>
      </c>
      <c r="BC106" s="61" t="n">
        <v>0</v>
      </c>
      <c r="BD106" s="27" t="inlineStr"/>
    </row>
    <row r="107">
      <c r="A107" s="28" t="n"/>
      <c r="B107" s="28" t="n"/>
      <c r="C107" s="28" t="n"/>
      <c r="D107" s="28" t="n"/>
      <c r="E107" s="28" t="n"/>
      <c r="F107" s="28" t="n"/>
      <c r="G107" s="28" t="n"/>
      <c r="H107" s="28" t="n"/>
      <c r="I107" s="28" t="n"/>
      <c r="J107" s="28" t="n"/>
      <c r="K107" s="28" t="n"/>
      <c r="L107" s="28" t="n"/>
      <c r="M107" s="28" t="n"/>
      <c r="N107" s="28" t="n"/>
      <c r="O107" s="28" t="n"/>
      <c r="P107" s="28" t="n"/>
      <c r="Q107" s="28" t="n"/>
      <c r="R107" s="29" t="inlineStr">
        <is>
          <t>累计成本</t>
        </is>
      </c>
      <c r="S107" s="30">
        <f>SUM(S103:S106)</f>
        <v/>
      </c>
      <c r="T107" s="30" t="n">
        <v>0</v>
      </c>
      <c r="U107" s="31" t="n">
        <v>0</v>
      </c>
      <c r="V107" s="30">
        <f>SUM(V103:V106)</f>
        <v/>
      </c>
      <c r="W107" s="30">
        <f>SUM(W103:W106)</f>
        <v/>
      </c>
      <c r="X107" s="30" t="n">
        <v>0</v>
      </c>
      <c r="Y107" s="30" t="n">
        <v>0</v>
      </c>
      <c r="Z107" s="30" t="n">
        <v>0</v>
      </c>
      <c r="AA107" s="30" t="n">
        <v>0</v>
      </c>
      <c r="AB107" s="30" t="n">
        <v>0</v>
      </c>
      <c r="AC107" s="30" t="n">
        <v>0</v>
      </c>
      <c r="AD107" s="30" t="n">
        <v>0</v>
      </c>
      <c r="AE107" s="30" t="n">
        <v>0</v>
      </c>
      <c r="AF107" s="30">
        <f>SUM(AF103:AF106)</f>
        <v/>
      </c>
      <c r="AG107" s="30">
        <f>SUM(AG103:AG106)</f>
        <v/>
      </c>
      <c r="AH107" s="30" t="n">
        <v>0</v>
      </c>
      <c r="AI107" s="30">
        <f>SUM(AI103:AI106)</f>
        <v/>
      </c>
      <c r="AJ107" s="28" t="n"/>
      <c r="AK107" s="28" t="n"/>
      <c r="AL107" s="28" t="n"/>
      <c r="AM107" s="28" t="n"/>
      <c r="AN107" s="28" t="n"/>
      <c r="AO107" s="30">
        <f>SUM(AO103:AO106)</f>
        <v/>
      </c>
      <c r="AP107" s="30">
        <f>SUM(AP103:AP106)</f>
        <v/>
      </c>
      <c r="AQ107" s="30">
        <f>SUM(AQ103:AQ106)</f>
        <v/>
      </c>
      <c r="AR107" s="30">
        <f>SUM(AR103:AR106)</f>
        <v/>
      </c>
      <c r="AS107" s="30">
        <f>SUM(AS103:AS106)</f>
        <v/>
      </c>
      <c r="AT107" s="30">
        <f>SUM(AT103:AT106)</f>
        <v/>
      </c>
      <c r="AU107" s="30">
        <f>SUM(AU103:AU106)</f>
        <v/>
      </c>
      <c r="AV107" s="30">
        <f>SUM(AV103:AV106)</f>
        <v/>
      </c>
      <c r="AW107" s="30">
        <f>SUM(AW103:AW106)</f>
        <v/>
      </c>
      <c r="AX107" s="30">
        <f>SUM(AX103:AX106)</f>
        <v/>
      </c>
      <c r="AY107" s="30" t="n">
        <v>61993.34</v>
      </c>
      <c r="AZ107" s="30">
        <f>SUM(AZ103:AZ106)</f>
        <v/>
      </c>
      <c r="BA107" s="53" t="n">
        <v>0</v>
      </c>
      <c r="BB107" s="31">
        <f>SUM(BB103:BB106)</f>
        <v/>
      </c>
      <c r="BC107" s="54">
        <f>SUM(BC103:BC106)</f>
        <v/>
      </c>
      <c r="BD107" s="32" t="inlineStr"/>
    </row>
    <row r="108">
      <c r="A108" s="28" t="n"/>
      <c r="B108" s="28" t="n"/>
      <c r="C108" s="28" t="n"/>
      <c r="D108" s="28" t="n"/>
      <c r="E108" s="28" t="n"/>
      <c r="F108" s="28" t="n"/>
      <c r="G108" s="28" t="n"/>
      <c r="H108" s="28" t="n"/>
      <c r="I108" s="28" t="n"/>
      <c r="J108" s="28" t="n"/>
      <c r="K108" s="28" t="n"/>
      <c r="L108" s="28" t="n"/>
      <c r="M108" s="28" t="n"/>
      <c r="N108" s="28" t="n"/>
      <c r="O108" s="28" t="n"/>
      <c r="P108" s="28" t="n"/>
      <c r="Q108" s="28" t="n"/>
      <c r="R108" s="29" t="inlineStr">
        <is>
          <t>GP1毛利</t>
        </is>
      </c>
      <c r="S108" s="20">
        <f>S102-S103</f>
        <v/>
      </c>
      <c r="T108" s="20" t="n">
        <v>0</v>
      </c>
      <c r="U108" s="21">
        <f>U102-U103</f>
        <v/>
      </c>
      <c r="V108" s="20">
        <f>V102-V103</f>
        <v/>
      </c>
      <c r="W108" s="20">
        <f>W102-W103</f>
        <v/>
      </c>
      <c r="X108" s="20" t="n">
        <v>0</v>
      </c>
      <c r="Y108" s="20" t="n">
        <v>0</v>
      </c>
      <c r="Z108" s="20" t="n">
        <v>0</v>
      </c>
      <c r="AA108" s="20" t="n">
        <v>0</v>
      </c>
      <c r="AB108" s="20" t="n">
        <v>0</v>
      </c>
      <c r="AC108" s="20" t="n">
        <v>0</v>
      </c>
      <c r="AD108" s="20" t="n">
        <v>0</v>
      </c>
      <c r="AE108" s="20" t="n">
        <v>0</v>
      </c>
      <c r="AF108" s="20">
        <f>AF102-AF103</f>
        <v/>
      </c>
      <c r="AG108" s="20">
        <f>AG102-AG103</f>
        <v/>
      </c>
      <c r="AH108" s="33" t="n">
        <v>0</v>
      </c>
      <c r="AI108" s="33" t="n">
        <v>0</v>
      </c>
      <c r="AJ108" s="28" t="n"/>
      <c r="AK108" s="28" t="n"/>
      <c r="AL108" s="28" t="n"/>
      <c r="AM108" s="28" t="n"/>
      <c r="AN108" s="28" t="n"/>
      <c r="AO108" s="20">
        <f>AO102-AO103</f>
        <v/>
      </c>
      <c r="AP108" s="20">
        <f>AP102-AP103</f>
        <v/>
      </c>
      <c r="AQ108" s="20">
        <f>AQ102-AQ103</f>
        <v/>
      </c>
      <c r="AR108" s="20">
        <f>AR102-AR103</f>
        <v/>
      </c>
      <c r="AS108" s="20">
        <f>AS102-AS103</f>
        <v/>
      </c>
      <c r="AT108" s="20">
        <f>AT102-AT103</f>
        <v/>
      </c>
      <c r="AU108" s="20">
        <f>AU102-AU103</f>
        <v/>
      </c>
      <c r="AV108" s="20">
        <f>AV102-AV103</f>
        <v/>
      </c>
      <c r="AW108" s="20">
        <f>AW102-AW103</f>
        <v/>
      </c>
      <c r="AX108" s="20">
        <f>AX102-AX103</f>
        <v/>
      </c>
      <c r="AY108" s="20">
        <f>AY102-AY103</f>
        <v/>
      </c>
      <c r="AZ108" s="20">
        <f>AZ102-AZ103</f>
        <v/>
      </c>
      <c r="BA108" s="55" t="n">
        <v>0</v>
      </c>
      <c r="BB108" s="31" t="n">
        <v>0</v>
      </c>
      <c r="BC108" s="61" t="n">
        <v>0</v>
      </c>
      <c r="BD108" s="27" t="inlineStr"/>
    </row>
    <row r="109">
      <c r="A109" s="28" t="n"/>
      <c r="B109" s="28" t="n"/>
      <c r="C109" s="28" t="n"/>
      <c r="D109" s="28" t="n"/>
      <c r="E109" s="28" t="n"/>
      <c r="F109" s="28" t="n"/>
      <c r="G109" s="28" t="n"/>
      <c r="H109" s="28" t="n"/>
      <c r="I109" s="28" t="n"/>
      <c r="J109" s="28" t="n"/>
      <c r="K109" s="28" t="n"/>
      <c r="L109" s="28" t="n"/>
      <c r="M109" s="28" t="n"/>
      <c r="N109" s="28" t="n"/>
      <c r="O109" s="28" t="n"/>
      <c r="P109" s="28" t="n"/>
      <c r="Q109" s="28" t="n"/>
      <c r="R109" s="35" t="inlineStr">
        <is>
          <t>GP1毛利率(%)</t>
        </is>
      </c>
      <c r="S109" s="36">
        <f>S108/S102</f>
        <v/>
      </c>
      <c r="T109" s="36" t="n">
        <v>0</v>
      </c>
      <c r="U109" s="37">
        <f>U108/U102</f>
        <v/>
      </c>
      <c r="V109" s="36">
        <f>V108/V102</f>
        <v/>
      </c>
      <c r="W109" s="36">
        <f>W108/W102</f>
        <v/>
      </c>
      <c r="X109" s="36" t="n">
        <v>0</v>
      </c>
      <c r="Y109" s="36" t="n">
        <v>0</v>
      </c>
      <c r="Z109" s="36" t="n">
        <v>0</v>
      </c>
      <c r="AA109" s="36" t="n">
        <v>0</v>
      </c>
      <c r="AB109" s="36" t="n">
        <v>0</v>
      </c>
      <c r="AC109" s="36" t="n">
        <v>0</v>
      </c>
      <c r="AD109" s="36" t="n">
        <v>0</v>
      </c>
      <c r="AE109" s="36" t="n">
        <v>0</v>
      </c>
      <c r="AF109" s="36">
        <f>AF108/AF102</f>
        <v/>
      </c>
      <c r="AG109" s="36">
        <f>AG108/AG102</f>
        <v/>
      </c>
      <c r="AH109" s="38" t="n">
        <v>-0.547493961312651</v>
      </c>
      <c r="AI109" s="38">
        <f>AF109-S109</f>
        <v/>
      </c>
      <c r="AJ109" s="28" t="n"/>
      <c r="AK109" s="28" t="n"/>
      <c r="AL109" s="28" t="n"/>
      <c r="AM109" s="28" t="n"/>
      <c r="AN109" s="28" t="n"/>
      <c r="AO109" s="36">
        <f>AO108/AO102</f>
        <v/>
      </c>
      <c r="AP109" s="36">
        <f>AP108/AP102</f>
        <v/>
      </c>
      <c r="AQ109" s="36">
        <f>AQ108/AQ102</f>
        <v/>
      </c>
      <c r="AR109" s="36">
        <f>AR108/AR102</f>
        <v/>
      </c>
      <c r="AS109" s="36">
        <f>AS108/AS102</f>
        <v/>
      </c>
      <c r="AT109" s="36">
        <f>AT108/AT102</f>
        <v/>
      </c>
      <c r="AU109" s="36">
        <f>AU108/AU102</f>
        <v/>
      </c>
      <c r="AV109" s="36">
        <f>AV108/AV102</f>
        <v/>
      </c>
      <c r="AW109" s="36">
        <f>AW108/AW102</f>
        <v/>
      </c>
      <c r="AX109" s="36">
        <f>AX108/AX102</f>
        <v/>
      </c>
      <c r="AY109" s="36">
        <f>AY108/AY102</f>
        <v/>
      </c>
      <c r="AZ109" s="36">
        <f>AZ108/AZ102</f>
        <v/>
      </c>
      <c r="BA109" s="56" t="n">
        <v>0</v>
      </c>
      <c r="BB109" s="39" t="n">
        <v>0</v>
      </c>
      <c r="BC109" s="61" t="n">
        <v>0</v>
      </c>
      <c r="BD109" s="27" t="inlineStr"/>
    </row>
    <row r="110">
      <c r="A110" s="28" t="n"/>
      <c r="B110" s="28" t="n"/>
      <c r="C110" s="28" t="n"/>
      <c r="D110" s="28" t="n"/>
      <c r="E110" s="28" t="n"/>
      <c r="F110" s="28" t="n"/>
      <c r="G110" s="28" t="n"/>
      <c r="H110" s="28" t="n"/>
      <c r="I110" s="28" t="n"/>
      <c r="J110" s="28" t="n"/>
      <c r="K110" s="28" t="n"/>
      <c r="L110" s="28" t="n"/>
      <c r="M110" s="28" t="n"/>
      <c r="N110" s="28" t="n"/>
      <c r="O110" s="28" t="n"/>
      <c r="P110" s="28" t="n"/>
      <c r="Q110" s="28" t="n"/>
      <c r="R110" s="29" t="inlineStr">
        <is>
          <t>GP3毛利</t>
        </is>
      </c>
      <c r="S110" s="20">
        <f>S102-S107</f>
        <v/>
      </c>
      <c r="T110" s="20">
        <f>T102-T107</f>
        <v/>
      </c>
      <c r="U110" s="20">
        <f>U102-U107</f>
        <v/>
      </c>
      <c r="V110" s="20">
        <f>V102-V107</f>
        <v/>
      </c>
      <c r="W110" s="20">
        <f>W102-W107</f>
        <v/>
      </c>
      <c r="X110" s="20">
        <f>X102-X107</f>
        <v/>
      </c>
      <c r="Y110" s="20">
        <f>Y102-Y107</f>
        <v/>
      </c>
      <c r="Z110" s="20">
        <f>Z102-Z107</f>
        <v/>
      </c>
      <c r="AA110" s="20">
        <f>AA102-AA107</f>
        <v/>
      </c>
      <c r="AB110" s="20">
        <f>AB102-AB107</f>
        <v/>
      </c>
      <c r="AC110" s="20">
        <f>AC102-AC107</f>
        <v/>
      </c>
      <c r="AD110" s="20">
        <f>AD102-AD107</f>
        <v/>
      </c>
      <c r="AE110" s="20">
        <f>AE102-AE107</f>
        <v/>
      </c>
      <c r="AF110" s="20">
        <f>AF102-AF107</f>
        <v/>
      </c>
      <c r="AG110" s="20">
        <f>AG102-AG107</f>
        <v/>
      </c>
      <c r="AH110" s="38" t="n">
        <v>0</v>
      </c>
      <c r="AI110" s="38" t="n">
        <v>0</v>
      </c>
      <c r="AJ110" s="28" t="n"/>
      <c r="AK110" s="28" t="n"/>
      <c r="AL110" s="28" t="n"/>
      <c r="AM110" s="28" t="n"/>
      <c r="AN110" s="28" t="n"/>
      <c r="AO110" s="20">
        <f>AO102-AO107</f>
        <v/>
      </c>
      <c r="AP110" s="20">
        <f>AP102-AP107</f>
        <v/>
      </c>
      <c r="AQ110" s="20">
        <f>AQ102-AQ107</f>
        <v/>
      </c>
      <c r="AR110" s="20">
        <f>AR102-AR107</f>
        <v/>
      </c>
      <c r="AS110" s="20">
        <f>AS102-AS107</f>
        <v/>
      </c>
      <c r="AT110" s="20">
        <f>AT102-AT107</f>
        <v/>
      </c>
      <c r="AU110" s="20">
        <f>AU102-AU107</f>
        <v/>
      </c>
      <c r="AV110" s="20">
        <f>AV102-AV107</f>
        <v/>
      </c>
      <c r="AW110" s="20">
        <f>AW102-AW107</f>
        <v/>
      </c>
      <c r="AX110" s="20">
        <f>AX102-AX107</f>
        <v/>
      </c>
      <c r="AY110" s="20">
        <f>AY102-AY107</f>
        <v/>
      </c>
      <c r="AZ110" s="20">
        <f>AZ102-AZ107</f>
        <v/>
      </c>
      <c r="BA110" s="20">
        <f>BA102-BA107</f>
        <v/>
      </c>
      <c r="BB110" s="20">
        <f>BB102-BB107</f>
        <v/>
      </c>
      <c r="BC110" s="20">
        <f>BC102-BC107</f>
        <v/>
      </c>
      <c r="BD110" s="27" t="inlineStr"/>
    </row>
    <row r="111">
      <c r="A111" s="41" t="n"/>
      <c r="B111" s="41" t="n"/>
      <c r="C111" s="41" t="n"/>
      <c r="D111" s="41" t="n"/>
      <c r="E111" s="41" t="n"/>
      <c r="F111" s="41" t="n"/>
      <c r="G111" s="41" t="n"/>
      <c r="H111" s="41" t="n"/>
      <c r="I111" s="41" t="n"/>
      <c r="J111" s="41" t="n"/>
      <c r="K111" s="41" t="n"/>
      <c r="L111" s="41" t="n"/>
      <c r="M111" s="41" t="n"/>
      <c r="N111" s="41" t="n"/>
      <c r="O111" s="41" t="n"/>
      <c r="P111" s="41" t="n"/>
      <c r="Q111" s="41" t="n"/>
      <c r="R111" s="35" t="inlineStr">
        <is>
          <t>GP3毛利率(%)</t>
        </is>
      </c>
      <c r="S111" s="36">
        <f>S110/S102</f>
        <v/>
      </c>
      <c r="T111" s="36" t="n">
        <v>0</v>
      </c>
      <c r="U111" s="37">
        <f>U110/U102</f>
        <v/>
      </c>
      <c r="V111" s="36">
        <f>V110/V102</f>
        <v/>
      </c>
      <c r="W111" s="36">
        <f>W110/W102</f>
        <v/>
      </c>
      <c r="X111" s="36" t="n">
        <v>0</v>
      </c>
      <c r="Y111" s="36" t="n">
        <v>0</v>
      </c>
      <c r="Z111" s="36" t="n">
        <v>0</v>
      </c>
      <c r="AA111" s="36" t="n">
        <v>0</v>
      </c>
      <c r="AB111" s="36" t="n">
        <v>0</v>
      </c>
      <c r="AC111" s="36" t="n">
        <v>0</v>
      </c>
      <c r="AD111" s="36" t="n">
        <v>0</v>
      </c>
      <c r="AE111" s="36" t="n">
        <v>0</v>
      </c>
      <c r="AF111" s="36">
        <f>AF110/AF102</f>
        <v/>
      </c>
      <c r="AG111" s="36">
        <f>AG110/AG102</f>
        <v/>
      </c>
      <c r="AH111" s="38" t="n">
        <v>-0.162753720931157</v>
      </c>
      <c r="AI111" s="38">
        <f>AF111-S111</f>
        <v/>
      </c>
      <c r="AJ111" s="41" t="n"/>
      <c r="AK111" s="41" t="n"/>
      <c r="AL111" s="41" t="n"/>
      <c r="AM111" s="41" t="n"/>
      <c r="AN111" s="41" t="n"/>
      <c r="AO111" s="36">
        <f>AO110/AO102</f>
        <v/>
      </c>
      <c r="AP111" s="36">
        <f>AP110/AP102</f>
        <v/>
      </c>
      <c r="AQ111" s="36">
        <f>AQ110/AQ102</f>
        <v/>
      </c>
      <c r="AR111" s="36">
        <f>AR110/AR102</f>
        <v/>
      </c>
      <c r="AS111" s="36">
        <f>AS110/AS102</f>
        <v/>
      </c>
      <c r="AT111" s="36">
        <f>AT110/AT102</f>
        <v/>
      </c>
      <c r="AU111" s="36">
        <f>AU110/AU102</f>
        <v/>
      </c>
      <c r="AV111" s="36">
        <f>AV110/AV102</f>
        <v/>
      </c>
      <c r="AW111" s="36">
        <f>AW110/AW102</f>
        <v/>
      </c>
      <c r="AX111" s="36">
        <f>AX110/AX102</f>
        <v/>
      </c>
      <c r="AY111" s="36">
        <f>AY110/AY102</f>
        <v/>
      </c>
      <c r="AZ111" s="36">
        <f>AZ110/AZ102</f>
        <v/>
      </c>
      <c r="BA111" s="56" t="n">
        <v>0</v>
      </c>
      <c r="BB111" s="39" t="n">
        <v>0</v>
      </c>
      <c r="BC111" s="61" t="n">
        <v>0</v>
      </c>
      <c r="BD111" s="27" t="inlineStr"/>
    </row>
    <row r="112">
      <c r="A112" s="42" t="inlineStr">
        <is>
          <t>P202603000431</t>
        </is>
      </c>
      <c r="B112" s="43" t="inlineStr">
        <is>
          <t>全国畜牧总站-畜牧业综合信息平台种畜禽子系统2026年度运维-FP项目</t>
        </is>
      </c>
      <c r="C112" s="44" t="n">
        <v>46082</v>
      </c>
      <c r="D112" s="44" t="n">
        <v>46477</v>
      </c>
      <c r="E112" s="15" t="n"/>
      <c r="F112" s="16" t="n"/>
      <c r="G112" s="18" t="n">
        <v>0</v>
      </c>
      <c r="H112" s="18" t="n"/>
      <c r="I112" s="18" t="n"/>
      <c r="J112" s="18" t="n"/>
      <c r="K112" s="18" t="n"/>
      <c r="L112" s="18" t="n"/>
      <c r="M112" s="18" t="n"/>
      <c r="N112" s="18" t="n"/>
      <c r="O112" s="18" t="n"/>
      <c r="P112" s="15" t="n"/>
      <c r="Q112" s="18" t="inlineStr"/>
      <c r="R112" s="47" t="inlineStr">
        <is>
          <t>累计收入（NR）</t>
        </is>
      </c>
      <c r="S112" s="20" t="n">
        <v>150943.4</v>
      </c>
      <c r="T112" s="20" t="n">
        <v>0</v>
      </c>
      <c r="U112" s="21" t="n">
        <v>0</v>
      </c>
      <c r="V112" s="20">
        <f>SUM(AO112:AZ112)</f>
        <v/>
      </c>
      <c r="W112" s="20">
        <f>SUM(AP112:AZ112)</f>
        <v/>
      </c>
      <c r="X112" s="20" t="n">
        <v>0</v>
      </c>
      <c r="Y112" s="20" t="n">
        <v>0</v>
      </c>
      <c r="Z112" s="20" t="n">
        <v>0</v>
      </c>
      <c r="AA112" s="20" t="n">
        <v>0</v>
      </c>
      <c r="AB112" s="20" t="n">
        <v>0</v>
      </c>
      <c r="AC112" s="20" t="n">
        <v>0</v>
      </c>
      <c r="AD112" s="20" t="n">
        <v>0</v>
      </c>
      <c r="AE112" s="20" t="n">
        <v>0</v>
      </c>
      <c r="AF112" s="20">
        <f>SUM(AY112:AZ112)</f>
        <v/>
      </c>
      <c r="AG112" s="20">
        <f>SUM(AZ112:AZ112)</f>
        <v/>
      </c>
      <c r="AH112" s="22" t="n">
        <v>0</v>
      </c>
      <c r="AI112" s="22" t="n">
        <v>0</v>
      </c>
      <c r="AJ112" s="43" t="inlineStr"/>
      <c r="AK112" s="48" t="inlineStr"/>
      <c r="AL112" s="48" t="inlineStr"/>
      <c r="AM112" s="48" t="inlineStr"/>
      <c r="AN112" s="16" t="n"/>
      <c r="AO112" s="20" t="n">
        <v>0</v>
      </c>
      <c r="AP112" s="20" t="n">
        <v>0</v>
      </c>
      <c r="AQ112" s="20" t="n">
        <v>0</v>
      </c>
      <c r="AR112" s="20" t="n">
        <v>0</v>
      </c>
      <c r="AS112" s="20" t="n">
        <v>0</v>
      </c>
      <c r="AT112" s="20" t="n">
        <v>0</v>
      </c>
      <c r="AU112" s="20" t="n">
        <v>0</v>
      </c>
      <c r="AV112" s="20" t="n">
        <v>0</v>
      </c>
      <c r="AW112" s="20" t="n">
        <v>0</v>
      </c>
      <c r="AX112" s="20" t="n">
        <v>10681.51</v>
      </c>
      <c r="AY112" s="20" t="n">
        <v>0</v>
      </c>
      <c r="AZ112" s="20" t="n">
        <v>0</v>
      </c>
      <c r="BA112" s="49" t="n">
        <v>0</v>
      </c>
      <c r="BB112" s="21" t="n">
        <v>0</v>
      </c>
      <c r="BC112" s="61" t="n">
        <v>0</v>
      </c>
      <c r="BD112" s="27" t="inlineStr"/>
    </row>
    <row r="113">
      <c r="A113" s="28" t="n"/>
      <c r="B113" s="28" t="n"/>
      <c r="C113" s="28" t="n"/>
      <c r="D113" s="28" t="n"/>
      <c r="E113" s="28" t="n"/>
      <c r="F113" s="28" t="n"/>
      <c r="G113" s="28" t="n"/>
      <c r="H113" s="28" t="n"/>
      <c r="I113" s="28" t="n"/>
      <c r="J113" s="28" t="n"/>
      <c r="K113" s="28" t="n"/>
      <c r="L113" s="28" t="n"/>
      <c r="M113" s="28" t="n"/>
      <c r="N113" s="28" t="n"/>
      <c r="O113" s="28" t="n"/>
      <c r="P113" s="28" t="n"/>
      <c r="Q113" s="28" t="n"/>
      <c r="R113" s="29" t="inlineStr">
        <is>
          <t>人工成本（成本１）</t>
        </is>
      </c>
      <c r="S113" s="20" t="n">
        <v>123705</v>
      </c>
      <c r="T113" s="20" t="n">
        <v>0</v>
      </c>
      <c r="U113" s="21" t="n">
        <v>0</v>
      </c>
      <c r="V113" s="20">
        <f>SUM(AO113:AZ113)</f>
        <v/>
      </c>
      <c r="W113" s="20">
        <f>SUM(AP113:AZ113)</f>
        <v/>
      </c>
      <c r="X113" s="20" t="n">
        <v>0</v>
      </c>
      <c r="Y113" s="20" t="n">
        <v>0</v>
      </c>
      <c r="Z113" s="20" t="n">
        <v>0</v>
      </c>
      <c r="AA113" s="20" t="n">
        <v>0</v>
      </c>
      <c r="AB113" s="20" t="n">
        <v>0</v>
      </c>
      <c r="AC113" s="20" t="n">
        <v>0</v>
      </c>
      <c r="AD113" s="20" t="n">
        <v>0</v>
      </c>
      <c r="AE113" s="20" t="n">
        <v>0</v>
      </c>
      <c r="AF113" s="20">
        <f>SUM(AY113:AZ113)</f>
        <v/>
      </c>
      <c r="AG113" s="20">
        <f>SUM(AZ113:AZ113)</f>
        <v/>
      </c>
      <c r="AH113" s="22" t="n">
        <v>0</v>
      </c>
      <c r="AI113" s="22" t="n">
        <v>0</v>
      </c>
      <c r="AJ113" s="28" t="n"/>
      <c r="AK113" s="28" t="n"/>
      <c r="AL113" s="28" t="n"/>
      <c r="AM113" s="28" t="n"/>
      <c r="AN113" s="28" t="n"/>
      <c r="AO113" s="20" t="n">
        <v>0</v>
      </c>
      <c r="AP113" s="20" t="n">
        <v>0</v>
      </c>
      <c r="AQ113" s="20" t="n">
        <v>0</v>
      </c>
      <c r="AR113" s="20" t="n">
        <v>0</v>
      </c>
      <c r="AS113" s="20" t="n">
        <v>0</v>
      </c>
      <c r="AT113" s="20" t="n">
        <v>0</v>
      </c>
      <c r="AU113" s="20" t="n">
        <v>0</v>
      </c>
      <c r="AV113" s="20" t="n">
        <v>0</v>
      </c>
      <c r="AW113" s="20" t="n">
        <v>0</v>
      </c>
      <c r="AX113" s="20" t="n">
        <v>0</v>
      </c>
      <c r="AY113" s="20" t="n">
        <v>0</v>
      </c>
      <c r="AZ113" s="20" t="n">
        <v>0</v>
      </c>
      <c r="BA113" s="49" t="n">
        <v>0</v>
      </c>
      <c r="BB113" s="21" t="n">
        <v>0</v>
      </c>
      <c r="BC113" s="61" t="n">
        <v>0</v>
      </c>
      <c r="BD113" s="27" t="inlineStr"/>
    </row>
    <row r="114">
      <c r="A114" s="28" t="n"/>
      <c r="B114" s="28" t="n"/>
      <c r="C114" s="28" t="n"/>
      <c r="D114" s="28" t="n"/>
      <c r="E114" s="28" t="n"/>
      <c r="F114" s="28" t="n"/>
      <c r="G114" s="28" t="n"/>
      <c r="H114" s="28" t="n"/>
      <c r="I114" s="28" t="n"/>
      <c r="J114" s="28" t="n"/>
      <c r="K114" s="28" t="n"/>
      <c r="L114" s="28" t="n"/>
      <c r="M114" s="28" t="n"/>
      <c r="N114" s="28" t="n"/>
      <c r="O114" s="28" t="n"/>
      <c r="P114" s="28" t="n"/>
      <c r="Q114" s="28" t="n"/>
      <c r="R114" s="29" t="inlineStr">
        <is>
          <t>闲置成本（成本2）</t>
        </is>
      </c>
      <c r="S114" s="20" t="n">
        <v>0</v>
      </c>
      <c r="T114" s="20" t="n">
        <v>0</v>
      </c>
      <c r="U114" s="21" t="n">
        <v>0</v>
      </c>
      <c r="V114" s="20" t="n">
        <v>0</v>
      </c>
      <c r="W114" s="20" t="n">
        <v>0</v>
      </c>
      <c r="X114" s="20" t="n">
        <v>0</v>
      </c>
      <c r="Y114" s="20" t="n">
        <v>0</v>
      </c>
      <c r="Z114" s="20" t="n">
        <v>0</v>
      </c>
      <c r="AA114" s="20" t="n">
        <v>0</v>
      </c>
      <c r="AB114" s="20" t="n">
        <v>0</v>
      </c>
      <c r="AC114" s="20" t="n">
        <v>0</v>
      </c>
      <c r="AD114" s="20" t="n">
        <v>0</v>
      </c>
      <c r="AE114" s="20" t="n">
        <v>0</v>
      </c>
      <c r="AF114" s="20" t="n">
        <v>0</v>
      </c>
      <c r="AG114" s="20" t="n">
        <v>0</v>
      </c>
      <c r="AH114" s="22" t="n">
        <v>0</v>
      </c>
      <c r="AI114" s="22" t="n">
        <v>0</v>
      </c>
      <c r="AJ114" s="28" t="n"/>
      <c r="AK114" s="28" t="n"/>
      <c r="AL114" s="28" t="n"/>
      <c r="AM114" s="28" t="n"/>
      <c r="AN114" s="28" t="n"/>
      <c r="AO114" s="20" t="n">
        <v>0</v>
      </c>
      <c r="AP114" s="20" t="n">
        <v>0</v>
      </c>
      <c r="AQ114" s="20" t="n">
        <v>0</v>
      </c>
      <c r="AR114" s="20" t="n">
        <v>0</v>
      </c>
      <c r="AS114" s="20" t="n">
        <v>0</v>
      </c>
      <c r="AT114" s="20" t="n">
        <v>0</v>
      </c>
      <c r="AU114" s="20" t="n">
        <v>0</v>
      </c>
      <c r="AV114" s="20" t="n">
        <v>0</v>
      </c>
      <c r="AW114" s="20" t="n">
        <v>0</v>
      </c>
      <c r="AX114" s="20" t="n">
        <v>0</v>
      </c>
      <c r="AY114" s="20" t="n">
        <v>0</v>
      </c>
      <c r="AZ114" s="20" t="n">
        <v>0</v>
      </c>
      <c r="BA114" s="49" t="n">
        <v>0</v>
      </c>
      <c r="BB114" s="21" t="n">
        <v>0</v>
      </c>
      <c r="BC114" s="61" t="n">
        <v>0</v>
      </c>
      <c r="BD114" s="27" t="inlineStr"/>
    </row>
    <row r="115">
      <c r="A115" s="28" t="n"/>
      <c r="B115" s="28" t="n"/>
      <c r="C115" s="28" t="n"/>
      <c r="D115" s="28" t="n"/>
      <c r="E115" s="28" t="n"/>
      <c r="F115" s="28" t="n"/>
      <c r="G115" s="28" t="n"/>
      <c r="H115" s="28" t="n"/>
      <c r="I115" s="28" t="n"/>
      <c r="J115" s="28" t="n"/>
      <c r="K115" s="28" t="n"/>
      <c r="L115" s="28" t="n"/>
      <c r="M115" s="28" t="n"/>
      <c r="N115" s="28" t="n"/>
      <c r="O115" s="28" t="n"/>
      <c r="P115" s="28" t="n"/>
      <c r="Q115" s="28" t="n"/>
      <c r="R115" s="29" t="inlineStr">
        <is>
          <t>差旅费（成本３）</t>
        </is>
      </c>
      <c r="S115" s="20" t="n">
        <v>0</v>
      </c>
      <c r="T115" s="20" t="n">
        <v>0</v>
      </c>
      <c r="U115" s="21" t="n">
        <v>0</v>
      </c>
      <c r="V115" s="20">
        <f>SUM(AO115:AZ115)</f>
        <v/>
      </c>
      <c r="W115" s="20">
        <f>SUM(AP115:AZ115)</f>
        <v/>
      </c>
      <c r="X115" s="20" t="n">
        <v>0</v>
      </c>
      <c r="Y115" s="20" t="n">
        <v>0</v>
      </c>
      <c r="Z115" s="20" t="n">
        <v>0</v>
      </c>
      <c r="AA115" s="20" t="n">
        <v>0</v>
      </c>
      <c r="AB115" s="20" t="n">
        <v>0</v>
      </c>
      <c r="AC115" s="20" t="n">
        <v>0</v>
      </c>
      <c r="AD115" s="20" t="n">
        <v>0</v>
      </c>
      <c r="AE115" s="20" t="n">
        <v>0</v>
      </c>
      <c r="AF115" s="20">
        <f>SUM(AY115:AZ115)</f>
        <v/>
      </c>
      <c r="AG115" s="20">
        <f>SUM(AZ115:AZ115)</f>
        <v/>
      </c>
      <c r="AH115" s="22" t="n">
        <v>0</v>
      </c>
      <c r="AI115" s="22" t="n">
        <v>0</v>
      </c>
      <c r="AJ115" s="28" t="n"/>
      <c r="AK115" s="28" t="n"/>
      <c r="AL115" s="28" t="n"/>
      <c r="AM115" s="28" t="n"/>
      <c r="AN115" s="28" t="n"/>
      <c r="AO115" s="20" t="n">
        <v>0</v>
      </c>
      <c r="AP115" s="20" t="n">
        <v>0</v>
      </c>
      <c r="AQ115" s="20" t="n">
        <v>0</v>
      </c>
      <c r="AR115" s="20" t="n">
        <v>0</v>
      </c>
      <c r="AS115" s="20" t="n">
        <v>0</v>
      </c>
      <c r="AT115" s="20" t="n">
        <v>0</v>
      </c>
      <c r="AU115" s="20" t="n">
        <v>0</v>
      </c>
      <c r="AV115" s="20" t="n">
        <v>0</v>
      </c>
      <c r="AW115" s="20" t="n">
        <v>0</v>
      </c>
      <c r="AX115" s="20" t="n">
        <v>0</v>
      </c>
      <c r="AY115" s="20" t="n">
        <v>0</v>
      </c>
      <c r="AZ115" s="20" t="n">
        <v>0</v>
      </c>
      <c r="BA115" s="49" t="n">
        <v>0</v>
      </c>
      <c r="BB115" s="21" t="n">
        <v>0</v>
      </c>
      <c r="BC115" s="61" t="n">
        <v>0</v>
      </c>
      <c r="BD115" s="27" t="inlineStr"/>
    </row>
    <row r="116">
      <c r="A116" s="28" t="n"/>
      <c r="B116" s="28" t="n"/>
      <c r="C116" s="28" t="n"/>
      <c r="D116" s="28" t="n"/>
      <c r="E116" s="28" t="n"/>
      <c r="F116" s="28" t="n"/>
      <c r="G116" s="28" t="n"/>
      <c r="H116" s="28" t="n"/>
      <c r="I116" s="28" t="n"/>
      <c r="J116" s="28" t="n"/>
      <c r="K116" s="28" t="n"/>
      <c r="L116" s="28" t="n"/>
      <c r="M116" s="28" t="n"/>
      <c r="N116" s="28" t="n"/>
      <c r="O116" s="28" t="n"/>
      <c r="P116" s="28" t="n"/>
      <c r="Q116" s="28" t="n"/>
      <c r="R116" s="29" t="inlineStr">
        <is>
          <t>其他成本（成本３）</t>
        </is>
      </c>
      <c r="S116" s="20" t="n">
        <v>0</v>
      </c>
      <c r="T116" s="20" t="n">
        <v>0</v>
      </c>
      <c r="U116" s="21" t="n">
        <v>0</v>
      </c>
      <c r="V116" s="20">
        <f>SUM(AO116:AZ116)</f>
        <v/>
      </c>
      <c r="W116" s="20">
        <f>SUM(AP116:AZ116)</f>
        <v/>
      </c>
      <c r="X116" s="20" t="n">
        <v>0</v>
      </c>
      <c r="Y116" s="20" t="n">
        <v>0</v>
      </c>
      <c r="Z116" s="20" t="n">
        <v>0</v>
      </c>
      <c r="AA116" s="20" t="n">
        <v>0</v>
      </c>
      <c r="AB116" s="20" t="n">
        <v>0</v>
      </c>
      <c r="AC116" s="20" t="n">
        <v>0</v>
      </c>
      <c r="AD116" s="20" t="n">
        <v>0</v>
      </c>
      <c r="AE116" s="20" t="n">
        <v>0</v>
      </c>
      <c r="AF116" s="20">
        <f>SUM(AY116:AZ116)</f>
        <v/>
      </c>
      <c r="AG116" s="20">
        <f>SUM(AZ116:AZ116)</f>
        <v/>
      </c>
      <c r="AH116" s="22" t="n">
        <v>0</v>
      </c>
      <c r="AI116" s="22" t="n">
        <v>0</v>
      </c>
      <c r="AJ116" s="28" t="n"/>
      <c r="AK116" s="28" t="n"/>
      <c r="AL116" s="28" t="n"/>
      <c r="AM116" s="28" t="n"/>
      <c r="AN116" s="28" t="n"/>
      <c r="AO116" s="20" t="n">
        <v>0</v>
      </c>
      <c r="AP116" s="20" t="n">
        <v>0</v>
      </c>
      <c r="AQ116" s="20" t="n">
        <v>0</v>
      </c>
      <c r="AR116" s="20" t="n">
        <v>0</v>
      </c>
      <c r="AS116" s="20" t="n">
        <v>0</v>
      </c>
      <c r="AT116" s="20" t="n">
        <v>0</v>
      </c>
      <c r="AU116" s="20" t="n">
        <v>0</v>
      </c>
      <c r="AV116" s="20" t="n">
        <v>0</v>
      </c>
      <c r="AW116" s="20" t="n">
        <v>0</v>
      </c>
      <c r="AX116" s="20" t="n">
        <v>20.87</v>
      </c>
      <c r="AY116" s="20" t="n">
        <v>0</v>
      </c>
      <c r="AZ116" s="20" t="n">
        <v>0</v>
      </c>
      <c r="BA116" s="49" t="n">
        <v>0</v>
      </c>
      <c r="BB116" s="21" t="n">
        <v>0</v>
      </c>
      <c r="BC116" s="61" t="n">
        <v>0</v>
      </c>
      <c r="BD116" s="27" t="inlineStr"/>
    </row>
    <row r="117">
      <c r="A117" s="28" t="n"/>
      <c r="B117" s="28" t="n"/>
      <c r="C117" s="28" t="n"/>
      <c r="D117" s="28" t="n"/>
      <c r="E117" s="28" t="n"/>
      <c r="F117" s="28" t="n"/>
      <c r="G117" s="28" t="n"/>
      <c r="H117" s="28" t="n"/>
      <c r="I117" s="28" t="n"/>
      <c r="J117" s="28" t="n"/>
      <c r="K117" s="28" t="n"/>
      <c r="L117" s="28" t="n"/>
      <c r="M117" s="28" t="n"/>
      <c r="N117" s="28" t="n"/>
      <c r="O117" s="28" t="n"/>
      <c r="P117" s="28" t="n"/>
      <c r="Q117" s="28" t="n"/>
      <c r="R117" s="29" t="inlineStr">
        <is>
          <t>累计成本</t>
        </is>
      </c>
      <c r="S117" s="30">
        <f>SUM(S113:S116)</f>
        <v/>
      </c>
      <c r="T117" s="30" t="n">
        <v>0</v>
      </c>
      <c r="U117" s="31" t="n">
        <v>0</v>
      </c>
      <c r="V117" s="30">
        <f>SUM(V113:V116)</f>
        <v/>
      </c>
      <c r="W117" s="30">
        <f>SUM(W113:W116)</f>
        <v/>
      </c>
      <c r="X117" s="30" t="n">
        <v>0</v>
      </c>
      <c r="Y117" s="30" t="n">
        <v>0</v>
      </c>
      <c r="Z117" s="30" t="n">
        <v>0</v>
      </c>
      <c r="AA117" s="30" t="n">
        <v>0</v>
      </c>
      <c r="AB117" s="30" t="n">
        <v>0</v>
      </c>
      <c r="AC117" s="30" t="n">
        <v>0</v>
      </c>
      <c r="AD117" s="30" t="n">
        <v>0</v>
      </c>
      <c r="AE117" s="30" t="n">
        <v>0</v>
      </c>
      <c r="AF117" s="30">
        <f>SUM(AF113:AF116)</f>
        <v/>
      </c>
      <c r="AG117" s="30">
        <f>SUM(AG113:AG116)</f>
        <v/>
      </c>
      <c r="AH117" s="30" t="n">
        <v>0</v>
      </c>
      <c r="AI117" s="30">
        <f>SUM(AI113:AI116)</f>
        <v/>
      </c>
      <c r="AJ117" s="28" t="n"/>
      <c r="AK117" s="28" t="n"/>
      <c r="AL117" s="28" t="n"/>
      <c r="AM117" s="28" t="n"/>
      <c r="AN117" s="28" t="n"/>
      <c r="AO117" s="30">
        <f>SUM(AO113:AO116)</f>
        <v/>
      </c>
      <c r="AP117" s="30">
        <f>SUM(AP113:AP116)</f>
        <v/>
      </c>
      <c r="AQ117" s="30">
        <f>SUM(AQ113:AQ116)</f>
        <v/>
      </c>
      <c r="AR117" s="30">
        <f>SUM(AR113:AR116)</f>
        <v/>
      </c>
      <c r="AS117" s="30">
        <f>SUM(AS113:AS116)</f>
        <v/>
      </c>
      <c r="AT117" s="30">
        <f>SUM(AT113:AT116)</f>
        <v/>
      </c>
      <c r="AU117" s="30">
        <f>SUM(AU113:AU116)</f>
        <v/>
      </c>
      <c r="AV117" s="30">
        <f>SUM(AV113:AV116)</f>
        <v/>
      </c>
      <c r="AW117" s="30">
        <f>SUM(AW113:AW116)</f>
        <v/>
      </c>
      <c r="AX117" s="30">
        <f>SUM(AX113:AX116)</f>
        <v/>
      </c>
      <c r="AY117" s="30" t="n">
        <v>0</v>
      </c>
      <c r="AZ117" s="30">
        <f>SUM(AZ113:AZ116)</f>
        <v/>
      </c>
      <c r="BA117" s="53" t="n">
        <v>0</v>
      </c>
      <c r="BB117" s="31">
        <f>SUM(BB113:BB116)</f>
        <v/>
      </c>
      <c r="BC117" s="54">
        <f>SUM(BC113:BC116)</f>
        <v/>
      </c>
      <c r="BD117" s="32" t="inlineStr"/>
    </row>
    <row r="118">
      <c r="A118" s="28" t="n"/>
      <c r="B118" s="28" t="n"/>
      <c r="C118" s="28" t="n"/>
      <c r="D118" s="28" t="n"/>
      <c r="E118" s="28" t="n"/>
      <c r="F118" s="28" t="n"/>
      <c r="G118" s="28" t="n"/>
      <c r="H118" s="28" t="n"/>
      <c r="I118" s="28" t="n"/>
      <c r="J118" s="28" t="n"/>
      <c r="K118" s="28" t="n"/>
      <c r="L118" s="28" t="n"/>
      <c r="M118" s="28" t="n"/>
      <c r="N118" s="28" t="n"/>
      <c r="O118" s="28" t="n"/>
      <c r="P118" s="28" t="n"/>
      <c r="Q118" s="28" t="n"/>
      <c r="R118" s="29" t="inlineStr">
        <is>
          <t>GP1毛利</t>
        </is>
      </c>
      <c r="S118" s="20">
        <f>S112-S113</f>
        <v/>
      </c>
      <c r="T118" s="20" t="n">
        <v>0</v>
      </c>
      <c r="U118" s="21">
        <f>U112-U113</f>
        <v/>
      </c>
      <c r="V118" s="20">
        <f>V112-V113</f>
        <v/>
      </c>
      <c r="W118" s="20">
        <f>W112-W113</f>
        <v/>
      </c>
      <c r="X118" s="20" t="n">
        <v>0</v>
      </c>
      <c r="Y118" s="20" t="n">
        <v>0</v>
      </c>
      <c r="Z118" s="20" t="n">
        <v>0</v>
      </c>
      <c r="AA118" s="20" t="n">
        <v>0</v>
      </c>
      <c r="AB118" s="20" t="n">
        <v>0</v>
      </c>
      <c r="AC118" s="20" t="n">
        <v>0</v>
      </c>
      <c r="AD118" s="20" t="n">
        <v>0</v>
      </c>
      <c r="AE118" s="20" t="n">
        <v>0</v>
      </c>
      <c r="AF118" s="20">
        <f>AF112-AF113</f>
        <v/>
      </c>
      <c r="AG118" s="20">
        <f>AG112-AG113</f>
        <v/>
      </c>
      <c r="AH118" s="33" t="n">
        <v>0</v>
      </c>
      <c r="AI118" s="33" t="n">
        <v>0</v>
      </c>
      <c r="AJ118" s="28" t="n"/>
      <c r="AK118" s="28" t="n"/>
      <c r="AL118" s="28" t="n"/>
      <c r="AM118" s="28" t="n"/>
      <c r="AN118" s="28" t="n"/>
      <c r="AO118" s="20">
        <f>AO112-AO113</f>
        <v/>
      </c>
      <c r="AP118" s="20">
        <f>AP112-AP113</f>
        <v/>
      </c>
      <c r="AQ118" s="20">
        <f>AQ112-AQ113</f>
        <v/>
      </c>
      <c r="AR118" s="20">
        <f>AR112-AR113</f>
        <v/>
      </c>
      <c r="AS118" s="20">
        <f>AS112-AS113</f>
        <v/>
      </c>
      <c r="AT118" s="20">
        <f>AT112-AT113</f>
        <v/>
      </c>
      <c r="AU118" s="20">
        <f>AU112-AU113</f>
        <v/>
      </c>
      <c r="AV118" s="20">
        <f>AV112-AV113</f>
        <v/>
      </c>
      <c r="AW118" s="20">
        <f>AW112-AW113</f>
        <v/>
      </c>
      <c r="AX118" s="20">
        <f>AX112-AX113</f>
        <v/>
      </c>
      <c r="AY118" s="20">
        <f>AY112-AY113</f>
        <v/>
      </c>
      <c r="AZ118" s="20">
        <f>AZ112-AZ113</f>
        <v/>
      </c>
      <c r="BA118" s="55" t="n">
        <v>0</v>
      </c>
      <c r="BB118" s="31" t="n">
        <v>0</v>
      </c>
      <c r="BC118" s="61" t="n">
        <v>0</v>
      </c>
      <c r="BD118" s="27" t="inlineStr"/>
    </row>
    <row r="119">
      <c r="A119" s="28" t="n"/>
      <c r="B119" s="28" t="n"/>
      <c r="C119" s="28" t="n"/>
      <c r="D119" s="28" t="n"/>
      <c r="E119" s="28" t="n"/>
      <c r="F119" s="28" t="n"/>
      <c r="G119" s="28" t="n"/>
      <c r="H119" s="28" t="n"/>
      <c r="I119" s="28" t="n"/>
      <c r="J119" s="28" t="n"/>
      <c r="K119" s="28" t="n"/>
      <c r="L119" s="28" t="n"/>
      <c r="M119" s="28" t="n"/>
      <c r="N119" s="28" t="n"/>
      <c r="O119" s="28" t="n"/>
      <c r="P119" s="28" t="n"/>
      <c r="Q119" s="28" t="n"/>
      <c r="R119" s="35" t="inlineStr">
        <is>
          <t>GP1毛利率(%)</t>
        </is>
      </c>
      <c r="S119" s="36">
        <f>S118/S112</f>
        <v/>
      </c>
      <c r="T119" s="36" t="n">
        <v>0</v>
      </c>
      <c r="U119" s="37">
        <f>U118/U112</f>
        <v/>
      </c>
      <c r="V119" s="36">
        <f>V118/V112</f>
        <v/>
      </c>
      <c r="W119" s="36">
        <f>W118/W112</f>
        <v/>
      </c>
      <c r="X119" s="36" t="n">
        <v>0</v>
      </c>
      <c r="Y119" s="36" t="n">
        <v>0</v>
      </c>
      <c r="Z119" s="36" t="n">
        <v>0</v>
      </c>
      <c r="AA119" s="36" t="n">
        <v>0</v>
      </c>
      <c r="AB119" s="36" t="n">
        <v>0</v>
      </c>
      <c r="AC119" s="36" t="n">
        <v>0</v>
      </c>
      <c r="AD119" s="36" t="n">
        <v>0</v>
      </c>
      <c r="AE119" s="36" t="n">
        <v>0</v>
      </c>
      <c r="AF119" s="36">
        <f>AF118/AF112</f>
        <v/>
      </c>
      <c r="AG119" s="36">
        <f>AG118/AG112</f>
        <v/>
      </c>
      <c r="AH119" s="38" t="n">
        <v>-0.547493961312651</v>
      </c>
      <c r="AI119" s="38">
        <f>AF119-S119</f>
        <v/>
      </c>
      <c r="AJ119" s="28" t="n"/>
      <c r="AK119" s="28" t="n"/>
      <c r="AL119" s="28" t="n"/>
      <c r="AM119" s="28" t="n"/>
      <c r="AN119" s="28" t="n"/>
      <c r="AO119" s="36">
        <f>AO118/AO112</f>
        <v/>
      </c>
      <c r="AP119" s="36">
        <f>AP118/AP112</f>
        <v/>
      </c>
      <c r="AQ119" s="36">
        <f>AQ118/AQ112</f>
        <v/>
      </c>
      <c r="AR119" s="36">
        <f>AR118/AR112</f>
        <v/>
      </c>
      <c r="AS119" s="36">
        <f>AS118/AS112</f>
        <v/>
      </c>
      <c r="AT119" s="36">
        <f>AT118/AT112</f>
        <v/>
      </c>
      <c r="AU119" s="36">
        <f>AU118/AU112</f>
        <v/>
      </c>
      <c r="AV119" s="36">
        <f>AV118/AV112</f>
        <v/>
      </c>
      <c r="AW119" s="36">
        <f>AW118/AW112</f>
        <v/>
      </c>
      <c r="AX119" s="36">
        <f>AX118/AX112</f>
        <v/>
      </c>
      <c r="AY119" s="36">
        <f>AY118/AY112</f>
        <v/>
      </c>
      <c r="AZ119" s="36">
        <f>AZ118/AZ112</f>
        <v/>
      </c>
      <c r="BA119" s="56" t="n">
        <v>0</v>
      </c>
      <c r="BB119" s="39" t="n">
        <v>0</v>
      </c>
      <c r="BC119" s="61" t="n">
        <v>0</v>
      </c>
      <c r="BD119" s="27" t="inlineStr"/>
    </row>
    <row r="120">
      <c r="A120" s="28" t="n"/>
      <c r="B120" s="28" t="n"/>
      <c r="C120" s="28" t="n"/>
      <c r="D120" s="28" t="n"/>
      <c r="E120" s="28" t="n"/>
      <c r="F120" s="28" t="n"/>
      <c r="G120" s="28" t="n"/>
      <c r="H120" s="28" t="n"/>
      <c r="I120" s="28" t="n"/>
      <c r="J120" s="28" t="n"/>
      <c r="K120" s="28" t="n"/>
      <c r="L120" s="28" t="n"/>
      <c r="M120" s="28" t="n"/>
      <c r="N120" s="28" t="n"/>
      <c r="O120" s="28" t="n"/>
      <c r="P120" s="28" t="n"/>
      <c r="Q120" s="28" t="n"/>
      <c r="R120" s="29" t="inlineStr">
        <is>
          <t>GP3毛利</t>
        </is>
      </c>
      <c r="S120" s="20">
        <f>S112-S117</f>
        <v/>
      </c>
      <c r="T120" s="20">
        <f>T112-T117</f>
        <v/>
      </c>
      <c r="U120" s="20">
        <f>U112-U117</f>
        <v/>
      </c>
      <c r="V120" s="20">
        <f>V112-V117</f>
        <v/>
      </c>
      <c r="W120" s="20">
        <f>W112-W117</f>
        <v/>
      </c>
      <c r="X120" s="20">
        <f>X112-X117</f>
        <v/>
      </c>
      <c r="Y120" s="20">
        <f>Y112-Y117</f>
        <v/>
      </c>
      <c r="Z120" s="20">
        <f>Z112-Z117</f>
        <v/>
      </c>
      <c r="AA120" s="20">
        <f>AA112-AA117</f>
        <v/>
      </c>
      <c r="AB120" s="20">
        <f>AB112-AB117</f>
        <v/>
      </c>
      <c r="AC120" s="20">
        <f>AC112-AC117</f>
        <v/>
      </c>
      <c r="AD120" s="20">
        <f>AD112-AD117</f>
        <v/>
      </c>
      <c r="AE120" s="20">
        <f>AE112-AE117</f>
        <v/>
      </c>
      <c r="AF120" s="20">
        <f>AF112-AF117</f>
        <v/>
      </c>
      <c r="AG120" s="20">
        <f>AG112-AG117</f>
        <v/>
      </c>
      <c r="AH120" s="38" t="n">
        <v>0</v>
      </c>
      <c r="AI120" s="38" t="n">
        <v>0</v>
      </c>
      <c r="AJ120" s="28" t="n"/>
      <c r="AK120" s="28" t="n"/>
      <c r="AL120" s="28" t="n"/>
      <c r="AM120" s="28" t="n"/>
      <c r="AN120" s="28" t="n"/>
      <c r="AO120" s="20">
        <f>AO112-AO117</f>
        <v/>
      </c>
      <c r="AP120" s="20">
        <f>AP112-AP117</f>
        <v/>
      </c>
      <c r="AQ120" s="20">
        <f>AQ112-AQ117</f>
        <v/>
      </c>
      <c r="AR120" s="20">
        <f>AR112-AR117</f>
        <v/>
      </c>
      <c r="AS120" s="20">
        <f>AS112-AS117</f>
        <v/>
      </c>
      <c r="AT120" s="20">
        <f>AT112-AT117</f>
        <v/>
      </c>
      <c r="AU120" s="20">
        <f>AU112-AU117</f>
        <v/>
      </c>
      <c r="AV120" s="20">
        <f>AV112-AV117</f>
        <v/>
      </c>
      <c r="AW120" s="20">
        <f>AW112-AW117</f>
        <v/>
      </c>
      <c r="AX120" s="20">
        <f>AX112-AX117</f>
        <v/>
      </c>
      <c r="AY120" s="20">
        <f>AY112-AY117</f>
        <v/>
      </c>
      <c r="AZ120" s="20">
        <f>AZ112-AZ117</f>
        <v/>
      </c>
      <c r="BA120" s="20">
        <f>BA112-BA117</f>
        <v/>
      </c>
      <c r="BB120" s="20">
        <f>BB112-BB117</f>
        <v/>
      </c>
      <c r="BC120" s="20">
        <f>BC112-BC117</f>
        <v/>
      </c>
      <c r="BD120" s="27" t="inlineStr"/>
    </row>
    <row r="121">
      <c r="A121" s="41" t="n"/>
      <c r="B121" s="41" t="n"/>
      <c r="C121" s="41" t="n"/>
      <c r="D121" s="41" t="n"/>
      <c r="E121" s="41" t="n"/>
      <c r="F121" s="41" t="n"/>
      <c r="G121" s="41" t="n"/>
      <c r="H121" s="41" t="n"/>
      <c r="I121" s="41" t="n"/>
      <c r="J121" s="41" t="n"/>
      <c r="K121" s="41" t="n"/>
      <c r="L121" s="41" t="n"/>
      <c r="M121" s="41" t="n"/>
      <c r="N121" s="41" t="n"/>
      <c r="O121" s="41" t="n"/>
      <c r="P121" s="41" t="n"/>
      <c r="Q121" s="41" t="n"/>
      <c r="R121" s="35" t="inlineStr">
        <is>
          <t>GP3毛利率(%)</t>
        </is>
      </c>
      <c r="S121" s="36">
        <f>S120/S112</f>
        <v/>
      </c>
      <c r="T121" s="36" t="n">
        <v>0</v>
      </c>
      <c r="U121" s="37">
        <f>U120/U112</f>
        <v/>
      </c>
      <c r="V121" s="36">
        <f>V120/V112</f>
        <v/>
      </c>
      <c r="W121" s="36">
        <f>W120/W112</f>
        <v/>
      </c>
      <c r="X121" s="36" t="n">
        <v>0</v>
      </c>
      <c r="Y121" s="36" t="n">
        <v>0</v>
      </c>
      <c r="Z121" s="36" t="n">
        <v>0</v>
      </c>
      <c r="AA121" s="36" t="n">
        <v>0</v>
      </c>
      <c r="AB121" s="36" t="n">
        <v>0</v>
      </c>
      <c r="AC121" s="36" t="n">
        <v>0</v>
      </c>
      <c r="AD121" s="36" t="n">
        <v>0</v>
      </c>
      <c r="AE121" s="36" t="n">
        <v>0</v>
      </c>
      <c r="AF121" s="36">
        <f>AF120/AF112</f>
        <v/>
      </c>
      <c r="AG121" s="36">
        <f>AG120/AG112</f>
        <v/>
      </c>
      <c r="AH121" s="38" t="n">
        <v>-0.162753720931157</v>
      </c>
      <c r="AI121" s="38">
        <f>AF121-S121</f>
        <v/>
      </c>
      <c r="AJ121" s="41" t="n"/>
      <c r="AK121" s="41" t="n"/>
      <c r="AL121" s="41" t="n"/>
      <c r="AM121" s="41" t="n"/>
      <c r="AN121" s="41" t="n"/>
      <c r="AO121" s="36">
        <f>AO120/AO112</f>
        <v/>
      </c>
      <c r="AP121" s="36">
        <f>AP120/AP112</f>
        <v/>
      </c>
      <c r="AQ121" s="36">
        <f>AQ120/AQ112</f>
        <v/>
      </c>
      <c r="AR121" s="36">
        <f>AR120/AR112</f>
        <v/>
      </c>
      <c r="AS121" s="36">
        <f>AS120/AS112</f>
        <v/>
      </c>
      <c r="AT121" s="36">
        <f>AT120/AT112</f>
        <v/>
      </c>
      <c r="AU121" s="36">
        <f>AU120/AU112</f>
        <v/>
      </c>
      <c r="AV121" s="36">
        <f>AV120/AV112</f>
        <v/>
      </c>
      <c r="AW121" s="36">
        <f>AW120/AW112</f>
        <v/>
      </c>
      <c r="AX121" s="36">
        <f>AX120/AX112</f>
        <v/>
      </c>
      <c r="AY121" s="36">
        <f>AY120/AY112</f>
        <v/>
      </c>
      <c r="AZ121" s="36">
        <f>AZ120/AZ112</f>
        <v/>
      </c>
      <c r="BA121" s="56" t="n">
        <v>0</v>
      </c>
      <c r="BB121" s="39" t="n">
        <v>0</v>
      </c>
      <c r="BC121" s="61" t="n">
        <v>0</v>
      </c>
      <c r="BD121" s="27" t="inlineStr"/>
    </row>
  </sheetData>
  <mergeCells count="266">
    <mergeCell ref="AJ112:AJ121"/>
    <mergeCell ref="H12:H21"/>
    <mergeCell ref="J12:J21"/>
    <mergeCell ref="C82:C91"/>
    <mergeCell ref="O2:O11"/>
    <mergeCell ref="AK52:AK61"/>
    <mergeCell ref="L72:L81"/>
    <mergeCell ref="O82:O91"/>
    <mergeCell ref="H62:H71"/>
    <mergeCell ref="G12:G21"/>
    <mergeCell ref="A102:A111"/>
    <mergeCell ref="C102:C111"/>
    <mergeCell ref="AN112:AN121"/>
    <mergeCell ref="B32:B41"/>
    <mergeCell ref="M102:M111"/>
    <mergeCell ref="O102:O111"/>
    <mergeCell ref="A92:A101"/>
    <mergeCell ref="K92:K101"/>
    <mergeCell ref="M92:M101"/>
    <mergeCell ref="AK62:AK71"/>
    <mergeCell ref="AM62:AM71"/>
    <mergeCell ref="Q102:Q111"/>
    <mergeCell ref="N112:N121"/>
    <mergeCell ref="Q52:Q61"/>
    <mergeCell ref="P2:P11"/>
    <mergeCell ref="K72:K81"/>
    <mergeCell ref="O92:O101"/>
    <mergeCell ref="Q92:Q101"/>
    <mergeCell ref="D52:D61"/>
    <mergeCell ref="G62:G71"/>
    <mergeCell ref="I62:I71"/>
    <mergeCell ref="B2:B11"/>
    <mergeCell ref="N52:N61"/>
    <mergeCell ref="P52:P61"/>
    <mergeCell ref="B42:B51"/>
    <mergeCell ref="Q72:Q81"/>
    <mergeCell ref="B82:B91"/>
    <mergeCell ref="O112:O121"/>
    <mergeCell ref="N2:N11"/>
    <mergeCell ref="C22:C31"/>
    <mergeCell ref="K32:K41"/>
    <mergeCell ref="L42:L51"/>
    <mergeCell ref="N42:N51"/>
    <mergeCell ref="G112:G121"/>
    <mergeCell ref="I112:I121"/>
    <mergeCell ref="O22:O31"/>
    <mergeCell ref="A12:A21"/>
    <mergeCell ref="Q22:Q31"/>
    <mergeCell ref="C12:C21"/>
    <mergeCell ref="O62:O71"/>
    <mergeCell ref="AJ102:AJ111"/>
    <mergeCell ref="M12:M21"/>
    <mergeCell ref="O12:O21"/>
    <mergeCell ref="AN52:AN61"/>
    <mergeCell ref="AN2:AN11"/>
    <mergeCell ref="AL42:AL51"/>
    <mergeCell ref="AK72:AK81"/>
    <mergeCell ref="H22:H31"/>
    <mergeCell ref="AN42:AN51"/>
    <mergeCell ref="D102:D111"/>
    <mergeCell ref="C32:C41"/>
    <mergeCell ref="Q2:Q11"/>
    <mergeCell ref="M32:M41"/>
    <mergeCell ref="F102:F111"/>
    <mergeCell ref="P62:P71"/>
    <mergeCell ref="AL52:AL61"/>
    <mergeCell ref="AK2:AK11"/>
    <mergeCell ref="B92:B101"/>
    <mergeCell ref="P102:P111"/>
    <mergeCell ref="D92:D101"/>
    <mergeCell ref="P12:P21"/>
    <mergeCell ref="F92:F101"/>
    <mergeCell ref="K82:K91"/>
    <mergeCell ref="A52:A61"/>
    <mergeCell ref="P92:P101"/>
    <mergeCell ref="Q112:Q121"/>
    <mergeCell ref="H92:H101"/>
    <mergeCell ref="J92:J101"/>
    <mergeCell ref="AJ22:AJ31"/>
    <mergeCell ref="AL22:AL31"/>
    <mergeCell ref="E52:E61"/>
    <mergeCell ref="B62:B71"/>
    <mergeCell ref="BD22:BD31"/>
    <mergeCell ref="G52:G61"/>
    <mergeCell ref="AK82:AK91"/>
    <mergeCell ref="AN92:AN101"/>
    <mergeCell ref="AJ12:AJ21"/>
    <mergeCell ref="C42:C51"/>
    <mergeCell ref="B72:B81"/>
    <mergeCell ref="G2:G11"/>
    <mergeCell ref="E42:E51"/>
    <mergeCell ref="M82:M91"/>
    <mergeCell ref="BD12:BD21"/>
    <mergeCell ref="L32:L41"/>
    <mergeCell ref="G42:G51"/>
    <mergeCell ref="N32:N41"/>
    <mergeCell ref="AM52:AM61"/>
    <mergeCell ref="L112:L121"/>
    <mergeCell ref="Q42:Q51"/>
    <mergeCell ref="D2:D11"/>
    <mergeCell ref="AM22:AM31"/>
    <mergeCell ref="AK102:AK111"/>
    <mergeCell ref="F12:F21"/>
    <mergeCell ref="AM102:AM111"/>
    <mergeCell ref="AK12:AK21"/>
    <mergeCell ref="M2:M11"/>
    <mergeCell ref="AK92:AK101"/>
    <mergeCell ref="AM92:AM101"/>
    <mergeCell ref="AL32:AL41"/>
    <mergeCell ref="AL72:AL81"/>
    <mergeCell ref="I22:I31"/>
    <mergeCell ref="AN32:AN41"/>
    <mergeCell ref="AN72:AN81"/>
    <mergeCell ref="K22:K31"/>
    <mergeCell ref="AL112:AL121"/>
    <mergeCell ref="M22:M31"/>
    <mergeCell ref="I102:I111"/>
    <mergeCell ref="AJ62:AJ71"/>
    <mergeCell ref="K102:K111"/>
    <mergeCell ref="I12:I21"/>
    <mergeCell ref="G92:G101"/>
    <mergeCell ref="I92:I101"/>
    <mergeCell ref="N82:N91"/>
    <mergeCell ref="P82:P91"/>
    <mergeCell ref="F52:F61"/>
    <mergeCell ref="A32:A41"/>
    <mergeCell ref="D42:D51"/>
    <mergeCell ref="A112:A121"/>
    <mergeCell ref="E62:E71"/>
    <mergeCell ref="J52:J61"/>
    <mergeCell ref="AL82:AL91"/>
    <mergeCell ref="L52:L61"/>
    <mergeCell ref="AN82:AN91"/>
    <mergeCell ref="M72:M81"/>
    <mergeCell ref="AM12:AM21"/>
    <mergeCell ref="E32:E41"/>
    <mergeCell ref="E72:E81"/>
    <mergeCell ref="J2:J11"/>
    <mergeCell ref="G32:G41"/>
    <mergeCell ref="H42:H51"/>
    <mergeCell ref="L2:L11"/>
    <mergeCell ref="J42:J51"/>
    <mergeCell ref="G72:G81"/>
    <mergeCell ref="Q32:Q41"/>
    <mergeCell ref="E112:E121"/>
    <mergeCell ref="M112:M121"/>
    <mergeCell ref="C62:C71"/>
    <mergeCell ref="J72:J81"/>
    <mergeCell ref="K112:K121"/>
    <mergeCell ref="AK32:AK41"/>
    <mergeCell ref="AM32:AM41"/>
    <mergeCell ref="I2:I11"/>
    <mergeCell ref="M52:M61"/>
    <mergeCell ref="A82:A91"/>
    <mergeCell ref="F112:F121"/>
    <mergeCell ref="AJ2:AJ11"/>
    <mergeCell ref="B22:B31"/>
    <mergeCell ref="H112:H121"/>
    <mergeCell ref="AL2:AL11"/>
    <mergeCell ref="D22:D31"/>
    <mergeCell ref="AJ42:AJ51"/>
    <mergeCell ref="P72:P81"/>
    <mergeCell ref="B102:B111"/>
    <mergeCell ref="J112:J121"/>
    <mergeCell ref="N22:N31"/>
    <mergeCell ref="L62:L71"/>
    <mergeCell ref="P22:P31"/>
    <mergeCell ref="N62:N71"/>
    <mergeCell ref="L102:L111"/>
    <mergeCell ref="N102:N111"/>
    <mergeCell ref="L12:L21"/>
    <mergeCell ref="E82:E91"/>
    <mergeCell ref="N12:N21"/>
    <mergeCell ref="G82:G91"/>
    <mergeCell ref="N72:N81"/>
    <mergeCell ref="Q82:Q91"/>
    <mergeCell ref="K12:K21"/>
    <mergeCell ref="AM82:AM91"/>
    <mergeCell ref="D32:D41"/>
    <mergeCell ref="F32:F41"/>
    <mergeCell ref="C52:C61"/>
    <mergeCell ref="A2:A11"/>
    <mergeCell ref="C2:C11"/>
    <mergeCell ref="A42:A51"/>
    <mergeCell ref="O52:O61"/>
    <mergeCell ref="H32:H41"/>
    <mergeCell ref="I82:I91"/>
    <mergeCell ref="J32:J41"/>
    <mergeCell ref="AL62:AL71"/>
    <mergeCell ref="A72:A81"/>
    <mergeCell ref="C72:C81"/>
    <mergeCell ref="M42:M51"/>
    <mergeCell ref="P112:P121"/>
    <mergeCell ref="O42:O51"/>
    <mergeCell ref="A22:A31"/>
    <mergeCell ref="AK22:AK31"/>
    <mergeCell ref="A62:A71"/>
    <mergeCell ref="O72:O81"/>
    <mergeCell ref="K62:K71"/>
    <mergeCell ref="M62:M71"/>
    <mergeCell ref="D82:D91"/>
    <mergeCell ref="F82:F91"/>
    <mergeCell ref="AM2:AM11"/>
    <mergeCell ref="E22:E31"/>
    <mergeCell ref="AJ32:AJ41"/>
    <mergeCell ref="G22:G31"/>
    <mergeCell ref="P42:P51"/>
    <mergeCell ref="AK42:AK51"/>
    <mergeCell ref="AM42:AM51"/>
    <mergeCell ref="E102:E111"/>
    <mergeCell ref="G102:G111"/>
    <mergeCell ref="E12:E21"/>
    <mergeCell ref="Q62:Q71"/>
    <mergeCell ref="C92:C101"/>
    <mergeCell ref="H82:H91"/>
    <mergeCell ref="E92:E101"/>
    <mergeCell ref="Q12:Q21"/>
    <mergeCell ref="J82:J91"/>
    <mergeCell ref="L82:L91"/>
    <mergeCell ref="B12:B21"/>
    <mergeCell ref="B52:B61"/>
    <mergeCell ref="AJ52:AJ61"/>
    <mergeCell ref="AM72:AM81"/>
    <mergeCell ref="C112:C121"/>
    <mergeCell ref="AK112:AK121"/>
    <mergeCell ref="H102:H111"/>
    <mergeCell ref="AM112:AM121"/>
    <mergeCell ref="J102:J111"/>
    <mergeCell ref="I32:I41"/>
    <mergeCell ref="AJ72:AJ81"/>
    <mergeCell ref="H52:H61"/>
    <mergeCell ref="AJ82:AJ91"/>
    <mergeCell ref="I72:I81"/>
    <mergeCell ref="F2:F11"/>
    <mergeCell ref="H2:H11"/>
    <mergeCell ref="F42:F51"/>
    <mergeCell ref="O32:O41"/>
    <mergeCell ref="K2:K11"/>
    <mergeCell ref="F72:F81"/>
    <mergeCell ref="H72:H81"/>
    <mergeCell ref="L92:L101"/>
    <mergeCell ref="E2:E11"/>
    <mergeCell ref="N92:N101"/>
    <mergeCell ref="F22:F31"/>
    <mergeCell ref="AN22:AN31"/>
    <mergeCell ref="D62:D71"/>
    <mergeCell ref="AL102:AL111"/>
    <mergeCell ref="I52:I61"/>
    <mergeCell ref="F62:F71"/>
    <mergeCell ref="AN62:AN71"/>
    <mergeCell ref="K52:K61"/>
    <mergeCell ref="AN102:AN111"/>
    <mergeCell ref="D12:D21"/>
    <mergeCell ref="AL12:AL21"/>
    <mergeCell ref="D72:D81"/>
    <mergeCell ref="AN12:AN21"/>
    <mergeCell ref="AJ92:AJ101"/>
    <mergeCell ref="B112:B121"/>
    <mergeCell ref="AL92:AL101"/>
    <mergeCell ref="I42:I51"/>
    <mergeCell ref="D112:D121"/>
    <mergeCell ref="P32:P41"/>
    <mergeCell ref="K42:K51"/>
    <mergeCell ref="J22:J31"/>
    <mergeCell ref="L22:L31"/>
    <mergeCell ref="J62:J7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3"/>
  <sheetViews>
    <sheetView workbookViewId="0">
      <selection activeCell="A1" sqref="A1"/>
    </sheetView>
  </sheetViews>
  <sheetFormatPr baseColWidth="8" defaultRowHeight="15"/>
  <sheetData>
    <row r="1">
      <c r="A1" s="63" t="inlineStr">
        <is>
          <t>2026年4月在行农业项目</t>
        </is>
      </c>
    </row>
    <row r="3">
      <c r="A3" s="64" t="inlineStr">
        <is>
          <t>项目名称</t>
        </is>
      </c>
      <c r="B3" s="64" t="inlineStr">
        <is>
          <t>类别</t>
        </is>
      </c>
      <c r="C3" s="65" t="inlineStr">
        <is>
          <t>项目整体毛利目标预算</t>
        </is>
      </c>
      <c r="D3" s="65" t="inlineStr">
        <is>
          <t>项目开始-当前实际累计</t>
        </is>
      </c>
      <c r="E3" s="65" t="inlineStr">
        <is>
          <t>2026年YTD</t>
        </is>
      </c>
      <c r="F3" s="65" t="inlineStr">
        <is>
          <t>偏差（实际-预算）</t>
        </is>
      </c>
      <c r="G3" s="66" t="inlineStr">
        <is>
          <t>数据分析与说明</t>
        </is>
      </c>
      <c r="H3" s="67" t="n">
        <v>202612</v>
      </c>
      <c r="I3" s="67" t="n">
        <v>202611</v>
      </c>
      <c r="J3" s="67" t="n">
        <v>202610</v>
      </c>
      <c r="K3" s="67" t="n">
        <v>202609</v>
      </c>
      <c r="L3" s="67" t="n">
        <v>202608</v>
      </c>
      <c r="M3" s="67" t="n">
        <v>202607</v>
      </c>
      <c r="N3" s="67" t="n">
        <v>202606</v>
      </c>
      <c r="O3" s="67" t="n">
        <v>202605</v>
      </c>
      <c r="P3" s="67" t="n">
        <v>202604</v>
      </c>
      <c r="Q3" s="67" t="n">
        <v>202603</v>
      </c>
      <c r="R3" s="67" t="n">
        <v>202602</v>
      </c>
      <c r="S3" s="67" t="n">
        <v>202601</v>
      </c>
    </row>
    <row r="4">
      <c r="A4" s="68" t="inlineStr">
        <is>
          <t>14个农业项目</t>
        </is>
      </c>
      <c r="B4" s="29" t="inlineStr">
        <is>
          <t>累计收入（NR）</t>
        </is>
      </c>
      <c r="C4" s="69" t="n">
        <v>2756226.430000001</v>
      </c>
      <c r="D4" s="69" t="n">
        <v>1964159.83</v>
      </c>
      <c r="E4" s="69">
        <f>SUM(H4:S4)</f>
        <v/>
      </c>
      <c r="F4" s="69">
        <f>D4-C4</f>
        <v/>
      </c>
      <c r="G4" s="70" t="n"/>
      <c r="H4" s="71" t="n">
        <v>0</v>
      </c>
      <c r="I4" s="71" t="n">
        <v>0</v>
      </c>
      <c r="J4" s="71" t="n">
        <v>0</v>
      </c>
      <c r="K4" s="71" t="n">
        <v>0</v>
      </c>
      <c r="L4" s="71" t="n">
        <v>0</v>
      </c>
      <c r="M4" s="71" t="n">
        <v>0</v>
      </c>
      <c r="N4" s="71" t="n">
        <v>0</v>
      </c>
      <c r="O4" s="71" t="n">
        <v>0</v>
      </c>
      <c r="P4" s="71" t="n">
        <v>0</v>
      </c>
      <c r="Q4" s="71" t="n">
        <v>226032.44</v>
      </c>
      <c r="R4" s="71" t="n">
        <v>280358.52</v>
      </c>
      <c r="S4" s="71" t="n">
        <v>191830.73</v>
      </c>
    </row>
    <row r="5">
      <c r="A5" s="28" t="n"/>
      <c r="B5" s="29" t="inlineStr">
        <is>
          <t>人工成本（成本１）</t>
        </is>
      </c>
      <c r="C5" s="69" t="n">
        <v>2104438.77</v>
      </c>
      <c r="D5" s="69" t="n">
        <v>1673731.53</v>
      </c>
      <c r="E5" s="69">
        <f>SUM(H5:S5)</f>
        <v/>
      </c>
      <c r="F5" s="69">
        <f>D5-C5</f>
        <v/>
      </c>
      <c r="G5" s="28" t="n"/>
      <c r="H5" s="71" t="n">
        <v>0</v>
      </c>
      <c r="I5" s="71" t="n">
        <v>0</v>
      </c>
      <c r="J5" s="71" t="n">
        <v>0</v>
      </c>
      <c r="K5" s="71" t="n">
        <v>0</v>
      </c>
      <c r="L5" s="71" t="n">
        <v>0</v>
      </c>
      <c r="M5" s="71" t="n">
        <v>0</v>
      </c>
      <c r="N5" s="71" t="n">
        <v>0</v>
      </c>
      <c r="O5" s="71" t="n">
        <v>0</v>
      </c>
      <c r="P5" s="71" t="n">
        <v>0</v>
      </c>
      <c r="Q5" s="71" t="n">
        <v>194294.55</v>
      </c>
      <c r="R5" s="71" t="n">
        <v>199527.84</v>
      </c>
      <c r="S5" s="71" t="n">
        <v>202480.66</v>
      </c>
    </row>
    <row r="6">
      <c r="A6" s="28" t="n"/>
      <c r="B6" s="29" t="inlineStr">
        <is>
          <t>闲置成本（成本2）</t>
        </is>
      </c>
      <c r="C6" s="69" t="n">
        <v>0</v>
      </c>
      <c r="D6" s="69" t="n">
        <v>0</v>
      </c>
      <c r="E6" s="69">
        <f>SUM(H6:S6)</f>
        <v/>
      </c>
      <c r="F6" s="69">
        <f>D6-C6</f>
        <v/>
      </c>
      <c r="G6" s="28" t="n"/>
      <c r="H6" s="71" t="n">
        <v>0</v>
      </c>
      <c r="I6" s="71" t="n">
        <v>0</v>
      </c>
      <c r="J6" s="71" t="n">
        <v>0</v>
      </c>
      <c r="K6" s="71" t="n">
        <v>0</v>
      </c>
      <c r="L6" s="71" t="n">
        <v>0</v>
      </c>
      <c r="M6" s="71" t="n">
        <v>0</v>
      </c>
      <c r="N6" s="71" t="n">
        <v>0</v>
      </c>
      <c r="O6" s="71" t="n">
        <v>0</v>
      </c>
      <c r="P6" s="71" t="n">
        <v>0</v>
      </c>
      <c r="Q6" s="71" t="n">
        <v>11909.61</v>
      </c>
      <c r="R6" s="71" t="n">
        <v>18638.11</v>
      </c>
      <c r="S6" s="71" t="n">
        <v>0</v>
      </c>
    </row>
    <row r="7">
      <c r="A7" s="28" t="n"/>
      <c r="B7" s="29" t="inlineStr">
        <is>
          <t>差旅费（成本３）</t>
        </is>
      </c>
      <c r="C7" s="69" t="n">
        <v>70000</v>
      </c>
      <c r="D7" s="69" t="n">
        <v>5630.59</v>
      </c>
      <c r="E7" s="69">
        <f>SUM(H7:S7)</f>
        <v/>
      </c>
      <c r="F7" s="69">
        <f>D7-C7</f>
        <v/>
      </c>
      <c r="G7" s="28" t="n"/>
      <c r="H7" s="71" t="n">
        <v>0</v>
      </c>
      <c r="I7" s="71" t="n">
        <v>0</v>
      </c>
      <c r="J7" s="71" t="n">
        <v>0</v>
      </c>
      <c r="K7" s="71" t="n">
        <v>0</v>
      </c>
      <c r="L7" s="71" t="n">
        <v>0</v>
      </c>
      <c r="M7" s="71" t="n">
        <v>0</v>
      </c>
      <c r="N7" s="71" t="n">
        <v>0</v>
      </c>
      <c r="O7" s="71" t="n">
        <v>0</v>
      </c>
      <c r="P7" s="71" t="n">
        <v>0</v>
      </c>
      <c r="Q7" s="71" t="n">
        <v>0</v>
      </c>
      <c r="R7" s="71" t="n">
        <v>0</v>
      </c>
      <c r="S7" s="71" t="n">
        <v>0</v>
      </c>
    </row>
    <row r="8">
      <c r="A8" s="28" t="n"/>
      <c r="B8" s="29" t="inlineStr">
        <is>
          <t>其他成本（成本３）</t>
        </is>
      </c>
      <c r="C8" s="69" t="n">
        <v>99774</v>
      </c>
      <c r="D8" s="69" t="n">
        <v>23102.477</v>
      </c>
      <c r="E8" s="69">
        <f>SUM(H8:S8)</f>
        <v/>
      </c>
      <c r="F8" s="69">
        <f>D8-C8</f>
        <v/>
      </c>
      <c r="G8" s="28" t="n"/>
      <c r="H8" s="71" t="n">
        <v>0</v>
      </c>
      <c r="I8" s="71" t="n">
        <v>0</v>
      </c>
      <c r="J8" s="71" t="n">
        <v>0</v>
      </c>
      <c r="K8" s="71" t="n">
        <v>0</v>
      </c>
      <c r="L8" s="71" t="n">
        <v>0</v>
      </c>
      <c r="M8" s="71" t="n">
        <v>0</v>
      </c>
      <c r="N8" s="71" t="n">
        <v>0</v>
      </c>
      <c r="O8" s="71" t="n">
        <v>0</v>
      </c>
      <c r="P8" s="71" t="n">
        <v>0</v>
      </c>
      <c r="Q8" s="71" t="n">
        <v>19589.8</v>
      </c>
      <c r="R8" s="71" t="n">
        <v>-23756.61</v>
      </c>
      <c r="S8" s="71" t="n">
        <v>-744.5799999999999</v>
      </c>
    </row>
    <row r="9">
      <c r="A9" s="28" t="n"/>
      <c r="B9" s="29" t="inlineStr">
        <is>
          <t>累计成本</t>
        </is>
      </c>
      <c r="C9" s="69">
        <f>SUM(C5:C8)</f>
        <v/>
      </c>
      <c r="D9" s="69">
        <f>SUM(D5:D8)</f>
        <v/>
      </c>
      <c r="E9" s="69">
        <f>SUM(E5:E8)</f>
        <v/>
      </c>
      <c r="F9" s="69">
        <f>SUM(F5:F8)</f>
        <v/>
      </c>
      <c r="G9" s="28" t="n"/>
      <c r="H9" s="71">
        <f>SUM(H5:H8)</f>
        <v/>
      </c>
      <c r="I9" s="71">
        <f>SUM(I5:I8)</f>
        <v/>
      </c>
      <c r="J9" s="71">
        <f>SUM(J5:J8)</f>
        <v/>
      </c>
      <c r="K9" s="71">
        <f>SUM(K5:K8)</f>
        <v/>
      </c>
      <c r="L9" s="71">
        <f>SUM(L5:L8)</f>
        <v/>
      </c>
      <c r="M9" s="71">
        <f>SUM(M5:M8)</f>
        <v/>
      </c>
      <c r="N9" s="71">
        <f>SUM(N5:N8)</f>
        <v/>
      </c>
      <c r="O9" s="71">
        <f>SUM(O5:O8)</f>
        <v/>
      </c>
      <c r="P9" s="71">
        <f>SUM(P5:P8)</f>
        <v/>
      </c>
      <c r="Q9" s="71">
        <f>SUM(Q5:Q8)</f>
        <v/>
      </c>
      <c r="R9" s="71">
        <f>SUM(R5:R8)</f>
        <v/>
      </c>
      <c r="S9" s="71">
        <f>SUM(S5:S8)</f>
        <v/>
      </c>
    </row>
    <row r="10">
      <c r="A10" s="28" t="n"/>
      <c r="B10" s="29" t="inlineStr">
        <is>
          <t>GP1毛利</t>
        </is>
      </c>
      <c r="C10" s="72">
        <f>C4-C5</f>
        <v/>
      </c>
      <c r="D10" s="72">
        <f>D4-D5</f>
        <v/>
      </c>
      <c r="E10" s="72">
        <f>E4-E5</f>
        <v/>
      </c>
      <c r="F10" s="72">
        <f>F4-F5</f>
        <v/>
      </c>
      <c r="G10" s="28" t="n"/>
      <c r="H10" s="72">
        <f>H4-H5</f>
        <v/>
      </c>
      <c r="I10" s="72">
        <f>I4-I5</f>
        <v/>
      </c>
      <c r="J10" s="72">
        <f>J4-J5</f>
        <v/>
      </c>
      <c r="K10" s="72">
        <f>K4-K5</f>
        <v/>
      </c>
      <c r="L10" s="72">
        <f>L4-L5</f>
        <v/>
      </c>
      <c r="M10" s="72">
        <f>M4-M5</f>
        <v/>
      </c>
      <c r="N10" s="72">
        <f>N4-N5</f>
        <v/>
      </c>
      <c r="O10" s="72">
        <f>O4-O5</f>
        <v/>
      </c>
      <c r="P10" s="72">
        <f>P4-P5</f>
        <v/>
      </c>
      <c r="Q10" s="72">
        <f>Q4-Q5</f>
        <v/>
      </c>
      <c r="R10" s="72">
        <f>R4-R5</f>
        <v/>
      </c>
      <c r="S10" s="72">
        <f>S4-S5</f>
        <v/>
      </c>
    </row>
    <row r="11">
      <c r="A11" s="28" t="n"/>
      <c r="B11" s="29" t="inlineStr">
        <is>
          <t>GP1毛利率(%)</t>
        </is>
      </c>
      <c r="C11" s="73">
        <f>C10/C4</f>
        <v/>
      </c>
      <c r="D11" s="73">
        <f>D10/D4</f>
        <v/>
      </c>
      <c r="E11" s="73">
        <f>E10/E4</f>
        <v/>
      </c>
      <c r="F11" s="72">
        <f>F10/F4</f>
        <v/>
      </c>
      <c r="G11" s="28" t="n"/>
      <c r="H11" s="73">
        <f>H10/H4</f>
        <v/>
      </c>
      <c r="I11" s="73">
        <f>I10/I4</f>
        <v/>
      </c>
      <c r="J11" s="73">
        <f>J10/J4</f>
        <v/>
      </c>
      <c r="K11" s="73">
        <f>K10/K4</f>
        <v/>
      </c>
      <c r="L11" s="73">
        <f>L10/L4</f>
        <v/>
      </c>
      <c r="M11" s="73">
        <f>M10/M4</f>
        <v/>
      </c>
      <c r="N11" s="73">
        <f>N10/N4</f>
        <v/>
      </c>
      <c r="O11" s="73">
        <f>O10/O4</f>
        <v/>
      </c>
      <c r="P11" s="73">
        <f>P10/P4</f>
        <v/>
      </c>
      <c r="Q11" s="73">
        <f>Q10/Q4</f>
        <v/>
      </c>
      <c r="R11" s="73">
        <f>R10/R4</f>
        <v/>
      </c>
      <c r="S11" s="73">
        <f>S10/S4</f>
        <v/>
      </c>
    </row>
    <row r="12">
      <c r="A12" s="28" t="n"/>
      <c r="B12" s="29" t="inlineStr">
        <is>
          <t>GP3毛利</t>
        </is>
      </c>
      <c r="C12" s="72">
        <f>C4-C5-C7-C8</f>
        <v/>
      </c>
      <c r="D12" s="72">
        <f>D4-D5-D7-D8</f>
        <v/>
      </c>
      <c r="E12" s="72">
        <f>E4-E5-E7-E8</f>
        <v/>
      </c>
      <c r="F12" s="72">
        <f>F4-F5-F7-F8</f>
        <v/>
      </c>
      <c r="G12" s="28" t="n"/>
      <c r="H12" s="72">
        <f>H4-H5-H7-H8</f>
        <v/>
      </c>
      <c r="I12" s="72">
        <f>I4-I5-I7-I8</f>
        <v/>
      </c>
      <c r="J12" s="72">
        <f>J4-J5-J7-J8</f>
        <v/>
      </c>
      <c r="K12" s="72">
        <f>K4-K5-K7-K8</f>
        <v/>
      </c>
      <c r="L12" s="72">
        <f>L4-L5-L7-L8</f>
        <v/>
      </c>
      <c r="M12" s="72">
        <f>M4-M5-M7-M8</f>
        <v/>
      </c>
      <c r="N12" s="72">
        <f>N4-N5-N7-N8</f>
        <v/>
      </c>
      <c r="O12" s="72">
        <f>O4-O5-O7-O8</f>
        <v/>
      </c>
      <c r="P12" s="72">
        <f>P4-P5-P7-P8</f>
        <v/>
      </c>
      <c r="Q12" s="72">
        <f>Q4-Q5-Q7-Q8</f>
        <v/>
      </c>
      <c r="R12" s="72">
        <f>R4-R5-R7-R8</f>
        <v/>
      </c>
      <c r="S12" s="72">
        <f>S4-S5-S7-S8</f>
        <v/>
      </c>
    </row>
    <row r="13">
      <c r="A13" s="41" t="n"/>
      <c r="B13" s="29" t="inlineStr">
        <is>
          <t>GP3毛利率(%)</t>
        </is>
      </c>
      <c r="C13" s="73">
        <f>C12/C4</f>
        <v/>
      </c>
      <c r="D13" s="73">
        <f>D12/D4</f>
        <v/>
      </c>
      <c r="E13" s="73">
        <f>E12/E4</f>
        <v/>
      </c>
      <c r="F13" s="72">
        <f>F12/F4</f>
        <v/>
      </c>
      <c r="G13" s="41" t="n"/>
      <c r="H13" s="73">
        <f>H12/H4</f>
        <v/>
      </c>
      <c r="I13" s="73">
        <f>I12/I4</f>
        <v/>
      </c>
      <c r="J13" s="73">
        <f>J12/J4</f>
        <v/>
      </c>
      <c r="K13" s="73">
        <f>K12/K4</f>
        <v/>
      </c>
      <c r="L13" s="73">
        <f>L12/L4</f>
        <v/>
      </c>
      <c r="M13" s="73">
        <f>M12/M4</f>
        <v/>
      </c>
      <c r="N13" s="73">
        <f>N12/N4</f>
        <v/>
      </c>
      <c r="O13" s="73">
        <f>O12/O4</f>
        <v/>
      </c>
      <c r="P13" s="73">
        <f>P12/P4</f>
        <v/>
      </c>
      <c r="Q13" s="73">
        <f>Q12/Q4</f>
        <v/>
      </c>
      <c r="R13" s="73">
        <f>R12/R4</f>
        <v/>
      </c>
      <c r="S13" s="73">
        <f>S12/S4</f>
        <v/>
      </c>
    </row>
  </sheetData>
  <mergeCells count="2">
    <mergeCell ref="A4:A13"/>
    <mergeCell ref="G4:G1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3"/>
  <sheetViews>
    <sheetView workbookViewId="0">
      <selection activeCell="A1" sqref="A1"/>
    </sheetView>
  </sheetViews>
  <sheetFormatPr baseColWidth="8" defaultRowHeight="15"/>
  <sheetData>
    <row r="1">
      <c r="A1" s="74" t="inlineStr">
        <is>
          <t>2026年在行农业项目</t>
        </is>
      </c>
    </row>
    <row r="3">
      <c r="A3" s="75" t="inlineStr">
        <is>
          <t>项目名称</t>
        </is>
      </c>
      <c r="B3" s="75" t="inlineStr">
        <is>
          <t>类别</t>
        </is>
      </c>
      <c r="C3" s="76" t="inlineStr">
        <is>
          <t>项目整体毛利目标预算</t>
        </is>
      </c>
      <c r="D3" s="76" t="inlineStr">
        <is>
          <t>项目开始-当前实际累计</t>
        </is>
      </c>
      <c r="E3" s="76" t="inlineStr">
        <is>
          <t>2026年YTD</t>
        </is>
      </c>
      <c r="F3" s="76" t="inlineStr">
        <is>
          <t>偏差（实际-预算）</t>
        </is>
      </c>
      <c r="G3" s="77" t="inlineStr">
        <is>
          <t>数据分析与说明</t>
        </is>
      </c>
      <c r="H3" s="67" t="n">
        <v>202612</v>
      </c>
      <c r="I3" s="67" t="n">
        <v>202611</v>
      </c>
      <c r="J3" s="67" t="n">
        <v>202610</v>
      </c>
      <c r="K3" s="67" t="n">
        <v>202609</v>
      </c>
      <c r="L3" s="67" t="n">
        <v>202608</v>
      </c>
      <c r="M3" s="67" t="n">
        <v>202607</v>
      </c>
      <c r="N3" s="67" t="n">
        <v>202606</v>
      </c>
      <c r="O3" s="67" t="n">
        <v>202605</v>
      </c>
      <c r="P3" s="67" t="n">
        <v>202604</v>
      </c>
      <c r="Q3" s="67" t="n">
        <v>202603</v>
      </c>
      <c r="R3" s="67" t="n">
        <v>202602</v>
      </c>
      <c r="S3" s="67" t="n">
        <v>202601</v>
      </c>
    </row>
    <row r="4">
      <c r="A4" s="68" t="inlineStr">
        <is>
          <t>14个农业项目</t>
        </is>
      </c>
      <c r="B4" s="29" t="inlineStr">
        <is>
          <t>累计收入（NR）</t>
        </is>
      </c>
      <c r="C4" s="69" t="n">
        <v>3086320.77</v>
      </c>
      <c r="D4" s="69" t="n">
        <v>2291890.807</v>
      </c>
      <c r="E4" s="69">
        <f>SUM(H4:S4)</f>
        <v/>
      </c>
      <c r="F4" s="69">
        <f>D4-C4</f>
        <v/>
      </c>
      <c r="G4" s="70" t="n"/>
      <c r="H4" s="71" t="n">
        <v>0</v>
      </c>
      <c r="I4" s="71" t="n">
        <v>0</v>
      </c>
      <c r="J4" s="71" t="n">
        <v>0</v>
      </c>
      <c r="K4" s="71" t="n">
        <v>0</v>
      </c>
      <c r="L4" s="71" t="n">
        <v>0</v>
      </c>
      <c r="M4" s="71" t="n">
        <v>0</v>
      </c>
      <c r="N4" s="71" t="n">
        <v>0</v>
      </c>
      <c r="O4" s="71" t="n">
        <v>0</v>
      </c>
      <c r="P4" s="71" t="n">
        <v>0</v>
      </c>
      <c r="Q4" s="71" t="n">
        <v>226032.44</v>
      </c>
      <c r="R4" s="71" t="n">
        <v>280358.52</v>
      </c>
      <c r="S4" s="71" t="n">
        <v>191830.6</v>
      </c>
    </row>
    <row r="5">
      <c r="A5" s="28" t="n"/>
      <c r="B5" s="29" t="inlineStr">
        <is>
          <t>人工成本（成本１）</t>
        </is>
      </c>
      <c r="C5" s="69" t="n">
        <v>2312437.77</v>
      </c>
      <c r="D5" s="69" t="n">
        <v>1805112.08</v>
      </c>
      <c r="E5" s="69">
        <f>SUM(H5:S5)</f>
        <v/>
      </c>
      <c r="F5" s="69">
        <f>D5-C5</f>
        <v/>
      </c>
      <c r="G5" s="28" t="n"/>
      <c r="H5" s="71" t="n">
        <v>0</v>
      </c>
      <c r="I5" s="71" t="n">
        <v>0</v>
      </c>
      <c r="J5" s="71" t="n">
        <v>0</v>
      </c>
      <c r="K5" s="71" t="n">
        <v>0</v>
      </c>
      <c r="L5" s="71" t="n">
        <v>0</v>
      </c>
      <c r="M5" s="71" t="n">
        <v>0</v>
      </c>
      <c r="N5" s="71" t="n">
        <v>0</v>
      </c>
      <c r="O5" s="71" t="n">
        <v>0</v>
      </c>
      <c r="P5" s="71" t="n">
        <v>0</v>
      </c>
      <c r="Q5" s="71" t="n">
        <v>194294.55</v>
      </c>
      <c r="R5" s="71" t="n">
        <v>199527.84</v>
      </c>
      <c r="S5" s="71" t="n">
        <v>202480.66</v>
      </c>
    </row>
    <row r="6">
      <c r="A6" s="28" t="n"/>
      <c r="B6" s="29" t="inlineStr">
        <is>
          <t>闲置成本（成本2）</t>
        </is>
      </c>
      <c r="C6" s="69" t="n">
        <v>0</v>
      </c>
      <c r="D6" s="69" t="n">
        <v>0</v>
      </c>
      <c r="E6" s="69">
        <f>SUM(H6:S6)</f>
        <v/>
      </c>
      <c r="F6" s="69">
        <f>D6-C6</f>
        <v/>
      </c>
      <c r="G6" s="28" t="n"/>
      <c r="H6" s="71" t="n">
        <v>0</v>
      </c>
      <c r="I6" s="71" t="n">
        <v>0</v>
      </c>
      <c r="J6" s="71" t="n">
        <v>0</v>
      </c>
      <c r="K6" s="71" t="n">
        <v>0</v>
      </c>
      <c r="L6" s="71" t="n">
        <v>0</v>
      </c>
      <c r="M6" s="71" t="n">
        <v>0</v>
      </c>
      <c r="N6" s="71" t="n">
        <v>0</v>
      </c>
      <c r="O6" s="71" t="n">
        <v>0</v>
      </c>
      <c r="P6" s="71" t="n">
        <v>0</v>
      </c>
      <c r="Q6" s="71" t="n">
        <v>11909.61</v>
      </c>
      <c r="R6" s="71" t="n">
        <v>18638.11</v>
      </c>
      <c r="S6" s="71" t="n">
        <v>0</v>
      </c>
    </row>
    <row r="7">
      <c r="A7" s="28" t="n"/>
      <c r="B7" s="29" t="inlineStr">
        <is>
          <t>差旅费（成本３）</t>
        </is>
      </c>
      <c r="C7" s="69" t="n">
        <v>87000</v>
      </c>
      <c r="D7" s="69" t="n">
        <v>9748.970000000001</v>
      </c>
      <c r="E7" s="69">
        <f>SUM(H7:S7)</f>
        <v/>
      </c>
      <c r="F7" s="69">
        <f>D7-C7</f>
        <v/>
      </c>
      <c r="G7" s="28" t="n"/>
      <c r="H7" s="71" t="n">
        <v>0</v>
      </c>
      <c r="I7" s="71" t="n">
        <v>0</v>
      </c>
      <c r="J7" s="71" t="n">
        <v>0</v>
      </c>
      <c r="K7" s="71" t="n">
        <v>0</v>
      </c>
      <c r="L7" s="71" t="n">
        <v>0</v>
      </c>
      <c r="M7" s="71" t="n">
        <v>0</v>
      </c>
      <c r="N7" s="71" t="n">
        <v>0</v>
      </c>
      <c r="O7" s="71" t="n">
        <v>0</v>
      </c>
      <c r="P7" s="71" t="n">
        <v>0</v>
      </c>
      <c r="Q7" s="71" t="n">
        <v>0</v>
      </c>
      <c r="R7" s="71" t="n">
        <v>0</v>
      </c>
      <c r="S7" s="71" t="n">
        <v>0</v>
      </c>
    </row>
    <row r="8">
      <c r="A8" s="28" t="n"/>
      <c r="B8" s="29" t="inlineStr">
        <is>
          <t>其他成本（成本３）</t>
        </is>
      </c>
      <c r="C8" s="69" t="n">
        <v>109774</v>
      </c>
      <c r="D8" s="69" t="n">
        <v>28473.42699999999</v>
      </c>
      <c r="E8" s="69">
        <f>SUM(H8:S8)</f>
        <v/>
      </c>
      <c r="F8" s="69">
        <f>D8-C8</f>
        <v/>
      </c>
      <c r="G8" s="28" t="n"/>
      <c r="H8" s="71" t="n">
        <v>0</v>
      </c>
      <c r="I8" s="71" t="n">
        <v>0</v>
      </c>
      <c r="J8" s="71" t="n">
        <v>0</v>
      </c>
      <c r="K8" s="71" t="n">
        <v>0</v>
      </c>
      <c r="L8" s="71" t="n">
        <v>0</v>
      </c>
      <c r="M8" s="71" t="n">
        <v>0</v>
      </c>
      <c r="N8" s="71" t="n">
        <v>0</v>
      </c>
      <c r="O8" s="71" t="n">
        <v>0</v>
      </c>
      <c r="P8" s="71" t="n">
        <v>0</v>
      </c>
      <c r="Q8" s="71" t="n">
        <v>19589.8</v>
      </c>
      <c r="R8" s="71" t="n">
        <v>-23756.61</v>
      </c>
      <c r="S8" s="71" t="n">
        <v>-744.5799999999999</v>
      </c>
    </row>
    <row r="9">
      <c r="A9" s="28" t="n"/>
      <c r="B9" s="29" t="inlineStr">
        <is>
          <t>累计成本</t>
        </is>
      </c>
      <c r="C9" s="69">
        <f>SUM(C5:C8)</f>
        <v/>
      </c>
      <c r="D9" s="69">
        <f>SUM(D5:D8)</f>
        <v/>
      </c>
      <c r="E9" s="69">
        <f>SUM(E5:E8)</f>
        <v/>
      </c>
      <c r="F9" s="69">
        <f>SUM(F5:F8)</f>
        <v/>
      </c>
      <c r="G9" s="28" t="n"/>
      <c r="H9" s="71">
        <f>SUM(H5:H8)</f>
        <v/>
      </c>
      <c r="I9" s="71">
        <f>SUM(I5:I8)</f>
        <v/>
      </c>
      <c r="J9" s="71">
        <f>SUM(J5:J8)</f>
        <v/>
      </c>
      <c r="K9" s="71">
        <f>SUM(K5:K8)</f>
        <v/>
      </c>
      <c r="L9" s="71">
        <f>SUM(L5:L8)</f>
        <v/>
      </c>
      <c r="M9" s="71">
        <f>SUM(M5:M8)</f>
        <v/>
      </c>
      <c r="N9" s="71">
        <f>SUM(N5:N8)</f>
        <v/>
      </c>
      <c r="O9" s="71">
        <f>SUM(O5:O8)</f>
        <v/>
      </c>
      <c r="P9" s="71">
        <f>SUM(P5:P8)</f>
        <v/>
      </c>
      <c r="Q9" s="71">
        <f>SUM(Q5:Q8)</f>
        <v/>
      </c>
      <c r="R9" s="71">
        <f>SUM(R5:R8)</f>
        <v/>
      </c>
      <c r="S9" s="71">
        <f>SUM(S5:S8)</f>
        <v/>
      </c>
    </row>
    <row r="10">
      <c r="A10" s="28" t="n"/>
      <c r="B10" s="29" t="inlineStr">
        <is>
          <t>GP1毛利</t>
        </is>
      </c>
      <c r="C10" s="72">
        <f>C4-C5</f>
        <v/>
      </c>
      <c r="D10" s="72">
        <f>D4-D5</f>
        <v/>
      </c>
      <c r="E10" s="72">
        <f>E4-E5</f>
        <v/>
      </c>
      <c r="F10" s="72">
        <f>F4-F5</f>
        <v/>
      </c>
      <c r="G10" s="28" t="n"/>
      <c r="H10" s="72">
        <f>H4-H5</f>
        <v/>
      </c>
      <c r="I10" s="72">
        <f>I4-I5</f>
        <v/>
      </c>
      <c r="J10" s="72">
        <f>J4-J5</f>
        <v/>
      </c>
      <c r="K10" s="72">
        <f>K4-K5</f>
        <v/>
      </c>
      <c r="L10" s="72">
        <f>L4-L5</f>
        <v/>
      </c>
      <c r="M10" s="72">
        <f>M4-M5</f>
        <v/>
      </c>
      <c r="N10" s="72">
        <f>N4-N5</f>
        <v/>
      </c>
      <c r="O10" s="72">
        <f>O4-O5</f>
        <v/>
      </c>
      <c r="P10" s="72">
        <f>P4-P5</f>
        <v/>
      </c>
      <c r="Q10" s="72">
        <f>Q4-Q5</f>
        <v/>
      </c>
      <c r="R10" s="72">
        <f>R4-R5</f>
        <v/>
      </c>
      <c r="S10" s="72">
        <f>S4-S5</f>
        <v/>
      </c>
    </row>
    <row r="11">
      <c r="A11" s="28" t="n"/>
      <c r="B11" s="29" t="inlineStr">
        <is>
          <t>GP1毛利率(%)</t>
        </is>
      </c>
      <c r="C11" s="73">
        <f>C10/C4</f>
        <v/>
      </c>
      <c r="D11" s="73">
        <f>D10/D4</f>
        <v/>
      </c>
      <c r="E11" s="73">
        <f>E10/E4</f>
        <v/>
      </c>
      <c r="F11" s="72">
        <f>F10/F4</f>
        <v/>
      </c>
      <c r="G11" s="28" t="n"/>
      <c r="H11" s="73">
        <f>H10/H4</f>
        <v/>
      </c>
      <c r="I11" s="73">
        <f>I10/I4</f>
        <v/>
      </c>
      <c r="J11" s="73">
        <f>J10/J4</f>
        <v/>
      </c>
      <c r="K11" s="73">
        <f>K10/K4</f>
        <v/>
      </c>
      <c r="L11" s="73">
        <f>L10/L4</f>
        <v/>
      </c>
      <c r="M11" s="73">
        <f>M10/M4</f>
        <v/>
      </c>
      <c r="N11" s="73">
        <f>N10/N4</f>
        <v/>
      </c>
      <c r="O11" s="73">
        <f>O10/O4</f>
        <v/>
      </c>
      <c r="P11" s="73">
        <f>P10/P4</f>
        <v/>
      </c>
      <c r="Q11" s="73">
        <f>Q10/Q4</f>
        <v/>
      </c>
      <c r="R11" s="73">
        <f>R10/R4</f>
        <v/>
      </c>
      <c r="S11" s="73">
        <f>S10/S4</f>
        <v/>
      </c>
    </row>
    <row r="12">
      <c r="A12" s="28" t="n"/>
      <c r="B12" s="29" t="inlineStr">
        <is>
          <t>GP3毛利</t>
        </is>
      </c>
      <c r="C12" s="72">
        <f>C4-C5-C7-C8</f>
        <v/>
      </c>
      <c r="D12" s="72">
        <f>D4-D5-D7-D8</f>
        <v/>
      </c>
      <c r="E12" s="72">
        <f>E4-E5-E7-E8</f>
        <v/>
      </c>
      <c r="F12" s="72">
        <f>F4-F5-F7-F8</f>
        <v/>
      </c>
      <c r="G12" s="28" t="n"/>
      <c r="H12" s="72">
        <f>H4-H5-H7-H8</f>
        <v/>
      </c>
      <c r="I12" s="72">
        <f>I4-I5-I7-I8</f>
        <v/>
      </c>
      <c r="J12" s="72">
        <f>J4-J5-J7-J8</f>
        <v/>
      </c>
      <c r="K12" s="72">
        <f>K4-K5-K7-K8</f>
        <v/>
      </c>
      <c r="L12" s="72">
        <f>L4-L5-L7-L8</f>
        <v/>
      </c>
      <c r="M12" s="72">
        <f>M4-M5-M7-M8</f>
        <v/>
      </c>
      <c r="N12" s="72">
        <f>N4-N5-N7-N8</f>
        <v/>
      </c>
      <c r="O12" s="72">
        <f>O4-O5-O7-O8</f>
        <v/>
      </c>
      <c r="P12" s="72">
        <f>P4-P5-P7-P8</f>
        <v/>
      </c>
      <c r="Q12" s="72">
        <f>Q4-Q5-Q7-Q8</f>
        <v/>
      </c>
      <c r="R12" s="72">
        <f>R4-R5-R7-R8</f>
        <v/>
      </c>
      <c r="S12" s="72">
        <f>S4-S5-S7-S8</f>
        <v/>
      </c>
    </row>
    <row r="13">
      <c r="A13" s="41" t="n"/>
      <c r="B13" s="29" t="inlineStr">
        <is>
          <t>GP3毛利率(%)</t>
        </is>
      </c>
      <c r="C13" s="73">
        <f>C12/C4</f>
        <v/>
      </c>
      <c r="D13" s="73">
        <f>D12/D4</f>
        <v/>
      </c>
      <c r="E13" s="73">
        <f>E12/E4</f>
        <v/>
      </c>
      <c r="F13" s="72">
        <f>F12/F4</f>
        <v/>
      </c>
      <c r="G13" s="41" t="n"/>
      <c r="H13" s="73">
        <f>H12/H4</f>
        <v/>
      </c>
      <c r="I13" s="73">
        <f>I12/I4</f>
        <v/>
      </c>
      <c r="J13" s="73">
        <f>J12/J4</f>
        <v/>
      </c>
      <c r="K13" s="73">
        <f>K12/K4</f>
        <v/>
      </c>
      <c r="L13" s="73">
        <f>L12/L4</f>
        <v/>
      </c>
      <c r="M13" s="73">
        <f>M12/M4</f>
        <v/>
      </c>
      <c r="N13" s="73">
        <f>N12/N4</f>
        <v/>
      </c>
      <c r="O13" s="73">
        <f>O12/O4</f>
        <v/>
      </c>
      <c r="P13" s="73">
        <f>P12/P4</f>
        <v/>
      </c>
      <c r="Q13" s="73">
        <f>Q12/Q4</f>
        <v/>
      </c>
      <c r="R13" s="73">
        <f>R12/R4</f>
        <v/>
      </c>
      <c r="S13" s="73">
        <f>S12/S4</f>
        <v/>
      </c>
    </row>
  </sheetData>
  <mergeCells count="2">
    <mergeCell ref="A4:A13"/>
    <mergeCell ref="G4:G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2026-04-17T09:00:20Z</dcterms:created>
  <dcterms:modified xmlns:dcterms="http://purl.org/dc/terms/" xmlns:xsi="http://www.w3.org/2001/XMLSchema-instance" xsi:type="dcterms:W3CDTF">2026-04-17T09:00:28Z</dcterms:modified>
</cp:coreProperties>
</file>