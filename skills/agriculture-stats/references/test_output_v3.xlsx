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4">
    <numFmt numFmtId="164" formatCode="_ * #,##0.00_ ;_ * \-#,##0.00_ ;_ * &quot;-&quot;??_ ;_ @_ "/>
    <numFmt numFmtId="165" formatCode="0.0%"/>
    <numFmt numFmtId="166" formatCode="yyyy&quot;年&quot;m&quot;月&quot;;@"/>
    <numFmt numFmtId="167" formatCode="yyyy-mm-dd h:mm:ss"/>
  </numFmts>
  <fonts count="12">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b val="1"/>
      <color theme="1"/>
      <sz val="12"/>
    </font>
    <font>
      <name val="微软雅黑"/>
      <charset val="134"/>
      <b val="1"/>
      <color rgb="FF000000"/>
      <sz val="9"/>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auto="1"/>
      </right>
      <top style="thin">
        <color auto="1"/>
      </top>
      <bottom style="thin">
        <color auto="1"/>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0" fontId="5" fillId="0" borderId="1" applyAlignment="1" pivotButton="0" quotePrefix="0" xfId="0">
      <alignment horizontal="center" vertical="center" wrapText="1"/>
    </xf>
    <xf numFmtId="164" fontId="7" fillId="6" borderId="1" applyAlignment="1" pivotButton="0" quotePrefix="0" xfId="0">
      <alignment horizontal="center" vertical="center"/>
    </xf>
    <xf numFmtId="164" fontId="5" fillId="6" borderId="7" applyAlignment="1" pivotButton="0" quotePrefix="0" xfId="0">
      <alignment horizontal="right" vertical="center"/>
    </xf>
    <xf numFmtId="0" fontId="8" fillId="0" borderId="1" applyAlignment="1" pivotButton="0" quotePrefix="0" xfId="0">
      <alignment horizontal="right" vertical="center"/>
    </xf>
    <xf numFmtId="0" fontId="0" fillId="0" borderId="6"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6"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164" fontId="7" fillId="0" borderId="1" applyAlignment="1" pivotButton="0" quotePrefix="0" xfId="0">
      <alignment horizontal="right"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7" applyAlignment="1" pivotButton="0" quotePrefix="0" xfId="0">
      <alignment horizontal="right" vertical="center"/>
    </xf>
    <xf numFmtId="0" fontId="0" fillId="0" borderId="4" pivotButton="0" quotePrefix="0" xfId="0"/>
    <xf numFmtId="164" fontId="3" fillId="6" borderId="10" applyAlignment="1" pivotButton="0" quotePrefix="0" xfId="0">
      <alignment horizontal="right" vertical="center"/>
    </xf>
    <xf numFmtId="164" fontId="3" fillId="6" borderId="7"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164" fontId="5" fillId="6" borderId="10" applyAlignment="1" pivotButton="0" quotePrefix="0" xfId="0">
      <alignment horizontal="right" vertical="center"/>
    </xf>
    <xf numFmtId="0" fontId="0" fillId="0" borderId="9" pivotButton="0" quotePrefix="0" xfId="0"/>
    <xf numFmtId="10" fontId="6" fillId="0" borderId="5" applyAlignment="1" pivotButton="0" quotePrefix="0" xfId="0">
      <alignment horizontal="center" vertical="center" wrapText="1"/>
    </xf>
    <xf numFmtId="10" fontId="5" fillId="0" borderId="1" applyAlignment="1" pivotButton="0" quotePrefix="0" xfId="0">
      <alignment horizontal="center" vertical="center" wrapText="1"/>
    </xf>
    <xf numFmtId="0" fontId="8" fillId="6" borderId="7" applyAlignment="1" pivotButton="0" quotePrefix="0" xfId="0">
      <alignment horizontal="right" vertical="center"/>
    </xf>
    <xf numFmtId="10" fontId="1" fillId="0" borderId="1" applyAlignment="1" pivotButton="0" quotePrefix="0" xfId="0">
      <alignment horizontal="right" vertical="center"/>
    </xf>
    <xf numFmtId="0" fontId="10" fillId="0" borderId="0" applyAlignment="1" pivotButton="0" quotePrefix="0" xfId="0">
      <alignment vertical="center"/>
    </xf>
    <xf numFmtId="0" fontId="11"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1" fillId="8" borderId="5" applyAlignment="1" pivotButton="0" quotePrefix="0" xfId="0">
      <alignment horizontal="center" vertical="center" wrapText="1"/>
    </xf>
    <xf numFmtId="166"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0" fontId="10" fillId="0" borderId="0" applyAlignment="1" pivotButton="0" quotePrefix="0" xfId="0">
      <alignment horizontal="center" vertical="center"/>
    </xf>
    <xf numFmtId="0" fontId="11"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1" fillId="8" borderId="1" applyAlignment="1" pivotButton="0" quotePrefix="0" xfId="0">
      <alignment horizontal="center" vertical="center" wrapText="1"/>
    </xf>
    <xf numFmtId="166" fontId="7" fillId="9" borderId="16" applyAlignment="1" pivotButton="0" quotePrefix="0" xfId="0">
      <alignment horizontal="center" vertical="center"/>
    </xf>
    <xf numFmtId="166" fontId="7" fillId="9" borderId="15" applyAlignment="1" pivotButton="0" quotePrefix="0" xfId="0">
      <alignment horizontal="center" vertical="center"/>
    </xf>
    <xf numFmtId="166" fontId="7" fillId="9" borderId="14" applyAlignment="1" pivotButton="0" quotePrefix="0" xfId="0">
      <alignment horizontal="center" vertical="center"/>
    </xf>
    <xf numFmtId="166" fontId="7" fillId="9" borderId="16" applyAlignment="1" pivotButton="0" quotePrefix="0" xfId="0">
      <alignment horizontal="center" vertical="center"/>
    </xf>
    <xf numFmtId="166" fontId="7" fillId="9" borderId="1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9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2"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5" t="n">
        <v>0</v>
      </c>
      <c r="G2" s="16" t="n"/>
      <c r="H2" s="17" t="n"/>
      <c r="I2" s="17" t="n"/>
      <c r="J2" s="17" t="n"/>
      <c r="K2" s="17" t="n"/>
      <c r="L2" s="17" t="n"/>
      <c r="M2" s="17" t="n"/>
      <c r="N2" s="17" t="n"/>
      <c r="O2" s="17" t="n"/>
      <c r="P2" s="17" t="n"/>
      <c r="Q2" s="17" t="inlineStr"/>
      <c r="R2" s="18" t="inlineStr">
        <is>
          <t>累计收入（NR）</t>
        </is>
      </c>
      <c r="S2" s="19" t="n">
        <v>351886.79</v>
      </c>
      <c r="T2" s="19">
        <f>SUM(AO2:BC2)</f>
        <v/>
      </c>
      <c r="U2" s="20">
        <f>SUM(BA2:BC2)</f>
        <v/>
      </c>
      <c r="V2" s="19">
        <f>SUM(AO2:AZ2)</f>
        <v/>
      </c>
      <c r="W2" s="19">
        <f>SUM(AP2:AZ2)</f>
        <v/>
      </c>
      <c r="X2" s="19">
        <f>SUM(AQ2:AZ2)</f>
        <v/>
      </c>
      <c r="Y2" s="19">
        <f>SUM(AR2:AZ2)</f>
        <v/>
      </c>
      <c r="Z2" s="19">
        <f>SUM(AS2:AZ2)</f>
        <v/>
      </c>
      <c r="AA2" s="19">
        <f>SUM(AT2:AZ2)</f>
        <v/>
      </c>
      <c r="AB2" s="19">
        <f>SUM(AU2:AZ2)</f>
        <v/>
      </c>
      <c r="AC2" s="19">
        <f>SUM(AV2:AZ2)</f>
        <v/>
      </c>
      <c r="AD2" s="19">
        <f>SUM(AW2:AZ2)</f>
        <v/>
      </c>
      <c r="AE2" s="19">
        <f>SUM(AX2:AZ2)</f>
        <v/>
      </c>
      <c r="AF2" s="19">
        <f>SUM(AY2:AZ2)</f>
        <v/>
      </c>
      <c r="AG2" s="19">
        <f>SUM(AZ2:AZ2)</f>
        <v/>
      </c>
      <c r="AH2" s="21" t="n">
        <v>0</v>
      </c>
      <c r="AI2" s="21" t="n">
        <v>0</v>
      </c>
      <c r="AJ2" s="22"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3" t="inlineStr"/>
      <c r="AM2" s="23" t="inlineStr"/>
      <c r="AN2" s="24" t="n"/>
      <c r="AO2" s="19" t="n">
        <v>0</v>
      </c>
      <c r="AP2" s="19" t="n">
        <v>0</v>
      </c>
      <c r="AQ2" s="19" t="n">
        <v>0</v>
      </c>
      <c r="AR2" s="19" t="n">
        <v>0</v>
      </c>
      <c r="AS2" s="19" t="n">
        <v>0</v>
      </c>
      <c r="AT2" s="19" t="n">
        <v>0</v>
      </c>
      <c r="AU2" s="19" t="n">
        <v>0</v>
      </c>
      <c r="AV2" s="19" t="n">
        <v>0</v>
      </c>
      <c r="AW2" s="19" t="n">
        <v>0</v>
      </c>
      <c r="AX2" s="19" t="n">
        <v>0</v>
      </c>
      <c r="AY2" s="19" t="n">
        <v>66560.5</v>
      </c>
      <c r="AZ2" s="19" t="n">
        <v>0</v>
      </c>
      <c r="BA2" s="25" t="n">
        <v>32200.04</v>
      </c>
      <c r="BB2" s="20"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8" t="inlineStr">
        <is>
          <t>人工成本（成本１）</t>
        </is>
      </c>
      <c r="S3" s="19" t="n">
        <v>235685.1</v>
      </c>
      <c r="T3" s="19">
        <f>SUM(AO3:BC3)</f>
        <v/>
      </c>
      <c r="U3" s="20">
        <f>SUM(BA3:BC3)</f>
        <v/>
      </c>
      <c r="V3" s="19">
        <f>SUM(AO3:AZ3)</f>
        <v/>
      </c>
      <c r="W3" s="19">
        <f>SUM(AP3:AZ3)</f>
        <v/>
      </c>
      <c r="X3" s="19">
        <f>SUM(AQ3:AZ3)</f>
        <v/>
      </c>
      <c r="Y3" s="19">
        <f>SUM(AR3:AZ3)</f>
        <v/>
      </c>
      <c r="Z3" s="19">
        <f>SUM(AS3:AZ3)</f>
        <v/>
      </c>
      <c r="AA3" s="19">
        <f>SUM(AT3:AZ3)</f>
        <v/>
      </c>
      <c r="AB3" s="19">
        <f>SUM(AU3:AZ3)</f>
        <v/>
      </c>
      <c r="AC3" s="19">
        <f>SUM(AV3:AZ3)</f>
        <v/>
      </c>
      <c r="AD3" s="19">
        <f>SUM(AW3:AZ3)</f>
        <v/>
      </c>
      <c r="AE3" s="19">
        <f>SUM(AX3:AZ3)</f>
        <v/>
      </c>
      <c r="AF3" s="19">
        <f>SUM(AY3:AZ3)</f>
        <v/>
      </c>
      <c r="AG3" s="19">
        <f>SUM(AZ3:AZ3)</f>
        <v/>
      </c>
      <c r="AH3" s="21" t="n">
        <v>0</v>
      </c>
      <c r="AI3" s="21" t="n">
        <v>0</v>
      </c>
      <c r="AJ3" s="28" t="n"/>
      <c r="AK3" s="28" t="n"/>
      <c r="AL3" s="28" t="n"/>
      <c r="AM3" s="28" t="n"/>
      <c r="AN3" s="28" t="n"/>
      <c r="AO3" s="19" t="n">
        <v>0</v>
      </c>
      <c r="AP3" s="19" t="n">
        <v>0</v>
      </c>
      <c r="AQ3" s="19" t="n">
        <v>0</v>
      </c>
      <c r="AR3" s="19" t="n">
        <v>0</v>
      </c>
      <c r="AS3" s="19" t="n">
        <v>0</v>
      </c>
      <c r="AT3" s="19" t="n">
        <v>0</v>
      </c>
      <c r="AU3" s="19" t="n">
        <v>0</v>
      </c>
      <c r="AV3" s="19" t="n">
        <v>0</v>
      </c>
      <c r="AW3" s="19" t="n">
        <v>0</v>
      </c>
      <c r="AX3" s="19" t="n">
        <v>0</v>
      </c>
      <c r="AY3" s="19" t="n">
        <v>0</v>
      </c>
      <c r="AZ3" s="19" t="n">
        <v>20617.93</v>
      </c>
      <c r="BA3" s="25" t="n">
        <v>91878.25999999999</v>
      </c>
      <c r="BB3" s="20"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18" t="inlineStr">
        <is>
          <t>差旅费（成本３）</t>
        </is>
      </c>
      <c r="S4" s="19" t="n">
        <v>24000</v>
      </c>
      <c r="T4" s="19">
        <f>SUM(AO4:BC4)</f>
        <v/>
      </c>
      <c r="U4" s="20">
        <f>SUM(BA4:BC4)</f>
        <v/>
      </c>
      <c r="V4" s="19">
        <f>SUM(AO4:AZ4)</f>
        <v/>
      </c>
      <c r="W4" s="19">
        <f>SUM(AP4:AZ4)</f>
        <v/>
      </c>
      <c r="X4" s="19">
        <f>SUM(AQ4:AZ4)</f>
        <v/>
      </c>
      <c r="Y4" s="19">
        <f>SUM(AR4:AZ4)</f>
        <v/>
      </c>
      <c r="Z4" s="19">
        <f>SUM(AS4:AZ4)</f>
        <v/>
      </c>
      <c r="AA4" s="19">
        <f>SUM(AT4:AZ4)</f>
        <v/>
      </c>
      <c r="AB4" s="19">
        <f>SUM(AU4:AZ4)</f>
        <v/>
      </c>
      <c r="AC4" s="19">
        <f>SUM(AV4:AZ4)</f>
        <v/>
      </c>
      <c r="AD4" s="19">
        <f>SUM(AW4:AZ4)</f>
        <v/>
      </c>
      <c r="AE4" s="19">
        <f>SUM(AX4:AZ4)</f>
        <v/>
      </c>
      <c r="AF4" s="19">
        <f>SUM(AY4:AZ4)</f>
        <v/>
      </c>
      <c r="AG4" s="19">
        <f>SUM(AZ4:AZ4)</f>
        <v/>
      </c>
      <c r="AH4" s="21" t="n">
        <v>0</v>
      </c>
      <c r="AI4" s="21" t="n">
        <v>0</v>
      </c>
      <c r="AJ4" s="28" t="n"/>
      <c r="AK4" s="28" t="n"/>
      <c r="AL4" s="28" t="n"/>
      <c r="AM4" s="28" t="n"/>
      <c r="AN4" s="28" t="n"/>
      <c r="AO4" s="19" t="n">
        <v>0</v>
      </c>
      <c r="AP4" s="19" t="n">
        <v>0</v>
      </c>
      <c r="AQ4" s="19" t="n">
        <v>0</v>
      </c>
      <c r="AR4" s="19" t="n">
        <v>0</v>
      </c>
      <c r="AS4" s="19" t="n">
        <v>0</v>
      </c>
      <c r="AT4" s="19" t="n">
        <v>0</v>
      </c>
      <c r="AU4" s="19" t="n">
        <v>0</v>
      </c>
      <c r="AV4" s="19" t="n">
        <v>0</v>
      </c>
      <c r="AW4" s="19" t="n">
        <v>0</v>
      </c>
      <c r="AX4" s="19" t="n">
        <v>0</v>
      </c>
      <c r="AY4" s="19" t="n">
        <v>0</v>
      </c>
      <c r="AZ4" s="19" t="n">
        <v>0</v>
      </c>
      <c r="BA4" s="25" t="n">
        <v>306.5</v>
      </c>
      <c r="BB4" s="20" t="n">
        <v>0</v>
      </c>
      <c r="BC4" s="26" t="n">
        <v>5324.09</v>
      </c>
      <c r="BD4" s="27" t="inlineStr"/>
    </row>
    <row r="5">
      <c r="A5" s="28" t="n"/>
      <c r="B5" s="28" t="n"/>
      <c r="C5" s="28" t="n"/>
      <c r="D5" s="28" t="n"/>
      <c r="E5" s="28" t="n"/>
      <c r="F5" s="28" t="n"/>
      <c r="G5" s="28" t="n"/>
      <c r="H5" s="28" t="n"/>
      <c r="I5" s="28" t="n"/>
      <c r="J5" s="28" t="n"/>
      <c r="K5" s="28" t="n"/>
      <c r="L5" s="28" t="n"/>
      <c r="M5" s="28" t="n"/>
      <c r="N5" s="28" t="n"/>
      <c r="O5" s="28" t="n"/>
      <c r="P5" s="28" t="n"/>
      <c r="Q5" s="28" t="n"/>
      <c r="R5" s="18" t="inlineStr">
        <is>
          <t>其他成本（成本３）</t>
        </is>
      </c>
      <c r="S5" s="19" t="n">
        <v>6700</v>
      </c>
      <c r="T5" s="19">
        <f>SUM(AO5:BC5)</f>
        <v/>
      </c>
      <c r="U5" s="20">
        <f>SUM(BA5:BC5)</f>
        <v/>
      </c>
      <c r="V5" s="19">
        <f>SUM(AO5:AZ5)</f>
        <v/>
      </c>
      <c r="W5" s="19">
        <f>SUM(AP5:AZ5)</f>
        <v/>
      </c>
      <c r="X5" s="19">
        <f>SUM(AQ5:AZ5)</f>
        <v/>
      </c>
      <c r="Y5" s="19">
        <f>SUM(AR5:AZ5)</f>
        <v/>
      </c>
      <c r="Z5" s="19">
        <f>SUM(AS5:AZ5)</f>
        <v/>
      </c>
      <c r="AA5" s="19">
        <f>SUM(AT5:AZ5)</f>
        <v/>
      </c>
      <c r="AB5" s="19">
        <f>SUM(AU5:AZ5)</f>
        <v/>
      </c>
      <c r="AC5" s="19">
        <f>SUM(AV5:AZ5)</f>
        <v/>
      </c>
      <c r="AD5" s="19">
        <f>SUM(AW5:AZ5)</f>
        <v/>
      </c>
      <c r="AE5" s="19">
        <f>SUM(AX5:AZ5)</f>
        <v/>
      </c>
      <c r="AF5" s="19">
        <f>SUM(AY5:AZ5)</f>
        <v/>
      </c>
      <c r="AG5" s="19">
        <f>SUM(AZ5:AZ5)</f>
        <v/>
      </c>
      <c r="AH5" s="21" t="n">
        <v>0</v>
      </c>
      <c r="AI5" s="21" t="n">
        <v>0</v>
      </c>
      <c r="AJ5" s="28" t="n"/>
      <c r="AK5" s="28" t="n"/>
      <c r="AL5" s="28" t="n"/>
      <c r="AM5" s="28" t="n"/>
      <c r="AN5" s="28" t="n"/>
      <c r="AO5" s="19" t="n">
        <v>0</v>
      </c>
      <c r="AP5" s="19" t="n">
        <v>0</v>
      </c>
      <c r="AQ5" s="19" t="n">
        <v>0</v>
      </c>
      <c r="AR5" s="19" t="n">
        <v>0</v>
      </c>
      <c r="AS5" s="19" t="n">
        <v>0</v>
      </c>
      <c r="AT5" s="19" t="n">
        <v>0</v>
      </c>
      <c r="AU5" s="19" t="n">
        <v>0</v>
      </c>
      <c r="AV5" s="19" t="n">
        <v>0</v>
      </c>
      <c r="AW5" s="19" t="n">
        <v>0</v>
      </c>
      <c r="AX5" s="19" t="n">
        <v>0</v>
      </c>
      <c r="AY5" s="19" t="n">
        <v>-11.9</v>
      </c>
      <c r="AZ5" s="19" t="n">
        <v>-82.98999999999999</v>
      </c>
      <c r="BA5" s="25" t="n">
        <v>2153.11</v>
      </c>
      <c r="BB5" s="20" t="n">
        <v>336.02</v>
      </c>
      <c r="BC5" s="26" t="n">
        <v>34582.147</v>
      </c>
      <c r="BD5" s="27" t="inlineStr"/>
    </row>
    <row r="6">
      <c r="A6" s="28" t="n"/>
      <c r="B6" s="28" t="n"/>
      <c r="C6" s="28" t="n"/>
      <c r="D6" s="28" t="n"/>
      <c r="E6" s="28" t="n"/>
      <c r="F6" s="28" t="n"/>
      <c r="G6" s="28" t="n"/>
      <c r="H6" s="28" t="n"/>
      <c r="I6" s="28" t="n"/>
      <c r="J6" s="28" t="n"/>
      <c r="K6" s="28" t="n"/>
      <c r="L6" s="28" t="n"/>
      <c r="M6" s="28" t="n"/>
      <c r="N6" s="28" t="n"/>
      <c r="O6" s="28" t="n"/>
      <c r="P6" s="28" t="n"/>
      <c r="Q6" s="28" t="n"/>
      <c r="R6" s="29" t="inlineStr">
        <is>
          <t>累计成本</t>
        </is>
      </c>
      <c r="S6" s="30">
        <f>SUM(S3:S5)</f>
        <v/>
      </c>
      <c r="T6" s="30">
        <f>SUM(T3:T5)</f>
        <v/>
      </c>
      <c r="U6" s="31">
        <f>SUM(U3:U5)</f>
        <v/>
      </c>
      <c r="V6" s="30">
        <f>SUM(V3:V5)</f>
        <v/>
      </c>
      <c r="W6" s="30">
        <f>SUM(W3:W5)</f>
        <v/>
      </c>
      <c r="X6" s="30">
        <f>SUM(X3:X5)</f>
        <v/>
      </c>
      <c r="Y6" s="30">
        <f>SUM(Y3:Y5)</f>
        <v/>
      </c>
      <c r="Z6" s="30">
        <f>SUM(Z3:Z5)</f>
        <v/>
      </c>
      <c r="AA6" s="30">
        <f>SUM(AA3:AA5)</f>
        <v/>
      </c>
      <c r="AB6" s="30">
        <f>SUM(AB3:AB5)</f>
        <v/>
      </c>
      <c r="AC6" s="30">
        <f>SUM(AC3:AC5)</f>
        <v/>
      </c>
      <c r="AD6" s="30">
        <f>SUM(AD3:AD5)</f>
        <v/>
      </c>
      <c r="AE6" s="30">
        <f>SUM(AE3:AE5)</f>
        <v/>
      </c>
      <c r="AF6" s="30">
        <f>SUM(AF3:AF5)</f>
        <v/>
      </c>
      <c r="AG6" s="30">
        <f>SUM(AG3:AG5)</f>
        <v/>
      </c>
      <c r="AH6" s="30">
        <f>SUM(AH3:AH5)</f>
        <v/>
      </c>
      <c r="AI6" s="30">
        <f>SUM(AI3:AI5)</f>
        <v/>
      </c>
      <c r="AJ6" s="28" t="n"/>
      <c r="AK6" s="28" t="n"/>
      <c r="AL6" s="28" t="n"/>
      <c r="AM6" s="28" t="n"/>
      <c r="AN6" s="28" t="n"/>
      <c r="AO6" s="30">
        <f>SUM(AO3:AO5)</f>
        <v/>
      </c>
      <c r="AP6" s="30">
        <f>SUM(AP3:AP5)</f>
        <v/>
      </c>
      <c r="AQ6" s="30">
        <f>SUM(AQ3:AQ5)</f>
        <v/>
      </c>
      <c r="AR6" s="30">
        <f>SUM(AR3:AR5)</f>
        <v/>
      </c>
      <c r="AS6" s="30">
        <f>SUM(AS3:AS5)</f>
        <v/>
      </c>
      <c r="AT6" s="30">
        <f>SUM(AT3:AT5)</f>
        <v/>
      </c>
      <c r="AU6" s="30">
        <f>SUM(AU3:AU5)</f>
        <v/>
      </c>
      <c r="AV6" s="30">
        <f>SUM(AV3:AV5)</f>
        <v/>
      </c>
      <c r="AW6" s="30">
        <f>SUM(AW3:AW5)</f>
        <v/>
      </c>
      <c r="AX6" s="30">
        <f>SUM(AX3:AX5)</f>
        <v/>
      </c>
      <c r="AY6" s="30">
        <f>SUM(AY3:AY5)</f>
        <v/>
      </c>
      <c r="AZ6" s="30">
        <f>SUM(AZ3:AZ5)</f>
        <v/>
      </c>
      <c r="BA6" s="31">
        <f>SUM(BA3:BA5)</f>
        <v/>
      </c>
      <c r="BB6" s="31">
        <f>SUM(BB3:BB5)</f>
        <v/>
      </c>
      <c r="BC6" s="31">
        <f>SUM(BC3:BC5)</f>
        <v/>
      </c>
      <c r="BD6" s="32" t="inlineStr"/>
    </row>
    <row r="7">
      <c r="A7" s="28" t="n"/>
      <c r="B7" s="28" t="n"/>
      <c r="C7" s="28" t="n"/>
      <c r="D7" s="28" t="n"/>
      <c r="E7" s="28" t="n"/>
      <c r="F7" s="28" t="n"/>
      <c r="G7" s="28" t="n"/>
      <c r="H7" s="28" t="n"/>
      <c r="I7" s="28" t="n"/>
      <c r="J7" s="28" t="n"/>
      <c r="K7" s="28" t="n"/>
      <c r="L7" s="28" t="n"/>
      <c r="M7" s="28" t="n"/>
      <c r="N7" s="28" t="n"/>
      <c r="O7" s="28" t="n"/>
      <c r="P7" s="28" t="n"/>
      <c r="Q7" s="28" t="n"/>
      <c r="R7" s="18" t="inlineStr">
        <is>
          <t>GP1毛利</t>
        </is>
      </c>
      <c r="S7" s="19">
        <f>S2-S3</f>
        <v/>
      </c>
      <c r="T7" s="19">
        <f>T2-T3</f>
        <v/>
      </c>
      <c r="U7" s="20">
        <f>U2-U3</f>
        <v/>
      </c>
      <c r="V7" s="19">
        <f>V2-V3</f>
        <v/>
      </c>
      <c r="W7" s="19">
        <f>W2-W3</f>
        <v/>
      </c>
      <c r="X7" s="19">
        <f>X2-X3</f>
        <v/>
      </c>
      <c r="Y7" s="19">
        <f>Y2-Y3</f>
        <v/>
      </c>
      <c r="Z7" s="19">
        <f>Z2-Z3</f>
        <v/>
      </c>
      <c r="AA7" s="19">
        <f>AA2-AA3</f>
        <v/>
      </c>
      <c r="AB7" s="19">
        <f>AB2-AB3</f>
        <v/>
      </c>
      <c r="AC7" s="19">
        <f>AC2-AC3</f>
        <v/>
      </c>
      <c r="AD7" s="19">
        <f>AD2-AD3</f>
        <v/>
      </c>
      <c r="AE7" s="19">
        <f>AE2-AE3</f>
        <v/>
      </c>
      <c r="AF7" s="19">
        <f>AF2-AF3</f>
        <v/>
      </c>
      <c r="AG7" s="19">
        <f>AG2-AG3</f>
        <v/>
      </c>
      <c r="AH7" s="33" t="n">
        <v>0</v>
      </c>
      <c r="AI7" s="33" t="n">
        <v>0</v>
      </c>
      <c r="AJ7" s="28" t="n"/>
      <c r="AK7" s="28" t="n"/>
      <c r="AL7" s="28" t="n"/>
      <c r="AM7" s="28" t="n"/>
      <c r="AN7" s="28" t="n"/>
      <c r="AO7" s="19">
        <f>AO2-AO3</f>
        <v/>
      </c>
      <c r="AP7" s="19">
        <f>AP2-AP3</f>
        <v/>
      </c>
      <c r="AQ7" s="19">
        <f>AQ2-AQ3</f>
        <v/>
      </c>
      <c r="AR7" s="19">
        <f>AR2-AR3</f>
        <v/>
      </c>
      <c r="AS7" s="19">
        <f>AS2-AS3</f>
        <v/>
      </c>
      <c r="AT7" s="19">
        <f>AT2-AT3</f>
        <v/>
      </c>
      <c r="AU7" s="19">
        <f>AU2-AU3</f>
        <v/>
      </c>
      <c r="AV7" s="19">
        <f>AV2-AV3</f>
        <v/>
      </c>
      <c r="AW7" s="19">
        <f>AW2-AW3</f>
        <v/>
      </c>
      <c r="AX7" s="19">
        <f>AX2-AX3</f>
        <v/>
      </c>
      <c r="AY7" s="19">
        <f>AY2-AY3</f>
        <v/>
      </c>
      <c r="AZ7" s="19">
        <f>AZ2-AZ3</f>
        <v/>
      </c>
      <c r="BA7" s="25" t="n">
        <v>-59678.22</v>
      </c>
      <c r="BB7" s="31" t="n">
        <v>4420.81</v>
      </c>
      <c r="BC7" s="34">
        <f>BC2-BC3</f>
        <v/>
      </c>
      <c r="BD7" s="27" t="inlineStr"/>
    </row>
    <row r="8">
      <c r="A8" s="28" t="n"/>
      <c r="B8" s="28" t="n"/>
      <c r="C8" s="28" t="n"/>
      <c r="D8" s="28" t="n"/>
      <c r="E8" s="28" t="n"/>
      <c r="F8" s="28" t="n"/>
      <c r="G8" s="28" t="n"/>
      <c r="H8" s="28" t="n"/>
      <c r="I8" s="28" t="n"/>
      <c r="J8" s="28" t="n"/>
      <c r="K8" s="28" t="n"/>
      <c r="L8" s="28" t="n"/>
      <c r="M8" s="28" t="n"/>
      <c r="N8" s="28" t="n"/>
      <c r="O8" s="28" t="n"/>
      <c r="P8" s="28" t="n"/>
      <c r="Q8" s="28" t="n"/>
      <c r="R8" s="35" t="inlineStr">
        <is>
          <t>GP1毛利率(%)</t>
        </is>
      </c>
      <c r="S8" s="36">
        <f>S7/S2</f>
        <v/>
      </c>
      <c r="T8" s="36">
        <f>T7/T2</f>
        <v/>
      </c>
      <c r="U8" s="37">
        <f>U7/U2</f>
        <v/>
      </c>
      <c r="V8" s="36">
        <f>V7/V2</f>
        <v/>
      </c>
      <c r="W8" s="36">
        <f>W7/W2</f>
        <v/>
      </c>
      <c r="X8" s="36">
        <f>X7/X2</f>
        <v/>
      </c>
      <c r="Y8" s="36">
        <f>Y7/Y2</f>
        <v/>
      </c>
      <c r="Z8" s="36">
        <f>Z7/Z2</f>
        <v/>
      </c>
      <c r="AA8" s="36">
        <f>AA7/AA2</f>
        <v/>
      </c>
      <c r="AB8" s="36">
        <f>AB7/AB2</f>
        <v/>
      </c>
      <c r="AC8" s="36">
        <f>AC7/AC2</f>
        <v/>
      </c>
      <c r="AD8" s="36">
        <f>AD7/AD2</f>
        <v/>
      </c>
      <c r="AE8" s="36">
        <f>AE7/AE2</f>
        <v/>
      </c>
      <c r="AF8" s="36">
        <f>AF7/AF2</f>
        <v/>
      </c>
      <c r="AG8" s="36">
        <f>AG7/AG2</f>
        <v/>
      </c>
      <c r="AH8" s="38">
        <f>T8-S8</f>
        <v/>
      </c>
      <c r="AI8" s="38">
        <f>AF8-S8</f>
        <v/>
      </c>
      <c r="AJ8" s="28" t="n"/>
      <c r="AK8" s="28" t="n"/>
      <c r="AL8" s="28" t="n"/>
      <c r="AM8" s="28" t="n"/>
      <c r="AN8" s="28" t="n"/>
      <c r="AO8" s="36">
        <f>AO7/AO2</f>
        <v/>
      </c>
      <c r="AP8" s="36">
        <f>AP7/AP2</f>
        <v/>
      </c>
      <c r="AQ8" s="36">
        <f>AQ7/AQ2</f>
        <v/>
      </c>
      <c r="AR8" s="36">
        <f>AR7/AR2</f>
        <v/>
      </c>
      <c r="AS8" s="36">
        <f>AS7/AS2</f>
        <v/>
      </c>
      <c r="AT8" s="36">
        <f>AT7/AT2</f>
        <v/>
      </c>
      <c r="AU8" s="36">
        <f>AU7/AU2</f>
        <v/>
      </c>
      <c r="AV8" s="36">
        <f>AV7/AV2</f>
        <v/>
      </c>
      <c r="AW8" s="36">
        <f>AW7/AW2</f>
        <v/>
      </c>
      <c r="AX8" s="36">
        <f>AX7/AX2</f>
        <v/>
      </c>
      <c r="AY8" s="36">
        <f>AY7/AY2</f>
        <v/>
      </c>
      <c r="AZ8" s="36">
        <f>AZ7/AZ2</f>
        <v/>
      </c>
      <c r="BA8" s="37" t="n">
        <v>-1.85335856725644</v>
      </c>
      <c r="BB8" s="39" t="n">
        <v>0.626837630590878</v>
      </c>
      <c r="BC8" s="40">
        <f>BC7/BC2</f>
        <v/>
      </c>
      <c r="BD8" s="27" t="inlineStr"/>
    </row>
    <row r="9">
      <c r="A9" s="28" t="n"/>
      <c r="B9" s="28" t="n"/>
      <c r="C9" s="28" t="n"/>
      <c r="D9" s="28" t="n"/>
      <c r="E9" s="28" t="n"/>
      <c r="F9" s="28" t="n"/>
      <c r="G9" s="28" t="n"/>
      <c r="H9" s="28" t="n"/>
      <c r="I9" s="28" t="n"/>
      <c r="J9" s="28" t="n"/>
      <c r="K9" s="28" t="n"/>
      <c r="L9" s="28" t="n"/>
      <c r="M9" s="28" t="n"/>
      <c r="N9" s="28" t="n"/>
      <c r="O9" s="28" t="n"/>
      <c r="P9" s="28" t="n"/>
      <c r="Q9" s="28" t="n"/>
      <c r="R9" s="18" t="inlineStr">
        <is>
          <t>GP3毛利</t>
        </is>
      </c>
      <c r="S9" s="41">
        <f>S2-S3-S4-S5</f>
        <v/>
      </c>
      <c r="T9" s="19">
        <f>T2-T3-T4-T5</f>
        <v/>
      </c>
      <c r="U9" s="20">
        <f>U2-U3-U4-U5</f>
        <v/>
      </c>
      <c r="V9" s="19">
        <f>V2-V3-V4-V5</f>
        <v/>
      </c>
      <c r="W9" s="19">
        <f>W2-W3-W4-W5</f>
        <v/>
      </c>
      <c r="X9" s="19">
        <f>X2-X3-X4-X5</f>
        <v/>
      </c>
      <c r="Y9" s="19">
        <f>Y2-Y3-Y4-Y5</f>
        <v/>
      </c>
      <c r="Z9" s="19">
        <f>Z2-Z3-Z4-Z5</f>
        <v/>
      </c>
      <c r="AA9" s="19">
        <f>AA2-AA3-AA4-AA5</f>
        <v/>
      </c>
      <c r="AB9" s="19">
        <f>AB2-AB3-AB4-AB5</f>
        <v/>
      </c>
      <c r="AC9" s="19">
        <f>AC2-AC3-AC4-AC5</f>
        <v/>
      </c>
      <c r="AD9" s="19">
        <f>AD2-AD3-AD4-AD5</f>
        <v/>
      </c>
      <c r="AE9" s="19">
        <f>AE2-AE3-AE4-AE5</f>
        <v/>
      </c>
      <c r="AF9" s="19">
        <f>AF2-AF3-AF4-AF5</f>
        <v/>
      </c>
      <c r="AG9" s="19">
        <f>AG2-AG3-AG4-AG5</f>
        <v/>
      </c>
      <c r="AH9" s="38" t="n">
        <v>0</v>
      </c>
      <c r="AI9" s="38" t="n">
        <v>0</v>
      </c>
      <c r="AJ9" s="28" t="n"/>
      <c r="AK9" s="28" t="n"/>
      <c r="AL9" s="28" t="n"/>
      <c r="AM9" s="28" t="n"/>
      <c r="AN9" s="28" t="n"/>
      <c r="AO9" s="19">
        <f>AO2-AO3-AO4-AO5</f>
        <v/>
      </c>
      <c r="AP9" s="19">
        <f>AP2-AP3-AP4-AP5</f>
        <v/>
      </c>
      <c r="AQ9" s="19">
        <f>AQ2-AQ3-AQ4-AQ5</f>
        <v/>
      </c>
      <c r="AR9" s="19">
        <f>AR2-AR3-AR4-AR5</f>
        <v/>
      </c>
      <c r="AS9" s="19">
        <f>AS2-AS3-AS4-AS5</f>
        <v/>
      </c>
      <c r="AT9" s="19">
        <f>AT2-AT3-AT4-AT5</f>
        <v/>
      </c>
      <c r="AU9" s="19">
        <f>AU2-AU3-AU4-AU5</f>
        <v/>
      </c>
      <c r="AV9" s="19">
        <f>AV2-AV3-AV4-AV5</f>
        <v/>
      </c>
      <c r="AW9" s="19">
        <f>AW2-AW3-AW4-AW5</f>
        <v/>
      </c>
      <c r="AX9" s="19">
        <f>AX2-AX3-AX4-AX5</f>
        <v/>
      </c>
      <c r="AY9" s="19">
        <f>AY2-AY3-AY4-AY5</f>
        <v/>
      </c>
      <c r="AZ9" s="19">
        <f>AZ2-AZ3-AZ4-AZ5</f>
        <v/>
      </c>
      <c r="BA9" s="25" t="n">
        <v>-62137.83</v>
      </c>
      <c r="BB9" s="31" t="n">
        <v>4084.79</v>
      </c>
      <c r="BC9" s="34">
        <f>BC2-BC3-BC4-BC5</f>
        <v/>
      </c>
      <c r="BD9" s="27" t="inlineStr"/>
    </row>
    <row r="10">
      <c r="A10" s="42" t="n"/>
      <c r="B10" s="42" t="n"/>
      <c r="C10" s="42" t="n"/>
      <c r="D10" s="42" t="n"/>
      <c r="E10" s="42" t="n"/>
      <c r="F10" s="42" t="n"/>
      <c r="G10" s="42" t="n"/>
      <c r="H10" s="42" t="n"/>
      <c r="I10" s="42" t="n"/>
      <c r="J10" s="42" t="n"/>
      <c r="K10" s="42" t="n"/>
      <c r="L10" s="42" t="n"/>
      <c r="M10" s="42" t="n"/>
      <c r="N10" s="42" t="n"/>
      <c r="O10" s="42" t="n"/>
      <c r="P10" s="42" t="n"/>
      <c r="Q10" s="42" t="n"/>
      <c r="R10" s="35" t="inlineStr">
        <is>
          <t>GP3毛利率(%)</t>
        </is>
      </c>
      <c r="S10" s="36">
        <f>S9/S2</f>
        <v/>
      </c>
      <c r="T10" s="36">
        <f>T9/T2</f>
        <v/>
      </c>
      <c r="U10" s="37">
        <f>U9/U2</f>
        <v/>
      </c>
      <c r="V10" s="36">
        <f>V9/V2</f>
        <v/>
      </c>
      <c r="W10" s="36">
        <f>W9/W2</f>
        <v/>
      </c>
      <c r="X10" s="36">
        <f>X9/X2</f>
        <v/>
      </c>
      <c r="Y10" s="36">
        <f>Y9/Y2</f>
        <v/>
      </c>
      <c r="Z10" s="36">
        <f>Z9/Z2</f>
        <v/>
      </c>
      <c r="AA10" s="36">
        <f>AA9/AA2</f>
        <v/>
      </c>
      <c r="AB10" s="36">
        <f>AB9/AB2</f>
        <v/>
      </c>
      <c r="AC10" s="36">
        <f>AC9/AC2</f>
        <v/>
      </c>
      <c r="AD10" s="36">
        <f>AD9/AD2</f>
        <v/>
      </c>
      <c r="AE10" s="36">
        <f>AE9/AE2</f>
        <v/>
      </c>
      <c r="AF10" s="36">
        <f>AF9/AF2</f>
        <v/>
      </c>
      <c r="AG10" s="36">
        <f>AG9/AG2</f>
        <v/>
      </c>
      <c r="AH10" s="38">
        <f>T10-S10</f>
        <v/>
      </c>
      <c r="AI10" s="38">
        <f>AF10-S10</f>
        <v/>
      </c>
      <c r="AJ10" s="42" t="n"/>
      <c r="AK10" s="42" t="n"/>
      <c r="AL10" s="42" t="n"/>
      <c r="AM10" s="42" t="n"/>
      <c r="AN10" s="42" t="n"/>
      <c r="AO10" s="36">
        <f>AO9/AO2</f>
        <v/>
      </c>
      <c r="AP10" s="36">
        <f>AP9/AP2</f>
        <v/>
      </c>
      <c r="AQ10" s="36">
        <f>AQ9/AQ2</f>
        <v/>
      </c>
      <c r="AR10" s="36">
        <f>AR9/AR2</f>
        <v/>
      </c>
      <c r="AS10" s="36">
        <f>AS9/AS2</f>
        <v/>
      </c>
      <c r="AT10" s="36">
        <f>AT9/AT2</f>
        <v/>
      </c>
      <c r="AU10" s="36">
        <f>AU9/AU2</f>
        <v/>
      </c>
      <c r="AV10" s="36">
        <f>AV9/AV2</f>
        <v/>
      </c>
      <c r="AW10" s="36">
        <f>AW9/AW2</f>
        <v/>
      </c>
      <c r="AX10" s="36">
        <f>AX9/AX2</f>
        <v/>
      </c>
      <c r="AY10" s="36">
        <f>AY9/AY2</f>
        <v/>
      </c>
      <c r="AZ10" s="36">
        <f>AZ9/AZ2</f>
        <v/>
      </c>
      <c r="BA10" s="37" t="n">
        <v>-1.92974387609456</v>
      </c>
      <c r="BB10" s="39" t="n">
        <v>0.579192520162891</v>
      </c>
      <c r="BC10" s="40">
        <f>BC9/BC2</f>
        <v/>
      </c>
      <c r="BD10" s="27" t="inlineStr"/>
    </row>
    <row r="11">
      <c r="A11" s="43" t="inlineStr">
        <is>
          <t>P202504000428</t>
        </is>
      </c>
      <c r="B11" s="44" t="inlineStr">
        <is>
          <t>全国畜牧总站-2025年度畜牧业综合信息平台种畜禽运维项目-fp项目</t>
        </is>
      </c>
      <c r="C11" s="45" t="n">
        <v>45748</v>
      </c>
      <c r="D11" s="45" t="n">
        <v>46112</v>
      </c>
      <c r="E11" s="15" t="n"/>
      <c r="F11" s="15" t="n">
        <v>0</v>
      </c>
      <c r="G11" s="16" t="n"/>
      <c r="H11" s="46" t="n"/>
      <c r="I11" s="47" t="n"/>
      <c r="J11" s="47" t="n"/>
      <c r="K11" s="47" t="n"/>
      <c r="L11" s="17" t="n"/>
      <c r="M11" s="17" t="n"/>
      <c r="N11" s="17" t="n"/>
      <c r="O11" s="17" t="n"/>
      <c r="P11" s="17" t="n"/>
      <c r="Q11" s="17" t="inlineStr"/>
      <c r="R11" s="48" t="inlineStr">
        <is>
          <t>累计收入（NR）</t>
        </is>
      </c>
      <c r="S11" s="19" t="n">
        <v>150943.4</v>
      </c>
      <c r="T11" s="19">
        <f>SUM(AO11:BC11)</f>
        <v/>
      </c>
      <c r="U11" s="20">
        <f>SUM(BA11:BC11)</f>
        <v/>
      </c>
      <c r="V11" s="19">
        <f>SUM(AO11:AZ11)</f>
        <v/>
      </c>
      <c r="W11" s="19">
        <f>SUM(AP11:AZ11)</f>
        <v/>
      </c>
      <c r="X11" s="19">
        <f>SUM(AQ11:AZ11)</f>
        <v/>
      </c>
      <c r="Y11" s="19">
        <f>SUM(AR11:AZ11)</f>
        <v/>
      </c>
      <c r="Z11" s="19">
        <f>SUM(AS11:AZ11)</f>
        <v/>
      </c>
      <c r="AA11" s="19">
        <f>SUM(AT11:AZ11)</f>
        <v/>
      </c>
      <c r="AB11" s="19">
        <f>SUM(AU11:AZ11)</f>
        <v/>
      </c>
      <c r="AC11" s="19">
        <f>SUM(AV11:AZ11)</f>
        <v/>
      </c>
      <c r="AD11" s="19">
        <f>SUM(AW11:AZ11)</f>
        <v/>
      </c>
      <c r="AE11" s="19">
        <f>SUM(AX11:AZ11)</f>
        <v/>
      </c>
      <c r="AF11" s="19">
        <f>SUM(AY11:AZ11)</f>
        <v/>
      </c>
      <c r="AG11" s="19">
        <f>SUM(AZ11:AZ11)</f>
        <v/>
      </c>
      <c r="AH11" s="21" t="n">
        <v>0</v>
      </c>
      <c r="AI11" s="21" t="n">
        <v>0</v>
      </c>
      <c r="AJ11" s="49" t="inlineStr"/>
      <c r="AK11" s="49" t="inlineStr">
        <is>
          <t>周期性运维项目，系统每月自动计入收入，4~8月每月投入人力成本1.86万超出预算</t>
        </is>
      </c>
      <c r="AL11" s="49" t="inlineStr"/>
      <c r="AM11" s="49" t="inlineStr">
        <is>
          <t>11月投入0.48万成本降低</t>
        </is>
      </c>
      <c r="AN11" s="24" t="n"/>
      <c r="AO11" s="19" t="n">
        <v>0</v>
      </c>
      <c r="AP11" s="19" t="n">
        <v>0</v>
      </c>
      <c r="AQ11" s="19" t="n">
        <v>0</v>
      </c>
      <c r="AR11" s="19" t="n">
        <v>0</v>
      </c>
      <c r="AS11" s="19" t="n">
        <v>0</v>
      </c>
      <c r="AT11" s="19" t="n">
        <v>0</v>
      </c>
      <c r="AU11" s="19" t="n">
        <v>0</v>
      </c>
      <c r="AV11" s="19" t="n">
        <v>0</v>
      </c>
      <c r="AW11" s="19" t="n">
        <v>0</v>
      </c>
      <c r="AX11" s="19" t="n">
        <v>0</v>
      </c>
      <c r="AY11" s="19" t="n">
        <v>11579.17</v>
      </c>
      <c r="AZ11" s="19" t="n">
        <v>12819.77</v>
      </c>
      <c r="BA11" s="50" t="n">
        <v>112589.72</v>
      </c>
      <c r="BB11" s="20" t="n">
        <v>0</v>
      </c>
      <c r="BC11" s="51" t="n">
        <v>0</v>
      </c>
      <c r="BD11" s="27" t="inlineStr"/>
    </row>
    <row r="12">
      <c r="A12" s="28" t="n"/>
      <c r="B12" s="28" t="n"/>
      <c r="C12" s="28" t="n"/>
      <c r="D12" s="28" t="n"/>
      <c r="E12" s="28" t="n"/>
      <c r="F12" s="28" t="n"/>
      <c r="G12" s="28" t="n"/>
      <c r="H12" s="52" t="n"/>
      <c r="I12" s="52" t="n"/>
      <c r="J12" s="52" t="n"/>
      <c r="K12" s="52" t="n"/>
      <c r="L12" s="28" t="n"/>
      <c r="M12" s="28" t="n"/>
      <c r="N12" s="28" t="n"/>
      <c r="O12" s="28" t="n"/>
      <c r="P12" s="28" t="n"/>
      <c r="Q12" s="28" t="n"/>
      <c r="R12" s="29" t="inlineStr">
        <is>
          <t>人工成本（成本１）</t>
        </is>
      </c>
      <c r="S12" s="19" t="n">
        <v>123201.71</v>
      </c>
      <c r="T12" s="19">
        <f>SUM(AO12:BC12)</f>
        <v/>
      </c>
      <c r="U12" s="20">
        <f>SUM(BA12:BC12)</f>
        <v/>
      </c>
      <c r="V12" s="19">
        <f>SUM(AO12:AZ12)</f>
        <v/>
      </c>
      <c r="W12" s="19">
        <f>SUM(AP12:AZ12)</f>
        <v/>
      </c>
      <c r="X12" s="19">
        <f>SUM(AQ12:AZ12)</f>
        <v/>
      </c>
      <c r="Y12" s="19">
        <f>SUM(AR12:AZ12)</f>
        <v/>
      </c>
      <c r="Z12" s="19">
        <f>SUM(AS12:AZ12)</f>
        <v/>
      </c>
      <c r="AA12" s="19">
        <f>SUM(AT12:AZ12)</f>
        <v/>
      </c>
      <c r="AB12" s="19">
        <f>SUM(AU12:AZ12)</f>
        <v/>
      </c>
      <c r="AC12" s="19">
        <f>SUM(AV12:AZ12)</f>
        <v/>
      </c>
      <c r="AD12" s="19">
        <f>SUM(AW12:AZ12)</f>
        <v/>
      </c>
      <c r="AE12" s="19">
        <f>SUM(AX12:AZ12)</f>
        <v/>
      </c>
      <c r="AF12" s="19">
        <f>SUM(AY12:AZ12)</f>
        <v/>
      </c>
      <c r="AG12" s="19">
        <f>SUM(AZ12:AZ12)</f>
        <v/>
      </c>
      <c r="AH12" s="21" t="n">
        <v>0</v>
      </c>
      <c r="AI12" s="21" t="n">
        <v>0</v>
      </c>
      <c r="AJ12" s="28" t="n"/>
      <c r="AK12" s="28" t="n"/>
      <c r="AL12" s="28" t="n"/>
      <c r="AM12" s="28" t="n"/>
      <c r="AN12" s="28" t="n"/>
      <c r="AO12" s="19" t="n">
        <v>0</v>
      </c>
      <c r="AP12" s="19" t="n">
        <v>0</v>
      </c>
      <c r="AQ12" s="19" t="n">
        <v>0</v>
      </c>
      <c r="AR12" s="19" t="n">
        <v>0</v>
      </c>
      <c r="AS12" s="19" t="n">
        <v>0</v>
      </c>
      <c r="AT12" s="19" t="n">
        <v>0</v>
      </c>
      <c r="AU12" s="19" t="n">
        <v>0</v>
      </c>
      <c r="AV12" s="19" t="n">
        <v>0</v>
      </c>
      <c r="AW12" s="19" t="n">
        <v>0</v>
      </c>
      <c r="AX12" s="19" t="n">
        <v>0</v>
      </c>
      <c r="AY12" s="19" t="n">
        <v>0</v>
      </c>
      <c r="AZ12" s="19" t="n">
        <v>7039.31</v>
      </c>
      <c r="BA12" s="50" t="n">
        <v>112560.11</v>
      </c>
      <c r="BB12" s="20" t="n">
        <v>0</v>
      </c>
      <c r="BC12" s="51" t="n">
        <v>0</v>
      </c>
      <c r="BD12" s="27" t="inlineStr"/>
    </row>
    <row r="13">
      <c r="A13" s="28" t="n"/>
      <c r="B13" s="28" t="n"/>
      <c r="C13" s="28" t="n"/>
      <c r="D13" s="28" t="n"/>
      <c r="E13" s="28" t="n"/>
      <c r="F13" s="28" t="n"/>
      <c r="G13" s="28" t="n"/>
      <c r="H13" s="52" t="n"/>
      <c r="I13" s="52" t="n"/>
      <c r="J13" s="52" t="n"/>
      <c r="K13" s="52" t="n"/>
      <c r="L13" s="28" t="n"/>
      <c r="M13" s="28" t="n"/>
      <c r="N13" s="28" t="n"/>
      <c r="O13" s="28" t="n"/>
      <c r="P13" s="28" t="n"/>
      <c r="Q13" s="28" t="n"/>
      <c r="R13" s="29" t="inlineStr">
        <is>
          <t>差旅费（成本３）</t>
        </is>
      </c>
      <c r="S13" s="19" t="n">
        <v>0</v>
      </c>
      <c r="T13" s="19">
        <f>SUM(AO13:BC13)</f>
        <v/>
      </c>
      <c r="U13" s="20">
        <f>SUM(BA13:BC13)</f>
        <v/>
      </c>
      <c r="V13" s="19">
        <f>SUM(AO13:AZ13)</f>
        <v/>
      </c>
      <c r="W13" s="19">
        <f>SUM(AP13:AZ13)</f>
        <v/>
      </c>
      <c r="X13" s="19">
        <f>SUM(AQ13:AZ13)</f>
        <v/>
      </c>
      <c r="Y13" s="19">
        <f>SUM(AR13:AZ13)</f>
        <v/>
      </c>
      <c r="Z13" s="19">
        <f>SUM(AS13:AZ13)</f>
        <v/>
      </c>
      <c r="AA13" s="19">
        <f>SUM(AT13:AZ13)</f>
        <v/>
      </c>
      <c r="AB13" s="19">
        <f>SUM(AU13:AZ13)</f>
        <v/>
      </c>
      <c r="AC13" s="19">
        <f>SUM(AV13:AZ13)</f>
        <v/>
      </c>
      <c r="AD13" s="19">
        <f>SUM(AW13:AZ13)</f>
        <v/>
      </c>
      <c r="AE13" s="19">
        <f>SUM(AX13:AZ13)</f>
        <v/>
      </c>
      <c r="AF13" s="19">
        <f>SUM(AY13:AZ13)</f>
        <v/>
      </c>
      <c r="AG13" s="19">
        <f>SUM(AZ13:AZ13)</f>
        <v/>
      </c>
      <c r="AH13" s="21" t="n">
        <v>0</v>
      </c>
      <c r="AI13" s="21" t="n">
        <v>0</v>
      </c>
      <c r="AJ13" s="28" t="n"/>
      <c r="AK13" s="28" t="n"/>
      <c r="AL13" s="28" t="n"/>
      <c r="AM13" s="28" t="n"/>
      <c r="AN13" s="28" t="n"/>
      <c r="AO13" s="19" t="n">
        <v>0</v>
      </c>
      <c r="AP13" s="19" t="n">
        <v>0</v>
      </c>
      <c r="AQ13" s="19" t="n">
        <v>0</v>
      </c>
      <c r="AR13" s="19" t="n">
        <v>0</v>
      </c>
      <c r="AS13" s="19" t="n">
        <v>0</v>
      </c>
      <c r="AT13" s="19" t="n">
        <v>0</v>
      </c>
      <c r="AU13" s="19" t="n">
        <v>0</v>
      </c>
      <c r="AV13" s="19" t="n">
        <v>0</v>
      </c>
      <c r="AW13" s="19" t="n">
        <v>0</v>
      </c>
      <c r="AX13" s="19" t="n">
        <v>0</v>
      </c>
      <c r="AY13" s="19" t="n">
        <v>0</v>
      </c>
      <c r="AZ13" s="19" t="n">
        <v>0</v>
      </c>
      <c r="BA13" s="50" t="n">
        <v>0</v>
      </c>
      <c r="BB13" s="20" t="n">
        <v>0</v>
      </c>
      <c r="BC13" s="51" t="n">
        <v>0</v>
      </c>
      <c r="BD13" s="27" t="inlineStr"/>
    </row>
    <row r="14">
      <c r="A14" s="28" t="n"/>
      <c r="B14" s="28" t="n"/>
      <c r="C14" s="28" t="n"/>
      <c r="D14" s="28" t="n"/>
      <c r="E14" s="28" t="n"/>
      <c r="F14" s="28" t="n"/>
      <c r="G14" s="28" t="n"/>
      <c r="H14" s="52" t="n"/>
      <c r="I14" s="52" t="n"/>
      <c r="J14" s="52" t="n"/>
      <c r="K14" s="52" t="n"/>
      <c r="L14" s="28" t="n"/>
      <c r="M14" s="28" t="n"/>
      <c r="N14" s="28" t="n"/>
      <c r="O14" s="28" t="n"/>
      <c r="P14" s="28" t="n"/>
      <c r="Q14" s="28" t="n"/>
      <c r="R14" s="29" t="inlineStr">
        <is>
          <t>其他成本（成本３）</t>
        </is>
      </c>
      <c r="S14" s="19" t="n">
        <v>0</v>
      </c>
      <c r="T14" s="19">
        <f>SUM(AO14:BC14)</f>
        <v/>
      </c>
      <c r="U14" s="20">
        <f>SUM(BA14:BC14)</f>
        <v/>
      </c>
      <c r="V14" s="19">
        <f>SUM(AO14:AZ14)</f>
        <v/>
      </c>
      <c r="W14" s="19">
        <f>SUM(AP14:AZ14)</f>
        <v/>
      </c>
      <c r="X14" s="19">
        <f>SUM(AQ14:AZ14)</f>
        <v/>
      </c>
      <c r="Y14" s="19">
        <f>SUM(AR14:AZ14)</f>
        <v/>
      </c>
      <c r="Z14" s="19">
        <f>SUM(AS14:AZ14)</f>
        <v/>
      </c>
      <c r="AA14" s="19">
        <f>SUM(AT14:AZ14)</f>
        <v/>
      </c>
      <c r="AB14" s="19">
        <f>SUM(AU14:AZ14)</f>
        <v/>
      </c>
      <c r="AC14" s="19">
        <f>SUM(AV14:AZ14)</f>
        <v/>
      </c>
      <c r="AD14" s="19">
        <f>SUM(AW14:AZ14)</f>
        <v/>
      </c>
      <c r="AE14" s="19">
        <f>SUM(AX14:AZ14)</f>
        <v/>
      </c>
      <c r="AF14" s="19">
        <f>SUM(AY14:AZ14)</f>
        <v/>
      </c>
      <c r="AG14" s="19">
        <f>SUM(AZ14:AZ14)</f>
        <v/>
      </c>
      <c r="AH14" s="21" t="n">
        <v>0</v>
      </c>
      <c r="AI14" s="21" t="n">
        <v>0</v>
      </c>
      <c r="AJ14" s="28" t="n"/>
      <c r="AK14" s="28" t="n"/>
      <c r="AL14" s="28" t="n"/>
      <c r="AM14" s="28" t="n"/>
      <c r="AN14" s="28" t="n"/>
      <c r="AO14" s="19" t="n">
        <v>0</v>
      </c>
      <c r="AP14" s="19" t="n">
        <v>0</v>
      </c>
      <c r="AQ14" s="19" t="n">
        <v>0</v>
      </c>
      <c r="AR14" s="19" t="n">
        <v>0</v>
      </c>
      <c r="AS14" s="19" t="n">
        <v>0</v>
      </c>
      <c r="AT14" s="19" t="n">
        <v>0</v>
      </c>
      <c r="AU14" s="19" t="n">
        <v>0</v>
      </c>
      <c r="AV14" s="19" t="n">
        <v>0</v>
      </c>
      <c r="AW14" s="19" t="n">
        <v>0</v>
      </c>
      <c r="AX14" s="19" t="n">
        <v>0</v>
      </c>
      <c r="AY14" s="19" t="n">
        <v>-12.82</v>
      </c>
      <c r="AZ14" s="19" t="n">
        <v>-24.4</v>
      </c>
      <c r="BA14" s="50" t="n">
        <v>-790.7</v>
      </c>
      <c r="BB14" s="20" t="n">
        <v>0</v>
      </c>
      <c r="BC14" s="51" t="n">
        <v>0</v>
      </c>
      <c r="BD14" s="27" t="inlineStr"/>
    </row>
    <row r="15">
      <c r="A15" s="28" t="n"/>
      <c r="B15" s="28" t="n"/>
      <c r="C15" s="28" t="n"/>
      <c r="D15" s="28" t="n"/>
      <c r="E15" s="28" t="n"/>
      <c r="F15" s="28" t="n"/>
      <c r="G15" s="28" t="n"/>
      <c r="H15" s="52" t="n"/>
      <c r="I15" s="52" t="n"/>
      <c r="J15" s="52" t="n"/>
      <c r="K15" s="52" t="n"/>
      <c r="L15" s="28" t="n"/>
      <c r="M15" s="28" t="n"/>
      <c r="N15" s="28" t="n"/>
      <c r="O15" s="28" t="n"/>
      <c r="P15" s="28" t="n"/>
      <c r="Q15" s="28" t="n"/>
      <c r="R15" s="29" t="inlineStr">
        <is>
          <t>累计成本</t>
        </is>
      </c>
      <c r="S15" s="30">
        <f>SUM(S12:S14)</f>
        <v/>
      </c>
      <c r="T15" s="30">
        <f>SUM(T12:T14)</f>
        <v/>
      </c>
      <c r="U15" s="31">
        <f>SUM(U12:U14)</f>
        <v/>
      </c>
      <c r="V15" s="30">
        <f>SUM(V12:V14)</f>
        <v/>
      </c>
      <c r="W15" s="30">
        <f>SUM(W12:W14)</f>
        <v/>
      </c>
      <c r="X15" s="30">
        <f>SUM(X12:X14)</f>
        <v/>
      </c>
      <c r="Y15" s="30">
        <f>SUM(Y12:Y14)</f>
        <v/>
      </c>
      <c r="Z15" s="30">
        <f>SUM(Z12:Z14)</f>
        <v/>
      </c>
      <c r="AA15" s="30">
        <f>SUM(AA12:AA14)</f>
        <v/>
      </c>
      <c r="AB15" s="30">
        <f>SUM(AB12:AB14)</f>
        <v/>
      </c>
      <c r="AC15" s="30">
        <f>SUM(AC12:AC14)</f>
        <v/>
      </c>
      <c r="AD15" s="30">
        <f>SUM(AD12:AD14)</f>
        <v/>
      </c>
      <c r="AE15" s="30">
        <f>SUM(AE12:AE14)</f>
        <v/>
      </c>
      <c r="AF15" s="30">
        <f>SUM(AF12:AF14)</f>
        <v/>
      </c>
      <c r="AG15" s="30">
        <f>SUM(AG12:AG14)</f>
        <v/>
      </c>
      <c r="AH15" s="30">
        <f>SUM(AH12:AH14)</f>
        <v/>
      </c>
      <c r="AI15" s="30">
        <f>SUM(AI12:AI14)</f>
        <v/>
      </c>
      <c r="AJ15" s="28" t="n"/>
      <c r="AK15" s="28" t="n"/>
      <c r="AL15" s="28" t="n"/>
      <c r="AM15" s="28" t="n"/>
      <c r="AN15" s="28" t="n"/>
      <c r="AO15" s="30">
        <f>SUM(AO12:AO14)</f>
        <v/>
      </c>
      <c r="AP15" s="30">
        <f>SUM(AP12:AP14)</f>
        <v/>
      </c>
      <c r="AQ15" s="30">
        <f>SUM(AQ12:AQ14)</f>
        <v/>
      </c>
      <c r="AR15" s="30">
        <f>SUM(AR12:AR14)</f>
        <v/>
      </c>
      <c r="AS15" s="30">
        <f>SUM(AS12:AS14)</f>
        <v/>
      </c>
      <c r="AT15" s="30">
        <f>SUM(AT12:AT14)</f>
        <v/>
      </c>
      <c r="AU15" s="30">
        <f>SUM(AU12:AU14)</f>
        <v/>
      </c>
      <c r="AV15" s="30">
        <f>SUM(AV12:AV14)</f>
        <v/>
      </c>
      <c r="AW15" s="30">
        <f>SUM(AW12:AW14)</f>
        <v/>
      </c>
      <c r="AX15" s="30">
        <f>SUM(AX12:AX14)</f>
        <v/>
      </c>
      <c r="AY15" s="30">
        <f>SUM(AY12:AY14)</f>
        <v/>
      </c>
      <c r="AZ15" s="30">
        <f>SUM(AZ12:AZ14)</f>
        <v/>
      </c>
      <c r="BA15" s="53" t="n">
        <v>111769.41</v>
      </c>
      <c r="BB15" s="31">
        <f>SUM(BB12:BB14)</f>
        <v/>
      </c>
      <c r="BC15" s="54">
        <f>SUM(BC12:BC14)</f>
        <v/>
      </c>
      <c r="BD15" s="32" t="inlineStr"/>
    </row>
    <row r="16">
      <c r="A16" s="28" t="n"/>
      <c r="B16" s="28" t="n"/>
      <c r="C16" s="28" t="n"/>
      <c r="D16" s="28" t="n"/>
      <c r="E16" s="28" t="n"/>
      <c r="F16" s="28" t="n"/>
      <c r="G16" s="28" t="n"/>
      <c r="H16" s="52" t="n"/>
      <c r="I16" s="52" t="n"/>
      <c r="J16" s="52" t="n"/>
      <c r="K16" s="52" t="n"/>
      <c r="L16" s="28" t="n"/>
      <c r="M16" s="28" t="n"/>
      <c r="N16" s="28" t="n"/>
      <c r="O16" s="28" t="n"/>
      <c r="P16" s="28" t="n"/>
      <c r="Q16" s="28" t="n"/>
      <c r="R16" s="29" t="inlineStr">
        <is>
          <t>GP1毛利</t>
        </is>
      </c>
      <c r="S16" s="19">
        <f>S11-S12</f>
        <v/>
      </c>
      <c r="T16" s="19">
        <f>T11-T12</f>
        <v/>
      </c>
      <c r="U16" s="20">
        <f>U11-U12</f>
        <v/>
      </c>
      <c r="V16" s="19">
        <f>V11-V12</f>
        <v/>
      </c>
      <c r="W16" s="19">
        <f>W11-W12</f>
        <v/>
      </c>
      <c r="X16" s="19">
        <f>X11-X12</f>
        <v/>
      </c>
      <c r="Y16" s="19">
        <f>Y11-Y12</f>
        <v/>
      </c>
      <c r="Z16" s="19">
        <f>Z11-Z12</f>
        <v/>
      </c>
      <c r="AA16" s="19">
        <f>AA11-AA12</f>
        <v/>
      </c>
      <c r="AB16" s="19">
        <f>AB11-AB12</f>
        <v/>
      </c>
      <c r="AC16" s="19">
        <f>AC11-AC12</f>
        <v/>
      </c>
      <c r="AD16" s="19">
        <f>AD11-AD12</f>
        <v/>
      </c>
      <c r="AE16" s="19">
        <f>AE11-AE12</f>
        <v/>
      </c>
      <c r="AF16" s="19">
        <f>AF11-AF12</f>
        <v/>
      </c>
      <c r="AG16" s="19">
        <f>AG11-AG12</f>
        <v/>
      </c>
      <c r="AH16" s="33" t="n">
        <v>0</v>
      </c>
      <c r="AI16" s="33" t="n">
        <v>0</v>
      </c>
      <c r="AJ16" s="28" t="n"/>
      <c r="AK16" s="28" t="n"/>
      <c r="AL16" s="28" t="n"/>
      <c r="AM16" s="28" t="n"/>
      <c r="AN16" s="28" t="n"/>
      <c r="AO16" s="19">
        <f>AO11-AO12</f>
        <v/>
      </c>
      <c r="AP16" s="19">
        <f>AP11-AP12</f>
        <v/>
      </c>
      <c r="AQ16" s="19">
        <f>AQ11-AQ12</f>
        <v/>
      </c>
      <c r="AR16" s="19">
        <f>AR11-AR12</f>
        <v/>
      </c>
      <c r="AS16" s="19">
        <f>AS11-AS12</f>
        <v/>
      </c>
      <c r="AT16" s="19">
        <f>AT11-AT12</f>
        <v/>
      </c>
      <c r="AU16" s="19">
        <f>AU11-AU12</f>
        <v/>
      </c>
      <c r="AV16" s="19">
        <f>AV11-AV12</f>
        <v/>
      </c>
      <c r="AW16" s="19">
        <f>AW11-AW12</f>
        <v/>
      </c>
      <c r="AX16" s="19">
        <f>AX11-AX12</f>
        <v/>
      </c>
      <c r="AY16" s="19">
        <f>AY11-AY12</f>
        <v/>
      </c>
      <c r="AZ16" s="19">
        <f>AZ11-AZ12</f>
        <v/>
      </c>
      <c r="BA16" s="55" t="n">
        <v>29.609999999986</v>
      </c>
      <c r="BB16" s="31" t="n">
        <v>0</v>
      </c>
      <c r="BC16" s="51" t="n">
        <v>0</v>
      </c>
      <c r="BD16" s="27" t="inlineStr"/>
    </row>
    <row r="17">
      <c r="A17" s="28" t="n"/>
      <c r="B17" s="28" t="n"/>
      <c r="C17" s="28" t="n"/>
      <c r="D17" s="28" t="n"/>
      <c r="E17" s="28" t="n"/>
      <c r="F17" s="28" t="n"/>
      <c r="G17" s="28" t="n"/>
      <c r="H17" s="52" t="n"/>
      <c r="I17" s="52" t="n"/>
      <c r="J17" s="52" t="n"/>
      <c r="K17" s="52" t="n"/>
      <c r="L17" s="28" t="n"/>
      <c r="M17" s="28" t="n"/>
      <c r="N17" s="28" t="n"/>
      <c r="O17" s="28" t="n"/>
      <c r="P17" s="28" t="n"/>
      <c r="Q17" s="28" t="n"/>
      <c r="R17" s="35" t="inlineStr">
        <is>
          <t>GP1毛利率(%)</t>
        </is>
      </c>
      <c r="S17" s="36">
        <f>S16/S11</f>
        <v/>
      </c>
      <c r="T17" s="36">
        <f>T16/T11</f>
        <v/>
      </c>
      <c r="U17" s="37">
        <f>U16/U11</f>
        <v/>
      </c>
      <c r="V17" s="36">
        <f>V16/V11</f>
        <v/>
      </c>
      <c r="W17" s="36">
        <f>W16/W11</f>
        <v/>
      </c>
      <c r="X17" s="36">
        <f>X16/X11</f>
        <v/>
      </c>
      <c r="Y17" s="36">
        <f>Y16/Y11</f>
        <v/>
      </c>
      <c r="Z17" s="36">
        <f>Z16/Z11</f>
        <v/>
      </c>
      <c r="AA17" s="36">
        <f>AA16/AA11</f>
        <v/>
      </c>
      <c r="AB17" s="36">
        <f>AB16/AB11</f>
        <v/>
      </c>
      <c r="AC17" s="36">
        <f>AC16/AC11</f>
        <v/>
      </c>
      <c r="AD17" s="36">
        <f>AD16/AD11</f>
        <v/>
      </c>
      <c r="AE17" s="36">
        <f>AE16/AE11</f>
        <v/>
      </c>
      <c r="AF17" s="36">
        <f>AF16/AF11</f>
        <v/>
      </c>
      <c r="AG17" s="36">
        <f>AG16/AG11</f>
        <v/>
      </c>
      <c r="AH17" s="38">
        <f>T17-S17</f>
        <v/>
      </c>
      <c r="AI17" s="38">
        <f>AF17-S17</f>
        <v/>
      </c>
      <c r="AJ17" s="28" t="n"/>
      <c r="AK17" s="28" t="n"/>
      <c r="AL17" s="28" t="n"/>
      <c r="AM17" s="28" t="n"/>
      <c r="AN17" s="28" t="n"/>
      <c r="AO17" s="36">
        <f>AO16/AO11</f>
        <v/>
      </c>
      <c r="AP17" s="36">
        <f>AP16/AP11</f>
        <v/>
      </c>
      <c r="AQ17" s="36">
        <f>AQ16/AQ11</f>
        <v/>
      </c>
      <c r="AR17" s="36">
        <f>AR16/AR11</f>
        <v/>
      </c>
      <c r="AS17" s="36">
        <f>AS16/AS11</f>
        <v/>
      </c>
      <c r="AT17" s="36">
        <f>AT16/AT11</f>
        <v/>
      </c>
      <c r="AU17" s="36">
        <f>AU16/AU11</f>
        <v/>
      </c>
      <c r="AV17" s="36">
        <f>AV16/AV11</f>
        <v/>
      </c>
      <c r="AW17" s="36">
        <f>AW16/AW11</f>
        <v/>
      </c>
      <c r="AX17" s="36">
        <f>AX16/AX11</f>
        <v/>
      </c>
      <c r="AY17" s="36">
        <f>AY16/AY11</f>
        <v/>
      </c>
      <c r="AZ17" s="36">
        <f>AZ16/AZ11</f>
        <v/>
      </c>
      <c r="BA17" s="56" t="n">
        <v>0.000262990262343543</v>
      </c>
      <c r="BB17" s="39" t="n">
        <v>0</v>
      </c>
      <c r="BC17" s="51" t="n">
        <v>0</v>
      </c>
      <c r="BD17" s="27" t="inlineStr"/>
    </row>
    <row r="18">
      <c r="A18" s="28" t="n"/>
      <c r="B18" s="28" t="n"/>
      <c r="C18" s="28" t="n"/>
      <c r="D18" s="28" t="n"/>
      <c r="E18" s="28" t="n"/>
      <c r="F18" s="28" t="n"/>
      <c r="G18" s="28" t="n"/>
      <c r="H18" s="52" t="n"/>
      <c r="I18" s="52" t="n"/>
      <c r="J18" s="52" t="n"/>
      <c r="K18" s="52" t="n"/>
      <c r="L18" s="28" t="n"/>
      <c r="M18" s="28" t="n"/>
      <c r="N18" s="28" t="n"/>
      <c r="O18" s="28" t="n"/>
      <c r="P18" s="28" t="n"/>
      <c r="Q18" s="28" t="n"/>
      <c r="R18" s="29" t="inlineStr">
        <is>
          <t>GP3毛利</t>
        </is>
      </c>
      <c r="S18" s="19">
        <f>S11-S12-S13-S14</f>
        <v/>
      </c>
      <c r="T18" s="19">
        <f>T11-T12-T13-T14</f>
        <v/>
      </c>
      <c r="U18" s="20">
        <f>U11-U12-U13-U14</f>
        <v/>
      </c>
      <c r="V18" s="19">
        <f>V11-V12-V13-V14</f>
        <v/>
      </c>
      <c r="W18" s="19">
        <f>W11-W12-W13-W14</f>
        <v/>
      </c>
      <c r="X18" s="19">
        <f>X11-X12-X13-X14</f>
        <v/>
      </c>
      <c r="Y18" s="19">
        <f>Y11-Y12-Y13-Y14</f>
        <v/>
      </c>
      <c r="Z18" s="19">
        <f>Z11-Z12-Z13-Z14</f>
        <v/>
      </c>
      <c r="AA18" s="19">
        <f>AA11-AA12-AA13-AA14</f>
        <v/>
      </c>
      <c r="AB18" s="19">
        <f>AB11-AB12-AB13-AB14</f>
        <v/>
      </c>
      <c r="AC18" s="19">
        <f>AC11-AC12-AC13-AC14</f>
        <v/>
      </c>
      <c r="AD18" s="19">
        <f>AD11-AD12-AD13-AD14</f>
        <v/>
      </c>
      <c r="AE18" s="19">
        <f>AE11-AE12-AE13-AE14</f>
        <v/>
      </c>
      <c r="AF18" s="19">
        <f>AF11-AF12-AF13-AF14</f>
        <v/>
      </c>
      <c r="AG18" s="19">
        <f>AG11-AG12-AG13-AG14</f>
        <v/>
      </c>
      <c r="AH18" s="38" t="n">
        <v>0</v>
      </c>
      <c r="AI18" s="38" t="n">
        <v>0</v>
      </c>
      <c r="AJ18" s="28" t="n"/>
      <c r="AK18" s="28" t="n"/>
      <c r="AL18" s="28" t="n"/>
      <c r="AM18" s="28" t="n"/>
      <c r="AN18" s="28" t="n"/>
      <c r="AO18" s="19">
        <f>AO11-AO12-AO13-AO14</f>
        <v/>
      </c>
      <c r="AP18" s="19">
        <f>AP11-AP12-AP13-AP14</f>
        <v/>
      </c>
      <c r="AQ18" s="19">
        <f>AQ11-AQ12-AQ13-AQ14</f>
        <v/>
      </c>
      <c r="AR18" s="19">
        <f>AR11-AR12-AR13-AR14</f>
        <v/>
      </c>
      <c r="AS18" s="19">
        <f>AS11-AS12-AS13-AS14</f>
        <v/>
      </c>
      <c r="AT18" s="19">
        <f>AT11-AT12-AT13-AT14</f>
        <v/>
      </c>
      <c r="AU18" s="19">
        <f>AU11-AU12-AU13-AU14</f>
        <v/>
      </c>
      <c r="AV18" s="19">
        <f>AV11-AV12-AV13-AV14</f>
        <v/>
      </c>
      <c r="AW18" s="19">
        <f>AW11-AW12-AW13-AW14</f>
        <v/>
      </c>
      <c r="AX18" s="19">
        <f>AX11-AX12-AX13-AX14</f>
        <v/>
      </c>
      <c r="AY18" s="19">
        <f>AY11-AY12-AY13-AY14</f>
        <v/>
      </c>
      <c r="AZ18" s="19">
        <f>AZ11-AZ12-AZ13-AZ14</f>
        <v/>
      </c>
      <c r="BA18" s="57" t="n">
        <v>820.309999999986</v>
      </c>
      <c r="BB18" s="31" t="n">
        <v>0</v>
      </c>
      <c r="BC18" s="51" t="n">
        <v>0</v>
      </c>
      <c r="BD18" s="27" t="inlineStr"/>
    </row>
    <row r="19">
      <c r="A19" s="42" t="n"/>
      <c r="B19" s="42" t="n"/>
      <c r="C19" s="42" t="n"/>
      <c r="D19" s="42" t="n"/>
      <c r="E19" s="42" t="n"/>
      <c r="F19" s="42" t="n"/>
      <c r="G19" s="42" t="n"/>
      <c r="H19" s="58" t="n"/>
      <c r="I19" s="58" t="n"/>
      <c r="J19" s="58" t="n"/>
      <c r="K19" s="58" t="n"/>
      <c r="L19" s="42" t="n"/>
      <c r="M19" s="42" t="n"/>
      <c r="N19" s="42" t="n"/>
      <c r="O19" s="42" t="n"/>
      <c r="P19" s="42" t="n"/>
      <c r="Q19" s="42" t="n"/>
      <c r="R19" s="35" t="inlineStr">
        <is>
          <t>GP3毛利率(%)</t>
        </is>
      </c>
      <c r="S19" s="36">
        <f>S18/S11</f>
        <v/>
      </c>
      <c r="T19" s="36">
        <f>T18/T11</f>
        <v/>
      </c>
      <c r="U19" s="37">
        <f>U18/U11</f>
        <v/>
      </c>
      <c r="V19" s="36">
        <f>V18/V11</f>
        <v/>
      </c>
      <c r="W19" s="36">
        <f>W18/W11</f>
        <v/>
      </c>
      <c r="X19" s="36">
        <f>X18/X11</f>
        <v/>
      </c>
      <c r="Y19" s="36">
        <f>Y18/Y11</f>
        <v/>
      </c>
      <c r="Z19" s="36">
        <f>Z18/Z11</f>
        <v/>
      </c>
      <c r="AA19" s="36">
        <f>AA18/AA11</f>
        <v/>
      </c>
      <c r="AB19" s="36">
        <f>AB18/AB11</f>
        <v/>
      </c>
      <c r="AC19" s="36">
        <f>AC18/AC11</f>
        <v/>
      </c>
      <c r="AD19" s="36">
        <f>AD18/AD11</f>
        <v/>
      </c>
      <c r="AE19" s="36">
        <f>AE18/AE11</f>
        <v/>
      </c>
      <c r="AF19" s="36">
        <f>AF18/AF11</f>
        <v/>
      </c>
      <c r="AG19" s="36">
        <f>AG18/AG11</f>
        <v/>
      </c>
      <c r="AH19" s="38">
        <f>T19-S19</f>
        <v/>
      </c>
      <c r="AI19" s="38">
        <f>AF19-S19</f>
        <v/>
      </c>
      <c r="AJ19" s="42" t="n"/>
      <c r="AK19" s="42" t="n"/>
      <c r="AL19" s="42" t="n"/>
      <c r="AM19" s="42" t="n"/>
      <c r="AN19" s="42" t="n"/>
      <c r="AO19" s="36">
        <f>AO18/AO11</f>
        <v/>
      </c>
      <c r="AP19" s="36">
        <f>AP18/AP11</f>
        <v/>
      </c>
      <c r="AQ19" s="36">
        <f>AQ18/AQ11</f>
        <v/>
      </c>
      <c r="AR19" s="36">
        <f>AR18/AR11</f>
        <v/>
      </c>
      <c r="AS19" s="36">
        <f>AS18/AS11</f>
        <v/>
      </c>
      <c r="AT19" s="36">
        <f>AT18/AT11</f>
        <v/>
      </c>
      <c r="AU19" s="36">
        <f>AU18/AU11</f>
        <v/>
      </c>
      <c r="AV19" s="36">
        <f>AV18/AV11</f>
        <v/>
      </c>
      <c r="AW19" s="36">
        <f>AW18/AW11</f>
        <v/>
      </c>
      <c r="AX19" s="36">
        <f>AX18/AX11</f>
        <v/>
      </c>
      <c r="AY19" s="36">
        <f>AY18/AY11</f>
        <v/>
      </c>
      <c r="AZ19" s="36">
        <f>AZ18/AZ11</f>
        <v/>
      </c>
      <c r="BA19" s="56" t="n">
        <v>0.00728583391094663</v>
      </c>
      <c r="BB19" s="39" t="n">
        <v>0</v>
      </c>
      <c r="BC19" s="51" t="n">
        <v>0</v>
      </c>
      <c r="BD19" s="27" t="inlineStr"/>
    </row>
    <row r="20">
      <c r="A20" s="43" t="inlineStr">
        <is>
          <t>P202506000290</t>
        </is>
      </c>
      <c r="B20" s="44" t="inlineStr">
        <is>
          <t>中监所-2025年OA办公系统升级改造项目-研究生管理模块-FP项目</t>
        </is>
      </c>
      <c r="C20" s="45" t="n">
        <v>45807</v>
      </c>
      <c r="D20" s="45" t="n">
        <v>46275</v>
      </c>
      <c r="E20" s="15" t="n"/>
      <c r="F20" s="15" t="n">
        <v>0.8129999999999999</v>
      </c>
      <c r="G20" s="16" t="n"/>
      <c r="H20" s="44" t="n"/>
      <c r="I20" s="44" t="n"/>
      <c r="J20" s="17" t="n"/>
      <c r="K20" s="17" t="n"/>
      <c r="L20" s="17" t="n"/>
      <c r="M20" s="17" t="n"/>
      <c r="N20" s="17" t="n"/>
      <c r="O20" s="17" t="n"/>
      <c r="P20" s="17" t="n"/>
      <c r="Q20" s="17" t="inlineStr"/>
      <c r="R20" s="48" t="inlineStr">
        <is>
          <t>累计收入（NR）</t>
        </is>
      </c>
      <c r="S20" s="19" t="n">
        <v>181603.77</v>
      </c>
      <c r="T20" s="19">
        <f>SUM(AO20:BC20)</f>
        <v/>
      </c>
      <c r="U20" s="20">
        <f>SUM(BA20:BC20)</f>
        <v/>
      </c>
      <c r="V20" s="19">
        <f>SUM(AO20:AZ20)</f>
        <v/>
      </c>
      <c r="W20" s="19">
        <f>SUM(AP20:AZ20)</f>
        <v/>
      </c>
      <c r="X20" s="19">
        <f>SUM(AQ20:AZ20)</f>
        <v/>
      </c>
      <c r="Y20" s="19">
        <f>SUM(AR20:AZ20)</f>
        <v/>
      </c>
      <c r="Z20" s="19">
        <f>SUM(AS20:AZ20)</f>
        <v/>
      </c>
      <c r="AA20" s="19">
        <f>SUM(AT20:AZ20)</f>
        <v/>
      </c>
      <c r="AB20" s="19">
        <f>SUM(AU20:AZ20)</f>
        <v/>
      </c>
      <c r="AC20" s="19">
        <f>SUM(AV20:AZ20)</f>
        <v/>
      </c>
      <c r="AD20" s="19">
        <f>SUM(AW20:AZ20)</f>
        <v/>
      </c>
      <c r="AE20" s="19">
        <f>SUM(AX20:AZ20)</f>
        <v/>
      </c>
      <c r="AF20" s="19">
        <f>SUM(AY20:AZ20)</f>
        <v/>
      </c>
      <c r="AG20" s="19">
        <f>SUM(AZ20:AZ20)</f>
        <v/>
      </c>
      <c r="AH20" s="21" t="n">
        <v>0</v>
      </c>
      <c r="AI20" s="21" t="n">
        <v>0</v>
      </c>
      <c r="AJ20" s="49" t="inlineStr"/>
      <c r="AK20" s="16" t="inlineStr">
        <is>
          <t>固定投入1人，人力成本已超出预算</t>
        </is>
      </c>
      <c r="AL20" s="49" t="inlineStr">
        <is>
          <t>建议项目经理及时变更后续月份成本投入计划</t>
        </is>
      </c>
      <c r="AM20" s="49" t="inlineStr"/>
      <c r="AN20" s="59" t="n"/>
      <c r="AO20" s="19" t="n">
        <v>0</v>
      </c>
      <c r="AP20" s="19" t="n">
        <v>0</v>
      </c>
      <c r="AQ20" s="19" t="n">
        <v>0</v>
      </c>
      <c r="AR20" s="19" t="n">
        <v>0</v>
      </c>
      <c r="AS20" s="19" t="n">
        <v>0</v>
      </c>
      <c r="AT20" s="19" t="n">
        <v>0</v>
      </c>
      <c r="AU20" s="19" t="n">
        <v>0</v>
      </c>
      <c r="AV20" s="19" t="n">
        <v>0</v>
      </c>
      <c r="AW20" s="19" t="n">
        <v>0</v>
      </c>
      <c r="AX20" s="19" t="n">
        <v>0</v>
      </c>
      <c r="AY20" s="19" t="n">
        <v>36407.37</v>
      </c>
      <c r="AZ20" s="19" t="n">
        <v>3848.19</v>
      </c>
      <c r="BA20" s="57" t="n">
        <v>139982.95</v>
      </c>
      <c r="BB20" s="20" t="n">
        <v>0</v>
      </c>
      <c r="BC20" s="51" t="n">
        <v>0</v>
      </c>
      <c r="BD20" s="27" t="inlineStr"/>
    </row>
    <row r="21">
      <c r="A21" s="28" t="n"/>
      <c r="B21" s="28" t="n"/>
      <c r="C21" s="28" t="n"/>
      <c r="D21" s="28" t="n"/>
      <c r="E21" s="28" t="n"/>
      <c r="F21" s="28" t="n"/>
      <c r="G21" s="28" t="n"/>
      <c r="H21" s="28" t="n"/>
      <c r="I21" s="28" t="n"/>
      <c r="J21" s="28" t="n"/>
      <c r="K21" s="28" t="n"/>
      <c r="L21" s="28" t="n"/>
      <c r="M21" s="28" t="n"/>
      <c r="N21" s="28" t="n"/>
      <c r="O21" s="28" t="n"/>
      <c r="P21" s="28" t="n"/>
      <c r="Q21" s="28" t="n"/>
      <c r="R21" s="29" t="inlineStr">
        <is>
          <t>人工成本（成本１）</t>
        </is>
      </c>
      <c r="S21" s="19" t="n">
        <v>148783.99</v>
      </c>
      <c r="T21" s="19">
        <f>SUM(AO21:BC21)</f>
        <v/>
      </c>
      <c r="U21" s="20">
        <f>SUM(BA21:BC21)</f>
        <v/>
      </c>
      <c r="V21" s="19">
        <f>SUM(AO21:AZ21)</f>
        <v/>
      </c>
      <c r="W21" s="19">
        <f>SUM(AP21:AZ21)</f>
        <v/>
      </c>
      <c r="X21" s="19">
        <f>SUM(AQ21:AZ21)</f>
        <v/>
      </c>
      <c r="Y21" s="19">
        <f>SUM(AR21:AZ21)</f>
        <v/>
      </c>
      <c r="Z21" s="19">
        <f>SUM(AS21:AZ21)</f>
        <v/>
      </c>
      <c r="AA21" s="19">
        <f>SUM(AT21:AZ21)</f>
        <v/>
      </c>
      <c r="AB21" s="19">
        <f>SUM(AU21:AZ21)</f>
        <v/>
      </c>
      <c r="AC21" s="19">
        <f>SUM(AV21:AZ21)</f>
        <v/>
      </c>
      <c r="AD21" s="19">
        <f>SUM(AW21:AZ21)</f>
        <v/>
      </c>
      <c r="AE21" s="19">
        <f>SUM(AX21:AZ21)</f>
        <v/>
      </c>
      <c r="AF21" s="19">
        <f>SUM(AY21:AZ21)</f>
        <v/>
      </c>
      <c r="AG21" s="19">
        <f>SUM(AZ21:AZ21)</f>
        <v/>
      </c>
      <c r="AH21" s="21" t="n">
        <v>0</v>
      </c>
      <c r="AI21" s="21" t="n">
        <v>0</v>
      </c>
      <c r="AJ21" s="28" t="n"/>
      <c r="AK21" s="28" t="n"/>
      <c r="AL21" s="28" t="n"/>
      <c r="AM21" s="28" t="n"/>
      <c r="AN21" s="28" t="n"/>
      <c r="AO21" s="19" t="n">
        <v>0</v>
      </c>
      <c r="AP21" s="19" t="n">
        <v>0</v>
      </c>
      <c r="AQ21" s="19" t="n">
        <v>0</v>
      </c>
      <c r="AR21" s="19" t="n">
        <v>0</v>
      </c>
      <c r="AS21" s="19" t="n">
        <v>0</v>
      </c>
      <c r="AT21" s="19" t="n">
        <v>0</v>
      </c>
      <c r="AU21" s="19" t="n">
        <v>0</v>
      </c>
      <c r="AV21" s="19" t="n">
        <v>0</v>
      </c>
      <c r="AW21" s="19" t="n">
        <v>0</v>
      </c>
      <c r="AX21" s="19" t="n">
        <v>0</v>
      </c>
      <c r="AY21" s="19" t="n">
        <v>17923.23</v>
      </c>
      <c r="AZ21" s="19" t="n">
        <v>0</v>
      </c>
      <c r="BA21" s="57" t="n">
        <v>154415.59</v>
      </c>
      <c r="BB21" s="20" t="n">
        <v>0</v>
      </c>
      <c r="BC21" s="51" t="n">
        <v>0</v>
      </c>
      <c r="BD21" s="27" t="inlineStr"/>
    </row>
    <row r="22">
      <c r="A22" s="28" t="n"/>
      <c r="B22" s="28" t="n"/>
      <c r="C22" s="28" t="n"/>
      <c r="D22" s="28" t="n"/>
      <c r="E22" s="28" t="n"/>
      <c r="F22" s="28" t="n"/>
      <c r="G22" s="28" t="n"/>
      <c r="H22" s="28" t="n"/>
      <c r="I22" s="28" t="n"/>
      <c r="J22" s="28" t="n"/>
      <c r="K22" s="28" t="n"/>
      <c r="L22" s="28" t="n"/>
      <c r="M22" s="28" t="n"/>
      <c r="N22" s="28" t="n"/>
      <c r="O22" s="28" t="n"/>
      <c r="P22" s="28" t="n"/>
      <c r="Q22" s="28" t="n"/>
      <c r="R22" s="29" t="inlineStr">
        <is>
          <t>差旅费（成本３）</t>
        </is>
      </c>
      <c r="S22" s="19" t="n">
        <v>0</v>
      </c>
      <c r="T22" s="19">
        <f>SUM(AO22:BC22)</f>
        <v/>
      </c>
      <c r="U22" s="20">
        <f>SUM(BA22:BC22)</f>
        <v/>
      </c>
      <c r="V22" s="19">
        <f>SUM(AO22:AZ22)</f>
        <v/>
      </c>
      <c r="W22" s="19">
        <f>SUM(AP22:AZ22)</f>
        <v/>
      </c>
      <c r="X22" s="19">
        <f>SUM(AQ22:AZ22)</f>
        <v/>
      </c>
      <c r="Y22" s="19">
        <f>SUM(AR22:AZ22)</f>
        <v/>
      </c>
      <c r="Z22" s="19">
        <f>SUM(AS22:AZ22)</f>
        <v/>
      </c>
      <c r="AA22" s="19">
        <f>SUM(AT22:AZ22)</f>
        <v/>
      </c>
      <c r="AB22" s="19">
        <f>SUM(AU22:AZ22)</f>
        <v/>
      </c>
      <c r="AC22" s="19">
        <f>SUM(AV22:AZ22)</f>
        <v/>
      </c>
      <c r="AD22" s="19">
        <f>SUM(AW22:AZ22)</f>
        <v/>
      </c>
      <c r="AE22" s="19">
        <f>SUM(AX22:AZ22)</f>
        <v/>
      </c>
      <c r="AF22" s="19">
        <f>SUM(AY22:AZ22)</f>
        <v/>
      </c>
      <c r="AG22" s="19">
        <f>SUM(AZ22:AZ22)</f>
        <v/>
      </c>
      <c r="AH22" s="21" t="n">
        <v>0</v>
      </c>
      <c r="AI22" s="21" t="n">
        <v>0</v>
      </c>
      <c r="AJ22" s="28" t="n"/>
      <c r="AK22" s="28" t="n"/>
      <c r="AL22" s="28" t="n"/>
      <c r="AM22" s="28" t="n"/>
      <c r="AN22" s="28" t="n"/>
      <c r="AO22" s="19" t="n">
        <v>0</v>
      </c>
      <c r="AP22" s="19" t="n">
        <v>0</v>
      </c>
      <c r="AQ22" s="19" t="n">
        <v>0</v>
      </c>
      <c r="AR22" s="19" t="n">
        <v>0</v>
      </c>
      <c r="AS22" s="19" t="n">
        <v>0</v>
      </c>
      <c r="AT22" s="19" t="n">
        <v>0</v>
      </c>
      <c r="AU22" s="19" t="n">
        <v>0</v>
      </c>
      <c r="AV22" s="19" t="n">
        <v>0</v>
      </c>
      <c r="AW22" s="19" t="n">
        <v>0</v>
      </c>
      <c r="AX22" s="19" t="n">
        <v>0</v>
      </c>
      <c r="AY22" s="19" t="n">
        <v>0</v>
      </c>
      <c r="AZ22" s="19" t="n">
        <v>0</v>
      </c>
      <c r="BA22" s="57" t="n">
        <v>0</v>
      </c>
      <c r="BB22" s="20" t="n">
        <v>0</v>
      </c>
      <c r="BC22" s="51"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其他成本（成本３）</t>
        </is>
      </c>
      <c r="S23" s="19" t="n">
        <v>0</v>
      </c>
      <c r="T23" s="19">
        <f>SUM(AO23:BC23)</f>
        <v/>
      </c>
      <c r="U23" s="20">
        <f>SUM(BA23:BC23)</f>
        <v/>
      </c>
      <c r="V23" s="19">
        <f>SUM(AO23:AZ23)</f>
        <v/>
      </c>
      <c r="W23" s="19">
        <f>SUM(AP23:AZ23)</f>
        <v/>
      </c>
      <c r="X23" s="19">
        <f>SUM(AQ23:AZ23)</f>
        <v/>
      </c>
      <c r="Y23" s="19">
        <f>SUM(AR23:AZ23)</f>
        <v/>
      </c>
      <c r="Z23" s="19">
        <f>SUM(AS23:AZ23)</f>
        <v/>
      </c>
      <c r="AA23" s="19">
        <f>SUM(AT23:AZ23)</f>
        <v/>
      </c>
      <c r="AB23" s="19">
        <f>SUM(AU23:AZ23)</f>
        <v/>
      </c>
      <c r="AC23" s="19">
        <f>SUM(AV23:AZ23)</f>
        <v/>
      </c>
      <c r="AD23" s="19">
        <f>SUM(AW23:AZ23)</f>
        <v/>
      </c>
      <c r="AE23" s="19">
        <f>SUM(AX23:AZ23)</f>
        <v/>
      </c>
      <c r="AF23" s="19">
        <f>SUM(AY23:AZ23)</f>
        <v/>
      </c>
      <c r="AG23" s="19">
        <f>SUM(AZ23:AZ23)</f>
        <v/>
      </c>
      <c r="AH23" s="21" t="n">
        <v>0</v>
      </c>
      <c r="AI23" s="21" t="n">
        <v>0</v>
      </c>
      <c r="AJ23" s="28" t="n"/>
      <c r="AK23" s="28" t="n"/>
      <c r="AL23" s="28" t="n"/>
      <c r="AM23" s="28" t="n"/>
      <c r="AN23" s="28" t="n"/>
      <c r="AO23" s="19" t="n">
        <v>0</v>
      </c>
      <c r="AP23" s="19" t="n">
        <v>0</v>
      </c>
      <c r="AQ23" s="19" t="n">
        <v>0</v>
      </c>
      <c r="AR23" s="19" t="n">
        <v>0</v>
      </c>
      <c r="AS23" s="19" t="n">
        <v>0</v>
      </c>
      <c r="AT23" s="19" t="n">
        <v>0</v>
      </c>
      <c r="AU23" s="19" t="n">
        <v>0</v>
      </c>
      <c r="AV23" s="19" t="n">
        <v>0</v>
      </c>
      <c r="AW23" s="19" t="n">
        <v>0</v>
      </c>
      <c r="AX23" s="19" t="n">
        <v>0</v>
      </c>
      <c r="AY23" s="19" t="n">
        <v>0</v>
      </c>
      <c r="AZ23" s="19" t="n">
        <v>-36.41</v>
      </c>
      <c r="BA23" s="57" t="n">
        <v>-195.24</v>
      </c>
      <c r="BB23" s="20" t="n">
        <v>0</v>
      </c>
      <c r="BC23" s="51"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累计成本</t>
        </is>
      </c>
      <c r="S24" s="30">
        <f>SUM(S21:S23)</f>
        <v/>
      </c>
      <c r="T24" s="30">
        <f>SUM(T21:T23)</f>
        <v/>
      </c>
      <c r="U24" s="31">
        <f>SUM(U21:U23)</f>
        <v/>
      </c>
      <c r="V24" s="30">
        <f>SUM(V21:V23)</f>
        <v/>
      </c>
      <c r="W24" s="30">
        <f>SUM(W21:W23)</f>
        <v/>
      </c>
      <c r="X24" s="30">
        <f>SUM(X21:X23)</f>
        <v/>
      </c>
      <c r="Y24" s="30">
        <f>SUM(Y21:Y23)</f>
        <v/>
      </c>
      <c r="Z24" s="30">
        <f>SUM(Z21:Z23)</f>
        <v/>
      </c>
      <c r="AA24" s="30">
        <f>SUM(AA21:AA23)</f>
        <v/>
      </c>
      <c r="AB24" s="30">
        <f>SUM(AB21:AB23)</f>
        <v/>
      </c>
      <c r="AC24" s="30">
        <f>SUM(AC21:AC23)</f>
        <v/>
      </c>
      <c r="AD24" s="30">
        <f>SUM(AD21:AD23)</f>
        <v/>
      </c>
      <c r="AE24" s="30">
        <f>SUM(AE21:AE23)</f>
        <v/>
      </c>
      <c r="AF24" s="30">
        <f>SUM(AF21:AF23)</f>
        <v/>
      </c>
      <c r="AG24" s="30">
        <f>SUM(AG21:AG23)</f>
        <v/>
      </c>
      <c r="AH24" s="30">
        <f>SUM(AH21:AH23)</f>
        <v/>
      </c>
      <c r="AI24" s="30">
        <f>SUM(AI21:AI23)</f>
        <v/>
      </c>
      <c r="AJ24" s="28" t="n"/>
      <c r="AK24" s="28" t="n"/>
      <c r="AL24" s="28" t="n"/>
      <c r="AM24" s="28" t="n"/>
      <c r="AN24" s="28" t="n"/>
      <c r="AO24" s="30">
        <f>SUM(AO21:AO23)</f>
        <v/>
      </c>
      <c r="AP24" s="30">
        <f>SUM(AP21:AP23)</f>
        <v/>
      </c>
      <c r="AQ24" s="30">
        <f>SUM(AQ21:AQ23)</f>
        <v/>
      </c>
      <c r="AR24" s="30">
        <f>SUM(AR21:AR23)</f>
        <v/>
      </c>
      <c r="AS24" s="30">
        <f>SUM(AS21:AS23)</f>
        <v/>
      </c>
      <c r="AT24" s="30">
        <f>SUM(AT21:AT23)</f>
        <v/>
      </c>
      <c r="AU24" s="30">
        <f>SUM(AU21:AU23)</f>
        <v/>
      </c>
      <c r="AV24" s="30">
        <f>SUM(AV21:AV23)</f>
        <v/>
      </c>
      <c r="AW24" s="30">
        <f>SUM(AW21:AW23)</f>
        <v/>
      </c>
      <c r="AX24" s="30">
        <f>SUM(AX21:AX23)</f>
        <v/>
      </c>
      <c r="AY24" s="30">
        <f>SUM(AY21:AY23)</f>
        <v/>
      </c>
      <c r="AZ24" s="30">
        <f>SUM(AZ21:AZ23)</f>
        <v/>
      </c>
      <c r="BA24" s="53" t="n">
        <v>154220.35</v>
      </c>
      <c r="BB24" s="31">
        <f>SUM(BB21:BB23)</f>
        <v/>
      </c>
      <c r="BC24" s="54">
        <f>SUM(BC21:BC23)</f>
        <v/>
      </c>
      <c r="BD24" s="32"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GP1毛利</t>
        </is>
      </c>
      <c r="S25" s="19">
        <f>S20-S21</f>
        <v/>
      </c>
      <c r="T25" s="19">
        <f>T20-T21</f>
        <v/>
      </c>
      <c r="U25" s="20">
        <f>U20-U21</f>
        <v/>
      </c>
      <c r="V25" s="19">
        <f>V20-V21</f>
        <v/>
      </c>
      <c r="W25" s="19">
        <f>W20-W21</f>
        <v/>
      </c>
      <c r="X25" s="19">
        <f>X20-X21</f>
        <v/>
      </c>
      <c r="Y25" s="19">
        <f>Y20-Y21</f>
        <v/>
      </c>
      <c r="Z25" s="19">
        <f>Z20-Z21</f>
        <v/>
      </c>
      <c r="AA25" s="19">
        <f>AA20-AA21</f>
        <v/>
      </c>
      <c r="AB25" s="19">
        <f>AB20-AB21</f>
        <v/>
      </c>
      <c r="AC25" s="19">
        <f>AC20-AC21</f>
        <v/>
      </c>
      <c r="AD25" s="19">
        <f>AD20-AD21</f>
        <v/>
      </c>
      <c r="AE25" s="19">
        <f>AE20-AE21</f>
        <v/>
      </c>
      <c r="AF25" s="19">
        <f>AF20-AF21</f>
        <v/>
      </c>
      <c r="AG25" s="19">
        <f>AG20-AG21</f>
        <v/>
      </c>
      <c r="AH25" s="33" t="n">
        <v>0</v>
      </c>
      <c r="AI25" s="33" t="n">
        <v>0</v>
      </c>
      <c r="AJ25" s="28" t="n"/>
      <c r="AK25" s="28" t="n"/>
      <c r="AL25" s="28" t="n"/>
      <c r="AM25" s="28" t="n"/>
      <c r="AN25" s="28" t="n"/>
      <c r="AO25" s="19">
        <f>AO20-AO21</f>
        <v/>
      </c>
      <c r="AP25" s="19">
        <f>AP20-AP21</f>
        <v/>
      </c>
      <c r="AQ25" s="19">
        <f>AQ20-AQ21</f>
        <v/>
      </c>
      <c r="AR25" s="19">
        <f>AR20-AR21</f>
        <v/>
      </c>
      <c r="AS25" s="19">
        <f>AS20-AS21</f>
        <v/>
      </c>
      <c r="AT25" s="19">
        <f>AT20-AT21</f>
        <v/>
      </c>
      <c r="AU25" s="19">
        <f>AU20-AU21</f>
        <v/>
      </c>
      <c r="AV25" s="19">
        <f>AV20-AV21</f>
        <v/>
      </c>
      <c r="AW25" s="19">
        <f>AW20-AW21</f>
        <v/>
      </c>
      <c r="AX25" s="19">
        <f>AX20-AX21</f>
        <v/>
      </c>
      <c r="AY25" s="19">
        <f>AY20-AY21</f>
        <v/>
      </c>
      <c r="AZ25" s="19">
        <f>AZ20-AZ21</f>
        <v/>
      </c>
      <c r="BA25" s="57" t="n">
        <v>-14432.64</v>
      </c>
      <c r="BB25" s="31" t="n">
        <v>0</v>
      </c>
      <c r="BC25" s="51"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35" t="inlineStr">
        <is>
          <t>GP1毛利率(%)</t>
        </is>
      </c>
      <c r="S26" s="36">
        <f>S25/S20</f>
        <v/>
      </c>
      <c r="T26" s="36">
        <f>T25/T20</f>
        <v/>
      </c>
      <c r="U26" s="37">
        <f>U25/U20</f>
        <v/>
      </c>
      <c r="V26" s="36">
        <f>V25/V20</f>
        <v/>
      </c>
      <c r="W26" s="36">
        <f>W25/W20</f>
        <v/>
      </c>
      <c r="X26" s="36">
        <f>X25/X20</f>
        <v/>
      </c>
      <c r="Y26" s="36">
        <f>Y25/Y20</f>
        <v/>
      </c>
      <c r="Z26" s="36">
        <f>Z25/Z20</f>
        <v/>
      </c>
      <c r="AA26" s="36">
        <f>AA25/AA20</f>
        <v/>
      </c>
      <c r="AB26" s="36">
        <f>AB25/AB20</f>
        <v/>
      </c>
      <c r="AC26" s="36">
        <f>AC25/AC20</f>
        <v/>
      </c>
      <c r="AD26" s="36">
        <f>AD25/AD20</f>
        <v/>
      </c>
      <c r="AE26" s="36">
        <f>AE25/AE20</f>
        <v/>
      </c>
      <c r="AF26" s="36">
        <f>AF25/AF20</f>
        <v/>
      </c>
      <c r="AG26" s="36">
        <f>AG25/AG20</f>
        <v/>
      </c>
      <c r="AH26" s="38">
        <f>T26-S26</f>
        <v/>
      </c>
      <c r="AI26" s="38">
        <f>AF26-S26</f>
        <v/>
      </c>
      <c r="AJ26" s="28" t="n"/>
      <c r="AK26" s="28" t="n"/>
      <c r="AL26" s="28" t="n"/>
      <c r="AM26" s="28" t="n"/>
      <c r="AN26" s="28" t="n"/>
      <c r="AO26" s="36">
        <f>AO25/AO20</f>
        <v/>
      </c>
      <c r="AP26" s="36">
        <f>AP25/AP20</f>
        <v/>
      </c>
      <c r="AQ26" s="36">
        <f>AQ25/AQ20</f>
        <v/>
      </c>
      <c r="AR26" s="36">
        <f>AR25/AR20</f>
        <v/>
      </c>
      <c r="AS26" s="36">
        <f>AS25/AS20</f>
        <v/>
      </c>
      <c r="AT26" s="36">
        <f>AT25/AT20</f>
        <v/>
      </c>
      <c r="AU26" s="36">
        <f>AU25/AU20</f>
        <v/>
      </c>
      <c r="AV26" s="36">
        <f>AV25/AV20</f>
        <v/>
      </c>
      <c r="AW26" s="36">
        <f>AW25/AW20</f>
        <v/>
      </c>
      <c r="AX26" s="36">
        <f>AX25/AX20</f>
        <v/>
      </c>
      <c r="AY26" s="36">
        <f>AY25/AY20</f>
        <v/>
      </c>
      <c r="AZ26" s="36">
        <f>AZ25/AZ20</f>
        <v/>
      </c>
      <c r="BA26" s="56" t="n">
        <v>-0.103102842167564</v>
      </c>
      <c r="BB26" s="39" t="n">
        <v>0</v>
      </c>
      <c r="BC26" s="51"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GP3毛利</t>
        </is>
      </c>
      <c r="S27" s="19">
        <f>S20-S21-S22-S23</f>
        <v/>
      </c>
      <c r="T27" s="19">
        <f>T20-T21-T22-T23</f>
        <v/>
      </c>
      <c r="U27" s="20">
        <f>U20-U21-U22-U23</f>
        <v/>
      </c>
      <c r="V27" s="19">
        <f>V20-V21-V22-V23</f>
        <v/>
      </c>
      <c r="W27" s="19">
        <f>W20-W21-W22-W23</f>
        <v/>
      </c>
      <c r="X27" s="19">
        <f>X20-X21-X22-X23</f>
        <v/>
      </c>
      <c r="Y27" s="19">
        <f>Y20-Y21-Y22-Y23</f>
        <v/>
      </c>
      <c r="Z27" s="19">
        <f>Z20-Z21-Z22-Z23</f>
        <v/>
      </c>
      <c r="AA27" s="19">
        <f>AA20-AA21-AA22-AA23</f>
        <v/>
      </c>
      <c r="AB27" s="19">
        <f>AB20-AB21-AB22-AB23</f>
        <v/>
      </c>
      <c r="AC27" s="19">
        <f>AC20-AC21-AC22-AC23</f>
        <v/>
      </c>
      <c r="AD27" s="19">
        <f>AD20-AD21-AD22-AD23</f>
        <v/>
      </c>
      <c r="AE27" s="19">
        <f>AE20-AE21-AE22-AE23</f>
        <v/>
      </c>
      <c r="AF27" s="19">
        <f>AF20-AF21-AF22-AF23</f>
        <v/>
      </c>
      <c r="AG27" s="19">
        <f>AG20-AG21-AG22-AG23</f>
        <v/>
      </c>
      <c r="AH27" s="38" t="n">
        <v>0</v>
      </c>
      <c r="AI27" s="38" t="n">
        <v>0</v>
      </c>
      <c r="AJ27" s="28" t="n"/>
      <c r="AK27" s="28" t="n"/>
      <c r="AL27" s="28" t="n"/>
      <c r="AM27" s="28" t="n"/>
      <c r="AN27" s="28" t="n"/>
      <c r="AO27" s="19">
        <f>AO20-AO21-AO22-AO23</f>
        <v/>
      </c>
      <c r="AP27" s="19">
        <f>AP20-AP21-AP22-AP23</f>
        <v/>
      </c>
      <c r="AQ27" s="19">
        <f>AQ20-AQ21-AQ22-AQ23</f>
        <v/>
      </c>
      <c r="AR27" s="19">
        <f>AR20-AR21-AR22-AR23</f>
        <v/>
      </c>
      <c r="AS27" s="19">
        <f>AS20-AS21-AS22-AS23</f>
        <v/>
      </c>
      <c r="AT27" s="19">
        <f>AT20-AT21-AT22-AT23</f>
        <v/>
      </c>
      <c r="AU27" s="19">
        <f>AU20-AU21-AU22-AU23</f>
        <v/>
      </c>
      <c r="AV27" s="19">
        <f>AV20-AV21-AV22-AV23</f>
        <v/>
      </c>
      <c r="AW27" s="19">
        <f>AW20-AW21-AW22-AW23</f>
        <v/>
      </c>
      <c r="AX27" s="19">
        <f>AX20-AX21-AX22-AX23</f>
        <v/>
      </c>
      <c r="AY27" s="19">
        <f>AY20-AY21-AY22-AY23</f>
        <v/>
      </c>
      <c r="AZ27" s="19">
        <f>AZ20-AZ21-AZ22-AZ23</f>
        <v/>
      </c>
      <c r="BA27" s="57" t="n">
        <v>-14237.4</v>
      </c>
      <c r="BB27" s="31" t="n">
        <v>0</v>
      </c>
      <c r="BC27" s="51" t="n">
        <v>0</v>
      </c>
      <c r="BD27" s="27" t="inlineStr"/>
    </row>
    <row r="28">
      <c r="A28" s="42" t="n"/>
      <c r="B28" s="42" t="n"/>
      <c r="C28" s="42" t="n"/>
      <c r="D28" s="42" t="n"/>
      <c r="E28" s="42" t="n"/>
      <c r="F28" s="42" t="n"/>
      <c r="G28" s="42" t="n"/>
      <c r="H28" s="42" t="n"/>
      <c r="I28" s="42" t="n"/>
      <c r="J28" s="42" t="n"/>
      <c r="K28" s="42" t="n"/>
      <c r="L28" s="42" t="n"/>
      <c r="M28" s="42" t="n"/>
      <c r="N28" s="42" t="n"/>
      <c r="O28" s="42" t="n"/>
      <c r="P28" s="42" t="n"/>
      <c r="Q28" s="42" t="n"/>
      <c r="R28" s="35" t="inlineStr">
        <is>
          <t>GP3毛利率(%)</t>
        </is>
      </c>
      <c r="S28" s="36">
        <f>S27/S20</f>
        <v/>
      </c>
      <c r="T28" s="36">
        <f>T27/T20</f>
        <v/>
      </c>
      <c r="U28" s="37">
        <f>U27/U20</f>
        <v/>
      </c>
      <c r="V28" s="36">
        <f>V27/V20</f>
        <v/>
      </c>
      <c r="W28" s="36">
        <f>W27/W20</f>
        <v/>
      </c>
      <c r="X28" s="36">
        <f>X27/X20</f>
        <v/>
      </c>
      <c r="Y28" s="36">
        <f>Y27/Y20</f>
        <v/>
      </c>
      <c r="Z28" s="36">
        <f>Z27/Z20</f>
        <v/>
      </c>
      <c r="AA28" s="36">
        <f>AA27/AA20</f>
        <v/>
      </c>
      <c r="AB28" s="36">
        <f>AB27/AB20</f>
        <v/>
      </c>
      <c r="AC28" s="36">
        <f>AC27/AC20</f>
        <v/>
      </c>
      <c r="AD28" s="36">
        <f>AD27/AD20</f>
        <v/>
      </c>
      <c r="AE28" s="36">
        <f>AE27/AE20</f>
        <v/>
      </c>
      <c r="AF28" s="36">
        <f>AF27/AF20</f>
        <v/>
      </c>
      <c r="AG28" s="36">
        <f>AG27/AG20</f>
        <v/>
      </c>
      <c r="AH28" s="38">
        <f>T28-S28</f>
        <v/>
      </c>
      <c r="AI28" s="38">
        <f>AF28-S28</f>
        <v/>
      </c>
      <c r="AJ28" s="42" t="n"/>
      <c r="AK28" s="42" t="n"/>
      <c r="AL28" s="42" t="n"/>
      <c r="AM28" s="42" t="n"/>
      <c r="AN28" s="42" t="n"/>
      <c r="AO28" s="36">
        <f>AO27/AO20</f>
        <v/>
      </c>
      <c r="AP28" s="36">
        <f>AP27/AP20</f>
        <v/>
      </c>
      <c r="AQ28" s="36">
        <f>AQ27/AQ20</f>
        <v/>
      </c>
      <c r="AR28" s="36">
        <f>AR27/AR20</f>
        <v/>
      </c>
      <c r="AS28" s="36">
        <f>AS27/AS20</f>
        <v/>
      </c>
      <c r="AT28" s="36">
        <f>AT27/AT20</f>
        <v/>
      </c>
      <c r="AU28" s="36">
        <f>AU27/AU20</f>
        <v/>
      </c>
      <c r="AV28" s="36">
        <f>AV27/AV20</f>
        <v/>
      </c>
      <c r="AW28" s="36">
        <f>AW27/AW20</f>
        <v/>
      </c>
      <c r="AX28" s="36">
        <f>AX27/AX20</f>
        <v/>
      </c>
      <c r="AY28" s="36">
        <f>AY27/AY20</f>
        <v/>
      </c>
      <c r="AZ28" s="36">
        <f>AZ27/AZ20</f>
        <v/>
      </c>
      <c r="BA28" s="56" t="n">
        <v>-0.101708100879428</v>
      </c>
      <c r="BB28" s="39" t="n">
        <v>0</v>
      </c>
      <c r="BC28" s="51" t="n">
        <v>0</v>
      </c>
      <c r="BD28" s="27" t="inlineStr"/>
    </row>
    <row r="29">
      <c r="A29" s="43" t="inlineStr">
        <is>
          <t>P202507000656</t>
        </is>
      </c>
      <c r="B29" s="44" t="inlineStr">
        <is>
          <t>全国畜牧总站-畜牧核心数据查询APP开发-FP项目</t>
        </is>
      </c>
      <c r="C29" s="45" t="n">
        <v>45839</v>
      </c>
      <c r="D29" s="45" t="n">
        <v>46203</v>
      </c>
      <c r="E29" s="15" t="n"/>
      <c r="F29" s="15" t="n">
        <v>0</v>
      </c>
      <c r="G29" s="17" t="n"/>
      <c r="H29" s="17" t="n"/>
      <c r="I29" s="17" t="n"/>
      <c r="J29" s="17" t="n"/>
      <c r="K29" s="17" t="n"/>
      <c r="L29" s="17" t="n"/>
      <c r="M29" s="17" t="n"/>
      <c r="N29" s="17" t="n"/>
      <c r="O29" s="17" t="n"/>
      <c r="P29" s="17" t="n"/>
      <c r="Q29" s="17" t="inlineStr"/>
      <c r="R29" s="48" t="inlineStr">
        <is>
          <t>累计收入（NR）</t>
        </is>
      </c>
      <c r="S29" s="19" t="n">
        <v>188679.25</v>
      </c>
      <c r="T29" s="19">
        <f>SUM(AO29:BC29)</f>
        <v/>
      </c>
      <c r="U29" s="20">
        <f>SUM(BA29:BC29)</f>
        <v/>
      </c>
      <c r="V29" s="19">
        <f>SUM(AO29:AZ29)</f>
        <v/>
      </c>
      <c r="W29" s="19">
        <f>SUM(AP29:AZ29)</f>
        <v/>
      </c>
      <c r="X29" s="19">
        <f>SUM(AQ29:AZ29)</f>
        <v/>
      </c>
      <c r="Y29" s="19">
        <f>SUM(AR29:AZ29)</f>
        <v/>
      </c>
      <c r="Z29" s="19">
        <f>SUM(AS29:AZ29)</f>
        <v/>
      </c>
      <c r="AA29" s="19">
        <f>SUM(AT29:AZ29)</f>
        <v/>
      </c>
      <c r="AB29" s="19">
        <f>SUM(AU29:AZ29)</f>
        <v/>
      </c>
      <c r="AC29" s="19">
        <f>SUM(AV29:AZ29)</f>
        <v/>
      </c>
      <c r="AD29" s="19">
        <f>SUM(AW29:AZ29)</f>
        <v/>
      </c>
      <c r="AE29" s="19">
        <f>SUM(AX29:AZ29)</f>
        <v/>
      </c>
      <c r="AF29" s="19">
        <f>SUM(AY29:AZ29)</f>
        <v/>
      </c>
      <c r="AG29" s="19">
        <f>SUM(AZ29:AZ29)</f>
        <v/>
      </c>
      <c r="AH29" s="21" t="n">
        <v>0</v>
      </c>
      <c r="AI29" s="21" t="n">
        <v>0</v>
      </c>
      <c r="AJ29" s="44" t="inlineStr"/>
      <c r="AK29" s="49" t="inlineStr">
        <is>
          <t>项目已于12月中旬上线了并验收回款，后面不再投入。已投入成本超出预算2W，预计全周期GP3%毛利率7.55%</t>
        </is>
      </c>
      <c r="AL29" s="49" t="inlineStr">
        <is>
          <t>后续不再投入人力，随着交付进度提升毛利率</t>
        </is>
      </c>
      <c r="AM29" s="49" t="inlineStr"/>
      <c r="AN29" s="60" t="n"/>
      <c r="AO29" s="19" t="n">
        <v>0</v>
      </c>
      <c r="AP29" s="19" t="n">
        <v>0</v>
      </c>
      <c r="AQ29" s="19" t="n">
        <v>0</v>
      </c>
      <c r="AR29" s="19" t="n">
        <v>0</v>
      </c>
      <c r="AS29" s="19" t="n">
        <v>0</v>
      </c>
      <c r="AT29" s="19" t="n">
        <v>0</v>
      </c>
      <c r="AU29" s="19" t="n">
        <v>0</v>
      </c>
      <c r="AV29" s="19" t="n">
        <v>0</v>
      </c>
      <c r="AW29" s="19" t="n">
        <v>0</v>
      </c>
      <c r="AX29" s="19" t="n">
        <v>0</v>
      </c>
      <c r="AY29" s="19" t="n">
        <v>8055.28</v>
      </c>
      <c r="AZ29" s="19" t="n">
        <v>7201.51</v>
      </c>
      <c r="BA29" s="50" t="n">
        <v>127263.98</v>
      </c>
      <c r="BB29" s="20" t="n">
        <v>0</v>
      </c>
      <c r="BC29" s="6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人工成本（成本１）</t>
        </is>
      </c>
      <c r="S30" s="19" t="n">
        <v>154705.8</v>
      </c>
      <c r="T30" s="19">
        <f>SUM(AO30:BC30)</f>
        <v/>
      </c>
      <c r="U30" s="20">
        <f>SUM(BA30:BC30)</f>
        <v/>
      </c>
      <c r="V30" s="19">
        <f>SUM(AO30:AZ30)</f>
        <v/>
      </c>
      <c r="W30" s="19">
        <f>SUM(AP30:AZ30)</f>
        <v/>
      </c>
      <c r="X30" s="19">
        <f>SUM(AQ30:AZ30)</f>
        <v/>
      </c>
      <c r="Y30" s="19">
        <f>SUM(AR30:AZ30)</f>
        <v/>
      </c>
      <c r="Z30" s="19">
        <f>SUM(AS30:AZ30)</f>
        <v/>
      </c>
      <c r="AA30" s="19">
        <f>SUM(AT30:AZ30)</f>
        <v/>
      </c>
      <c r="AB30" s="19">
        <f>SUM(AU30:AZ30)</f>
        <v/>
      </c>
      <c r="AC30" s="19">
        <f>SUM(AV30:AZ30)</f>
        <v/>
      </c>
      <c r="AD30" s="19">
        <f>SUM(AW30:AZ30)</f>
        <v/>
      </c>
      <c r="AE30" s="19">
        <f>SUM(AX30:AZ30)</f>
        <v/>
      </c>
      <c r="AF30" s="19">
        <f>SUM(AY30:AZ30)</f>
        <v/>
      </c>
      <c r="AG30" s="19">
        <f>SUM(AZ30:AZ30)</f>
        <v/>
      </c>
      <c r="AH30" s="21" t="n">
        <v>0</v>
      </c>
      <c r="AI30" s="21" t="n">
        <v>0</v>
      </c>
      <c r="AJ30" s="28" t="n"/>
      <c r="AK30" s="28" t="n"/>
      <c r="AL30" s="28" t="n"/>
      <c r="AM30" s="28" t="n"/>
      <c r="AN30" s="28" t="n"/>
      <c r="AO30" s="19" t="n">
        <v>0</v>
      </c>
      <c r="AP30" s="19" t="n">
        <v>0</v>
      </c>
      <c r="AQ30" s="19" t="n">
        <v>0</v>
      </c>
      <c r="AR30" s="19" t="n">
        <v>0</v>
      </c>
      <c r="AS30" s="19" t="n">
        <v>0</v>
      </c>
      <c r="AT30" s="19" t="n">
        <v>0</v>
      </c>
      <c r="AU30" s="19" t="n">
        <v>0</v>
      </c>
      <c r="AV30" s="19" t="n">
        <v>0</v>
      </c>
      <c r="AW30" s="19" t="n">
        <v>0</v>
      </c>
      <c r="AX30" s="19" t="n">
        <v>0</v>
      </c>
      <c r="AY30" s="19" t="n">
        <v>0</v>
      </c>
      <c r="AZ30" s="19" t="n">
        <v>0</v>
      </c>
      <c r="BA30" s="50" t="n">
        <v>174002.79</v>
      </c>
      <c r="BB30" s="20" t="n">
        <v>0</v>
      </c>
      <c r="BC30" s="61" t="n">
        <v>0</v>
      </c>
      <c r="BD30" s="27" t="inlineStr"/>
    </row>
    <row r="31">
      <c r="A31" s="28" t="n"/>
      <c r="B31" s="28" t="n"/>
      <c r="C31" s="28" t="n"/>
      <c r="D31" s="28" t="n"/>
      <c r="E31" s="28" t="n"/>
      <c r="F31" s="28" t="n"/>
      <c r="G31" s="28" t="n"/>
      <c r="H31" s="28" t="n"/>
      <c r="I31" s="28" t="n"/>
      <c r="J31" s="28" t="n"/>
      <c r="K31" s="28" t="n"/>
      <c r="L31" s="28" t="n"/>
      <c r="M31" s="28" t="n"/>
      <c r="N31" s="28" t="n"/>
      <c r="O31" s="28" t="n"/>
      <c r="P31" s="28" t="n"/>
      <c r="Q31" s="28" t="n"/>
      <c r="R31" s="29" t="inlineStr">
        <is>
          <t>差旅费（成本３）</t>
        </is>
      </c>
      <c r="S31" s="19" t="n">
        <v>0</v>
      </c>
      <c r="T31" s="19">
        <f>SUM(AO31:BC31)</f>
        <v/>
      </c>
      <c r="U31" s="20">
        <f>SUM(BA31:BC31)</f>
        <v/>
      </c>
      <c r="V31" s="19">
        <f>SUM(AO31:AZ31)</f>
        <v/>
      </c>
      <c r="W31" s="19">
        <f>SUM(AP31:AZ31)</f>
        <v/>
      </c>
      <c r="X31" s="19">
        <f>SUM(AQ31:AZ31)</f>
        <v/>
      </c>
      <c r="Y31" s="19">
        <f>SUM(AR31:AZ31)</f>
        <v/>
      </c>
      <c r="Z31" s="19">
        <f>SUM(AS31:AZ31)</f>
        <v/>
      </c>
      <c r="AA31" s="19">
        <f>SUM(AT31:AZ31)</f>
        <v/>
      </c>
      <c r="AB31" s="19">
        <f>SUM(AU31:AZ31)</f>
        <v/>
      </c>
      <c r="AC31" s="19">
        <f>SUM(AV31:AZ31)</f>
        <v/>
      </c>
      <c r="AD31" s="19">
        <f>SUM(AW31:AZ31)</f>
        <v/>
      </c>
      <c r="AE31" s="19">
        <f>SUM(AX31:AZ31)</f>
        <v/>
      </c>
      <c r="AF31" s="19">
        <f>SUM(AY31:AZ31)</f>
        <v/>
      </c>
      <c r="AG31" s="19">
        <f>SUM(AZ31:AZ31)</f>
        <v/>
      </c>
      <c r="AH31" s="21" t="n">
        <v>0</v>
      </c>
      <c r="AI31" s="21" t="n">
        <v>0</v>
      </c>
      <c r="AJ31" s="28" t="n"/>
      <c r="AK31" s="28" t="n"/>
      <c r="AL31" s="28" t="n"/>
      <c r="AM31" s="28" t="n"/>
      <c r="AN31" s="28" t="n"/>
      <c r="AO31" s="19" t="n">
        <v>0</v>
      </c>
      <c r="AP31" s="19" t="n">
        <v>0</v>
      </c>
      <c r="AQ31" s="19" t="n">
        <v>0</v>
      </c>
      <c r="AR31" s="19" t="n">
        <v>0</v>
      </c>
      <c r="AS31" s="19" t="n">
        <v>0</v>
      </c>
      <c r="AT31" s="19" t="n">
        <v>0</v>
      </c>
      <c r="AU31" s="19" t="n">
        <v>0</v>
      </c>
      <c r="AV31" s="19" t="n">
        <v>0</v>
      </c>
      <c r="AW31" s="19" t="n">
        <v>0</v>
      </c>
      <c r="AX31" s="19" t="n">
        <v>0</v>
      </c>
      <c r="AY31" s="19" t="n">
        <v>0</v>
      </c>
      <c r="AZ31" s="19" t="n">
        <v>0</v>
      </c>
      <c r="BA31" s="50" t="n">
        <v>0</v>
      </c>
      <c r="BB31" s="20" t="n">
        <v>0</v>
      </c>
      <c r="BC31" s="61" t="n">
        <v>0</v>
      </c>
      <c r="BD31" s="27" t="inlineStr"/>
    </row>
    <row r="32">
      <c r="A32" s="28" t="n"/>
      <c r="B32" s="28" t="n"/>
      <c r="C32" s="28" t="n"/>
      <c r="D32" s="28" t="n"/>
      <c r="E32" s="28" t="n"/>
      <c r="F32" s="28" t="n"/>
      <c r="G32" s="28" t="n"/>
      <c r="H32" s="28" t="n"/>
      <c r="I32" s="28" t="n"/>
      <c r="J32" s="28" t="n"/>
      <c r="K32" s="28" t="n"/>
      <c r="L32" s="28" t="n"/>
      <c r="M32" s="28" t="n"/>
      <c r="N32" s="28" t="n"/>
      <c r="O32" s="28" t="n"/>
      <c r="P32" s="28" t="n"/>
      <c r="Q32" s="28" t="n"/>
      <c r="R32" s="29" t="inlineStr">
        <is>
          <t>其他成本（成本３）</t>
        </is>
      </c>
      <c r="S32" s="19" t="n">
        <v>0</v>
      </c>
      <c r="T32" s="19">
        <f>SUM(AO32:BC32)</f>
        <v/>
      </c>
      <c r="U32" s="20">
        <f>SUM(BA32:BC32)</f>
        <v/>
      </c>
      <c r="V32" s="19">
        <f>SUM(AO32:AZ32)</f>
        <v/>
      </c>
      <c r="W32" s="19">
        <f>SUM(AP32:AZ32)</f>
        <v/>
      </c>
      <c r="X32" s="19">
        <f>SUM(AQ32:AZ32)</f>
        <v/>
      </c>
      <c r="Y32" s="19">
        <f>SUM(AR32:AZ32)</f>
        <v/>
      </c>
      <c r="Z32" s="19">
        <f>SUM(AS32:AZ32)</f>
        <v/>
      </c>
      <c r="AA32" s="19">
        <f>SUM(AT32:AZ32)</f>
        <v/>
      </c>
      <c r="AB32" s="19">
        <f>SUM(AU32:AZ32)</f>
        <v/>
      </c>
      <c r="AC32" s="19">
        <f>SUM(AV32:AZ32)</f>
        <v/>
      </c>
      <c r="AD32" s="19">
        <f>SUM(AW32:AZ32)</f>
        <v/>
      </c>
      <c r="AE32" s="19">
        <f>SUM(AX32:AZ32)</f>
        <v/>
      </c>
      <c r="AF32" s="19">
        <f>SUM(AY32:AZ32)</f>
        <v/>
      </c>
      <c r="AG32" s="19">
        <f>SUM(AZ32:AZ32)</f>
        <v/>
      </c>
      <c r="AH32" s="21" t="n">
        <v>0</v>
      </c>
      <c r="AI32" s="21" t="n">
        <v>0</v>
      </c>
      <c r="AJ32" s="28" t="n"/>
      <c r="AK32" s="28" t="n"/>
      <c r="AL32" s="28" t="n"/>
      <c r="AM32" s="28" t="n"/>
      <c r="AN32" s="28" t="n"/>
      <c r="AO32" s="19" t="n">
        <v>0</v>
      </c>
      <c r="AP32" s="19" t="n">
        <v>0</v>
      </c>
      <c r="AQ32" s="19" t="n">
        <v>0</v>
      </c>
      <c r="AR32" s="19" t="n">
        <v>0</v>
      </c>
      <c r="AS32" s="19" t="n">
        <v>0</v>
      </c>
      <c r="AT32" s="19" t="n">
        <v>0</v>
      </c>
      <c r="AU32" s="19" t="n">
        <v>0</v>
      </c>
      <c r="AV32" s="19" t="n">
        <v>0</v>
      </c>
      <c r="AW32" s="19" t="n">
        <v>0</v>
      </c>
      <c r="AX32" s="19" t="n">
        <v>0</v>
      </c>
      <c r="AY32" s="19" t="n">
        <v>-44.74</v>
      </c>
      <c r="AZ32" s="19" t="n">
        <v>-52.8</v>
      </c>
      <c r="BA32" s="50" t="n">
        <v>374.87</v>
      </c>
      <c r="BB32" s="20" t="n">
        <v>0</v>
      </c>
      <c r="BC32" s="6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累计成本</t>
        </is>
      </c>
      <c r="S33" s="30">
        <f>SUM(S30:S32)</f>
        <v/>
      </c>
      <c r="T33" s="30">
        <f>SUM(T30:T32)</f>
        <v/>
      </c>
      <c r="U33" s="31">
        <f>SUM(U30:U32)</f>
        <v/>
      </c>
      <c r="V33" s="30">
        <f>SUM(V30:V32)</f>
        <v/>
      </c>
      <c r="W33" s="30">
        <f>SUM(W30:W32)</f>
        <v/>
      </c>
      <c r="X33" s="30">
        <f>SUM(X30:X32)</f>
        <v/>
      </c>
      <c r="Y33" s="30">
        <f>SUM(Y30:Y32)</f>
        <v/>
      </c>
      <c r="Z33" s="30">
        <f>SUM(Z30:Z32)</f>
        <v/>
      </c>
      <c r="AA33" s="30">
        <f>SUM(AA30:AA32)</f>
        <v/>
      </c>
      <c r="AB33" s="30">
        <f>SUM(AB30:AB32)</f>
        <v/>
      </c>
      <c r="AC33" s="30">
        <f>SUM(AC30:AC32)</f>
        <v/>
      </c>
      <c r="AD33" s="30">
        <f>SUM(AD30:AD32)</f>
        <v/>
      </c>
      <c r="AE33" s="30">
        <f>SUM(AE30:AE32)</f>
        <v/>
      </c>
      <c r="AF33" s="30">
        <f>SUM(AF30:AF32)</f>
        <v/>
      </c>
      <c r="AG33" s="30">
        <f>SUM(AG30:AG32)</f>
        <v/>
      </c>
      <c r="AH33" s="30">
        <f>SUM(AH30:AH32)</f>
        <v/>
      </c>
      <c r="AI33" s="30">
        <f>SUM(AI30:AI32)</f>
        <v/>
      </c>
      <c r="AJ33" s="28" t="n"/>
      <c r="AK33" s="28" t="n"/>
      <c r="AL33" s="28" t="n"/>
      <c r="AM33" s="28" t="n"/>
      <c r="AN33" s="28" t="n"/>
      <c r="AO33" s="30">
        <f>SUM(AO30:AO32)</f>
        <v/>
      </c>
      <c r="AP33" s="30">
        <f>SUM(AP30:AP32)</f>
        <v/>
      </c>
      <c r="AQ33" s="30">
        <f>SUM(AQ30:AQ32)</f>
        <v/>
      </c>
      <c r="AR33" s="30">
        <f>SUM(AR30:AR32)</f>
        <v/>
      </c>
      <c r="AS33" s="30">
        <f>SUM(AS30:AS32)</f>
        <v/>
      </c>
      <c r="AT33" s="30">
        <f>SUM(AT30:AT32)</f>
        <v/>
      </c>
      <c r="AU33" s="30">
        <f>SUM(AU30:AU32)</f>
        <v/>
      </c>
      <c r="AV33" s="30">
        <f>SUM(AV30:AV32)</f>
        <v/>
      </c>
      <c r="AW33" s="30">
        <f>SUM(AW30:AW32)</f>
        <v/>
      </c>
      <c r="AX33" s="30">
        <f>SUM(AX30:AX32)</f>
        <v/>
      </c>
      <c r="AY33" s="30">
        <f>SUM(AY30:AY32)</f>
        <v/>
      </c>
      <c r="AZ33" s="30">
        <f>SUM(AZ30:AZ32)</f>
        <v/>
      </c>
      <c r="BA33" s="53" t="n">
        <v>174377.66</v>
      </c>
      <c r="BB33" s="31">
        <f>SUM(BB30:BB32)</f>
        <v/>
      </c>
      <c r="BC33" s="54">
        <f>SUM(BC30:BC32)</f>
        <v/>
      </c>
      <c r="BD33" s="32"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GP1毛利</t>
        </is>
      </c>
      <c r="S34" s="30">
        <f>S29-S30</f>
        <v/>
      </c>
      <c r="T34" s="19">
        <f>T29-T30</f>
        <v/>
      </c>
      <c r="U34" s="20">
        <f>U29-U30</f>
        <v/>
      </c>
      <c r="V34" s="19">
        <f>V29-V30</f>
        <v/>
      </c>
      <c r="W34" s="19">
        <f>W29-W30</f>
        <v/>
      </c>
      <c r="X34" s="19">
        <f>X29-X30</f>
        <v/>
      </c>
      <c r="Y34" s="19">
        <f>Y29-Y30</f>
        <v/>
      </c>
      <c r="Z34" s="19">
        <f>Z29-Z30</f>
        <v/>
      </c>
      <c r="AA34" s="19">
        <f>AA29-AA30</f>
        <v/>
      </c>
      <c r="AB34" s="19">
        <f>AB29-AB30</f>
        <v/>
      </c>
      <c r="AC34" s="19">
        <f>AC29-AC30</f>
        <v/>
      </c>
      <c r="AD34" s="19">
        <f>AD29-AD30</f>
        <v/>
      </c>
      <c r="AE34" s="19">
        <f>AE29-AE30</f>
        <v/>
      </c>
      <c r="AF34" s="19">
        <f>AF29-AF30</f>
        <v/>
      </c>
      <c r="AG34" s="19">
        <f>AG29-AG30</f>
        <v/>
      </c>
      <c r="AH34" s="33" t="n">
        <v>0</v>
      </c>
      <c r="AI34" s="33" t="n">
        <v>0</v>
      </c>
      <c r="AJ34" s="28" t="n"/>
      <c r="AK34" s="28" t="n"/>
      <c r="AL34" s="28" t="n"/>
      <c r="AM34" s="28" t="n"/>
      <c r="AN34" s="28" t="n"/>
      <c r="AO34" s="19">
        <f>AO29-AO30</f>
        <v/>
      </c>
      <c r="AP34" s="19">
        <f>AP29-AP30</f>
        <v/>
      </c>
      <c r="AQ34" s="19">
        <f>AQ29-AQ30</f>
        <v/>
      </c>
      <c r="AR34" s="19">
        <f>AR29-AR30</f>
        <v/>
      </c>
      <c r="AS34" s="19">
        <f>AS29-AS30</f>
        <v/>
      </c>
      <c r="AT34" s="19">
        <f>AT29-AT30</f>
        <v/>
      </c>
      <c r="AU34" s="19">
        <f>AU29-AU30</f>
        <v/>
      </c>
      <c r="AV34" s="19">
        <f>AV29-AV30</f>
        <v/>
      </c>
      <c r="AW34" s="19">
        <f>AW29-AW30</f>
        <v/>
      </c>
      <c r="AX34" s="19">
        <f>AX29-AX30</f>
        <v/>
      </c>
      <c r="AY34" s="19">
        <f>AY29-AY30</f>
        <v/>
      </c>
      <c r="AZ34" s="19">
        <f>AZ29-AZ30</f>
        <v/>
      </c>
      <c r="BA34" s="55" t="n">
        <v>-46738.81</v>
      </c>
      <c r="BB34" s="31" t="n">
        <v>0</v>
      </c>
      <c r="BC34" s="6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35" t="inlineStr">
        <is>
          <t>GP1毛利率(%)</t>
        </is>
      </c>
      <c r="S35" s="62">
        <f>S34/S29</f>
        <v/>
      </c>
      <c r="T35" s="36">
        <f>T34/T29</f>
        <v/>
      </c>
      <c r="U35" s="37">
        <f>U34/U29</f>
        <v/>
      </c>
      <c r="V35" s="36">
        <f>V34/V29</f>
        <v/>
      </c>
      <c r="W35" s="36">
        <f>W34/W29</f>
        <v/>
      </c>
      <c r="X35" s="36">
        <f>X34/X29</f>
        <v/>
      </c>
      <c r="Y35" s="36">
        <f>Y34/Y29</f>
        <v/>
      </c>
      <c r="Z35" s="36">
        <f>Z34/Z29</f>
        <v/>
      </c>
      <c r="AA35" s="36">
        <f>AA34/AA29</f>
        <v/>
      </c>
      <c r="AB35" s="36">
        <f>AB34/AB29</f>
        <v/>
      </c>
      <c r="AC35" s="36">
        <f>AC34/AC29</f>
        <v/>
      </c>
      <c r="AD35" s="36">
        <f>AD34/AD29</f>
        <v/>
      </c>
      <c r="AE35" s="36">
        <f>AE34/AE29</f>
        <v/>
      </c>
      <c r="AF35" s="36">
        <f>AF34/AF29</f>
        <v/>
      </c>
      <c r="AG35" s="36">
        <f>AG34/AG29</f>
        <v/>
      </c>
      <c r="AH35" s="38">
        <f>T35-S35</f>
        <v/>
      </c>
      <c r="AI35" s="38">
        <f>AF35-S35</f>
        <v/>
      </c>
      <c r="AJ35" s="28" t="n"/>
      <c r="AK35" s="28" t="n"/>
      <c r="AL35" s="28" t="n"/>
      <c r="AM35" s="28" t="n"/>
      <c r="AN35" s="28" t="n"/>
      <c r="AO35" s="36">
        <f>AO34/AO29</f>
        <v/>
      </c>
      <c r="AP35" s="36">
        <f>AP34/AP29</f>
        <v/>
      </c>
      <c r="AQ35" s="36">
        <f>AQ34/AQ29</f>
        <v/>
      </c>
      <c r="AR35" s="36">
        <f>AR34/AR29</f>
        <v/>
      </c>
      <c r="AS35" s="36">
        <f>AS34/AS29</f>
        <v/>
      </c>
      <c r="AT35" s="36">
        <f>AT34/AT29</f>
        <v/>
      </c>
      <c r="AU35" s="36">
        <f>AU34/AU29</f>
        <v/>
      </c>
      <c r="AV35" s="36">
        <f>AV34/AV29</f>
        <v/>
      </c>
      <c r="AW35" s="36">
        <f>AW34/AW29</f>
        <v/>
      </c>
      <c r="AX35" s="36">
        <f>AX34/AX29</f>
        <v/>
      </c>
      <c r="AY35" s="36">
        <f>AY34/AY29</f>
        <v/>
      </c>
      <c r="AZ35" s="36">
        <f>AZ34/AZ29</f>
        <v/>
      </c>
      <c r="BA35" s="56" t="n">
        <v>-0.367258748311973</v>
      </c>
      <c r="BB35" s="39" t="n">
        <v>0</v>
      </c>
      <c r="BC35" s="6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GP3毛利</t>
        </is>
      </c>
      <c r="S36" s="30">
        <f>S29-S30-S31-S32</f>
        <v/>
      </c>
      <c r="T36" s="19">
        <f>T29-T30-T31-T32</f>
        <v/>
      </c>
      <c r="U36" s="20">
        <f>U29-U30-U31-U32</f>
        <v/>
      </c>
      <c r="V36" s="19">
        <f>V29-V30-V31-V32</f>
        <v/>
      </c>
      <c r="W36" s="19">
        <f>W29-W30-W31-W32</f>
        <v/>
      </c>
      <c r="X36" s="19">
        <f>X29-X30-X31-X32</f>
        <v/>
      </c>
      <c r="Y36" s="19">
        <f>Y29-Y30-Y31-Y32</f>
        <v/>
      </c>
      <c r="Z36" s="19">
        <f>Z29-Z30-Z31-Z32</f>
        <v/>
      </c>
      <c r="AA36" s="19">
        <f>AA29-AA30-AA31-AA32</f>
        <v/>
      </c>
      <c r="AB36" s="19">
        <f>AB29-AB30-AB31-AB32</f>
        <v/>
      </c>
      <c r="AC36" s="19">
        <f>AC29-AC30-AC31-AC32</f>
        <v/>
      </c>
      <c r="AD36" s="19">
        <f>AD29-AD30-AD31-AD32</f>
        <v/>
      </c>
      <c r="AE36" s="19">
        <f>AE29-AE30-AE31-AE32</f>
        <v/>
      </c>
      <c r="AF36" s="19">
        <f>AF29-AF30-AF31-AF32</f>
        <v/>
      </c>
      <c r="AG36" s="19">
        <f>AG29-AG30-AG31-AG32</f>
        <v/>
      </c>
      <c r="AH36" s="38" t="n">
        <v>0</v>
      </c>
      <c r="AI36" s="38" t="n">
        <v>0</v>
      </c>
      <c r="AJ36" s="28" t="n"/>
      <c r="AK36" s="28" t="n"/>
      <c r="AL36" s="28" t="n"/>
      <c r="AM36" s="28" t="n"/>
      <c r="AN36" s="28" t="n"/>
      <c r="AO36" s="19">
        <f>AO29-AO30-AO31-AO32</f>
        <v/>
      </c>
      <c r="AP36" s="19">
        <f>AP29-AP30-AP31-AP32</f>
        <v/>
      </c>
      <c r="AQ36" s="19">
        <f>AQ29-AQ30-AQ31-AQ32</f>
        <v/>
      </c>
      <c r="AR36" s="19">
        <f>AR29-AR30-AR31-AR32</f>
        <v/>
      </c>
      <c r="AS36" s="19">
        <f>AS29-AS30-AS31-AS32</f>
        <v/>
      </c>
      <c r="AT36" s="19">
        <f>AT29-AT30-AT31-AT32</f>
        <v/>
      </c>
      <c r="AU36" s="19">
        <f>AU29-AU30-AU31-AU32</f>
        <v/>
      </c>
      <c r="AV36" s="19">
        <f>AV29-AV30-AV31-AV32</f>
        <v/>
      </c>
      <c r="AW36" s="19">
        <f>AW29-AW30-AW31-AW32</f>
        <v/>
      </c>
      <c r="AX36" s="19">
        <f>AX29-AX30-AX31-AX32</f>
        <v/>
      </c>
      <c r="AY36" s="19">
        <f>AY29-AY30-AY31-AY32</f>
        <v/>
      </c>
      <c r="AZ36" s="19">
        <f>AZ29-AZ30-AZ31-AZ32</f>
        <v/>
      </c>
      <c r="BA36" s="57" t="n">
        <v>-47113.68</v>
      </c>
      <c r="BB36" s="31" t="n">
        <v>0</v>
      </c>
      <c r="BC36" s="61" t="n">
        <v>0</v>
      </c>
      <c r="BD36" s="27" t="inlineStr"/>
    </row>
    <row r="37">
      <c r="A37" s="42" t="n"/>
      <c r="B37" s="42" t="n"/>
      <c r="C37" s="42" t="n"/>
      <c r="D37" s="42" t="n"/>
      <c r="E37" s="42" t="n"/>
      <c r="F37" s="42" t="n"/>
      <c r="G37" s="42" t="n"/>
      <c r="H37" s="42" t="n"/>
      <c r="I37" s="42" t="n"/>
      <c r="J37" s="42" t="n"/>
      <c r="K37" s="42" t="n"/>
      <c r="L37" s="42" t="n"/>
      <c r="M37" s="42" t="n"/>
      <c r="N37" s="42" t="n"/>
      <c r="O37" s="42" t="n"/>
      <c r="P37" s="42" t="n"/>
      <c r="Q37" s="42" t="n"/>
      <c r="R37" s="35" t="inlineStr">
        <is>
          <t>GP3毛利率(%)</t>
        </is>
      </c>
      <c r="S37" s="62">
        <f>S36/S29</f>
        <v/>
      </c>
      <c r="T37" s="36">
        <f>T36/T29</f>
        <v/>
      </c>
      <c r="U37" s="37">
        <f>U36/U29</f>
        <v/>
      </c>
      <c r="V37" s="36">
        <f>V36/V29</f>
        <v/>
      </c>
      <c r="W37" s="36">
        <f>W36/W29</f>
        <v/>
      </c>
      <c r="X37" s="36">
        <f>X36/X29</f>
        <v/>
      </c>
      <c r="Y37" s="36">
        <f>Y36/Y29</f>
        <v/>
      </c>
      <c r="Z37" s="36">
        <f>Z36/Z29</f>
        <v/>
      </c>
      <c r="AA37" s="36">
        <f>AA36/AA29</f>
        <v/>
      </c>
      <c r="AB37" s="36">
        <f>AB36/AB29</f>
        <v/>
      </c>
      <c r="AC37" s="36">
        <f>AC36/AC29</f>
        <v/>
      </c>
      <c r="AD37" s="36">
        <f>AD36/AD29</f>
        <v/>
      </c>
      <c r="AE37" s="36">
        <f>AE36/AE29</f>
        <v/>
      </c>
      <c r="AF37" s="36">
        <f>AF36/AF29</f>
        <v/>
      </c>
      <c r="AG37" s="36">
        <f>AG36/AG29</f>
        <v/>
      </c>
      <c r="AH37" s="38">
        <f>T37-S37</f>
        <v/>
      </c>
      <c r="AI37" s="38">
        <f>AF37-S37</f>
        <v/>
      </c>
      <c r="AJ37" s="42" t="n"/>
      <c r="AK37" s="42" t="n"/>
      <c r="AL37" s="42" t="n"/>
      <c r="AM37" s="42" t="n"/>
      <c r="AN37" s="42" t="n"/>
      <c r="AO37" s="36">
        <f>AO36/AO29</f>
        <v/>
      </c>
      <c r="AP37" s="36">
        <f>AP36/AP29</f>
        <v/>
      </c>
      <c r="AQ37" s="36">
        <f>AQ36/AQ29</f>
        <v/>
      </c>
      <c r="AR37" s="36">
        <f>AR36/AR29</f>
        <v/>
      </c>
      <c r="AS37" s="36">
        <f>AS36/AS29</f>
        <v/>
      </c>
      <c r="AT37" s="36">
        <f>AT36/AT29</f>
        <v/>
      </c>
      <c r="AU37" s="36">
        <f>AU36/AU29</f>
        <v/>
      </c>
      <c r="AV37" s="36">
        <f>AV36/AV29</f>
        <v/>
      </c>
      <c r="AW37" s="36">
        <f>AW36/AW29</f>
        <v/>
      </c>
      <c r="AX37" s="36">
        <f>AX36/AX29</f>
        <v/>
      </c>
      <c r="AY37" s="36">
        <f>AY36/AY29</f>
        <v/>
      </c>
      <c r="AZ37" s="36">
        <f>AZ36/AZ29</f>
        <v/>
      </c>
      <c r="BA37" s="56" t="n">
        <v>-0.370204357902369</v>
      </c>
      <c r="BB37" s="39" t="n">
        <v>0</v>
      </c>
      <c r="BC37" s="61" t="n">
        <v>0</v>
      </c>
      <c r="BD37" s="27" t="inlineStr"/>
    </row>
    <row r="38">
      <c r="A38" s="43" t="inlineStr">
        <is>
          <t>P202508000162</t>
        </is>
      </c>
      <c r="B38" s="44" t="inlineStr">
        <is>
          <t>农业农村部信息中心-农业信息采集系统2025年度运行维护服务项目-FP运维</t>
        </is>
      </c>
      <c r="C38" s="45" t="n">
        <v>45870</v>
      </c>
      <c r="D38" s="45" t="n">
        <v>46234</v>
      </c>
      <c r="E38" s="15" t="n"/>
      <c r="F38" s="15" t="n">
        <v>5</v>
      </c>
      <c r="G38" s="17" t="n"/>
      <c r="H38" s="17" t="n"/>
      <c r="I38" s="17" t="n"/>
      <c r="J38" s="17" t="n"/>
      <c r="K38" s="17" t="n"/>
      <c r="L38" s="17" t="n"/>
      <c r="M38" s="17" t="n"/>
      <c r="N38" s="17" t="n"/>
      <c r="O38" s="17" t="n"/>
      <c r="P38" s="17" t="n"/>
      <c r="Q38" s="17" t="inlineStr"/>
      <c r="R38" s="48" t="inlineStr">
        <is>
          <t>累计收入（NR）</t>
        </is>
      </c>
      <c r="S38" s="19" t="n">
        <v>1000000</v>
      </c>
      <c r="T38" s="19">
        <f>SUM(AO38:BC38)</f>
        <v/>
      </c>
      <c r="U38" s="20">
        <f>SUM(BA38:BC38)</f>
        <v/>
      </c>
      <c r="V38" s="19">
        <f>SUM(AO38:AZ38)</f>
        <v/>
      </c>
      <c r="W38" s="19">
        <f>SUM(AP38:AZ38)</f>
        <v/>
      </c>
      <c r="X38" s="19">
        <f>SUM(AQ38:AZ38)</f>
        <v/>
      </c>
      <c r="Y38" s="19">
        <f>SUM(AR38:AZ38)</f>
        <v/>
      </c>
      <c r="Z38" s="19">
        <f>SUM(AS38:AZ38)</f>
        <v/>
      </c>
      <c r="AA38" s="19">
        <f>SUM(AT38:AZ38)</f>
        <v/>
      </c>
      <c r="AB38" s="19">
        <f>SUM(AU38:AZ38)</f>
        <v/>
      </c>
      <c r="AC38" s="19">
        <f>SUM(AV38:AZ38)</f>
        <v/>
      </c>
      <c r="AD38" s="19">
        <f>SUM(AW38:AZ38)</f>
        <v/>
      </c>
      <c r="AE38" s="19">
        <f>SUM(AX38:AZ38)</f>
        <v/>
      </c>
      <c r="AF38" s="19">
        <f>SUM(AY38:AZ38)</f>
        <v/>
      </c>
      <c r="AG38" s="19">
        <f>SUM(AZ38:AZ38)</f>
        <v/>
      </c>
      <c r="AH38" s="21" t="n">
        <v>0</v>
      </c>
      <c r="AI38" s="21" t="n">
        <v>0</v>
      </c>
      <c r="AJ38" s="44" t="inlineStr"/>
      <c r="AK38" s="49" t="inlineStr"/>
      <c r="AL38" s="49" t="inlineStr"/>
      <c r="AM38" s="49" t="inlineStr"/>
      <c r="AN38" s="24" t="n"/>
      <c r="AO38" s="19" t="n">
        <v>0</v>
      </c>
      <c r="AP38" s="19" t="n">
        <v>0</v>
      </c>
      <c r="AQ38" s="19" t="n">
        <v>0</v>
      </c>
      <c r="AR38" s="19" t="n">
        <v>0</v>
      </c>
      <c r="AS38" s="19" t="n">
        <v>0</v>
      </c>
      <c r="AT38" s="19" t="n">
        <v>0</v>
      </c>
      <c r="AU38" s="19" t="n">
        <v>0</v>
      </c>
      <c r="AV38" s="19" t="n">
        <v>0</v>
      </c>
      <c r="AW38" s="19" t="n">
        <v>0</v>
      </c>
      <c r="AX38" s="19" t="n">
        <v>0</v>
      </c>
      <c r="AY38" s="19" t="n">
        <v>76712</v>
      </c>
      <c r="AZ38" s="19" t="n">
        <v>84932</v>
      </c>
      <c r="BA38" s="50" t="n">
        <v>411660</v>
      </c>
      <c r="BB38" s="20" t="n">
        <v>0</v>
      </c>
      <c r="BC38" s="6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29" t="inlineStr">
        <is>
          <t>人工成本（成本１）</t>
        </is>
      </c>
      <c r="S39" s="19" t="n">
        <v>783494.65</v>
      </c>
      <c r="T39" s="19">
        <f>SUM(AO39:BC39)</f>
        <v/>
      </c>
      <c r="U39" s="20">
        <f>SUM(BA39:BC39)</f>
        <v/>
      </c>
      <c r="V39" s="19">
        <f>SUM(AO39:AZ39)</f>
        <v/>
      </c>
      <c r="W39" s="19">
        <f>SUM(AP39:AZ39)</f>
        <v/>
      </c>
      <c r="X39" s="19">
        <f>SUM(AQ39:AZ39)</f>
        <v/>
      </c>
      <c r="Y39" s="19">
        <f>SUM(AR39:AZ39)</f>
        <v/>
      </c>
      <c r="Z39" s="19">
        <f>SUM(AS39:AZ39)</f>
        <v/>
      </c>
      <c r="AA39" s="19">
        <f>SUM(AT39:AZ39)</f>
        <v/>
      </c>
      <c r="AB39" s="19">
        <f>SUM(AU39:AZ39)</f>
        <v/>
      </c>
      <c r="AC39" s="19">
        <f>SUM(AV39:AZ39)</f>
        <v/>
      </c>
      <c r="AD39" s="19">
        <f>SUM(AW39:AZ39)</f>
        <v/>
      </c>
      <c r="AE39" s="19">
        <f>SUM(AX39:AZ39)</f>
        <v/>
      </c>
      <c r="AF39" s="19">
        <f>SUM(AY39:AZ39)</f>
        <v/>
      </c>
      <c r="AG39" s="19">
        <f>SUM(AZ39:AZ39)</f>
        <v/>
      </c>
      <c r="AH39" s="21" t="n">
        <v>0</v>
      </c>
      <c r="AI39" s="21" t="n">
        <v>0</v>
      </c>
      <c r="AJ39" s="28" t="n"/>
      <c r="AK39" s="28" t="n"/>
      <c r="AL39" s="28" t="n"/>
      <c r="AM39" s="28" t="n"/>
      <c r="AN39" s="28" t="n"/>
      <c r="AO39" s="19" t="n">
        <v>0</v>
      </c>
      <c r="AP39" s="19" t="n">
        <v>0</v>
      </c>
      <c r="AQ39" s="19" t="n">
        <v>0</v>
      </c>
      <c r="AR39" s="19" t="n">
        <v>0</v>
      </c>
      <c r="AS39" s="19" t="n">
        <v>0</v>
      </c>
      <c r="AT39" s="19" t="n">
        <v>0</v>
      </c>
      <c r="AU39" s="19" t="n">
        <v>0</v>
      </c>
      <c r="AV39" s="19" t="n">
        <v>0</v>
      </c>
      <c r="AW39" s="19" t="n">
        <v>0</v>
      </c>
      <c r="AX39" s="19" t="n">
        <v>0</v>
      </c>
      <c r="AY39" s="19" t="n">
        <v>87203.78999999999</v>
      </c>
      <c r="AZ39" s="19" t="n">
        <v>66585.86</v>
      </c>
      <c r="BA39" s="50" t="n">
        <v>331483.93</v>
      </c>
      <c r="BB39" s="20" t="n">
        <v>0</v>
      </c>
      <c r="BC39" s="6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差旅费（成本３）</t>
        </is>
      </c>
      <c r="S40" s="19" t="n">
        <v>25000</v>
      </c>
      <c r="T40" s="19">
        <f>SUM(AO40:BC40)</f>
        <v/>
      </c>
      <c r="U40" s="20">
        <f>SUM(BA40:BC40)</f>
        <v/>
      </c>
      <c r="V40" s="19">
        <f>SUM(AO40:AZ40)</f>
        <v/>
      </c>
      <c r="W40" s="19">
        <f>SUM(AP40:AZ40)</f>
        <v/>
      </c>
      <c r="X40" s="19">
        <f>SUM(AQ40:AZ40)</f>
        <v/>
      </c>
      <c r="Y40" s="19">
        <f>SUM(AR40:AZ40)</f>
        <v/>
      </c>
      <c r="Z40" s="19">
        <f>SUM(AS40:AZ40)</f>
        <v/>
      </c>
      <c r="AA40" s="19">
        <f>SUM(AT40:AZ40)</f>
        <v/>
      </c>
      <c r="AB40" s="19">
        <f>SUM(AU40:AZ40)</f>
        <v/>
      </c>
      <c r="AC40" s="19">
        <f>SUM(AV40:AZ40)</f>
        <v/>
      </c>
      <c r="AD40" s="19">
        <f>SUM(AW40:AZ40)</f>
        <v/>
      </c>
      <c r="AE40" s="19">
        <f>SUM(AX40:AZ40)</f>
        <v/>
      </c>
      <c r="AF40" s="19">
        <f>SUM(AY40:AZ40)</f>
        <v/>
      </c>
      <c r="AG40" s="19">
        <f>SUM(AZ40:AZ40)</f>
        <v/>
      </c>
      <c r="AH40" s="21" t="n">
        <v>0</v>
      </c>
      <c r="AI40" s="21" t="n">
        <v>0</v>
      </c>
      <c r="AJ40" s="28" t="n"/>
      <c r="AK40" s="28" t="n"/>
      <c r="AL40" s="28" t="n"/>
      <c r="AM40" s="28" t="n"/>
      <c r="AN40" s="28" t="n"/>
      <c r="AO40" s="19" t="n">
        <v>0</v>
      </c>
      <c r="AP40" s="19" t="n">
        <v>0</v>
      </c>
      <c r="AQ40" s="19" t="n">
        <v>0</v>
      </c>
      <c r="AR40" s="19" t="n">
        <v>0</v>
      </c>
      <c r="AS40" s="19" t="n">
        <v>0</v>
      </c>
      <c r="AT40" s="19" t="n">
        <v>0</v>
      </c>
      <c r="AU40" s="19" t="n">
        <v>0</v>
      </c>
      <c r="AV40" s="19" t="n">
        <v>0</v>
      </c>
      <c r="AW40" s="19" t="n">
        <v>0</v>
      </c>
      <c r="AX40" s="19" t="n">
        <v>0</v>
      </c>
      <c r="AY40" s="19" t="n">
        <v>0</v>
      </c>
      <c r="AZ40" s="19" t="n">
        <v>0</v>
      </c>
      <c r="BA40" s="50" t="n">
        <v>0</v>
      </c>
      <c r="BB40" s="20" t="n">
        <v>0</v>
      </c>
      <c r="BC40" s="61" t="n">
        <v>0</v>
      </c>
      <c r="BD40" s="27" t="inlineStr"/>
    </row>
    <row r="41">
      <c r="A41" s="28" t="n"/>
      <c r="B41" s="28" t="n"/>
      <c r="C41" s="28" t="n"/>
      <c r="D41" s="28" t="n"/>
      <c r="E41" s="28" t="n"/>
      <c r="F41" s="28" t="n"/>
      <c r="G41" s="28" t="n"/>
      <c r="H41" s="28" t="n"/>
      <c r="I41" s="28" t="n"/>
      <c r="J41" s="28" t="n"/>
      <c r="K41" s="28" t="n"/>
      <c r="L41" s="28" t="n"/>
      <c r="M41" s="28" t="n"/>
      <c r="N41" s="28" t="n"/>
      <c r="O41" s="28" t="n"/>
      <c r="P41" s="28" t="n"/>
      <c r="Q41" s="28" t="n"/>
      <c r="R41" s="29" t="inlineStr">
        <is>
          <t>其他成本（成本３）</t>
        </is>
      </c>
      <c r="S41" s="19" t="n">
        <v>35000</v>
      </c>
      <c r="T41" s="19">
        <f>SUM(AO41:BC41)</f>
        <v/>
      </c>
      <c r="U41" s="20">
        <f>SUM(BA41:BC41)</f>
        <v/>
      </c>
      <c r="V41" s="19">
        <f>SUM(AO41:AZ41)</f>
        <v/>
      </c>
      <c r="W41" s="19">
        <f>SUM(AP41:AZ41)</f>
        <v/>
      </c>
      <c r="X41" s="19">
        <f>SUM(AQ41:AZ41)</f>
        <v/>
      </c>
      <c r="Y41" s="19">
        <f>SUM(AR41:AZ41)</f>
        <v/>
      </c>
      <c r="Z41" s="19">
        <f>SUM(AS41:AZ41)</f>
        <v/>
      </c>
      <c r="AA41" s="19">
        <f>SUM(AT41:AZ41)</f>
        <v/>
      </c>
      <c r="AB41" s="19">
        <f>SUM(AU41:AZ41)</f>
        <v/>
      </c>
      <c r="AC41" s="19">
        <f>SUM(AV41:AZ41)</f>
        <v/>
      </c>
      <c r="AD41" s="19">
        <f>SUM(AW41:AZ41)</f>
        <v/>
      </c>
      <c r="AE41" s="19">
        <f>SUM(AX41:AZ41)</f>
        <v/>
      </c>
      <c r="AF41" s="19">
        <f>SUM(AY41:AZ41)</f>
        <v/>
      </c>
      <c r="AG41" s="19">
        <f>SUM(AZ41:AZ41)</f>
        <v/>
      </c>
      <c r="AH41" s="21" t="n">
        <v>0</v>
      </c>
      <c r="AI41" s="21" t="n">
        <v>0</v>
      </c>
      <c r="AJ41" s="28" t="n"/>
      <c r="AK41" s="28" t="n"/>
      <c r="AL41" s="28" t="n"/>
      <c r="AM41" s="28" t="n"/>
      <c r="AN41" s="28" t="n"/>
      <c r="AO41" s="19" t="n">
        <v>0</v>
      </c>
      <c r="AP41" s="19" t="n">
        <v>0</v>
      </c>
      <c r="AQ41" s="19" t="n">
        <v>0</v>
      </c>
      <c r="AR41" s="19" t="n">
        <v>0</v>
      </c>
      <c r="AS41" s="19" t="n">
        <v>0</v>
      </c>
      <c r="AT41" s="19" t="n">
        <v>0</v>
      </c>
      <c r="AU41" s="19" t="n">
        <v>0</v>
      </c>
      <c r="AV41" s="19" t="n">
        <v>0</v>
      </c>
      <c r="AW41" s="19" t="n">
        <v>0</v>
      </c>
      <c r="AX41" s="19" t="n">
        <v>0</v>
      </c>
      <c r="AY41" s="19" t="n">
        <v>-419.18</v>
      </c>
      <c r="AZ41" s="19" t="n">
        <v>-495.89</v>
      </c>
      <c r="BA41" s="50" t="n">
        <v>-3142.47</v>
      </c>
      <c r="BB41" s="20" t="n">
        <v>0</v>
      </c>
      <c r="BC41" s="61" t="n">
        <v>0</v>
      </c>
      <c r="BD41" s="27" t="inlineStr"/>
    </row>
    <row r="42">
      <c r="A42" s="28" t="n"/>
      <c r="B42" s="28" t="n"/>
      <c r="C42" s="28" t="n"/>
      <c r="D42" s="28" t="n"/>
      <c r="E42" s="28" t="n"/>
      <c r="F42" s="28" t="n"/>
      <c r="G42" s="28" t="n"/>
      <c r="H42" s="28" t="n"/>
      <c r="I42" s="28" t="n"/>
      <c r="J42" s="28" t="n"/>
      <c r="K42" s="28" t="n"/>
      <c r="L42" s="28" t="n"/>
      <c r="M42" s="28" t="n"/>
      <c r="N42" s="28" t="n"/>
      <c r="O42" s="28" t="n"/>
      <c r="P42" s="28" t="n"/>
      <c r="Q42" s="28" t="n"/>
      <c r="R42" s="29" t="inlineStr">
        <is>
          <t>累计成本</t>
        </is>
      </c>
      <c r="S42" s="30">
        <f>SUM(S39:S41)</f>
        <v/>
      </c>
      <c r="T42" s="30">
        <f>SUM(T39:T41)</f>
        <v/>
      </c>
      <c r="U42" s="31">
        <f>SUM(U39:U41)</f>
        <v/>
      </c>
      <c r="V42" s="30">
        <f>SUM(V39:V41)</f>
        <v/>
      </c>
      <c r="W42" s="30">
        <f>SUM(W39:W41)</f>
        <v/>
      </c>
      <c r="X42" s="30">
        <f>SUM(X39:X41)</f>
        <v/>
      </c>
      <c r="Y42" s="30">
        <f>SUM(Y39:Y41)</f>
        <v/>
      </c>
      <c r="Z42" s="30">
        <f>SUM(Z39:Z41)</f>
        <v/>
      </c>
      <c r="AA42" s="30">
        <f>SUM(AA39:AA41)</f>
        <v/>
      </c>
      <c r="AB42" s="30">
        <f>SUM(AB39:AB41)</f>
        <v/>
      </c>
      <c r="AC42" s="30">
        <f>SUM(AC39:AC41)</f>
        <v/>
      </c>
      <c r="AD42" s="30">
        <f>SUM(AD39:AD41)</f>
        <v/>
      </c>
      <c r="AE42" s="30">
        <f>SUM(AE39:AE41)</f>
        <v/>
      </c>
      <c r="AF42" s="30">
        <f>SUM(AF39:AF41)</f>
        <v/>
      </c>
      <c r="AG42" s="30">
        <f>SUM(AG39:AG41)</f>
        <v/>
      </c>
      <c r="AH42" s="30">
        <f>SUM(AH39:AH41)</f>
        <v/>
      </c>
      <c r="AI42" s="30">
        <f>SUM(AI39:AI41)</f>
        <v/>
      </c>
      <c r="AJ42" s="28" t="n"/>
      <c r="AK42" s="28" t="n"/>
      <c r="AL42" s="28" t="n"/>
      <c r="AM42" s="28" t="n"/>
      <c r="AN42" s="28" t="n"/>
      <c r="AO42" s="30">
        <f>SUM(AO39:AO41)</f>
        <v/>
      </c>
      <c r="AP42" s="30">
        <f>SUM(AP39:AP41)</f>
        <v/>
      </c>
      <c r="AQ42" s="30">
        <f>SUM(AQ39:AQ41)</f>
        <v/>
      </c>
      <c r="AR42" s="30">
        <f>SUM(AR39:AR41)</f>
        <v/>
      </c>
      <c r="AS42" s="30">
        <f>SUM(AS39:AS41)</f>
        <v/>
      </c>
      <c r="AT42" s="30">
        <f>SUM(AT39:AT41)</f>
        <v/>
      </c>
      <c r="AU42" s="30">
        <f>SUM(AU39:AU41)</f>
        <v/>
      </c>
      <c r="AV42" s="30">
        <f>SUM(AV39:AV41)</f>
        <v/>
      </c>
      <c r="AW42" s="30">
        <f>SUM(AW39:AW41)</f>
        <v/>
      </c>
      <c r="AX42" s="30">
        <f>SUM(AX39:AX41)</f>
        <v/>
      </c>
      <c r="AY42" s="30">
        <f>SUM(AY39:AY41)</f>
        <v/>
      </c>
      <c r="AZ42" s="30">
        <f>SUM(AZ39:AZ41)</f>
        <v/>
      </c>
      <c r="BA42" s="53" t="n">
        <v>328341.46</v>
      </c>
      <c r="BB42" s="31">
        <f>SUM(BB39:BB41)</f>
        <v/>
      </c>
      <c r="BC42" s="54">
        <f>SUM(BC39:BC41)</f>
        <v/>
      </c>
      <c r="BD42" s="32"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GP1毛利</t>
        </is>
      </c>
      <c r="S43" s="19">
        <f>S38-S39</f>
        <v/>
      </c>
      <c r="T43" s="19">
        <f>T38-T39</f>
        <v/>
      </c>
      <c r="U43" s="20">
        <f>U38-U39</f>
        <v/>
      </c>
      <c r="V43" s="19">
        <f>V38-V39</f>
        <v/>
      </c>
      <c r="W43" s="19">
        <f>W38-W39</f>
        <v/>
      </c>
      <c r="X43" s="19">
        <f>X38-X39</f>
        <v/>
      </c>
      <c r="Y43" s="19">
        <f>Y38-Y39</f>
        <v/>
      </c>
      <c r="Z43" s="19">
        <f>Z38-Z39</f>
        <v/>
      </c>
      <c r="AA43" s="19">
        <f>AA38-AA39</f>
        <v/>
      </c>
      <c r="AB43" s="19">
        <f>AB38-AB39</f>
        <v/>
      </c>
      <c r="AC43" s="19">
        <f>AC38-AC39</f>
        <v/>
      </c>
      <c r="AD43" s="19">
        <f>AD38-AD39</f>
        <v/>
      </c>
      <c r="AE43" s="19">
        <f>AE38-AE39</f>
        <v/>
      </c>
      <c r="AF43" s="19">
        <f>AF38-AF39</f>
        <v/>
      </c>
      <c r="AG43" s="19">
        <f>AG38-AG39</f>
        <v/>
      </c>
      <c r="AH43" s="33" t="n">
        <v>0</v>
      </c>
      <c r="AI43" s="33" t="n">
        <v>0</v>
      </c>
      <c r="AJ43" s="28" t="n"/>
      <c r="AK43" s="28" t="n"/>
      <c r="AL43" s="28" t="n"/>
      <c r="AM43" s="28" t="n"/>
      <c r="AN43" s="28" t="n"/>
      <c r="AO43" s="19">
        <f>AO38-AO39</f>
        <v/>
      </c>
      <c r="AP43" s="19">
        <f>AP38-AP39</f>
        <v/>
      </c>
      <c r="AQ43" s="19">
        <f>AQ38-AQ39</f>
        <v/>
      </c>
      <c r="AR43" s="19">
        <f>AR38-AR39</f>
        <v/>
      </c>
      <c r="AS43" s="19">
        <f>AS38-AS39</f>
        <v/>
      </c>
      <c r="AT43" s="19">
        <f>AT38-AT39</f>
        <v/>
      </c>
      <c r="AU43" s="19">
        <f>AU38-AU39</f>
        <v/>
      </c>
      <c r="AV43" s="19">
        <f>AV38-AV39</f>
        <v/>
      </c>
      <c r="AW43" s="19">
        <f>AW38-AW39</f>
        <v/>
      </c>
      <c r="AX43" s="19">
        <f>AX38-AX39</f>
        <v/>
      </c>
      <c r="AY43" s="19">
        <f>AY38-AY39</f>
        <v/>
      </c>
      <c r="AZ43" s="19">
        <f>AZ38-AZ39</f>
        <v/>
      </c>
      <c r="BA43" s="55" t="n">
        <v>80176.07000000001</v>
      </c>
      <c r="BB43" s="31" t="n">
        <v>0</v>
      </c>
      <c r="BC43" s="61"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35" t="inlineStr">
        <is>
          <t>GP1毛利率(%)</t>
        </is>
      </c>
      <c r="S44" s="36">
        <f>S43/S38</f>
        <v/>
      </c>
      <c r="T44" s="36">
        <f>T43/T38</f>
        <v/>
      </c>
      <c r="U44" s="37">
        <f>U43/U38</f>
        <v/>
      </c>
      <c r="V44" s="36">
        <f>V43/V38</f>
        <v/>
      </c>
      <c r="W44" s="36">
        <f>W43/W38</f>
        <v/>
      </c>
      <c r="X44" s="36">
        <f>X43/X38</f>
        <v/>
      </c>
      <c r="Y44" s="36">
        <f>Y43/Y38</f>
        <v/>
      </c>
      <c r="Z44" s="36">
        <f>Z43/Z38</f>
        <v/>
      </c>
      <c r="AA44" s="36">
        <f>AA43/AA38</f>
        <v/>
      </c>
      <c r="AB44" s="36">
        <f>AB43/AB38</f>
        <v/>
      </c>
      <c r="AC44" s="36">
        <f>AC43/AC38</f>
        <v/>
      </c>
      <c r="AD44" s="36">
        <f>AD43/AD38</f>
        <v/>
      </c>
      <c r="AE44" s="36">
        <f>AE43/AE38</f>
        <v/>
      </c>
      <c r="AF44" s="36">
        <f>AF43/AF38</f>
        <v/>
      </c>
      <c r="AG44" s="36">
        <f>AG43/AG38</f>
        <v/>
      </c>
      <c r="AH44" s="38">
        <f>T44-S44</f>
        <v/>
      </c>
      <c r="AI44" s="38">
        <f>AF44-S44</f>
        <v/>
      </c>
      <c r="AJ44" s="28" t="n"/>
      <c r="AK44" s="28" t="n"/>
      <c r="AL44" s="28" t="n"/>
      <c r="AM44" s="28" t="n"/>
      <c r="AN44" s="28" t="n"/>
      <c r="AO44" s="36">
        <f>AO43/AO38</f>
        <v/>
      </c>
      <c r="AP44" s="36">
        <f>AP43/AP38</f>
        <v/>
      </c>
      <c r="AQ44" s="36">
        <f>AQ43/AQ38</f>
        <v/>
      </c>
      <c r="AR44" s="36">
        <f>AR43/AR38</f>
        <v/>
      </c>
      <c r="AS44" s="36">
        <f>AS43/AS38</f>
        <v/>
      </c>
      <c r="AT44" s="36">
        <f>AT43/AT38</f>
        <v/>
      </c>
      <c r="AU44" s="36">
        <f>AU43/AU38</f>
        <v/>
      </c>
      <c r="AV44" s="36">
        <f>AV43/AV38</f>
        <v/>
      </c>
      <c r="AW44" s="36">
        <f>AW43/AW38</f>
        <v/>
      </c>
      <c r="AX44" s="36">
        <f>AX43/AX38</f>
        <v/>
      </c>
      <c r="AY44" s="36">
        <f>AY43/AY38</f>
        <v/>
      </c>
      <c r="AZ44" s="36">
        <f>AZ43/AZ38</f>
        <v/>
      </c>
      <c r="BA44" s="56" t="n">
        <v>0.194762838264587</v>
      </c>
      <c r="BB44" s="39" t="n">
        <v>0</v>
      </c>
      <c r="BC44" s="61"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GP3毛利</t>
        </is>
      </c>
      <c r="S45" s="19">
        <f>S38-S39-S40-S41</f>
        <v/>
      </c>
      <c r="T45" s="19">
        <f>T38-T39-T40-T41</f>
        <v/>
      </c>
      <c r="U45" s="20">
        <f>U38-U39-U40-U41</f>
        <v/>
      </c>
      <c r="V45" s="19">
        <f>V38-V39-V40-V41</f>
        <v/>
      </c>
      <c r="W45" s="19">
        <f>W38-W39-W40-W41</f>
        <v/>
      </c>
      <c r="X45" s="19">
        <f>X38-X39-X40-X41</f>
        <v/>
      </c>
      <c r="Y45" s="19">
        <f>Y38-Y39-Y40-Y41</f>
        <v/>
      </c>
      <c r="Z45" s="19">
        <f>Z38-Z39-Z40-Z41</f>
        <v/>
      </c>
      <c r="AA45" s="19">
        <f>AA38-AA39-AA40-AA41</f>
        <v/>
      </c>
      <c r="AB45" s="19">
        <f>AB38-AB39-AB40-AB41</f>
        <v/>
      </c>
      <c r="AC45" s="19">
        <f>AC38-AC39-AC40-AC41</f>
        <v/>
      </c>
      <c r="AD45" s="19">
        <f>AD38-AD39-AD40-AD41</f>
        <v/>
      </c>
      <c r="AE45" s="19">
        <f>AE38-AE39-AE40-AE41</f>
        <v/>
      </c>
      <c r="AF45" s="19">
        <f>AF38-AF39-AF40-AF41</f>
        <v/>
      </c>
      <c r="AG45" s="19">
        <f>AG38-AG39-AG40-AG41</f>
        <v/>
      </c>
      <c r="AH45" s="38" t="n">
        <v>0</v>
      </c>
      <c r="AI45" s="38" t="n">
        <v>0</v>
      </c>
      <c r="AJ45" s="28" t="n"/>
      <c r="AK45" s="28" t="n"/>
      <c r="AL45" s="28" t="n"/>
      <c r="AM45" s="28" t="n"/>
      <c r="AN45" s="28" t="n"/>
      <c r="AO45" s="19">
        <f>AO38-AO39-AO40-AO41</f>
        <v/>
      </c>
      <c r="AP45" s="19">
        <f>AP38-AP39-AP40-AP41</f>
        <v/>
      </c>
      <c r="AQ45" s="19">
        <f>AQ38-AQ39-AQ40-AQ41</f>
        <v/>
      </c>
      <c r="AR45" s="19">
        <f>AR38-AR39-AR40-AR41</f>
        <v/>
      </c>
      <c r="AS45" s="19">
        <f>AS38-AS39-AS40-AS41</f>
        <v/>
      </c>
      <c r="AT45" s="19">
        <f>AT38-AT39-AT40-AT41</f>
        <v/>
      </c>
      <c r="AU45" s="19">
        <f>AU38-AU39-AU40-AU41</f>
        <v/>
      </c>
      <c r="AV45" s="19">
        <f>AV38-AV39-AV40-AV41</f>
        <v/>
      </c>
      <c r="AW45" s="19">
        <f>AW38-AW39-AW40-AW41</f>
        <v/>
      </c>
      <c r="AX45" s="19">
        <f>AX38-AX39-AX40-AX41</f>
        <v/>
      </c>
      <c r="AY45" s="19">
        <f>AY38-AY39-AY40-AY41</f>
        <v/>
      </c>
      <c r="AZ45" s="19">
        <f>AZ38-AZ39-AZ40-AZ41</f>
        <v/>
      </c>
      <c r="BA45" s="57" t="n">
        <v>83318.53999999999</v>
      </c>
      <c r="BB45" s="31" t="n">
        <v>0</v>
      </c>
      <c r="BC45" s="61" t="n">
        <v>0</v>
      </c>
      <c r="BD45" s="27" t="inlineStr"/>
    </row>
    <row r="46">
      <c r="A46" s="42" t="n"/>
      <c r="B46" s="42" t="n"/>
      <c r="C46" s="42" t="n"/>
      <c r="D46" s="42" t="n"/>
      <c r="E46" s="42" t="n"/>
      <c r="F46" s="42" t="n"/>
      <c r="G46" s="42" t="n"/>
      <c r="H46" s="42" t="n"/>
      <c r="I46" s="42" t="n"/>
      <c r="J46" s="42" t="n"/>
      <c r="K46" s="42" t="n"/>
      <c r="L46" s="42" t="n"/>
      <c r="M46" s="42" t="n"/>
      <c r="N46" s="42" t="n"/>
      <c r="O46" s="42" t="n"/>
      <c r="P46" s="42" t="n"/>
      <c r="Q46" s="42" t="n"/>
      <c r="R46" s="35" t="inlineStr">
        <is>
          <t>GP3毛利率(%)</t>
        </is>
      </c>
      <c r="S46" s="36">
        <f>S45/S38</f>
        <v/>
      </c>
      <c r="T46" s="36">
        <f>T45/T38</f>
        <v/>
      </c>
      <c r="U46" s="37">
        <f>U45/U38</f>
        <v/>
      </c>
      <c r="V46" s="36">
        <f>V45/V38</f>
        <v/>
      </c>
      <c r="W46" s="36">
        <f>W45/W38</f>
        <v/>
      </c>
      <c r="X46" s="36">
        <f>X45/X38</f>
        <v/>
      </c>
      <c r="Y46" s="36">
        <f>Y45/Y38</f>
        <v/>
      </c>
      <c r="Z46" s="36">
        <f>Z45/Z38</f>
        <v/>
      </c>
      <c r="AA46" s="36">
        <f>AA45/AA38</f>
        <v/>
      </c>
      <c r="AB46" s="36">
        <f>AB45/AB38</f>
        <v/>
      </c>
      <c r="AC46" s="36">
        <f>AC45/AC38</f>
        <v/>
      </c>
      <c r="AD46" s="36">
        <f>AD45/AD38</f>
        <v/>
      </c>
      <c r="AE46" s="36">
        <f>AE45/AE38</f>
        <v/>
      </c>
      <c r="AF46" s="36">
        <f>AF45/AF38</f>
        <v/>
      </c>
      <c r="AG46" s="36">
        <f>AG45/AG38</f>
        <v/>
      </c>
      <c r="AH46" s="38">
        <f>T46-S46</f>
        <v/>
      </c>
      <c r="AI46" s="38">
        <f>AF46-S46</f>
        <v/>
      </c>
      <c r="AJ46" s="42" t="n"/>
      <c r="AK46" s="42" t="n"/>
      <c r="AL46" s="42" t="n"/>
      <c r="AM46" s="42" t="n"/>
      <c r="AN46" s="42" t="n"/>
      <c r="AO46" s="36">
        <f>AO45/AO38</f>
        <v/>
      </c>
      <c r="AP46" s="36">
        <f>AP45/AP38</f>
        <v/>
      </c>
      <c r="AQ46" s="36">
        <f>AQ45/AQ38</f>
        <v/>
      </c>
      <c r="AR46" s="36">
        <f>AR45/AR38</f>
        <v/>
      </c>
      <c r="AS46" s="36">
        <f>AS45/AS38</f>
        <v/>
      </c>
      <c r="AT46" s="36">
        <f>AT45/AT38</f>
        <v/>
      </c>
      <c r="AU46" s="36">
        <f>AU45/AU38</f>
        <v/>
      </c>
      <c r="AV46" s="36">
        <f>AV45/AV38</f>
        <v/>
      </c>
      <c r="AW46" s="36">
        <f>AW45/AW38</f>
        <v/>
      </c>
      <c r="AX46" s="36">
        <f>AX45/AX38</f>
        <v/>
      </c>
      <c r="AY46" s="36">
        <f>AY45/AY38</f>
        <v/>
      </c>
      <c r="AZ46" s="36">
        <f>AZ45/AZ38</f>
        <v/>
      </c>
      <c r="BA46" s="56" t="n">
        <v>0.202396492250887</v>
      </c>
      <c r="BB46" s="39" t="n">
        <v>0</v>
      </c>
      <c r="BC46" s="61" t="n">
        <v>0</v>
      </c>
      <c r="BD46" s="27" t="inlineStr"/>
    </row>
    <row r="47">
      <c r="A47" s="43" t="inlineStr">
        <is>
          <t>P202509000658</t>
        </is>
      </c>
      <c r="B47" s="44" t="inlineStr">
        <is>
          <t>全国畜牧总站-2025年农生物育种大数据与知识产权支撑体系建设联合实施4-FP项目（有分包）</t>
        </is>
      </c>
      <c r="C47" s="45" t="n">
        <v>45809</v>
      </c>
      <c r="D47" s="45" t="n">
        <v>46173</v>
      </c>
      <c r="E47" s="15" t="n"/>
      <c r="F47" s="15" t="n">
        <v>0.75</v>
      </c>
      <c r="G47" s="17" t="n"/>
      <c r="H47" s="17" t="n"/>
      <c r="I47" s="17" t="n"/>
      <c r="J47" s="17" t="n"/>
      <c r="K47" s="17" t="n"/>
      <c r="L47" s="17" t="n"/>
      <c r="M47" s="17" t="n"/>
      <c r="N47" s="17" t="n"/>
      <c r="O47" s="17" t="n"/>
      <c r="P47" s="17" t="n"/>
      <c r="Q47" s="17" t="inlineStr"/>
      <c r="R47" s="48" t="inlineStr">
        <is>
          <t>累计收入（NR）</t>
        </is>
      </c>
      <c r="S47" s="19" t="n">
        <v>435000</v>
      </c>
      <c r="T47" s="19">
        <f>SUM(AO47:BC47)</f>
        <v/>
      </c>
      <c r="U47" s="20">
        <f>SUM(BA47:BC47)</f>
        <v/>
      </c>
      <c r="V47" s="19">
        <f>SUM(AO47:AZ47)</f>
        <v/>
      </c>
      <c r="W47" s="19">
        <f>SUM(AP47:AZ47)</f>
        <v/>
      </c>
      <c r="X47" s="19">
        <f>SUM(AQ47:AZ47)</f>
        <v/>
      </c>
      <c r="Y47" s="19">
        <f>SUM(AR47:AZ47)</f>
        <v/>
      </c>
      <c r="Z47" s="19">
        <f>SUM(AS47:AZ47)</f>
        <v/>
      </c>
      <c r="AA47" s="19">
        <f>SUM(AT47:AZ47)</f>
        <v/>
      </c>
      <c r="AB47" s="19">
        <f>SUM(AU47:AZ47)</f>
        <v/>
      </c>
      <c r="AC47" s="19">
        <f>SUM(AV47:AZ47)</f>
        <v/>
      </c>
      <c r="AD47" s="19">
        <f>SUM(AW47:AZ47)</f>
        <v/>
      </c>
      <c r="AE47" s="19">
        <f>SUM(AX47:AZ47)</f>
        <v/>
      </c>
      <c r="AF47" s="19">
        <f>SUM(AY47:AZ47)</f>
        <v/>
      </c>
      <c r="AG47" s="19">
        <f>SUM(AZ47:AZ47)</f>
        <v/>
      </c>
      <c r="AH47" s="21" t="n">
        <v>0</v>
      </c>
      <c r="AI47" s="21" t="n">
        <v>0</v>
      </c>
      <c r="AJ47" s="44" t="inlineStr"/>
      <c r="AK47" s="49" t="inlineStr">
        <is>
          <t>农业科研项目，12月成本13.76万，超出当月NR 2.9万，导致亏损</t>
        </is>
      </c>
      <c r="AL47" s="44" t="inlineStr">
        <is>
          <t>d</t>
        </is>
      </c>
      <c r="AM47" s="49" t="inlineStr"/>
      <c r="AN47" s="24" t="n"/>
      <c r="AO47" s="19" t="n">
        <v>0</v>
      </c>
      <c r="AP47" s="19" t="n">
        <v>0</v>
      </c>
      <c r="AQ47" s="19" t="n">
        <v>0</v>
      </c>
      <c r="AR47" s="19" t="n">
        <v>0</v>
      </c>
      <c r="AS47" s="19" t="n">
        <v>0</v>
      </c>
      <c r="AT47" s="19" t="n">
        <v>0</v>
      </c>
      <c r="AU47" s="19" t="n">
        <v>0</v>
      </c>
      <c r="AV47" s="19" t="n">
        <v>0</v>
      </c>
      <c r="AW47" s="19" t="n">
        <v>0</v>
      </c>
      <c r="AX47" s="19" t="n">
        <v>0</v>
      </c>
      <c r="AY47" s="19" t="n">
        <v>0</v>
      </c>
      <c r="AZ47" s="19" t="n">
        <v>0</v>
      </c>
      <c r="BA47" s="50" t="n">
        <v>435000</v>
      </c>
      <c r="BB47" s="20" t="n">
        <v>0</v>
      </c>
      <c r="BC47" s="61" t="n">
        <v>0</v>
      </c>
      <c r="BD47" s="27"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人工成本（成本１）</t>
        </is>
      </c>
      <c r="S48" s="19" t="n">
        <v>354384.65</v>
      </c>
      <c r="T48" s="19">
        <f>SUM(AO48:BC48)</f>
        <v/>
      </c>
      <c r="U48" s="20">
        <f>SUM(BA48:BC48)</f>
        <v/>
      </c>
      <c r="V48" s="19">
        <f>SUM(AO48:AZ48)</f>
        <v/>
      </c>
      <c r="W48" s="19">
        <f>SUM(AP48:AZ48)</f>
        <v/>
      </c>
      <c r="X48" s="19">
        <f>SUM(AQ48:AZ48)</f>
        <v/>
      </c>
      <c r="Y48" s="19">
        <f>SUM(AR48:AZ48)</f>
        <v/>
      </c>
      <c r="Z48" s="19">
        <f>SUM(AS48:AZ48)</f>
        <v/>
      </c>
      <c r="AA48" s="19">
        <f>SUM(AT48:AZ48)</f>
        <v/>
      </c>
      <c r="AB48" s="19">
        <f>SUM(AU48:AZ48)</f>
        <v/>
      </c>
      <c r="AC48" s="19">
        <f>SUM(AV48:AZ48)</f>
        <v/>
      </c>
      <c r="AD48" s="19">
        <f>SUM(AW48:AZ48)</f>
        <v/>
      </c>
      <c r="AE48" s="19">
        <f>SUM(AX48:AZ48)</f>
        <v/>
      </c>
      <c r="AF48" s="19">
        <f>SUM(AY48:AZ48)</f>
        <v/>
      </c>
      <c r="AG48" s="19">
        <f>SUM(AZ48:AZ48)</f>
        <v/>
      </c>
      <c r="AH48" s="21" t="n">
        <v>0</v>
      </c>
      <c r="AI48" s="21" t="n">
        <v>0</v>
      </c>
      <c r="AJ48" s="28" t="n"/>
      <c r="AK48" s="28" t="n"/>
      <c r="AL48" s="28" t="n"/>
      <c r="AM48" s="28" t="n"/>
      <c r="AN48" s="28" t="n"/>
      <c r="AO48" s="19" t="n">
        <v>0</v>
      </c>
      <c r="AP48" s="19" t="n">
        <v>0</v>
      </c>
      <c r="AQ48" s="19" t="n">
        <v>0</v>
      </c>
      <c r="AR48" s="19" t="n">
        <v>0</v>
      </c>
      <c r="AS48" s="19" t="n">
        <v>0</v>
      </c>
      <c r="AT48" s="19" t="n">
        <v>0</v>
      </c>
      <c r="AU48" s="19" t="n">
        <v>0</v>
      </c>
      <c r="AV48" s="19" t="n">
        <v>0</v>
      </c>
      <c r="AW48" s="19" t="n">
        <v>0</v>
      </c>
      <c r="AX48" s="19" t="n">
        <v>0</v>
      </c>
      <c r="AY48" s="19" t="n">
        <v>28405.83</v>
      </c>
      <c r="AZ48" s="19" t="n">
        <v>0</v>
      </c>
      <c r="BA48" s="50" t="n">
        <v>317303.07</v>
      </c>
      <c r="BB48" s="20" t="n">
        <v>0</v>
      </c>
      <c r="BC48" s="61"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29" t="inlineStr">
        <is>
          <t>差旅费（成本３）</t>
        </is>
      </c>
      <c r="S49" s="19" t="n">
        <v>13000</v>
      </c>
      <c r="T49" s="19">
        <f>SUM(AO49:BC49)</f>
        <v/>
      </c>
      <c r="U49" s="20">
        <f>SUM(BA49:BC49)</f>
        <v/>
      </c>
      <c r="V49" s="19">
        <f>SUM(AO49:AZ49)</f>
        <v/>
      </c>
      <c r="W49" s="19">
        <f>SUM(AP49:AZ49)</f>
        <v/>
      </c>
      <c r="X49" s="19">
        <f>SUM(AQ49:AZ49)</f>
        <v/>
      </c>
      <c r="Y49" s="19">
        <f>SUM(AR49:AZ49)</f>
        <v/>
      </c>
      <c r="Z49" s="19">
        <f>SUM(AS49:AZ49)</f>
        <v/>
      </c>
      <c r="AA49" s="19">
        <f>SUM(AT49:AZ49)</f>
        <v/>
      </c>
      <c r="AB49" s="19">
        <f>SUM(AU49:AZ49)</f>
        <v/>
      </c>
      <c r="AC49" s="19">
        <f>SUM(AV49:AZ49)</f>
        <v/>
      </c>
      <c r="AD49" s="19">
        <f>SUM(AW49:AZ49)</f>
        <v/>
      </c>
      <c r="AE49" s="19">
        <f>SUM(AX49:AZ49)</f>
        <v/>
      </c>
      <c r="AF49" s="19">
        <f>SUM(AY49:AZ49)</f>
        <v/>
      </c>
      <c r="AG49" s="19">
        <f>SUM(AZ49:AZ49)</f>
        <v/>
      </c>
      <c r="AH49" s="21" t="n">
        <v>0</v>
      </c>
      <c r="AI49" s="21" t="n">
        <v>0</v>
      </c>
      <c r="AJ49" s="28" t="n"/>
      <c r="AK49" s="28" t="n"/>
      <c r="AL49" s="28" t="n"/>
      <c r="AM49" s="28" t="n"/>
      <c r="AN49" s="28" t="n"/>
      <c r="AO49" s="19" t="n">
        <v>0</v>
      </c>
      <c r="AP49" s="19" t="n">
        <v>0</v>
      </c>
      <c r="AQ49" s="19" t="n">
        <v>0</v>
      </c>
      <c r="AR49" s="19" t="n">
        <v>0</v>
      </c>
      <c r="AS49" s="19" t="n">
        <v>0</v>
      </c>
      <c r="AT49" s="19" t="n">
        <v>0</v>
      </c>
      <c r="AU49" s="19" t="n">
        <v>0</v>
      </c>
      <c r="AV49" s="19" t="n">
        <v>0</v>
      </c>
      <c r="AW49" s="19" t="n">
        <v>0</v>
      </c>
      <c r="AX49" s="19" t="n">
        <v>0</v>
      </c>
      <c r="AY49" s="19" t="n">
        <v>0</v>
      </c>
      <c r="AZ49" s="19" t="n">
        <v>0</v>
      </c>
      <c r="BA49" s="50" t="n">
        <v>0</v>
      </c>
      <c r="BB49" s="20" t="n">
        <v>0</v>
      </c>
      <c r="BC49" s="61"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其他成本（成本３）</t>
        </is>
      </c>
      <c r="S50" s="19" t="n">
        <v>0</v>
      </c>
      <c r="T50" s="19">
        <f>SUM(AO50:BC50)</f>
        <v/>
      </c>
      <c r="U50" s="20">
        <f>SUM(BA50:BC50)</f>
        <v/>
      </c>
      <c r="V50" s="19">
        <f>SUM(AO50:AZ50)</f>
        <v/>
      </c>
      <c r="W50" s="19">
        <f>SUM(AP50:AZ50)</f>
        <v/>
      </c>
      <c r="X50" s="19">
        <f>SUM(AQ50:AZ50)</f>
        <v/>
      </c>
      <c r="Y50" s="19">
        <f>SUM(AR50:AZ50)</f>
        <v/>
      </c>
      <c r="Z50" s="19">
        <f>SUM(AS50:AZ50)</f>
        <v/>
      </c>
      <c r="AA50" s="19">
        <f>SUM(AT50:AZ50)</f>
        <v/>
      </c>
      <c r="AB50" s="19">
        <f>SUM(AU50:AZ50)</f>
        <v/>
      </c>
      <c r="AC50" s="19">
        <f>SUM(AV50:AZ50)</f>
        <v/>
      </c>
      <c r="AD50" s="19">
        <f>SUM(AW50:AZ50)</f>
        <v/>
      </c>
      <c r="AE50" s="19">
        <f>SUM(AX50:AZ50)</f>
        <v/>
      </c>
      <c r="AF50" s="19">
        <f>SUM(AY50:AZ50)</f>
        <v/>
      </c>
      <c r="AG50" s="19">
        <f>SUM(AZ50:AZ50)</f>
        <v/>
      </c>
      <c r="AH50" s="21" t="n">
        <v>0</v>
      </c>
      <c r="AI50" s="21" t="n">
        <v>0</v>
      </c>
      <c r="AJ50" s="28" t="n"/>
      <c r="AK50" s="28" t="n"/>
      <c r="AL50" s="28" t="n"/>
      <c r="AM50" s="28" t="n"/>
      <c r="AN50" s="28" t="n"/>
      <c r="AO50" s="19" t="n">
        <v>0</v>
      </c>
      <c r="AP50" s="19" t="n">
        <v>0</v>
      </c>
      <c r="AQ50" s="19" t="n">
        <v>0</v>
      </c>
      <c r="AR50" s="19" t="n">
        <v>0</v>
      </c>
      <c r="AS50" s="19" t="n">
        <v>0</v>
      </c>
      <c r="AT50" s="19" t="n">
        <v>0</v>
      </c>
      <c r="AU50" s="19" t="n">
        <v>0</v>
      </c>
      <c r="AV50" s="19" t="n">
        <v>0</v>
      </c>
      <c r="AW50" s="19" t="n">
        <v>0</v>
      </c>
      <c r="AX50" s="19" t="n">
        <v>0</v>
      </c>
      <c r="AY50" s="19" t="n">
        <v>-28405.83</v>
      </c>
      <c r="AZ50" s="19" t="n">
        <v>0</v>
      </c>
      <c r="BA50" s="50" t="n">
        <v>0</v>
      </c>
      <c r="BB50" s="20" t="n">
        <v>0</v>
      </c>
      <c r="BC50" s="61" t="n">
        <v>0</v>
      </c>
      <c r="BD50" s="27" t="inlineStr"/>
    </row>
    <row r="51">
      <c r="A51" s="28" t="n"/>
      <c r="B51" s="28" t="n"/>
      <c r="C51" s="28" t="n"/>
      <c r="D51" s="28" t="n"/>
      <c r="E51" s="28" t="n"/>
      <c r="F51" s="28" t="n"/>
      <c r="G51" s="28" t="n"/>
      <c r="H51" s="28" t="n"/>
      <c r="I51" s="28" t="n"/>
      <c r="J51" s="28" t="n"/>
      <c r="K51" s="28" t="n"/>
      <c r="L51" s="28" t="n"/>
      <c r="M51" s="28" t="n"/>
      <c r="N51" s="28" t="n"/>
      <c r="O51" s="28" t="n"/>
      <c r="P51" s="28" t="n"/>
      <c r="Q51" s="28" t="n"/>
      <c r="R51" s="29" t="inlineStr">
        <is>
          <t>累计成本</t>
        </is>
      </c>
      <c r="S51" s="30">
        <f>SUM(S48:S50)</f>
        <v/>
      </c>
      <c r="T51" s="30">
        <f>SUM(T48:T50)</f>
        <v/>
      </c>
      <c r="U51" s="31">
        <f>SUM(U48:U50)</f>
        <v/>
      </c>
      <c r="V51" s="30">
        <f>SUM(V48:V50)</f>
        <v/>
      </c>
      <c r="W51" s="30">
        <f>SUM(W48:W50)</f>
        <v/>
      </c>
      <c r="X51" s="30">
        <f>SUM(X48:X50)</f>
        <v/>
      </c>
      <c r="Y51" s="30">
        <f>SUM(Y48:Y50)</f>
        <v/>
      </c>
      <c r="Z51" s="30">
        <f>SUM(Z48:Z50)</f>
        <v/>
      </c>
      <c r="AA51" s="30">
        <f>SUM(AA48:AA50)</f>
        <v/>
      </c>
      <c r="AB51" s="30">
        <f>SUM(AB48:AB50)</f>
        <v/>
      </c>
      <c r="AC51" s="30">
        <f>SUM(AC48:AC50)</f>
        <v/>
      </c>
      <c r="AD51" s="30">
        <f>SUM(AD48:AD50)</f>
        <v/>
      </c>
      <c r="AE51" s="30">
        <f>SUM(AE48:AE50)</f>
        <v/>
      </c>
      <c r="AF51" s="30">
        <f>SUM(AF48:AF50)</f>
        <v/>
      </c>
      <c r="AG51" s="30">
        <f>SUM(AG48:AG50)</f>
        <v/>
      </c>
      <c r="AH51" s="30">
        <f>SUM(AH48:AH50)</f>
        <v/>
      </c>
      <c r="AI51" s="30">
        <f>SUM(AI48:AI50)</f>
        <v/>
      </c>
      <c r="AJ51" s="28" t="n"/>
      <c r="AK51" s="28" t="n"/>
      <c r="AL51" s="28" t="n"/>
      <c r="AM51" s="28" t="n"/>
      <c r="AN51" s="28" t="n"/>
      <c r="AO51" s="30">
        <f>SUM(AO48:AO50)</f>
        <v/>
      </c>
      <c r="AP51" s="30">
        <f>SUM(AP48:AP50)</f>
        <v/>
      </c>
      <c r="AQ51" s="30">
        <f>SUM(AQ48:AQ50)</f>
        <v/>
      </c>
      <c r="AR51" s="30">
        <f>SUM(AR48:AR50)</f>
        <v/>
      </c>
      <c r="AS51" s="30">
        <f>SUM(AS48:AS50)</f>
        <v/>
      </c>
      <c r="AT51" s="30">
        <f>SUM(AT48:AT50)</f>
        <v/>
      </c>
      <c r="AU51" s="30">
        <f>SUM(AU48:AU50)</f>
        <v/>
      </c>
      <c r="AV51" s="30">
        <f>SUM(AV48:AV50)</f>
        <v/>
      </c>
      <c r="AW51" s="30">
        <f>SUM(AW48:AW50)</f>
        <v/>
      </c>
      <c r="AX51" s="30">
        <f>SUM(AX48:AX50)</f>
        <v/>
      </c>
      <c r="AY51" s="30">
        <f>SUM(AY48:AY50)</f>
        <v/>
      </c>
      <c r="AZ51" s="30">
        <f>SUM(AZ48:AZ50)</f>
        <v/>
      </c>
      <c r="BA51" s="53" t="n">
        <v>317303.07</v>
      </c>
      <c r="BB51" s="31">
        <f>SUM(BB48:BB50)</f>
        <v/>
      </c>
      <c r="BC51" s="54">
        <f>SUM(BC48:BC50)</f>
        <v/>
      </c>
      <c r="BD51" s="32" t="inlineStr"/>
    </row>
    <row r="52">
      <c r="A52" s="28" t="n"/>
      <c r="B52" s="28" t="n"/>
      <c r="C52" s="28" t="n"/>
      <c r="D52" s="28" t="n"/>
      <c r="E52" s="28" t="n"/>
      <c r="F52" s="28" t="n"/>
      <c r="G52" s="28" t="n"/>
      <c r="H52" s="28" t="n"/>
      <c r="I52" s="28" t="n"/>
      <c r="J52" s="28" t="n"/>
      <c r="K52" s="28" t="n"/>
      <c r="L52" s="28" t="n"/>
      <c r="M52" s="28" t="n"/>
      <c r="N52" s="28" t="n"/>
      <c r="O52" s="28" t="n"/>
      <c r="P52" s="28" t="n"/>
      <c r="Q52" s="28" t="n"/>
      <c r="R52" s="29" t="inlineStr">
        <is>
          <t>GP1毛利</t>
        </is>
      </c>
      <c r="S52" s="19">
        <f>S47-S48</f>
        <v/>
      </c>
      <c r="T52" s="19">
        <f>T47-T48</f>
        <v/>
      </c>
      <c r="U52" s="20">
        <f>U47-U48</f>
        <v/>
      </c>
      <c r="V52" s="19">
        <f>V47-V48</f>
        <v/>
      </c>
      <c r="W52" s="19">
        <f>W47-W48</f>
        <v/>
      </c>
      <c r="X52" s="19">
        <f>X47-X48</f>
        <v/>
      </c>
      <c r="Y52" s="19">
        <f>Y47-Y48</f>
        <v/>
      </c>
      <c r="Z52" s="19">
        <f>Z47-Z48</f>
        <v/>
      </c>
      <c r="AA52" s="19">
        <f>AA47-AA48</f>
        <v/>
      </c>
      <c r="AB52" s="19">
        <f>AB47-AB48</f>
        <v/>
      </c>
      <c r="AC52" s="19">
        <f>AC47-AC48</f>
        <v/>
      </c>
      <c r="AD52" s="19">
        <f>AD47-AD48</f>
        <v/>
      </c>
      <c r="AE52" s="19">
        <f>AE47-AE48</f>
        <v/>
      </c>
      <c r="AF52" s="19">
        <f>AF47-AF48</f>
        <v/>
      </c>
      <c r="AG52" s="19">
        <f>AG47-AG48</f>
        <v/>
      </c>
      <c r="AH52" s="33" t="n">
        <v>0</v>
      </c>
      <c r="AI52" s="33" t="n">
        <v>0</v>
      </c>
      <c r="AJ52" s="28" t="n"/>
      <c r="AK52" s="28" t="n"/>
      <c r="AL52" s="28" t="n"/>
      <c r="AM52" s="28" t="n"/>
      <c r="AN52" s="28" t="n"/>
      <c r="AO52" s="19">
        <f>AO47-AO48</f>
        <v/>
      </c>
      <c r="AP52" s="19">
        <f>AP47-AP48</f>
        <v/>
      </c>
      <c r="AQ52" s="19">
        <f>AQ47-AQ48</f>
        <v/>
      </c>
      <c r="AR52" s="19">
        <f>AR47-AR48</f>
        <v/>
      </c>
      <c r="AS52" s="19">
        <f>AS47-AS48</f>
        <v/>
      </c>
      <c r="AT52" s="19">
        <f>AT47-AT48</f>
        <v/>
      </c>
      <c r="AU52" s="19">
        <f>AU47-AU48</f>
        <v/>
      </c>
      <c r="AV52" s="19">
        <f>AV47-AV48</f>
        <v/>
      </c>
      <c r="AW52" s="19">
        <f>AW47-AW48</f>
        <v/>
      </c>
      <c r="AX52" s="19">
        <f>AX47-AX48</f>
        <v/>
      </c>
      <c r="AY52" s="19">
        <f>AY47-AY48</f>
        <v/>
      </c>
      <c r="AZ52" s="19">
        <f>AZ47-AZ48</f>
        <v/>
      </c>
      <c r="BA52" s="55" t="n">
        <v>117696.93</v>
      </c>
      <c r="BB52" s="31" t="n">
        <v>0</v>
      </c>
      <c r="BC52" s="61"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35" t="inlineStr">
        <is>
          <t>GP1毛利率(%)</t>
        </is>
      </c>
      <c r="S53" s="36">
        <f>S52/S47</f>
        <v/>
      </c>
      <c r="T53" s="36">
        <f>T52/T47</f>
        <v/>
      </c>
      <c r="U53" s="37">
        <f>U52/U47</f>
        <v/>
      </c>
      <c r="V53" s="36">
        <f>V52/V47</f>
        <v/>
      </c>
      <c r="W53" s="36">
        <f>W52/W47</f>
        <v/>
      </c>
      <c r="X53" s="36">
        <f>X52/X47</f>
        <v/>
      </c>
      <c r="Y53" s="36">
        <f>Y52/Y47</f>
        <v/>
      </c>
      <c r="Z53" s="36">
        <f>Z52/Z47</f>
        <v/>
      </c>
      <c r="AA53" s="36">
        <f>AA52/AA47</f>
        <v/>
      </c>
      <c r="AB53" s="36">
        <f>AB52/AB47</f>
        <v/>
      </c>
      <c r="AC53" s="36">
        <f>AC52/AC47</f>
        <v/>
      </c>
      <c r="AD53" s="36">
        <f>AD52/AD47</f>
        <v/>
      </c>
      <c r="AE53" s="36">
        <f>AE52/AE47</f>
        <v/>
      </c>
      <c r="AF53" s="36">
        <f>AF52/AF47</f>
        <v/>
      </c>
      <c r="AG53" s="36">
        <f>AG52/AG47</f>
        <v/>
      </c>
      <c r="AH53" s="38">
        <f>T53-S53</f>
        <v/>
      </c>
      <c r="AI53" s="38">
        <f>AF53-S53</f>
        <v/>
      </c>
      <c r="AJ53" s="28" t="n"/>
      <c r="AK53" s="28" t="n"/>
      <c r="AL53" s="28" t="n"/>
      <c r="AM53" s="28" t="n"/>
      <c r="AN53" s="28" t="n"/>
      <c r="AO53" s="36">
        <f>AO52/AO47</f>
        <v/>
      </c>
      <c r="AP53" s="36">
        <f>AP52/AP47</f>
        <v/>
      </c>
      <c r="AQ53" s="36">
        <f>AQ52/AQ47</f>
        <v/>
      </c>
      <c r="AR53" s="36">
        <f>AR52/AR47</f>
        <v/>
      </c>
      <c r="AS53" s="36">
        <f>AS52/AS47</f>
        <v/>
      </c>
      <c r="AT53" s="36">
        <f>AT52/AT47</f>
        <v/>
      </c>
      <c r="AU53" s="36">
        <f>AU52/AU47</f>
        <v/>
      </c>
      <c r="AV53" s="36">
        <f>AV52/AV47</f>
        <v/>
      </c>
      <c r="AW53" s="36">
        <f>AW52/AW47</f>
        <v/>
      </c>
      <c r="AX53" s="36">
        <f>AX52/AX47</f>
        <v/>
      </c>
      <c r="AY53" s="36">
        <f>AY52/AY47</f>
        <v/>
      </c>
      <c r="AZ53" s="36">
        <f>AZ52/AZ47</f>
        <v/>
      </c>
      <c r="BA53" s="56" t="n">
        <v>0.270567655172414</v>
      </c>
      <c r="BB53" s="39" t="n">
        <v>0</v>
      </c>
      <c r="BC53" s="61"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GP3毛利</t>
        </is>
      </c>
      <c r="S54" s="19">
        <f>S47-S48-S49-S50</f>
        <v/>
      </c>
      <c r="T54" s="19">
        <f>T47-T48-T49-T50</f>
        <v/>
      </c>
      <c r="U54" s="20">
        <f>U47-U48-U49-U50</f>
        <v/>
      </c>
      <c r="V54" s="19">
        <f>V47-V48-V49-V50</f>
        <v/>
      </c>
      <c r="W54" s="19">
        <f>W47-W48-W49-W50</f>
        <v/>
      </c>
      <c r="X54" s="19">
        <f>X47-X48-X49-X50</f>
        <v/>
      </c>
      <c r="Y54" s="19">
        <f>Y47-Y48-Y49-Y50</f>
        <v/>
      </c>
      <c r="Z54" s="19">
        <f>Z47-Z48-Z49-Z50</f>
        <v/>
      </c>
      <c r="AA54" s="19">
        <f>AA47-AA48-AA49-AA50</f>
        <v/>
      </c>
      <c r="AB54" s="19">
        <f>AB47-AB48-AB49-AB50</f>
        <v/>
      </c>
      <c r="AC54" s="19">
        <f>AC47-AC48-AC49-AC50</f>
        <v/>
      </c>
      <c r="AD54" s="19">
        <f>AD47-AD48-AD49-AD50</f>
        <v/>
      </c>
      <c r="AE54" s="19">
        <f>AE47-AE48-AE49-AE50</f>
        <v/>
      </c>
      <c r="AF54" s="19">
        <f>AF47-AF48-AF49-AF50</f>
        <v/>
      </c>
      <c r="AG54" s="19">
        <f>AG47-AG48-AG49-AG50</f>
        <v/>
      </c>
      <c r="AH54" s="38" t="n">
        <v>0</v>
      </c>
      <c r="AI54" s="38" t="n">
        <v>0</v>
      </c>
      <c r="AJ54" s="28" t="n"/>
      <c r="AK54" s="28" t="n"/>
      <c r="AL54" s="28" t="n"/>
      <c r="AM54" s="28" t="n"/>
      <c r="AN54" s="28" t="n"/>
      <c r="AO54" s="19">
        <f>AO47-AO48-AO49-AO50</f>
        <v/>
      </c>
      <c r="AP54" s="19">
        <f>AP47-AP48-AP49-AP50</f>
        <v/>
      </c>
      <c r="AQ54" s="19">
        <f>AQ47-AQ48-AQ49-AQ50</f>
        <v/>
      </c>
      <c r="AR54" s="19">
        <f>AR47-AR48-AR49-AR50</f>
        <v/>
      </c>
      <c r="AS54" s="19">
        <f>AS47-AS48-AS49-AS50</f>
        <v/>
      </c>
      <c r="AT54" s="19">
        <f>AT47-AT48-AT49-AT50</f>
        <v/>
      </c>
      <c r="AU54" s="19">
        <f>AU47-AU48-AU49-AU50</f>
        <v/>
      </c>
      <c r="AV54" s="19">
        <f>AV47-AV48-AV49-AV50</f>
        <v/>
      </c>
      <c r="AW54" s="19">
        <f>AW47-AW48-AW49-AW50</f>
        <v/>
      </c>
      <c r="AX54" s="19">
        <f>AX47-AX48-AX49-AX50</f>
        <v/>
      </c>
      <c r="AY54" s="19">
        <f>AY47-AY48-AY49-AY50</f>
        <v/>
      </c>
      <c r="AZ54" s="19">
        <f>AZ47-AZ48-AZ49-AZ50</f>
        <v/>
      </c>
      <c r="BA54" s="57" t="n">
        <v>117696.93</v>
      </c>
      <c r="BB54" s="31" t="n">
        <v>0</v>
      </c>
      <c r="BC54" s="61" t="n">
        <v>0</v>
      </c>
      <c r="BD54" s="27" t="inlineStr"/>
    </row>
    <row r="55">
      <c r="A55" s="42" t="n"/>
      <c r="B55" s="42" t="n"/>
      <c r="C55" s="42" t="n"/>
      <c r="D55" s="42" t="n"/>
      <c r="E55" s="42" t="n"/>
      <c r="F55" s="42" t="n"/>
      <c r="G55" s="42" t="n"/>
      <c r="H55" s="42" t="n"/>
      <c r="I55" s="42" t="n"/>
      <c r="J55" s="42" t="n"/>
      <c r="K55" s="42" t="n"/>
      <c r="L55" s="42" t="n"/>
      <c r="M55" s="42" t="n"/>
      <c r="N55" s="42" t="n"/>
      <c r="O55" s="42" t="n"/>
      <c r="P55" s="42" t="n"/>
      <c r="Q55" s="42" t="n"/>
      <c r="R55" s="35" t="inlineStr">
        <is>
          <t>GP3毛利率(%)</t>
        </is>
      </c>
      <c r="S55" s="36">
        <f>S54/S47</f>
        <v/>
      </c>
      <c r="T55" s="36">
        <f>T54/T47</f>
        <v/>
      </c>
      <c r="U55" s="37">
        <f>U54/U47</f>
        <v/>
      </c>
      <c r="V55" s="36">
        <f>V54/V47</f>
        <v/>
      </c>
      <c r="W55" s="36">
        <f>W54/W47</f>
        <v/>
      </c>
      <c r="X55" s="36">
        <f>X54/X47</f>
        <v/>
      </c>
      <c r="Y55" s="36">
        <f>Y54/Y47</f>
        <v/>
      </c>
      <c r="Z55" s="36">
        <f>Z54/Z47</f>
        <v/>
      </c>
      <c r="AA55" s="36">
        <f>AA54/AA47</f>
        <v/>
      </c>
      <c r="AB55" s="36">
        <f>AB54/AB47</f>
        <v/>
      </c>
      <c r="AC55" s="36">
        <f>AC54/AC47</f>
        <v/>
      </c>
      <c r="AD55" s="36">
        <f>AD54/AD47</f>
        <v/>
      </c>
      <c r="AE55" s="36">
        <f>AE54/AE47</f>
        <v/>
      </c>
      <c r="AF55" s="36">
        <f>AF54/AF47</f>
        <v/>
      </c>
      <c r="AG55" s="36">
        <f>AG54/AG47</f>
        <v/>
      </c>
      <c r="AH55" s="38">
        <f>T55-S55</f>
        <v/>
      </c>
      <c r="AI55" s="38">
        <f>AF55-S55</f>
        <v/>
      </c>
      <c r="AJ55" s="42" t="n"/>
      <c r="AK55" s="42" t="n"/>
      <c r="AL55" s="42" t="n"/>
      <c r="AM55" s="42" t="n"/>
      <c r="AN55" s="42" t="n"/>
      <c r="AO55" s="36">
        <f>AO54/AO47</f>
        <v/>
      </c>
      <c r="AP55" s="36">
        <f>AP54/AP47</f>
        <v/>
      </c>
      <c r="AQ55" s="36">
        <f>AQ54/AQ47</f>
        <v/>
      </c>
      <c r="AR55" s="36">
        <f>AR54/AR47</f>
        <v/>
      </c>
      <c r="AS55" s="36">
        <f>AS54/AS47</f>
        <v/>
      </c>
      <c r="AT55" s="36">
        <f>AT54/AT47</f>
        <v/>
      </c>
      <c r="AU55" s="36">
        <f>AU54/AU47</f>
        <v/>
      </c>
      <c r="AV55" s="36">
        <f>AV54/AV47</f>
        <v/>
      </c>
      <c r="AW55" s="36">
        <f>AW54/AW47</f>
        <v/>
      </c>
      <c r="AX55" s="36">
        <f>AX54/AX47</f>
        <v/>
      </c>
      <c r="AY55" s="36">
        <f>AY54/AY47</f>
        <v/>
      </c>
      <c r="AZ55" s="36">
        <f>AZ54/AZ47</f>
        <v/>
      </c>
      <c r="BA55" s="56" t="n">
        <v>0.270567655172414</v>
      </c>
      <c r="BB55" s="39" t="n">
        <v>0</v>
      </c>
      <c r="BC55" s="61" t="n">
        <v>0</v>
      </c>
      <c r="BD55" s="27" t="inlineStr"/>
    </row>
    <row r="56">
      <c r="A56" s="43" t="inlineStr">
        <is>
          <t>P202511000193</t>
        </is>
      </c>
      <c r="B56" s="44" t="inlineStr">
        <is>
          <t>中国兽医药品监察所-2025-2026年OA办公系统运行维护服务-FP项目</t>
        </is>
      </c>
      <c r="C56" s="45" t="n">
        <v>45962</v>
      </c>
      <c r="D56" s="45" t="n">
        <v>46271</v>
      </c>
      <c r="E56" s="15" t="n"/>
      <c r="F56" s="15" t="n">
        <v>0.188</v>
      </c>
      <c r="G56" s="17" t="n"/>
      <c r="H56" s="17" t="n"/>
      <c r="I56" s="17" t="n"/>
      <c r="J56" s="17" t="n"/>
      <c r="K56" s="17" t="n"/>
      <c r="L56" s="17" t="n"/>
      <c r="M56" s="17" t="n"/>
      <c r="N56" s="17" t="n"/>
      <c r="O56" s="17" t="n"/>
      <c r="P56" s="17" t="n"/>
      <c r="Q56" s="17" t="inlineStr"/>
      <c r="R56" s="48" t="inlineStr">
        <is>
          <t>累计收入（NR）</t>
        </is>
      </c>
      <c r="S56" s="19" t="n">
        <v>80188.67999999999</v>
      </c>
      <c r="T56" s="19">
        <f>SUM(AO56:BC56)</f>
        <v/>
      </c>
      <c r="U56" s="20">
        <f>SUM(BA56:BC56)</f>
        <v/>
      </c>
      <c r="V56" s="19">
        <f>SUM(AO56:AZ56)</f>
        <v/>
      </c>
      <c r="W56" s="19">
        <f>SUM(AP56:AZ56)</f>
        <v/>
      </c>
      <c r="X56" s="19" t="n">
        <v>0</v>
      </c>
      <c r="Y56" s="19" t="n">
        <v>0</v>
      </c>
      <c r="Z56" s="19">
        <f>SUM(AS56:AZ56)</f>
        <v/>
      </c>
      <c r="AA56" s="19">
        <f>SUM(AT56:AZ56)</f>
        <v/>
      </c>
      <c r="AB56" s="19">
        <f>SUM(AU56:AZ56)</f>
        <v/>
      </c>
      <c r="AC56" s="19">
        <f>SUM(AV56:AZ56)</f>
        <v/>
      </c>
      <c r="AD56" s="19">
        <f>SUM(AW56:AZ56)</f>
        <v/>
      </c>
      <c r="AE56" s="19">
        <f>SUM(AX56:AZ56)</f>
        <v/>
      </c>
      <c r="AF56" s="19">
        <f>SUM(AY56:AZ56)</f>
        <v/>
      </c>
      <c r="AG56" s="19">
        <f>SUM(AZ56:AZ56)</f>
        <v/>
      </c>
      <c r="AH56" s="21" t="n">
        <v>0</v>
      </c>
      <c r="AI56" s="21" t="n">
        <v>0</v>
      </c>
      <c r="AJ56" s="44" t="inlineStr"/>
      <c r="AK56" s="49" t="inlineStr">
        <is>
          <t>农业运维项目，收入由系统每月自动计入，成本视实际投入情况填报</t>
        </is>
      </c>
      <c r="AL56" s="49" t="inlineStr"/>
      <c r="AM56" s="49" t="inlineStr"/>
      <c r="AN56" s="24" t="n"/>
      <c r="AO56" s="19" t="n">
        <v>0</v>
      </c>
      <c r="AP56" s="19" t="n">
        <v>0</v>
      </c>
      <c r="AQ56" s="19" t="n">
        <v>0</v>
      </c>
      <c r="AR56" s="19" t="n">
        <v>0</v>
      </c>
      <c r="AS56" s="19" t="n">
        <v>0</v>
      </c>
      <c r="AT56" s="19" t="n">
        <v>0</v>
      </c>
      <c r="AU56" s="19" t="n">
        <v>0</v>
      </c>
      <c r="AV56" s="19" t="n">
        <v>0</v>
      </c>
      <c r="AW56" s="19" t="n">
        <v>0</v>
      </c>
      <c r="AX56" s="19" t="n">
        <v>0</v>
      </c>
      <c r="AY56" s="19" t="n">
        <v>7242.89</v>
      </c>
      <c r="AZ56" s="19" t="n">
        <v>8018.87</v>
      </c>
      <c r="BA56" s="50" t="n">
        <v>15477.62</v>
      </c>
      <c r="BB56" s="20" t="n">
        <v>0</v>
      </c>
      <c r="BC56" s="61"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人工成本（成本１）</t>
        </is>
      </c>
      <c r="S57" s="19" t="n">
        <v>64941.27</v>
      </c>
      <c r="T57" s="19">
        <f>SUM(AO57:BC57)</f>
        <v/>
      </c>
      <c r="U57" s="20">
        <f>SUM(BA57:BC57)</f>
        <v/>
      </c>
      <c r="V57" s="19">
        <f>SUM(AO57:AZ57)</f>
        <v/>
      </c>
      <c r="W57" s="19">
        <f>SUM(AP57:AZ57)</f>
        <v/>
      </c>
      <c r="X57" s="19" t="n">
        <v>0</v>
      </c>
      <c r="Y57" s="19" t="n">
        <v>0</v>
      </c>
      <c r="Z57" s="19">
        <f>SUM(AS57:AZ57)</f>
        <v/>
      </c>
      <c r="AA57" s="19">
        <f>SUM(AT57:AZ57)</f>
        <v/>
      </c>
      <c r="AB57" s="19">
        <f>SUM(AU57:AZ57)</f>
        <v/>
      </c>
      <c r="AC57" s="19">
        <f>SUM(AV57:AZ57)</f>
        <v/>
      </c>
      <c r="AD57" s="19">
        <f>SUM(AW57:AZ57)</f>
        <v/>
      </c>
      <c r="AE57" s="19">
        <f>SUM(AX57:AZ57)</f>
        <v/>
      </c>
      <c r="AF57" s="19">
        <f>SUM(AY57:AZ57)</f>
        <v/>
      </c>
      <c r="AG57" s="19">
        <f>SUM(AZ57:AZ57)</f>
        <v/>
      </c>
      <c r="AH57" s="21" t="n">
        <v>0</v>
      </c>
      <c r="AI57" s="21" t="n">
        <v>0</v>
      </c>
      <c r="AJ57" s="28" t="n"/>
      <c r="AK57" s="28" t="n"/>
      <c r="AL57" s="28" t="n"/>
      <c r="AM57" s="28" t="n"/>
      <c r="AN57" s="28" t="n"/>
      <c r="AO57" s="19" t="n">
        <v>0</v>
      </c>
      <c r="AP57" s="19" t="n">
        <v>0</v>
      </c>
      <c r="AQ57" s="19" t="n">
        <v>0</v>
      </c>
      <c r="AR57" s="19" t="n">
        <v>0</v>
      </c>
      <c r="AS57" s="19" t="n">
        <v>0</v>
      </c>
      <c r="AT57" s="19" t="n">
        <v>0</v>
      </c>
      <c r="AU57" s="19" t="n">
        <v>0</v>
      </c>
      <c r="AV57" s="19" t="n">
        <v>0</v>
      </c>
      <c r="AW57" s="19" t="n">
        <v>0</v>
      </c>
      <c r="AX57" s="19" t="n">
        <v>0</v>
      </c>
      <c r="AY57" s="19" t="n">
        <v>4136.15</v>
      </c>
      <c r="AZ57" s="19" t="n">
        <v>22059.37</v>
      </c>
      <c r="BA57" s="50" t="n">
        <v>0</v>
      </c>
      <c r="BB57" s="20" t="n">
        <v>0</v>
      </c>
      <c r="BC57" s="61" t="n">
        <v>0</v>
      </c>
      <c r="BD57" s="27"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差旅费（成本３）</t>
        </is>
      </c>
      <c r="S58" s="19" t="n">
        <v>0</v>
      </c>
      <c r="T58" s="19">
        <f>SUM(AO58:BC58)</f>
        <v/>
      </c>
      <c r="U58" s="20">
        <f>SUM(BA58:BC58)</f>
        <v/>
      </c>
      <c r="V58" s="19">
        <f>SUM(AO58:AZ58)</f>
        <v/>
      </c>
      <c r="W58" s="19">
        <f>SUM(AP58:AZ58)</f>
        <v/>
      </c>
      <c r="X58" s="19" t="n">
        <v>0</v>
      </c>
      <c r="Y58" s="19" t="n">
        <v>0</v>
      </c>
      <c r="Z58" s="19">
        <f>SUM(AS58:AZ58)</f>
        <v/>
      </c>
      <c r="AA58" s="19">
        <f>SUM(AT58:AZ58)</f>
        <v/>
      </c>
      <c r="AB58" s="19">
        <f>SUM(AU58:AZ58)</f>
        <v/>
      </c>
      <c r="AC58" s="19">
        <f>SUM(AV58:AZ58)</f>
        <v/>
      </c>
      <c r="AD58" s="19">
        <f>SUM(AW58:AZ58)</f>
        <v/>
      </c>
      <c r="AE58" s="19">
        <f>SUM(AX58:AZ58)</f>
        <v/>
      </c>
      <c r="AF58" s="19">
        <f>SUM(AY58:AZ58)</f>
        <v/>
      </c>
      <c r="AG58" s="19">
        <f>SUM(AZ58:AZ58)</f>
        <v/>
      </c>
      <c r="AH58" s="21" t="n">
        <v>0</v>
      </c>
      <c r="AI58" s="21" t="n">
        <v>0</v>
      </c>
      <c r="AJ58" s="28" t="n"/>
      <c r="AK58" s="28" t="n"/>
      <c r="AL58" s="28" t="n"/>
      <c r="AM58" s="28" t="n"/>
      <c r="AN58" s="28" t="n"/>
      <c r="AO58" s="19" t="n">
        <v>0</v>
      </c>
      <c r="AP58" s="19" t="n">
        <v>0</v>
      </c>
      <c r="AQ58" s="19" t="n">
        <v>0</v>
      </c>
      <c r="AR58" s="19" t="n">
        <v>0</v>
      </c>
      <c r="AS58" s="19" t="n">
        <v>0</v>
      </c>
      <c r="AT58" s="19" t="n">
        <v>0</v>
      </c>
      <c r="AU58" s="19" t="n">
        <v>0</v>
      </c>
      <c r="AV58" s="19" t="n">
        <v>0</v>
      </c>
      <c r="AW58" s="19" t="n">
        <v>0</v>
      </c>
      <c r="AX58" s="19" t="n">
        <v>0</v>
      </c>
      <c r="AY58" s="19" t="n">
        <v>0</v>
      </c>
      <c r="AZ58" s="19" t="n">
        <v>0</v>
      </c>
      <c r="BA58" s="50" t="n">
        <v>0</v>
      </c>
      <c r="BB58" s="20" t="n">
        <v>0</v>
      </c>
      <c r="BC58" s="61"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29" t="inlineStr">
        <is>
          <t>其他成本（成本３）</t>
        </is>
      </c>
      <c r="S59" s="19" t="n">
        <v>0</v>
      </c>
      <c r="T59" s="19">
        <f>SUM(AO59:BC59)</f>
        <v/>
      </c>
      <c r="U59" s="20">
        <f>SUM(BA59:BC59)</f>
        <v/>
      </c>
      <c r="V59" s="19">
        <f>SUM(AO59:AZ59)</f>
        <v/>
      </c>
      <c r="W59" s="19">
        <f>SUM(AP59:AZ59)</f>
        <v/>
      </c>
      <c r="X59" s="19" t="n">
        <v>0</v>
      </c>
      <c r="Y59" s="19" t="n">
        <v>0</v>
      </c>
      <c r="Z59" s="19">
        <f>SUM(AS59:AZ59)</f>
        <v/>
      </c>
      <c r="AA59" s="19">
        <f>SUM(AT59:AZ59)</f>
        <v/>
      </c>
      <c r="AB59" s="19">
        <f>SUM(AU59:AZ59)</f>
        <v/>
      </c>
      <c r="AC59" s="19">
        <f>SUM(AV59:AZ59)</f>
        <v/>
      </c>
      <c r="AD59" s="19">
        <f>SUM(AW59:AZ59)</f>
        <v/>
      </c>
      <c r="AE59" s="19">
        <f>SUM(AX59:AZ59)</f>
        <v/>
      </c>
      <c r="AF59" s="19">
        <f>SUM(AY59:AZ59)</f>
        <v/>
      </c>
      <c r="AG59" s="19">
        <f>SUM(AZ59:AZ59)</f>
        <v/>
      </c>
      <c r="AH59" s="21" t="n">
        <v>0</v>
      </c>
      <c r="AI59" s="21" t="n">
        <v>0</v>
      </c>
      <c r="AJ59" s="28" t="n"/>
      <c r="AK59" s="28" t="n"/>
      <c r="AL59" s="28" t="n"/>
      <c r="AM59" s="28" t="n"/>
      <c r="AN59" s="28" t="n"/>
      <c r="AO59" s="19" t="n">
        <v>0</v>
      </c>
      <c r="AP59" s="19" t="n">
        <v>0</v>
      </c>
      <c r="AQ59" s="19" t="n">
        <v>0</v>
      </c>
      <c r="AR59" s="19" t="n">
        <v>0</v>
      </c>
      <c r="AS59" s="19" t="n">
        <v>0</v>
      </c>
      <c r="AT59" s="19" t="n">
        <v>0</v>
      </c>
      <c r="AU59" s="19" t="n">
        <v>0</v>
      </c>
      <c r="AV59" s="19" t="n">
        <v>0</v>
      </c>
      <c r="AW59" s="19" t="n">
        <v>0</v>
      </c>
      <c r="AX59" s="19" t="n">
        <v>0</v>
      </c>
      <c r="AY59" s="19" t="n">
        <v>0</v>
      </c>
      <c r="AZ59" s="19" t="n">
        <v>-16.3</v>
      </c>
      <c r="BA59" s="50" t="n">
        <v>-56.65</v>
      </c>
      <c r="BB59" s="20" t="n">
        <v>0</v>
      </c>
      <c r="BC59" s="61"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累计成本</t>
        </is>
      </c>
      <c r="S60" s="30">
        <f>SUM(S57:S59)</f>
        <v/>
      </c>
      <c r="T60" s="30">
        <f>SUM(T57:T59)</f>
        <v/>
      </c>
      <c r="U60" s="31">
        <f>SUM(U57:U59)</f>
        <v/>
      </c>
      <c r="V60" s="30">
        <f>SUM(V57:V59)</f>
        <v/>
      </c>
      <c r="W60" s="30">
        <f>SUM(W57:W59)</f>
        <v/>
      </c>
      <c r="X60" s="30">
        <f>SUM(X57:X59)</f>
        <v/>
      </c>
      <c r="Y60" s="30">
        <f>SUM(Y57:Y59)</f>
        <v/>
      </c>
      <c r="Z60" s="30">
        <f>SUM(Z57:Z59)</f>
        <v/>
      </c>
      <c r="AA60" s="30">
        <f>SUM(AA57:AA59)</f>
        <v/>
      </c>
      <c r="AB60" s="30">
        <f>SUM(AB57:AB59)</f>
        <v/>
      </c>
      <c r="AC60" s="30">
        <f>SUM(AC57:AC59)</f>
        <v/>
      </c>
      <c r="AD60" s="30">
        <f>SUM(AD57:AD59)</f>
        <v/>
      </c>
      <c r="AE60" s="30">
        <f>SUM(AE57:AE59)</f>
        <v/>
      </c>
      <c r="AF60" s="30">
        <f>SUM(AF57:AF59)</f>
        <v/>
      </c>
      <c r="AG60" s="30">
        <f>SUM(AG57:AG59)</f>
        <v/>
      </c>
      <c r="AH60" s="30">
        <f>SUM(AH57:AH59)</f>
        <v/>
      </c>
      <c r="AI60" s="30">
        <f>SUM(AI57:AI59)</f>
        <v/>
      </c>
      <c r="AJ60" s="28" t="n"/>
      <c r="AK60" s="28" t="n"/>
      <c r="AL60" s="28" t="n"/>
      <c r="AM60" s="28" t="n"/>
      <c r="AN60" s="28" t="n"/>
      <c r="AO60" s="30">
        <f>SUM(AO57:AO59)</f>
        <v/>
      </c>
      <c r="AP60" s="30">
        <f>SUM(AP57:AP59)</f>
        <v/>
      </c>
      <c r="AQ60" s="30">
        <f>SUM(AQ57:AQ59)</f>
        <v/>
      </c>
      <c r="AR60" s="30">
        <f>SUM(AR57:AR59)</f>
        <v/>
      </c>
      <c r="AS60" s="30">
        <f>SUM(AS57:AS59)</f>
        <v/>
      </c>
      <c r="AT60" s="30">
        <f>SUM(AT57:AT59)</f>
        <v/>
      </c>
      <c r="AU60" s="30">
        <f>SUM(AU57:AU59)</f>
        <v/>
      </c>
      <c r="AV60" s="30">
        <f>SUM(AV57:AV59)</f>
        <v/>
      </c>
      <c r="AW60" s="30">
        <f>SUM(AW57:AW59)</f>
        <v/>
      </c>
      <c r="AX60" s="30">
        <f>SUM(AX57:AX59)</f>
        <v/>
      </c>
      <c r="AY60" s="30">
        <f>SUM(AY57:AY59)</f>
        <v/>
      </c>
      <c r="AZ60" s="30">
        <f>SUM(AZ57:AZ59)</f>
        <v/>
      </c>
      <c r="BA60" s="53" t="n">
        <v>-56.65</v>
      </c>
      <c r="BB60" s="31">
        <f>SUM(BB57:BB59)</f>
        <v/>
      </c>
      <c r="BC60" s="54">
        <f>SUM(BC57:BC59)</f>
        <v/>
      </c>
      <c r="BD60" s="32" t="inlineStr"/>
    </row>
    <row r="61">
      <c r="A61" s="28" t="n"/>
      <c r="B61" s="28" t="n"/>
      <c r="C61" s="28" t="n"/>
      <c r="D61" s="28" t="n"/>
      <c r="E61" s="28" t="n"/>
      <c r="F61" s="28" t="n"/>
      <c r="G61" s="28" t="n"/>
      <c r="H61" s="28" t="n"/>
      <c r="I61" s="28" t="n"/>
      <c r="J61" s="28" t="n"/>
      <c r="K61" s="28" t="n"/>
      <c r="L61" s="28" t="n"/>
      <c r="M61" s="28" t="n"/>
      <c r="N61" s="28" t="n"/>
      <c r="O61" s="28" t="n"/>
      <c r="P61" s="28" t="n"/>
      <c r="Q61" s="28" t="n"/>
      <c r="R61" s="29" t="inlineStr">
        <is>
          <t>GP1毛利</t>
        </is>
      </c>
      <c r="S61" s="19">
        <f>S56-S57</f>
        <v/>
      </c>
      <c r="T61" s="19">
        <f>T56-T57</f>
        <v/>
      </c>
      <c r="U61" s="20">
        <f>U56-U57</f>
        <v/>
      </c>
      <c r="V61" s="19">
        <f>V56-V57</f>
        <v/>
      </c>
      <c r="W61" s="19">
        <f>W56-W57</f>
        <v/>
      </c>
      <c r="X61" s="19" t="n">
        <v>0</v>
      </c>
      <c r="Y61" s="19" t="n">
        <v>0</v>
      </c>
      <c r="Z61" s="19">
        <f>Z56-Z57</f>
        <v/>
      </c>
      <c r="AA61" s="19">
        <f>AA56-AA57</f>
        <v/>
      </c>
      <c r="AB61" s="19">
        <f>AB56-AB57</f>
        <v/>
      </c>
      <c r="AC61" s="19">
        <f>AC56-AC57</f>
        <v/>
      </c>
      <c r="AD61" s="19">
        <f>AD56-AD57</f>
        <v/>
      </c>
      <c r="AE61" s="19">
        <f>AE56-AE57</f>
        <v/>
      </c>
      <c r="AF61" s="19">
        <f>AF56-AF57</f>
        <v/>
      </c>
      <c r="AG61" s="19">
        <f>AG56-AG57</f>
        <v/>
      </c>
      <c r="AH61" s="33" t="n">
        <v>0</v>
      </c>
      <c r="AI61" s="33" t="n">
        <v>0</v>
      </c>
      <c r="AJ61" s="28" t="n"/>
      <c r="AK61" s="28" t="n"/>
      <c r="AL61" s="28" t="n"/>
      <c r="AM61" s="28" t="n"/>
      <c r="AN61" s="28" t="n"/>
      <c r="AO61" s="19">
        <f>AO56-AO57</f>
        <v/>
      </c>
      <c r="AP61" s="19">
        <f>AP56-AP57</f>
        <v/>
      </c>
      <c r="AQ61" s="19">
        <f>AQ56-AQ57</f>
        <v/>
      </c>
      <c r="AR61" s="19">
        <f>AR56-AR57</f>
        <v/>
      </c>
      <c r="AS61" s="19">
        <f>AS56-AS57</f>
        <v/>
      </c>
      <c r="AT61" s="19">
        <f>AT56-AT57</f>
        <v/>
      </c>
      <c r="AU61" s="19">
        <f>AU56-AU57</f>
        <v/>
      </c>
      <c r="AV61" s="19">
        <f>AV56-AV57</f>
        <v/>
      </c>
      <c r="AW61" s="19">
        <f>AW56-AW57</f>
        <v/>
      </c>
      <c r="AX61" s="19">
        <f>AX56-AX57</f>
        <v/>
      </c>
      <c r="AY61" s="19">
        <f>AY56-AY57</f>
        <v/>
      </c>
      <c r="AZ61" s="19">
        <f>AZ56-AZ57</f>
        <v/>
      </c>
      <c r="BA61" s="55" t="n">
        <v>15477.62</v>
      </c>
      <c r="BB61" s="31" t="n">
        <v>0</v>
      </c>
      <c r="BC61" s="61" t="n">
        <v>0</v>
      </c>
      <c r="BD61" s="27" t="inlineStr"/>
    </row>
    <row r="62">
      <c r="A62" s="28" t="n"/>
      <c r="B62" s="28" t="n"/>
      <c r="C62" s="28" t="n"/>
      <c r="D62" s="28" t="n"/>
      <c r="E62" s="28" t="n"/>
      <c r="F62" s="28" t="n"/>
      <c r="G62" s="28" t="n"/>
      <c r="H62" s="28" t="n"/>
      <c r="I62" s="28" t="n"/>
      <c r="J62" s="28" t="n"/>
      <c r="K62" s="28" t="n"/>
      <c r="L62" s="28" t="n"/>
      <c r="M62" s="28" t="n"/>
      <c r="N62" s="28" t="n"/>
      <c r="O62" s="28" t="n"/>
      <c r="P62" s="28" t="n"/>
      <c r="Q62" s="28" t="n"/>
      <c r="R62" s="35" t="inlineStr">
        <is>
          <t>GP1毛利率(%)</t>
        </is>
      </c>
      <c r="S62" s="36">
        <f>S61/S56</f>
        <v/>
      </c>
      <c r="T62" s="36">
        <f>T61/T56</f>
        <v/>
      </c>
      <c r="U62" s="37">
        <f>U61/U56</f>
        <v/>
      </c>
      <c r="V62" s="36">
        <f>V61/V56</f>
        <v/>
      </c>
      <c r="W62" s="36">
        <f>W61/W56</f>
        <v/>
      </c>
      <c r="X62" s="36" t="n">
        <v>0</v>
      </c>
      <c r="Y62" s="36" t="n">
        <v>0</v>
      </c>
      <c r="Z62" s="36">
        <f>Z61/Z56</f>
        <v/>
      </c>
      <c r="AA62" s="36">
        <f>AA61/AA56</f>
        <v/>
      </c>
      <c r="AB62" s="36">
        <f>AB61/AB56</f>
        <v/>
      </c>
      <c r="AC62" s="36">
        <f>AC61/AC56</f>
        <v/>
      </c>
      <c r="AD62" s="36">
        <f>AD61/AD56</f>
        <v/>
      </c>
      <c r="AE62" s="36">
        <f>AE61/AE56</f>
        <v/>
      </c>
      <c r="AF62" s="36">
        <f>AF61/AF56</f>
        <v/>
      </c>
      <c r="AG62" s="36">
        <f>AG61/AG56</f>
        <v/>
      </c>
      <c r="AH62" s="38">
        <f>T62-S62</f>
        <v/>
      </c>
      <c r="AI62" s="38">
        <f>AF62-S62</f>
        <v/>
      </c>
      <c r="AJ62" s="28" t="n"/>
      <c r="AK62" s="28" t="n"/>
      <c r="AL62" s="28" t="n"/>
      <c r="AM62" s="28" t="n"/>
      <c r="AN62" s="28" t="n"/>
      <c r="AO62" s="36">
        <f>AO61/AO56</f>
        <v/>
      </c>
      <c r="AP62" s="36">
        <f>AP61/AP56</f>
        <v/>
      </c>
      <c r="AQ62" s="36">
        <f>AQ61/AQ56</f>
        <v/>
      </c>
      <c r="AR62" s="36">
        <f>AR61/AR56</f>
        <v/>
      </c>
      <c r="AS62" s="36">
        <f>AS61/AS56</f>
        <v/>
      </c>
      <c r="AT62" s="36">
        <f>AT61/AT56</f>
        <v/>
      </c>
      <c r="AU62" s="36">
        <f>AU61/AU56</f>
        <v/>
      </c>
      <c r="AV62" s="36">
        <f>AV61/AV56</f>
        <v/>
      </c>
      <c r="AW62" s="36">
        <f>AW61/AW56</f>
        <v/>
      </c>
      <c r="AX62" s="36">
        <f>AX61/AX56</f>
        <v/>
      </c>
      <c r="AY62" s="36">
        <f>AY61/AY56</f>
        <v/>
      </c>
      <c r="AZ62" s="36">
        <f>AZ61/AZ56</f>
        <v/>
      </c>
      <c r="BA62" s="56" t="n">
        <v>1</v>
      </c>
      <c r="BB62" s="39" t="n">
        <v>0</v>
      </c>
      <c r="BC62" s="61"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GP3毛利</t>
        </is>
      </c>
      <c r="S63" s="19">
        <f>S56-S57-S58-S59</f>
        <v/>
      </c>
      <c r="T63" s="19">
        <f>T56-T57-T58-T59</f>
        <v/>
      </c>
      <c r="U63" s="20">
        <f>U56-U57-U58-U59</f>
        <v/>
      </c>
      <c r="V63" s="19">
        <f>V56-V57-V58-V59</f>
        <v/>
      </c>
      <c r="W63" s="19">
        <f>W56-W57-W58-W59</f>
        <v/>
      </c>
      <c r="X63" s="19" t="n">
        <v>0</v>
      </c>
      <c r="Y63" s="19" t="n">
        <v>0</v>
      </c>
      <c r="Z63" s="19">
        <f>Z56-Z57-Z58-Z59</f>
        <v/>
      </c>
      <c r="AA63" s="19">
        <f>AA56-AA57-AA58-AA59</f>
        <v/>
      </c>
      <c r="AB63" s="19">
        <f>AB56-AB57-AB58-AB59</f>
        <v/>
      </c>
      <c r="AC63" s="19">
        <f>AC56-AC57-AC58-AC59</f>
        <v/>
      </c>
      <c r="AD63" s="19">
        <f>AD56-AD57-AD58-AD59</f>
        <v/>
      </c>
      <c r="AE63" s="19">
        <f>AE56-AE57-AE58-AE59</f>
        <v/>
      </c>
      <c r="AF63" s="19">
        <f>AF56-AF57-AF58-AF59</f>
        <v/>
      </c>
      <c r="AG63" s="19">
        <f>AG56-AG57-AG58-AG59</f>
        <v/>
      </c>
      <c r="AH63" s="38" t="n">
        <v>0</v>
      </c>
      <c r="AI63" s="38" t="n">
        <v>0</v>
      </c>
      <c r="AJ63" s="28" t="n"/>
      <c r="AK63" s="28" t="n"/>
      <c r="AL63" s="28" t="n"/>
      <c r="AM63" s="28" t="n"/>
      <c r="AN63" s="28" t="n"/>
      <c r="AO63" s="19">
        <f>AO56-AO57-AO58-AO59</f>
        <v/>
      </c>
      <c r="AP63" s="19">
        <f>AP56-AP57-AP58-AP59</f>
        <v/>
      </c>
      <c r="AQ63" s="19">
        <f>AQ56-AQ57-AQ58-AQ59</f>
        <v/>
      </c>
      <c r="AR63" s="19">
        <f>AR56-AR57-AR58-AR59</f>
        <v/>
      </c>
      <c r="AS63" s="19">
        <f>AS56-AS57-AS58-AS59</f>
        <v/>
      </c>
      <c r="AT63" s="19">
        <f>AT56-AT57-AT58-AT59</f>
        <v/>
      </c>
      <c r="AU63" s="19">
        <f>AU56-AU57-AU58-AU59</f>
        <v/>
      </c>
      <c r="AV63" s="19">
        <f>AV56-AV57-AV58-AV59</f>
        <v/>
      </c>
      <c r="AW63" s="19">
        <f>AW56-AW57-AW58-AW59</f>
        <v/>
      </c>
      <c r="AX63" s="19">
        <f>AX56-AX57-AX58-AX59</f>
        <v/>
      </c>
      <c r="AY63" s="19">
        <f>AY56-AY57-AY58-AY59</f>
        <v/>
      </c>
      <c r="AZ63" s="19">
        <f>AZ56-AZ57-AZ58-AZ59</f>
        <v/>
      </c>
      <c r="BA63" s="57" t="n">
        <v>15534.27</v>
      </c>
      <c r="BB63" s="31" t="n">
        <v>0</v>
      </c>
      <c r="BC63" s="61" t="n">
        <v>0</v>
      </c>
      <c r="BD63" s="27" t="inlineStr"/>
    </row>
    <row r="64">
      <c r="A64" s="42" t="n"/>
      <c r="B64" s="42" t="n"/>
      <c r="C64" s="42" t="n"/>
      <c r="D64" s="42" t="n"/>
      <c r="E64" s="42" t="n"/>
      <c r="F64" s="42" t="n"/>
      <c r="G64" s="42" t="n"/>
      <c r="H64" s="42" t="n"/>
      <c r="I64" s="42" t="n"/>
      <c r="J64" s="42" t="n"/>
      <c r="K64" s="42" t="n"/>
      <c r="L64" s="42" t="n"/>
      <c r="M64" s="42" t="n"/>
      <c r="N64" s="42" t="n"/>
      <c r="O64" s="42" t="n"/>
      <c r="P64" s="42" t="n"/>
      <c r="Q64" s="42" t="n"/>
      <c r="R64" s="35" t="inlineStr">
        <is>
          <t>GP3毛利率(%)</t>
        </is>
      </c>
      <c r="S64" s="36">
        <f>S63/S56</f>
        <v/>
      </c>
      <c r="T64" s="36">
        <f>T63/T56</f>
        <v/>
      </c>
      <c r="U64" s="37">
        <f>U63/U56</f>
        <v/>
      </c>
      <c r="V64" s="36">
        <f>V63/V56</f>
        <v/>
      </c>
      <c r="W64" s="36">
        <f>W63/W56</f>
        <v/>
      </c>
      <c r="X64" s="36" t="n">
        <v>0</v>
      </c>
      <c r="Y64" s="36" t="n">
        <v>0</v>
      </c>
      <c r="Z64" s="36">
        <f>Z63/Z56</f>
        <v/>
      </c>
      <c r="AA64" s="36">
        <f>AA63/AA56</f>
        <v/>
      </c>
      <c r="AB64" s="36">
        <f>AB63/AB56</f>
        <v/>
      </c>
      <c r="AC64" s="36">
        <f>AC63/AC56</f>
        <v/>
      </c>
      <c r="AD64" s="36">
        <f>AD63/AD56</f>
        <v/>
      </c>
      <c r="AE64" s="36">
        <f>AE63/AE56</f>
        <v/>
      </c>
      <c r="AF64" s="36">
        <f>AF63/AF56</f>
        <v/>
      </c>
      <c r="AG64" s="36">
        <f>AG63/AG56</f>
        <v/>
      </c>
      <c r="AH64" s="38">
        <f>T64-S64</f>
        <v/>
      </c>
      <c r="AI64" s="38">
        <f>AF64-S64</f>
        <v/>
      </c>
      <c r="AJ64" s="42" t="n"/>
      <c r="AK64" s="42" t="n"/>
      <c r="AL64" s="42" t="n"/>
      <c r="AM64" s="42" t="n"/>
      <c r="AN64" s="42" t="n"/>
      <c r="AO64" s="36">
        <f>AO63/AO56</f>
        <v/>
      </c>
      <c r="AP64" s="36">
        <f>AP63/AP56</f>
        <v/>
      </c>
      <c r="AQ64" s="36">
        <f>AQ63/AQ56</f>
        <v/>
      </c>
      <c r="AR64" s="36">
        <f>AR63/AR56</f>
        <v/>
      </c>
      <c r="AS64" s="36">
        <f>AS63/AS56</f>
        <v/>
      </c>
      <c r="AT64" s="36">
        <f>AT63/AT56</f>
        <v/>
      </c>
      <c r="AU64" s="36">
        <f>AU63/AU56</f>
        <v/>
      </c>
      <c r="AV64" s="36">
        <f>AV63/AV56</f>
        <v/>
      </c>
      <c r="AW64" s="36">
        <f>AW63/AW56</f>
        <v/>
      </c>
      <c r="AX64" s="36">
        <f>AX63/AX56</f>
        <v/>
      </c>
      <c r="AY64" s="36">
        <f>AY63/AY56</f>
        <v/>
      </c>
      <c r="AZ64" s="36">
        <f>AZ63/AZ56</f>
        <v/>
      </c>
      <c r="BA64" s="56" t="n">
        <v>1.00366012345567</v>
      </c>
      <c r="BB64" s="39" t="n">
        <v>0</v>
      </c>
      <c r="BC64" s="61" t="n">
        <v>0</v>
      </c>
      <c r="BD64" s="27" t="inlineStr"/>
    </row>
    <row r="65">
      <c r="A65" s="43" t="inlineStr">
        <is>
          <t>P202512000483</t>
        </is>
      </c>
      <c r="B65" s="44" t="inlineStr">
        <is>
          <t>审计署审计干部培训中心（审计宣传中心）-信息报送系统2026年度运维服务合同-FP项目</t>
        </is>
      </c>
      <c r="C65" s="45" t="n">
        <v>46023</v>
      </c>
      <c r="D65" s="45" t="n">
        <v>46387</v>
      </c>
      <c r="E65" s="15" t="n"/>
      <c r="F65" s="15" t="n">
        <v>0</v>
      </c>
      <c r="G65" s="17" t="n"/>
      <c r="H65" s="17" t="n"/>
      <c r="I65" s="17" t="n"/>
      <c r="J65" s="17" t="n"/>
      <c r="K65" s="17" t="n"/>
      <c r="L65" s="17" t="n"/>
      <c r="M65" s="17" t="n"/>
      <c r="N65" s="17" t="n"/>
      <c r="O65" s="17" t="n"/>
      <c r="P65" s="17" t="n"/>
      <c r="Q65" s="17" t="inlineStr"/>
      <c r="R65" s="48" t="inlineStr">
        <is>
          <t>累计收入（NR）</t>
        </is>
      </c>
      <c r="S65" s="19" t="n">
        <v>66037.74000000001</v>
      </c>
      <c r="T65" s="19" t="n">
        <v>0</v>
      </c>
      <c r="U65" s="20">
        <f>SUM(BA65:BC65)</f>
        <v/>
      </c>
      <c r="V65" s="19">
        <f>SUM(AO65:AZ65)</f>
        <v/>
      </c>
      <c r="W65" s="19">
        <f>SUM(AP65:AZ65)</f>
        <v/>
      </c>
      <c r="X65" s="19" t="n">
        <v>0</v>
      </c>
      <c r="Y65" s="19" t="n">
        <v>0</v>
      </c>
      <c r="Z65" s="19">
        <f>SUM(AS65:AZ65)</f>
        <v/>
      </c>
      <c r="AA65" s="19">
        <f>SUM(AT65:AZ65)</f>
        <v/>
      </c>
      <c r="AB65" s="19">
        <f>SUM(AU65:AZ65)</f>
        <v/>
      </c>
      <c r="AC65" s="19">
        <f>SUM(AV65:AZ65)</f>
        <v/>
      </c>
      <c r="AD65" s="19">
        <f>SUM(AW65:AZ65)</f>
        <v/>
      </c>
      <c r="AE65" s="19">
        <f>SUM(AX65:AZ65)</f>
        <v/>
      </c>
      <c r="AF65" s="19">
        <f>SUM(AY65:AZ65)</f>
        <v/>
      </c>
      <c r="AG65" s="19">
        <f>SUM(AZ65:AZ65)</f>
        <v/>
      </c>
      <c r="AH65" s="21" t="n">
        <v>0</v>
      </c>
      <c r="AI65" s="21" t="n">
        <v>0</v>
      </c>
      <c r="AJ65" s="44" t="inlineStr"/>
      <c r="AK65" s="49" t="inlineStr"/>
      <c r="AL65" s="49" t="inlineStr"/>
      <c r="AM65" s="49" t="inlineStr"/>
      <c r="AN65" s="24" t="n"/>
      <c r="AO65" s="19" t="n">
        <v>0</v>
      </c>
      <c r="AP65" s="19" t="n">
        <v>0</v>
      </c>
      <c r="AQ65" s="19" t="n">
        <v>0</v>
      </c>
      <c r="AR65" s="19" t="n">
        <v>0</v>
      </c>
      <c r="AS65" s="19" t="n">
        <v>0</v>
      </c>
      <c r="AT65" s="19" t="n">
        <v>0</v>
      </c>
      <c r="AU65" s="19" t="n">
        <v>0</v>
      </c>
      <c r="AV65" s="19" t="n">
        <v>0</v>
      </c>
      <c r="AW65" s="19" t="n">
        <v>0</v>
      </c>
      <c r="AX65" s="19" t="n">
        <v>0</v>
      </c>
      <c r="AY65" s="19" t="n">
        <v>5065.89</v>
      </c>
      <c r="AZ65" s="19" t="n">
        <v>5608.72</v>
      </c>
      <c r="BA65" s="50" t="n">
        <v>15477.62</v>
      </c>
      <c r="BB65" s="20" t="n">
        <v>0</v>
      </c>
      <c r="BC65" s="61"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人工成本（成本１）</t>
        </is>
      </c>
      <c r="S66" s="19" t="n">
        <v>47233.8</v>
      </c>
      <c r="T66" s="19" t="n">
        <v>0</v>
      </c>
      <c r="U66" s="20">
        <f>SUM(BA66:BC66)</f>
        <v/>
      </c>
      <c r="V66" s="19">
        <f>SUM(AO66:AZ66)</f>
        <v/>
      </c>
      <c r="W66" s="19">
        <f>SUM(AP66:AZ66)</f>
        <v/>
      </c>
      <c r="X66" s="19" t="n">
        <v>0</v>
      </c>
      <c r="Y66" s="19" t="n">
        <v>0</v>
      </c>
      <c r="Z66" s="19">
        <f>SUM(AS66:AZ66)</f>
        <v/>
      </c>
      <c r="AA66" s="19">
        <f>SUM(AT66:AZ66)</f>
        <v/>
      </c>
      <c r="AB66" s="19">
        <f>SUM(AU66:AZ66)</f>
        <v/>
      </c>
      <c r="AC66" s="19">
        <f>SUM(AV66:AZ66)</f>
        <v/>
      </c>
      <c r="AD66" s="19">
        <f>SUM(AW66:AZ66)</f>
        <v/>
      </c>
      <c r="AE66" s="19">
        <f>SUM(AX66:AZ66)</f>
        <v/>
      </c>
      <c r="AF66" s="19">
        <f>SUM(AY66:AZ66)</f>
        <v/>
      </c>
      <c r="AG66" s="19">
        <f>SUM(AZ66:AZ66)</f>
        <v/>
      </c>
      <c r="AH66" s="21" t="n">
        <v>0</v>
      </c>
      <c r="AI66" s="21" t="n">
        <v>0</v>
      </c>
      <c r="AJ66" s="28" t="n"/>
      <c r="AK66" s="28" t="n"/>
      <c r="AL66" s="28" t="n"/>
      <c r="AM66" s="28" t="n"/>
      <c r="AN66" s="28" t="n"/>
      <c r="AO66" s="19" t="n">
        <v>0</v>
      </c>
      <c r="AP66" s="19" t="n">
        <v>0</v>
      </c>
      <c r="AQ66" s="19" t="n">
        <v>0</v>
      </c>
      <c r="AR66" s="19" t="n">
        <v>0</v>
      </c>
      <c r="AS66" s="19" t="n">
        <v>0</v>
      </c>
      <c r="AT66" s="19" t="n">
        <v>0</v>
      </c>
      <c r="AU66" s="19" t="n">
        <v>0</v>
      </c>
      <c r="AV66" s="19" t="n">
        <v>0</v>
      </c>
      <c r="AW66" s="19" t="n">
        <v>0</v>
      </c>
      <c r="AX66" s="19" t="n">
        <v>0</v>
      </c>
      <c r="AY66" s="19" t="n">
        <v>0.01</v>
      </c>
      <c r="AZ66" s="19" t="n">
        <v>4659.53</v>
      </c>
      <c r="BA66" s="50" t="n">
        <v>0</v>
      </c>
      <c r="BB66" s="20" t="n">
        <v>0</v>
      </c>
      <c r="BC66" s="61"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差旅费（成本３）</t>
        </is>
      </c>
      <c r="S67" s="19" t="n">
        <v>8000</v>
      </c>
      <c r="T67" s="19" t="n">
        <v>0</v>
      </c>
      <c r="U67" s="20">
        <f>SUM(BA67:BC67)</f>
        <v/>
      </c>
      <c r="V67" s="19">
        <f>SUM(AO67:AZ67)</f>
        <v/>
      </c>
      <c r="W67" s="19">
        <f>SUM(AP67:AZ67)</f>
        <v/>
      </c>
      <c r="X67" s="19" t="n">
        <v>0</v>
      </c>
      <c r="Y67" s="19" t="n">
        <v>0</v>
      </c>
      <c r="Z67" s="19">
        <f>SUM(AS67:AZ67)</f>
        <v/>
      </c>
      <c r="AA67" s="19">
        <f>SUM(AT67:AZ67)</f>
        <v/>
      </c>
      <c r="AB67" s="19">
        <f>SUM(AU67:AZ67)</f>
        <v/>
      </c>
      <c r="AC67" s="19">
        <f>SUM(AV67:AZ67)</f>
        <v/>
      </c>
      <c r="AD67" s="19">
        <f>SUM(AW67:AZ67)</f>
        <v/>
      </c>
      <c r="AE67" s="19">
        <f>SUM(AX67:AZ67)</f>
        <v/>
      </c>
      <c r="AF67" s="19">
        <f>SUM(AY67:AZ67)</f>
        <v/>
      </c>
      <c r="AG67" s="19">
        <f>SUM(AZ67:AZ67)</f>
        <v/>
      </c>
      <c r="AH67" s="21" t="n">
        <v>0</v>
      </c>
      <c r="AI67" s="21" t="n">
        <v>0</v>
      </c>
      <c r="AJ67" s="28" t="n"/>
      <c r="AK67" s="28" t="n"/>
      <c r="AL67" s="28" t="n"/>
      <c r="AM67" s="28" t="n"/>
      <c r="AN67" s="28" t="n"/>
      <c r="AO67" s="19" t="n">
        <v>0</v>
      </c>
      <c r="AP67" s="19" t="n">
        <v>0</v>
      </c>
      <c r="AQ67" s="19" t="n">
        <v>0</v>
      </c>
      <c r="AR67" s="19" t="n">
        <v>0</v>
      </c>
      <c r="AS67" s="19" t="n">
        <v>0</v>
      </c>
      <c r="AT67" s="19" t="n">
        <v>0</v>
      </c>
      <c r="AU67" s="19" t="n">
        <v>0</v>
      </c>
      <c r="AV67" s="19" t="n">
        <v>0</v>
      </c>
      <c r="AW67" s="19" t="n">
        <v>0</v>
      </c>
      <c r="AX67" s="19" t="n">
        <v>0</v>
      </c>
      <c r="AY67" s="19" t="n">
        <v>0</v>
      </c>
      <c r="AZ67" s="19" t="n">
        <v>0</v>
      </c>
      <c r="BA67" s="50" t="n">
        <v>0</v>
      </c>
      <c r="BB67" s="20" t="n">
        <v>0</v>
      </c>
      <c r="BC67" s="61" t="n">
        <v>0</v>
      </c>
      <c r="BD67" s="27"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其他成本（成本３）</t>
        </is>
      </c>
      <c r="S68" s="19" t="n">
        <v>0</v>
      </c>
      <c r="T68" s="19" t="n">
        <v>0</v>
      </c>
      <c r="U68" s="20">
        <f>SUM(BA68:BC68)</f>
        <v/>
      </c>
      <c r="V68" s="19">
        <f>SUM(AO68:AZ68)</f>
        <v/>
      </c>
      <c r="W68" s="19">
        <f>SUM(AP68:AZ68)</f>
        <v/>
      </c>
      <c r="X68" s="19" t="n">
        <v>0</v>
      </c>
      <c r="Y68" s="19" t="n">
        <v>0</v>
      </c>
      <c r="Z68" s="19">
        <f>SUM(AS68:AZ68)</f>
        <v/>
      </c>
      <c r="AA68" s="19">
        <f>SUM(AT68:AZ68)</f>
        <v/>
      </c>
      <c r="AB68" s="19">
        <f>SUM(AU68:AZ68)</f>
        <v/>
      </c>
      <c r="AC68" s="19">
        <f>SUM(AV68:AZ68)</f>
        <v/>
      </c>
      <c r="AD68" s="19">
        <f>SUM(AW68:AZ68)</f>
        <v/>
      </c>
      <c r="AE68" s="19">
        <f>SUM(AX68:AZ68)</f>
        <v/>
      </c>
      <c r="AF68" s="19">
        <f>SUM(AY68:AZ68)</f>
        <v/>
      </c>
      <c r="AG68" s="19">
        <f>SUM(AZ68:AZ68)</f>
        <v/>
      </c>
      <c r="AH68" s="21" t="n">
        <v>0</v>
      </c>
      <c r="AI68" s="21" t="n">
        <v>0</v>
      </c>
      <c r="AJ68" s="28" t="n"/>
      <c r="AK68" s="28" t="n"/>
      <c r="AL68" s="28" t="n"/>
      <c r="AM68" s="28" t="n"/>
      <c r="AN68" s="28" t="n"/>
      <c r="AO68" s="19" t="n">
        <v>0</v>
      </c>
      <c r="AP68" s="19" t="n">
        <v>0</v>
      </c>
      <c r="AQ68" s="19" t="n">
        <v>0</v>
      </c>
      <c r="AR68" s="19" t="n">
        <v>0</v>
      </c>
      <c r="AS68" s="19" t="n">
        <v>0</v>
      </c>
      <c r="AT68" s="19" t="n">
        <v>0</v>
      </c>
      <c r="AU68" s="19" t="n">
        <v>0</v>
      </c>
      <c r="AV68" s="19" t="n">
        <v>0</v>
      </c>
      <c r="AW68" s="19" t="n">
        <v>0</v>
      </c>
      <c r="AX68" s="19" t="n">
        <v>0</v>
      </c>
      <c r="AY68" s="19" t="n">
        <v>-28.95</v>
      </c>
      <c r="AZ68" s="19" t="n">
        <v>-34.01</v>
      </c>
      <c r="BA68" s="50" t="n">
        <v>-56.65</v>
      </c>
      <c r="BB68" s="20" t="n">
        <v>0</v>
      </c>
      <c r="BC68" s="61"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29" t="inlineStr">
        <is>
          <t>累计成本</t>
        </is>
      </c>
      <c r="S69" s="30">
        <f>SUM(S66:S68)</f>
        <v/>
      </c>
      <c r="T69" s="30">
        <f>SUM(T66:T68)</f>
        <v/>
      </c>
      <c r="U69" s="31">
        <f>SUM(U66:U68)</f>
        <v/>
      </c>
      <c r="V69" s="30">
        <f>SUM(V66:V68)</f>
        <v/>
      </c>
      <c r="W69" s="30">
        <f>SUM(W66:W68)</f>
        <v/>
      </c>
      <c r="X69" s="30">
        <f>SUM(X66:X68)</f>
        <v/>
      </c>
      <c r="Y69" s="30">
        <f>SUM(Y66:Y68)</f>
        <v/>
      </c>
      <c r="Z69" s="30">
        <f>SUM(Z66:Z68)</f>
        <v/>
      </c>
      <c r="AA69" s="30">
        <f>SUM(AA66:AA68)</f>
        <v/>
      </c>
      <c r="AB69" s="30">
        <f>SUM(AB66:AB68)</f>
        <v/>
      </c>
      <c r="AC69" s="30">
        <f>SUM(AC66:AC68)</f>
        <v/>
      </c>
      <c r="AD69" s="30">
        <f>SUM(AD66:AD68)</f>
        <v/>
      </c>
      <c r="AE69" s="30">
        <f>SUM(AE66:AE68)</f>
        <v/>
      </c>
      <c r="AF69" s="30">
        <f>SUM(AF66:AF68)</f>
        <v/>
      </c>
      <c r="AG69" s="30">
        <f>SUM(AG66:AG68)</f>
        <v/>
      </c>
      <c r="AH69" s="30">
        <f>SUM(AH66:AH68)</f>
        <v/>
      </c>
      <c r="AI69" s="30">
        <f>SUM(AI66:AI68)</f>
        <v/>
      </c>
      <c r="AJ69" s="28" t="n"/>
      <c r="AK69" s="28" t="n"/>
      <c r="AL69" s="28" t="n"/>
      <c r="AM69" s="28" t="n"/>
      <c r="AN69" s="28" t="n"/>
      <c r="AO69" s="30">
        <f>SUM(AO66:AO68)</f>
        <v/>
      </c>
      <c r="AP69" s="30">
        <f>SUM(AP66:AP68)</f>
        <v/>
      </c>
      <c r="AQ69" s="30">
        <f>SUM(AQ66:AQ68)</f>
        <v/>
      </c>
      <c r="AR69" s="30">
        <f>SUM(AR66:AR68)</f>
        <v/>
      </c>
      <c r="AS69" s="30">
        <f>SUM(AS66:AS68)</f>
        <v/>
      </c>
      <c r="AT69" s="30">
        <f>SUM(AT66:AT68)</f>
        <v/>
      </c>
      <c r="AU69" s="30">
        <f>SUM(AU66:AU68)</f>
        <v/>
      </c>
      <c r="AV69" s="30">
        <f>SUM(AV66:AV68)</f>
        <v/>
      </c>
      <c r="AW69" s="30">
        <f>SUM(AW66:AW68)</f>
        <v/>
      </c>
      <c r="AX69" s="30">
        <f>SUM(AX66:AX68)</f>
        <v/>
      </c>
      <c r="AY69" s="30">
        <f>SUM(AY66:AY68)</f>
        <v/>
      </c>
      <c r="AZ69" s="30">
        <f>SUM(AZ66:AZ68)</f>
        <v/>
      </c>
      <c r="BA69" s="53" t="n">
        <v>-56.65</v>
      </c>
      <c r="BB69" s="31">
        <f>SUM(BB66:BB68)</f>
        <v/>
      </c>
      <c r="BC69" s="54">
        <f>SUM(BC66:BC68)</f>
        <v/>
      </c>
      <c r="BD69" s="32"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GP1毛利</t>
        </is>
      </c>
      <c r="S70" s="19">
        <f>S65-S66</f>
        <v/>
      </c>
      <c r="T70" s="19" t="n">
        <v>0</v>
      </c>
      <c r="U70" s="20">
        <f>U65-U66</f>
        <v/>
      </c>
      <c r="V70" s="19">
        <f>V65-V66</f>
        <v/>
      </c>
      <c r="W70" s="19">
        <f>W65-W66</f>
        <v/>
      </c>
      <c r="X70" s="19" t="n">
        <v>0</v>
      </c>
      <c r="Y70" s="19" t="n">
        <v>0</v>
      </c>
      <c r="Z70" s="19">
        <f>Z65-Z66</f>
        <v/>
      </c>
      <c r="AA70" s="19">
        <f>AA65-AA66</f>
        <v/>
      </c>
      <c r="AB70" s="19">
        <f>AB65-AB66</f>
        <v/>
      </c>
      <c r="AC70" s="19">
        <f>AC65-AC66</f>
        <v/>
      </c>
      <c r="AD70" s="19">
        <f>AD65-AD66</f>
        <v/>
      </c>
      <c r="AE70" s="19">
        <f>AE65-AE66</f>
        <v/>
      </c>
      <c r="AF70" s="19">
        <f>AF65-AF66</f>
        <v/>
      </c>
      <c r="AG70" s="19">
        <f>AG65-AG66</f>
        <v/>
      </c>
      <c r="AH70" s="33" t="n">
        <v>0</v>
      </c>
      <c r="AI70" s="33" t="n">
        <v>0</v>
      </c>
      <c r="AJ70" s="28" t="n"/>
      <c r="AK70" s="28" t="n"/>
      <c r="AL70" s="28" t="n"/>
      <c r="AM70" s="28" t="n"/>
      <c r="AN70" s="28" t="n"/>
      <c r="AO70" s="19">
        <f>AO65-AO66</f>
        <v/>
      </c>
      <c r="AP70" s="19">
        <f>AP65-AP66</f>
        <v/>
      </c>
      <c r="AQ70" s="19">
        <f>AQ65-AQ66</f>
        <v/>
      </c>
      <c r="AR70" s="19">
        <f>AR65-AR66</f>
        <v/>
      </c>
      <c r="AS70" s="19">
        <f>AS65-AS66</f>
        <v/>
      </c>
      <c r="AT70" s="19">
        <f>AT65-AT66</f>
        <v/>
      </c>
      <c r="AU70" s="19">
        <f>AU65-AU66</f>
        <v/>
      </c>
      <c r="AV70" s="19">
        <f>AV65-AV66</f>
        <v/>
      </c>
      <c r="AW70" s="19">
        <f>AW65-AW66</f>
        <v/>
      </c>
      <c r="AX70" s="19">
        <f>AX65-AX66</f>
        <v/>
      </c>
      <c r="AY70" s="19">
        <f>AY65-AY66</f>
        <v/>
      </c>
      <c r="AZ70" s="19">
        <f>AZ65-AZ66</f>
        <v/>
      </c>
      <c r="BA70" s="55" t="n">
        <v>15477.62</v>
      </c>
      <c r="BB70" s="31" t="n">
        <v>0</v>
      </c>
      <c r="BC70" s="61" t="n">
        <v>0</v>
      </c>
      <c r="BD70" s="27" t="inlineStr"/>
    </row>
    <row r="71">
      <c r="A71" s="28" t="n"/>
      <c r="B71" s="28" t="n"/>
      <c r="C71" s="28" t="n"/>
      <c r="D71" s="28" t="n"/>
      <c r="E71" s="28" t="n"/>
      <c r="F71" s="28" t="n"/>
      <c r="G71" s="28" t="n"/>
      <c r="H71" s="28" t="n"/>
      <c r="I71" s="28" t="n"/>
      <c r="J71" s="28" t="n"/>
      <c r="K71" s="28" t="n"/>
      <c r="L71" s="28" t="n"/>
      <c r="M71" s="28" t="n"/>
      <c r="N71" s="28" t="n"/>
      <c r="O71" s="28" t="n"/>
      <c r="P71" s="28" t="n"/>
      <c r="Q71" s="28" t="n"/>
      <c r="R71" s="35" t="inlineStr">
        <is>
          <t>GP1毛利率(%)</t>
        </is>
      </c>
      <c r="S71" s="36">
        <f>S70/S65</f>
        <v/>
      </c>
      <c r="T71" s="36" t="n">
        <v>0</v>
      </c>
      <c r="U71" s="37">
        <f>U70/U65</f>
        <v/>
      </c>
      <c r="V71" s="36">
        <f>V70/V65</f>
        <v/>
      </c>
      <c r="W71" s="36">
        <f>W70/W65</f>
        <v/>
      </c>
      <c r="X71" s="36" t="n">
        <v>0</v>
      </c>
      <c r="Y71" s="36" t="n">
        <v>0</v>
      </c>
      <c r="Z71" s="36">
        <f>Z70/Z65</f>
        <v/>
      </c>
      <c r="AA71" s="36">
        <f>AA70/AA65</f>
        <v/>
      </c>
      <c r="AB71" s="36">
        <f>AB70/AB65</f>
        <v/>
      </c>
      <c r="AC71" s="36">
        <f>AC70/AC65</f>
        <v/>
      </c>
      <c r="AD71" s="36">
        <f>AD70/AD65</f>
        <v/>
      </c>
      <c r="AE71" s="36">
        <f>AE70/AE65</f>
        <v/>
      </c>
      <c r="AF71" s="36">
        <f>AF70/AF65</f>
        <v/>
      </c>
      <c r="AG71" s="36">
        <f>AG70/AG65</f>
        <v/>
      </c>
      <c r="AH71" s="38">
        <f>T71-S71</f>
        <v/>
      </c>
      <c r="AI71" s="38">
        <f>AF71-S71</f>
        <v/>
      </c>
      <c r="AJ71" s="28" t="n"/>
      <c r="AK71" s="28" t="n"/>
      <c r="AL71" s="28" t="n"/>
      <c r="AM71" s="28" t="n"/>
      <c r="AN71" s="28" t="n"/>
      <c r="AO71" s="36">
        <f>AO70/AO65</f>
        <v/>
      </c>
      <c r="AP71" s="36">
        <f>AP70/AP65</f>
        <v/>
      </c>
      <c r="AQ71" s="36">
        <f>AQ70/AQ65</f>
        <v/>
      </c>
      <c r="AR71" s="36">
        <f>AR70/AR65</f>
        <v/>
      </c>
      <c r="AS71" s="36">
        <f>AS70/AS65</f>
        <v/>
      </c>
      <c r="AT71" s="36">
        <f>AT70/AT65</f>
        <v/>
      </c>
      <c r="AU71" s="36">
        <f>AU70/AU65</f>
        <v/>
      </c>
      <c r="AV71" s="36">
        <f>AV70/AV65</f>
        <v/>
      </c>
      <c r="AW71" s="36">
        <f>AW70/AW65</f>
        <v/>
      </c>
      <c r="AX71" s="36">
        <f>AX70/AX65</f>
        <v/>
      </c>
      <c r="AY71" s="36">
        <f>AY70/AY65</f>
        <v/>
      </c>
      <c r="AZ71" s="36">
        <f>AZ70/AZ65</f>
        <v/>
      </c>
      <c r="BA71" s="56" t="n">
        <v>1</v>
      </c>
      <c r="BB71" s="39" t="n">
        <v>0</v>
      </c>
      <c r="BC71" s="61" t="n">
        <v>0</v>
      </c>
      <c r="BD71" s="27" t="inlineStr"/>
    </row>
    <row r="72">
      <c r="A72" s="28" t="n"/>
      <c r="B72" s="28" t="n"/>
      <c r="C72" s="28" t="n"/>
      <c r="D72" s="28" t="n"/>
      <c r="E72" s="28" t="n"/>
      <c r="F72" s="28" t="n"/>
      <c r="G72" s="28" t="n"/>
      <c r="H72" s="28" t="n"/>
      <c r="I72" s="28" t="n"/>
      <c r="J72" s="28" t="n"/>
      <c r="K72" s="28" t="n"/>
      <c r="L72" s="28" t="n"/>
      <c r="M72" s="28" t="n"/>
      <c r="N72" s="28" t="n"/>
      <c r="O72" s="28" t="n"/>
      <c r="P72" s="28" t="n"/>
      <c r="Q72" s="28" t="n"/>
      <c r="R72" s="29" t="inlineStr">
        <is>
          <t>GP3毛利</t>
        </is>
      </c>
      <c r="S72" s="19">
        <f>S65-S66-S67-S68</f>
        <v/>
      </c>
      <c r="T72" s="19" t="n">
        <v>0</v>
      </c>
      <c r="U72" s="20">
        <f>U65-U66-U67-U68</f>
        <v/>
      </c>
      <c r="V72" s="19">
        <f>V65-V66-V67-V68</f>
        <v/>
      </c>
      <c r="W72" s="19">
        <f>W65-W66-W67-W68</f>
        <v/>
      </c>
      <c r="X72" s="19" t="n">
        <v>0</v>
      </c>
      <c r="Y72" s="19" t="n">
        <v>0</v>
      </c>
      <c r="Z72" s="19">
        <f>Z65-Z66-Z67-Z68</f>
        <v/>
      </c>
      <c r="AA72" s="19">
        <f>AA65-AA66-AA67-AA68</f>
        <v/>
      </c>
      <c r="AB72" s="19">
        <f>AB65-AB66-AB67-AB68</f>
        <v/>
      </c>
      <c r="AC72" s="19">
        <f>AC65-AC66-AC67-AC68</f>
        <v/>
      </c>
      <c r="AD72" s="19">
        <f>AD65-AD66-AD67-AD68</f>
        <v/>
      </c>
      <c r="AE72" s="19">
        <f>AE65-AE66-AE67-AE68</f>
        <v/>
      </c>
      <c r="AF72" s="19">
        <f>AF65-AF66-AF67-AF68</f>
        <v/>
      </c>
      <c r="AG72" s="19">
        <f>AG65-AG66-AG67-AG68</f>
        <v/>
      </c>
      <c r="AH72" s="38" t="n">
        <v>0</v>
      </c>
      <c r="AI72" s="38" t="n">
        <v>0</v>
      </c>
      <c r="AJ72" s="28" t="n"/>
      <c r="AK72" s="28" t="n"/>
      <c r="AL72" s="28" t="n"/>
      <c r="AM72" s="28" t="n"/>
      <c r="AN72" s="28" t="n"/>
      <c r="AO72" s="19">
        <f>AO65-AO66-AO67-AO68</f>
        <v/>
      </c>
      <c r="AP72" s="19">
        <f>AP65-AP66-AP67-AP68</f>
        <v/>
      </c>
      <c r="AQ72" s="19">
        <f>AQ65-AQ66-AQ67-AQ68</f>
        <v/>
      </c>
      <c r="AR72" s="19">
        <f>AR65-AR66-AR67-AR68</f>
        <v/>
      </c>
      <c r="AS72" s="19">
        <f>AS65-AS66-AS67-AS68</f>
        <v/>
      </c>
      <c r="AT72" s="19">
        <f>AT65-AT66-AT67-AT68</f>
        <v/>
      </c>
      <c r="AU72" s="19">
        <f>AU65-AU66-AU67-AU68</f>
        <v/>
      </c>
      <c r="AV72" s="19">
        <f>AV65-AV66-AV67-AV68</f>
        <v/>
      </c>
      <c r="AW72" s="19">
        <f>AW65-AW66-AW67-AW68</f>
        <v/>
      </c>
      <c r="AX72" s="19">
        <f>AX65-AX66-AX67-AX68</f>
        <v/>
      </c>
      <c r="AY72" s="19">
        <f>AY65-AY66-AY67-AY68</f>
        <v/>
      </c>
      <c r="AZ72" s="19">
        <f>AZ65-AZ66-AZ67-AZ68</f>
        <v/>
      </c>
      <c r="BA72" s="57" t="n">
        <v>15534.27</v>
      </c>
      <c r="BB72" s="31" t="n">
        <v>0</v>
      </c>
      <c r="BC72" s="61" t="n">
        <v>0</v>
      </c>
      <c r="BD72" s="27" t="inlineStr"/>
    </row>
    <row r="73">
      <c r="A73" s="42" t="n"/>
      <c r="B73" s="42" t="n"/>
      <c r="C73" s="42" t="n"/>
      <c r="D73" s="42" t="n"/>
      <c r="E73" s="42" t="n"/>
      <c r="F73" s="42" t="n"/>
      <c r="G73" s="42" t="n"/>
      <c r="H73" s="42" t="n"/>
      <c r="I73" s="42" t="n"/>
      <c r="J73" s="42" t="n"/>
      <c r="K73" s="42" t="n"/>
      <c r="L73" s="42" t="n"/>
      <c r="M73" s="42" t="n"/>
      <c r="N73" s="42" t="n"/>
      <c r="O73" s="42" t="n"/>
      <c r="P73" s="42" t="n"/>
      <c r="Q73" s="42" t="n"/>
      <c r="R73" s="35" t="inlineStr">
        <is>
          <t>GP3毛利率(%)</t>
        </is>
      </c>
      <c r="S73" s="36">
        <f>S72/S65</f>
        <v/>
      </c>
      <c r="T73" s="36" t="n">
        <v>0</v>
      </c>
      <c r="U73" s="37">
        <f>U72/U65</f>
        <v/>
      </c>
      <c r="V73" s="36">
        <f>V72/V65</f>
        <v/>
      </c>
      <c r="W73" s="36">
        <f>W72/W65</f>
        <v/>
      </c>
      <c r="X73" s="36" t="n">
        <v>0</v>
      </c>
      <c r="Y73" s="36" t="n">
        <v>0</v>
      </c>
      <c r="Z73" s="36">
        <f>Z72/Z65</f>
        <v/>
      </c>
      <c r="AA73" s="36">
        <f>AA72/AA65</f>
        <v/>
      </c>
      <c r="AB73" s="36">
        <f>AB72/AB65</f>
        <v/>
      </c>
      <c r="AC73" s="36">
        <f>AC72/AC65</f>
        <v/>
      </c>
      <c r="AD73" s="36">
        <f>AD72/AD65</f>
        <v/>
      </c>
      <c r="AE73" s="36">
        <f>AE72/AE65</f>
        <v/>
      </c>
      <c r="AF73" s="36">
        <f>AF72/AF65</f>
        <v/>
      </c>
      <c r="AG73" s="36">
        <f>AG72/AG65</f>
        <v/>
      </c>
      <c r="AH73" s="38">
        <f>T73-S73</f>
        <v/>
      </c>
      <c r="AI73" s="38">
        <f>AF73-S73</f>
        <v/>
      </c>
      <c r="AJ73" s="42" t="n"/>
      <c r="AK73" s="42" t="n"/>
      <c r="AL73" s="42" t="n"/>
      <c r="AM73" s="42" t="n"/>
      <c r="AN73" s="42" t="n"/>
      <c r="AO73" s="36">
        <f>AO72/AO65</f>
        <v/>
      </c>
      <c r="AP73" s="36">
        <f>AP72/AP65</f>
        <v/>
      </c>
      <c r="AQ73" s="36">
        <f>AQ72/AQ65</f>
        <v/>
      </c>
      <c r="AR73" s="36">
        <f>AR72/AR65</f>
        <v/>
      </c>
      <c r="AS73" s="36">
        <f>AS72/AS65</f>
        <v/>
      </c>
      <c r="AT73" s="36">
        <f>AT72/AT65</f>
        <v/>
      </c>
      <c r="AU73" s="36">
        <f>AU72/AU65</f>
        <v/>
      </c>
      <c r="AV73" s="36">
        <f>AV72/AV65</f>
        <v/>
      </c>
      <c r="AW73" s="36">
        <f>AW72/AW65</f>
        <v/>
      </c>
      <c r="AX73" s="36">
        <f>AX72/AX65</f>
        <v/>
      </c>
      <c r="AY73" s="36">
        <f>AY72/AY65</f>
        <v/>
      </c>
      <c r="AZ73" s="36">
        <f>AZ72/AZ65</f>
        <v/>
      </c>
      <c r="BA73" s="56" t="n">
        <v>1.00366012345567</v>
      </c>
      <c r="BB73" s="39" t="n">
        <v>0</v>
      </c>
      <c r="BC73" s="61" t="n">
        <v>0</v>
      </c>
      <c r="BD73" s="27" t="inlineStr"/>
    </row>
    <row r="74">
      <c r="A74" s="43" t="inlineStr">
        <is>
          <t>P202511000622</t>
        </is>
      </c>
      <c r="B74" s="44" t="inlineStr">
        <is>
          <t>甘肃省畜牧技术推广总站-甘肃省畜牧业统计监测系统项目2026年度运维-FP项目</t>
        </is>
      </c>
      <c r="C74" s="45" t="n">
        <v>46023</v>
      </c>
      <c r="D74" s="45" t="n">
        <v>46387</v>
      </c>
      <c r="E74" s="15" t="n"/>
      <c r="F74" s="15" t="n">
        <v>0</v>
      </c>
      <c r="G74" s="17" t="n"/>
      <c r="H74" s="17" t="n"/>
      <c r="I74" s="17" t="n"/>
      <c r="J74" s="17" t="n"/>
      <c r="K74" s="17" t="n"/>
      <c r="L74" s="17" t="n"/>
      <c r="M74" s="17" t="n"/>
      <c r="N74" s="17" t="n"/>
      <c r="O74" s="17" t="n"/>
      <c r="P74" s="17" t="n"/>
      <c r="Q74" s="17" t="inlineStr"/>
      <c r="R74" s="48" t="inlineStr">
        <is>
          <t>累计收入（NR）</t>
        </is>
      </c>
      <c r="S74" s="19" t="n">
        <v>75471.7</v>
      </c>
      <c r="T74" s="19" t="n">
        <v>0</v>
      </c>
      <c r="U74" s="20">
        <f>SUM(BA74:BC74)</f>
        <v/>
      </c>
      <c r="V74" s="19">
        <f>SUM(AO74:AZ74)</f>
        <v/>
      </c>
      <c r="W74" s="19">
        <f>SUM(AP74:AZ74)</f>
        <v/>
      </c>
      <c r="X74" s="19" t="n">
        <v>0</v>
      </c>
      <c r="Y74" s="19" t="n">
        <v>0</v>
      </c>
      <c r="Z74" s="19">
        <f>SUM(AS74:AZ74)</f>
        <v/>
      </c>
      <c r="AA74" s="19">
        <f>SUM(AT74:AZ74)</f>
        <v/>
      </c>
      <c r="AB74" s="19">
        <f>SUM(AU74:AZ74)</f>
        <v/>
      </c>
      <c r="AC74" s="19">
        <f>SUM(AV74:AZ74)</f>
        <v/>
      </c>
      <c r="AD74" s="19">
        <f>SUM(AW74:AZ74)</f>
        <v/>
      </c>
      <c r="AE74" s="19">
        <f>SUM(AX74:AZ74)</f>
        <v/>
      </c>
      <c r="AF74" s="19">
        <f>SUM(AY74:AZ74)</f>
        <v/>
      </c>
      <c r="AG74" s="19">
        <f>SUM(AZ74:AZ74)</f>
        <v/>
      </c>
      <c r="AH74" s="21" t="n">
        <v>0</v>
      </c>
      <c r="AI74" s="21" t="n">
        <v>0</v>
      </c>
      <c r="AJ74" s="44" t="inlineStr"/>
      <c r="AK74" s="49" t="inlineStr">
        <is>
          <t>农业运维项目，收入由系统每月自动计入，成本视实际投入情况填报</t>
        </is>
      </c>
      <c r="AL74" s="49" t="inlineStr"/>
      <c r="AM74" s="49" t="inlineStr"/>
      <c r="AN74" s="24" t="n"/>
      <c r="AO74" s="19" t="n">
        <v>0</v>
      </c>
      <c r="AP74" s="19" t="n">
        <v>0</v>
      </c>
      <c r="AQ74" s="19" t="n">
        <v>0</v>
      </c>
      <c r="AR74" s="19" t="n">
        <v>0</v>
      </c>
      <c r="AS74" s="19" t="n">
        <v>0</v>
      </c>
      <c r="AT74" s="19" t="n">
        <v>0</v>
      </c>
      <c r="AU74" s="19" t="n">
        <v>0</v>
      </c>
      <c r="AV74" s="19" t="n">
        <v>0</v>
      </c>
      <c r="AW74" s="19" t="n">
        <v>0</v>
      </c>
      <c r="AX74" s="19" t="n">
        <v>0</v>
      </c>
      <c r="AY74" s="19" t="n">
        <v>5789.59</v>
      </c>
      <c r="AZ74" s="19" t="n">
        <v>6409.96</v>
      </c>
      <c r="BA74" s="50" t="n">
        <v>15477.62</v>
      </c>
      <c r="BB74" s="20" t="n">
        <v>0</v>
      </c>
      <c r="BC74" s="61"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人工成本（成本１）</t>
        </is>
      </c>
      <c r="S75" s="19" t="n">
        <v>34151.4</v>
      </c>
      <c r="T75" s="19" t="n">
        <v>0</v>
      </c>
      <c r="U75" s="20">
        <f>SUM(BA75:BC75)</f>
        <v/>
      </c>
      <c r="V75" s="19">
        <f>SUM(AO75:AZ75)</f>
        <v/>
      </c>
      <c r="W75" s="19">
        <f>SUM(AP75:AZ75)</f>
        <v/>
      </c>
      <c r="X75" s="19" t="n">
        <v>0</v>
      </c>
      <c r="Y75" s="19" t="n">
        <v>0</v>
      </c>
      <c r="Z75" s="19">
        <f>SUM(AS75:AZ75)</f>
        <v/>
      </c>
      <c r="AA75" s="19">
        <f>SUM(AT75:AZ75)</f>
        <v/>
      </c>
      <c r="AB75" s="19">
        <f>SUM(AU75:AZ75)</f>
        <v/>
      </c>
      <c r="AC75" s="19">
        <f>SUM(AV75:AZ75)</f>
        <v/>
      </c>
      <c r="AD75" s="19">
        <f>SUM(AW75:AZ75)</f>
        <v/>
      </c>
      <c r="AE75" s="19">
        <f>SUM(AX75:AZ75)</f>
        <v/>
      </c>
      <c r="AF75" s="19">
        <f>SUM(AY75:AZ75)</f>
        <v/>
      </c>
      <c r="AG75" s="19">
        <f>SUM(AZ75:AZ75)</f>
        <v/>
      </c>
      <c r="AH75" s="21" t="n">
        <v>0</v>
      </c>
      <c r="AI75" s="21" t="n">
        <v>0</v>
      </c>
      <c r="AJ75" s="28" t="n"/>
      <c r="AK75" s="28" t="n"/>
      <c r="AL75" s="28" t="n"/>
      <c r="AM75" s="28" t="n"/>
      <c r="AN75" s="28" t="n"/>
      <c r="AO75" s="19" t="n">
        <v>0</v>
      </c>
      <c r="AP75" s="19" t="n">
        <v>0</v>
      </c>
      <c r="AQ75" s="19" t="n">
        <v>0</v>
      </c>
      <c r="AR75" s="19" t="n">
        <v>0</v>
      </c>
      <c r="AS75" s="19" t="n">
        <v>0</v>
      </c>
      <c r="AT75" s="19" t="n">
        <v>0</v>
      </c>
      <c r="AU75" s="19" t="n">
        <v>0</v>
      </c>
      <c r="AV75" s="19" t="n">
        <v>0</v>
      </c>
      <c r="AW75" s="19" t="n">
        <v>0</v>
      </c>
      <c r="AX75" s="19" t="n">
        <v>0</v>
      </c>
      <c r="AY75" s="19" t="n">
        <v>0</v>
      </c>
      <c r="AZ75" s="19" t="n">
        <v>19659.83</v>
      </c>
      <c r="BA75" s="50" t="n">
        <v>0</v>
      </c>
      <c r="BB75" s="20" t="n">
        <v>0</v>
      </c>
      <c r="BC75" s="61"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差旅费（成本３）</t>
        </is>
      </c>
      <c r="S76" s="19" t="n">
        <v>0</v>
      </c>
      <c r="T76" s="19" t="n">
        <v>0</v>
      </c>
      <c r="U76" s="20">
        <f>SUM(BA76:BC76)</f>
        <v/>
      </c>
      <c r="V76" s="19">
        <f>SUM(AO76:AZ76)</f>
        <v/>
      </c>
      <c r="W76" s="19">
        <f>SUM(AP76:AZ76)</f>
        <v/>
      </c>
      <c r="X76" s="19" t="n">
        <v>0</v>
      </c>
      <c r="Y76" s="19" t="n">
        <v>0</v>
      </c>
      <c r="Z76" s="19">
        <f>SUM(AS76:AZ76)</f>
        <v/>
      </c>
      <c r="AA76" s="19">
        <f>SUM(AT76:AZ76)</f>
        <v/>
      </c>
      <c r="AB76" s="19">
        <f>SUM(AU76:AZ76)</f>
        <v/>
      </c>
      <c r="AC76" s="19">
        <f>SUM(AV76:AZ76)</f>
        <v/>
      </c>
      <c r="AD76" s="19">
        <f>SUM(AW76:AZ76)</f>
        <v/>
      </c>
      <c r="AE76" s="19">
        <f>SUM(AX76:AZ76)</f>
        <v/>
      </c>
      <c r="AF76" s="19">
        <f>SUM(AY76:AZ76)</f>
        <v/>
      </c>
      <c r="AG76" s="19">
        <f>SUM(AZ76:AZ76)</f>
        <v/>
      </c>
      <c r="AH76" s="21" t="n">
        <v>0</v>
      </c>
      <c r="AI76" s="21" t="n">
        <v>0</v>
      </c>
      <c r="AJ76" s="28" t="n"/>
      <c r="AK76" s="28" t="n"/>
      <c r="AL76" s="28" t="n"/>
      <c r="AM76" s="28" t="n"/>
      <c r="AN76" s="28" t="n"/>
      <c r="AO76" s="19" t="n">
        <v>0</v>
      </c>
      <c r="AP76" s="19" t="n">
        <v>0</v>
      </c>
      <c r="AQ76" s="19" t="n">
        <v>0</v>
      </c>
      <c r="AR76" s="19" t="n">
        <v>0</v>
      </c>
      <c r="AS76" s="19" t="n">
        <v>0</v>
      </c>
      <c r="AT76" s="19" t="n">
        <v>0</v>
      </c>
      <c r="AU76" s="19" t="n">
        <v>0</v>
      </c>
      <c r="AV76" s="19" t="n">
        <v>0</v>
      </c>
      <c r="AW76" s="19" t="n">
        <v>0</v>
      </c>
      <c r="AX76" s="19" t="n">
        <v>0</v>
      </c>
      <c r="AY76" s="19" t="n">
        <v>0</v>
      </c>
      <c r="AZ76" s="19" t="n">
        <v>0</v>
      </c>
      <c r="BA76" s="50" t="n">
        <v>0</v>
      </c>
      <c r="BB76" s="20" t="n">
        <v>0</v>
      </c>
      <c r="BC76" s="61"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其他成本（成本３）</t>
        </is>
      </c>
      <c r="S77" s="19" t="n">
        <v>29037</v>
      </c>
      <c r="T77" s="19" t="n">
        <v>0</v>
      </c>
      <c r="U77" s="20">
        <f>SUM(BA77:BC77)</f>
        <v/>
      </c>
      <c r="V77" s="19">
        <f>SUM(AO77:AZ77)</f>
        <v/>
      </c>
      <c r="W77" s="19">
        <f>SUM(AP77:AZ77)</f>
        <v/>
      </c>
      <c r="X77" s="19" t="n">
        <v>0</v>
      </c>
      <c r="Y77" s="19" t="n">
        <v>0</v>
      </c>
      <c r="Z77" s="19">
        <f>SUM(AS77:AZ77)</f>
        <v/>
      </c>
      <c r="AA77" s="19">
        <f>SUM(AT77:AZ77)</f>
        <v/>
      </c>
      <c r="AB77" s="19">
        <f>SUM(AU77:AZ77)</f>
        <v/>
      </c>
      <c r="AC77" s="19">
        <f>SUM(AV77:AZ77)</f>
        <v/>
      </c>
      <c r="AD77" s="19">
        <f>SUM(AW77:AZ77)</f>
        <v/>
      </c>
      <c r="AE77" s="19">
        <f>SUM(AX77:AZ77)</f>
        <v/>
      </c>
      <c r="AF77" s="19">
        <f>SUM(AY77:AZ77)</f>
        <v/>
      </c>
      <c r="AG77" s="19">
        <f>SUM(AZ77:AZ77)</f>
        <v/>
      </c>
      <c r="AH77" s="21" t="n">
        <v>0</v>
      </c>
      <c r="AI77" s="21" t="n">
        <v>0</v>
      </c>
      <c r="AJ77" s="28" t="n"/>
      <c r="AK77" s="28" t="n"/>
      <c r="AL77" s="28" t="n"/>
      <c r="AM77" s="28" t="n"/>
      <c r="AN77" s="28" t="n"/>
      <c r="AO77" s="19" t="n">
        <v>0</v>
      </c>
      <c r="AP77" s="19" t="n">
        <v>0</v>
      </c>
      <c r="AQ77" s="19" t="n">
        <v>0</v>
      </c>
      <c r="AR77" s="19" t="n">
        <v>0</v>
      </c>
      <c r="AS77" s="19" t="n">
        <v>0</v>
      </c>
      <c r="AT77" s="19" t="n">
        <v>0</v>
      </c>
      <c r="AU77" s="19" t="n">
        <v>0</v>
      </c>
      <c r="AV77" s="19" t="n">
        <v>0</v>
      </c>
      <c r="AW77" s="19" t="n">
        <v>0</v>
      </c>
      <c r="AX77" s="19" t="n">
        <v>0</v>
      </c>
      <c r="AY77" s="19" t="n">
        <v>-63.27</v>
      </c>
      <c r="AZ77" s="19" t="n">
        <v>-69.06</v>
      </c>
      <c r="BA77" s="50" t="n">
        <v>-56.65</v>
      </c>
      <c r="BB77" s="20" t="n">
        <v>0</v>
      </c>
      <c r="BC77" s="61" t="n">
        <v>0</v>
      </c>
      <c r="BD77" s="27"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累计成本</t>
        </is>
      </c>
      <c r="S78" s="30">
        <f>SUM(S75:S77)</f>
        <v/>
      </c>
      <c r="T78" s="30">
        <f>SUM(T75:T77)</f>
        <v/>
      </c>
      <c r="U78" s="31">
        <f>SUM(U75:U77)</f>
        <v/>
      </c>
      <c r="V78" s="30">
        <f>SUM(V75:V77)</f>
        <v/>
      </c>
      <c r="W78" s="30">
        <f>SUM(W75:W77)</f>
        <v/>
      </c>
      <c r="X78" s="30">
        <f>SUM(X75:X77)</f>
        <v/>
      </c>
      <c r="Y78" s="30">
        <f>SUM(Y75:Y77)</f>
        <v/>
      </c>
      <c r="Z78" s="30">
        <f>SUM(Z75:Z77)</f>
        <v/>
      </c>
      <c r="AA78" s="30">
        <f>SUM(AA75:AA77)</f>
        <v/>
      </c>
      <c r="AB78" s="30">
        <f>SUM(AB75:AB77)</f>
        <v/>
      </c>
      <c r="AC78" s="30">
        <f>SUM(AC75:AC77)</f>
        <v/>
      </c>
      <c r="AD78" s="30">
        <f>SUM(AD75:AD77)</f>
        <v/>
      </c>
      <c r="AE78" s="30">
        <f>SUM(AE75:AE77)</f>
        <v/>
      </c>
      <c r="AF78" s="30">
        <f>SUM(AF75:AF77)</f>
        <v/>
      </c>
      <c r="AG78" s="30">
        <f>SUM(AG75:AG77)</f>
        <v/>
      </c>
      <c r="AH78" s="30">
        <f>SUM(AH75:AH77)</f>
        <v/>
      </c>
      <c r="AI78" s="30">
        <f>SUM(AI75:AI77)</f>
        <v/>
      </c>
      <c r="AJ78" s="28" t="n"/>
      <c r="AK78" s="28" t="n"/>
      <c r="AL78" s="28" t="n"/>
      <c r="AM78" s="28" t="n"/>
      <c r="AN78" s="28" t="n"/>
      <c r="AO78" s="30">
        <f>SUM(AO75:AO77)</f>
        <v/>
      </c>
      <c r="AP78" s="30">
        <f>SUM(AP75:AP77)</f>
        <v/>
      </c>
      <c r="AQ78" s="30">
        <f>SUM(AQ75:AQ77)</f>
        <v/>
      </c>
      <c r="AR78" s="30">
        <f>SUM(AR75:AR77)</f>
        <v/>
      </c>
      <c r="AS78" s="30">
        <f>SUM(AS75:AS77)</f>
        <v/>
      </c>
      <c r="AT78" s="30">
        <f>SUM(AT75:AT77)</f>
        <v/>
      </c>
      <c r="AU78" s="30">
        <f>SUM(AU75:AU77)</f>
        <v/>
      </c>
      <c r="AV78" s="30">
        <f>SUM(AV75:AV77)</f>
        <v/>
      </c>
      <c r="AW78" s="30">
        <f>SUM(AW75:AW77)</f>
        <v/>
      </c>
      <c r="AX78" s="30">
        <f>SUM(AX75:AX77)</f>
        <v/>
      </c>
      <c r="AY78" s="30">
        <f>SUM(AY75:AY77)</f>
        <v/>
      </c>
      <c r="AZ78" s="30">
        <f>SUM(AZ75:AZ77)</f>
        <v/>
      </c>
      <c r="BA78" s="53" t="n">
        <v>-56.65</v>
      </c>
      <c r="BB78" s="31">
        <f>SUM(BB75:BB77)</f>
        <v/>
      </c>
      <c r="BC78" s="54">
        <f>SUM(BC75:BC77)</f>
        <v/>
      </c>
      <c r="BD78" s="32" t="inlineStr"/>
    </row>
    <row r="79">
      <c r="A79" s="28" t="n"/>
      <c r="B79" s="28" t="n"/>
      <c r="C79" s="28" t="n"/>
      <c r="D79" s="28" t="n"/>
      <c r="E79" s="28" t="n"/>
      <c r="F79" s="28" t="n"/>
      <c r="G79" s="28" t="n"/>
      <c r="H79" s="28" t="n"/>
      <c r="I79" s="28" t="n"/>
      <c r="J79" s="28" t="n"/>
      <c r="K79" s="28" t="n"/>
      <c r="L79" s="28" t="n"/>
      <c r="M79" s="28" t="n"/>
      <c r="N79" s="28" t="n"/>
      <c r="O79" s="28" t="n"/>
      <c r="P79" s="28" t="n"/>
      <c r="Q79" s="28" t="n"/>
      <c r="R79" s="29" t="inlineStr">
        <is>
          <t>GP1毛利</t>
        </is>
      </c>
      <c r="S79" s="19">
        <f>S74-S75</f>
        <v/>
      </c>
      <c r="T79" s="19" t="n">
        <v>0</v>
      </c>
      <c r="U79" s="20">
        <f>U74-U75</f>
        <v/>
      </c>
      <c r="V79" s="19">
        <f>V74-V75</f>
        <v/>
      </c>
      <c r="W79" s="19">
        <f>W74-W75</f>
        <v/>
      </c>
      <c r="X79" s="19" t="n">
        <v>0</v>
      </c>
      <c r="Y79" s="19" t="n">
        <v>0</v>
      </c>
      <c r="Z79" s="19">
        <f>Z74-Z75</f>
        <v/>
      </c>
      <c r="AA79" s="19">
        <f>AA74-AA75</f>
        <v/>
      </c>
      <c r="AB79" s="19">
        <f>AB74-AB75</f>
        <v/>
      </c>
      <c r="AC79" s="19">
        <f>AC74-AC75</f>
        <v/>
      </c>
      <c r="AD79" s="19">
        <f>AD74-AD75</f>
        <v/>
      </c>
      <c r="AE79" s="19">
        <f>AE74-AE75</f>
        <v/>
      </c>
      <c r="AF79" s="19">
        <f>AF74-AF75</f>
        <v/>
      </c>
      <c r="AG79" s="19">
        <f>AG74-AG75</f>
        <v/>
      </c>
      <c r="AH79" s="33" t="n">
        <v>0</v>
      </c>
      <c r="AI79" s="33" t="n">
        <v>0</v>
      </c>
      <c r="AJ79" s="28" t="n"/>
      <c r="AK79" s="28" t="n"/>
      <c r="AL79" s="28" t="n"/>
      <c r="AM79" s="28" t="n"/>
      <c r="AN79" s="28" t="n"/>
      <c r="AO79" s="19">
        <f>AO74-AO75</f>
        <v/>
      </c>
      <c r="AP79" s="19">
        <f>AP74-AP75</f>
        <v/>
      </c>
      <c r="AQ79" s="19">
        <f>AQ74-AQ75</f>
        <v/>
      </c>
      <c r="AR79" s="19">
        <f>AR74-AR75</f>
        <v/>
      </c>
      <c r="AS79" s="19">
        <f>AS74-AS75</f>
        <v/>
      </c>
      <c r="AT79" s="19">
        <f>AT74-AT75</f>
        <v/>
      </c>
      <c r="AU79" s="19">
        <f>AU74-AU75</f>
        <v/>
      </c>
      <c r="AV79" s="19">
        <f>AV74-AV75</f>
        <v/>
      </c>
      <c r="AW79" s="19">
        <f>AW74-AW75</f>
        <v/>
      </c>
      <c r="AX79" s="19">
        <f>AX74-AX75</f>
        <v/>
      </c>
      <c r="AY79" s="19">
        <f>AY74-AY75</f>
        <v/>
      </c>
      <c r="AZ79" s="19">
        <f>AZ74-AZ75</f>
        <v/>
      </c>
      <c r="BA79" s="55" t="n">
        <v>15477.62</v>
      </c>
      <c r="BB79" s="31" t="n">
        <v>0</v>
      </c>
      <c r="BC79" s="61"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35" t="inlineStr">
        <is>
          <t>GP1毛利率(%)</t>
        </is>
      </c>
      <c r="S80" s="36">
        <f>S79/S74</f>
        <v/>
      </c>
      <c r="T80" s="36" t="n">
        <v>0</v>
      </c>
      <c r="U80" s="37">
        <f>U79/U74</f>
        <v/>
      </c>
      <c r="V80" s="36">
        <f>V79/V74</f>
        <v/>
      </c>
      <c r="W80" s="36">
        <f>W79/W74</f>
        <v/>
      </c>
      <c r="X80" s="36" t="n">
        <v>0</v>
      </c>
      <c r="Y80" s="36" t="n">
        <v>0</v>
      </c>
      <c r="Z80" s="36">
        <f>Z79/Z74</f>
        <v/>
      </c>
      <c r="AA80" s="36">
        <f>AA79/AA74</f>
        <v/>
      </c>
      <c r="AB80" s="36">
        <f>AB79/AB74</f>
        <v/>
      </c>
      <c r="AC80" s="36">
        <f>AC79/AC74</f>
        <v/>
      </c>
      <c r="AD80" s="36">
        <f>AD79/AD74</f>
        <v/>
      </c>
      <c r="AE80" s="36">
        <f>AE79/AE74</f>
        <v/>
      </c>
      <c r="AF80" s="36">
        <f>AF79/AF74</f>
        <v/>
      </c>
      <c r="AG80" s="36">
        <f>AG79/AG74</f>
        <v/>
      </c>
      <c r="AH80" s="38">
        <f>T80-S80</f>
        <v/>
      </c>
      <c r="AI80" s="38">
        <f>AF80-S80</f>
        <v/>
      </c>
      <c r="AJ80" s="28" t="n"/>
      <c r="AK80" s="28" t="n"/>
      <c r="AL80" s="28" t="n"/>
      <c r="AM80" s="28" t="n"/>
      <c r="AN80" s="28" t="n"/>
      <c r="AO80" s="36">
        <f>AO79/AO74</f>
        <v/>
      </c>
      <c r="AP80" s="36">
        <f>AP79/AP74</f>
        <v/>
      </c>
      <c r="AQ80" s="36">
        <f>AQ79/AQ74</f>
        <v/>
      </c>
      <c r="AR80" s="36">
        <f>AR79/AR74</f>
        <v/>
      </c>
      <c r="AS80" s="36">
        <f>AS79/AS74</f>
        <v/>
      </c>
      <c r="AT80" s="36">
        <f>AT79/AT74</f>
        <v/>
      </c>
      <c r="AU80" s="36">
        <f>AU79/AU74</f>
        <v/>
      </c>
      <c r="AV80" s="36">
        <f>AV79/AV74</f>
        <v/>
      </c>
      <c r="AW80" s="36">
        <f>AW79/AW74</f>
        <v/>
      </c>
      <c r="AX80" s="36">
        <f>AX79/AX74</f>
        <v/>
      </c>
      <c r="AY80" s="36">
        <f>AY79/AY74</f>
        <v/>
      </c>
      <c r="AZ80" s="36">
        <f>AZ79/AZ74</f>
        <v/>
      </c>
      <c r="BA80" s="56" t="n">
        <v>1</v>
      </c>
      <c r="BB80" s="39" t="n">
        <v>0</v>
      </c>
      <c r="BC80" s="61" t="n">
        <v>0</v>
      </c>
      <c r="BD80" s="27" t="inlineStr"/>
    </row>
    <row r="81">
      <c r="A81" s="28" t="n"/>
      <c r="B81" s="28" t="n"/>
      <c r="C81" s="28" t="n"/>
      <c r="D81" s="28" t="n"/>
      <c r="E81" s="28" t="n"/>
      <c r="F81" s="28" t="n"/>
      <c r="G81" s="28" t="n"/>
      <c r="H81" s="28" t="n"/>
      <c r="I81" s="28" t="n"/>
      <c r="J81" s="28" t="n"/>
      <c r="K81" s="28" t="n"/>
      <c r="L81" s="28" t="n"/>
      <c r="M81" s="28" t="n"/>
      <c r="N81" s="28" t="n"/>
      <c r="O81" s="28" t="n"/>
      <c r="P81" s="28" t="n"/>
      <c r="Q81" s="28" t="n"/>
      <c r="R81" s="29" t="inlineStr">
        <is>
          <t>GP3毛利</t>
        </is>
      </c>
      <c r="S81" s="19">
        <f>S74-S75-S76-S77</f>
        <v/>
      </c>
      <c r="T81" s="19" t="n">
        <v>0</v>
      </c>
      <c r="U81" s="20">
        <f>U74-U75-U76-U77</f>
        <v/>
      </c>
      <c r="V81" s="19">
        <f>V74-V75-V76-V77</f>
        <v/>
      </c>
      <c r="W81" s="19">
        <f>W74-W75-W76-W77</f>
        <v/>
      </c>
      <c r="X81" s="19" t="n">
        <v>0</v>
      </c>
      <c r="Y81" s="19" t="n">
        <v>0</v>
      </c>
      <c r="Z81" s="19">
        <f>Z74-Z75-Z76-Z77</f>
        <v/>
      </c>
      <c r="AA81" s="19">
        <f>AA74-AA75-AA76-AA77</f>
        <v/>
      </c>
      <c r="AB81" s="19">
        <f>AB74-AB75-AB76-AB77</f>
        <v/>
      </c>
      <c r="AC81" s="19">
        <f>AC74-AC75-AC76-AC77</f>
        <v/>
      </c>
      <c r="AD81" s="19">
        <f>AD74-AD75-AD76-AD77</f>
        <v/>
      </c>
      <c r="AE81" s="19">
        <f>AE74-AE75-AE76-AE77</f>
        <v/>
      </c>
      <c r="AF81" s="19">
        <f>AF74-AF75-AF76-AF77</f>
        <v/>
      </c>
      <c r="AG81" s="19">
        <f>AG74-AG75-AG76-AG77</f>
        <v/>
      </c>
      <c r="AH81" s="38" t="n">
        <v>0</v>
      </c>
      <c r="AI81" s="38" t="n">
        <v>0</v>
      </c>
      <c r="AJ81" s="28" t="n"/>
      <c r="AK81" s="28" t="n"/>
      <c r="AL81" s="28" t="n"/>
      <c r="AM81" s="28" t="n"/>
      <c r="AN81" s="28" t="n"/>
      <c r="AO81" s="19">
        <f>AO74-AO75-AO76-AO77</f>
        <v/>
      </c>
      <c r="AP81" s="19">
        <f>AP74-AP75-AP76-AP77</f>
        <v/>
      </c>
      <c r="AQ81" s="19">
        <f>AQ74-AQ75-AQ76-AQ77</f>
        <v/>
      </c>
      <c r="AR81" s="19">
        <f>AR74-AR75-AR76-AR77</f>
        <v/>
      </c>
      <c r="AS81" s="19">
        <f>AS74-AS75-AS76-AS77</f>
        <v/>
      </c>
      <c r="AT81" s="19">
        <f>AT74-AT75-AT76-AT77</f>
        <v/>
      </c>
      <c r="AU81" s="19">
        <f>AU74-AU75-AU76-AU77</f>
        <v/>
      </c>
      <c r="AV81" s="19">
        <f>AV74-AV75-AV76-AV77</f>
        <v/>
      </c>
      <c r="AW81" s="19">
        <f>AW74-AW75-AW76-AW77</f>
        <v/>
      </c>
      <c r="AX81" s="19">
        <f>AX74-AX75-AX76-AX77</f>
        <v/>
      </c>
      <c r="AY81" s="19">
        <f>AY74-AY75-AY76-AY77</f>
        <v/>
      </c>
      <c r="AZ81" s="19">
        <f>AZ74-AZ75-AZ76-AZ77</f>
        <v/>
      </c>
      <c r="BA81" s="57" t="n">
        <v>15534.27</v>
      </c>
      <c r="BB81" s="31" t="n">
        <v>0</v>
      </c>
      <c r="BC81" s="61" t="n">
        <v>0</v>
      </c>
      <c r="BD81" s="27" t="inlineStr"/>
    </row>
    <row r="82">
      <c r="A82" s="42" t="n"/>
      <c r="B82" s="42" t="n"/>
      <c r="C82" s="42" t="n"/>
      <c r="D82" s="42" t="n"/>
      <c r="E82" s="42" t="n"/>
      <c r="F82" s="42" t="n"/>
      <c r="G82" s="42" t="n"/>
      <c r="H82" s="42" t="n"/>
      <c r="I82" s="42" t="n"/>
      <c r="J82" s="42" t="n"/>
      <c r="K82" s="42" t="n"/>
      <c r="L82" s="42" t="n"/>
      <c r="M82" s="42" t="n"/>
      <c r="N82" s="42" t="n"/>
      <c r="O82" s="42" t="n"/>
      <c r="P82" s="42" t="n"/>
      <c r="Q82" s="42" t="n"/>
      <c r="R82" s="35" t="inlineStr">
        <is>
          <t>GP3毛利率(%)</t>
        </is>
      </c>
      <c r="S82" s="36">
        <f>S81/S74</f>
        <v/>
      </c>
      <c r="T82" s="36" t="n">
        <v>0</v>
      </c>
      <c r="U82" s="37">
        <f>U81/U74</f>
        <v/>
      </c>
      <c r="V82" s="36">
        <f>V81/V74</f>
        <v/>
      </c>
      <c r="W82" s="36">
        <f>W81/W74</f>
        <v/>
      </c>
      <c r="X82" s="36" t="n">
        <v>0</v>
      </c>
      <c r="Y82" s="36" t="n">
        <v>0</v>
      </c>
      <c r="Z82" s="36">
        <f>Z81/Z74</f>
        <v/>
      </c>
      <c r="AA82" s="36">
        <f>AA81/AA74</f>
        <v/>
      </c>
      <c r="AB82" s="36">
        <f>AB81/AB74</f>
        <v/>
      </c>
      <c r="AC82" s="36">
        <f>AC81/AC74</f>
        <v/>
      </c>
      <c r="AD82" s="36">
        <f>AD81/AD74</f>
        <v/>
      </c>
      <c r="AE82" s="36">
        <f>AE81/AE74</f>
        <v/>
      </c>
      <c r="AF82" s="36">
        <f>AF81/AF74</f>
        <v/>
      </c>
      <c r="AG82" s="36">
        <f>AG81/AG74</f>
        <v/>
      </c>
      <c r="AH82" s="38">
        <f>T82-S82</f>
        <v/>
      </c>
      <c r="AI82" s="38">
        <f>AF82-S82</f>
        <v/>
      </c>
      <c r="AJ82" s="42" t="n"/>
      <c r="AK82" s="42" t="n"/>
      <c r="AL82" s="42" t="n"/>
      <c r="AM82" s="42" t="n"/>
      <c r="AN82" s="42" t="n"/>
      <c r="AO82" s="36">
        <f>AO81/AO74</f>
        <v/>
      </c>
      <c r="AP82" s="36">
        <f>AP81/AP74</f>
        <v/>
      </c>
      <c r="AQ82" s="36">
        <f>AQ81/AQ74</f>
        <v/>
      </c>
      <c r="AR82" s="36">
        <f>AR81/AR74</f>
        <v/>
      </c>
      <c r="AS82" s="36">
        <f>AS81/AS74</f>
        <v/>
      </c>
      <c r="AT82" s="36">
        <f>AT81/AT74</f>
        <v/>
      </c>
      <c r="AU82" s="36">
        <f>AU81/AU74</f>
        <v/>
      </c>
      <c r="AV82" s="36">
        <f>AV81/AV74</f>
        <v/>
      </c>
      <c r="AW82" s="36">
        <f>AW81/AW74</f>
        <v/>
      </c>
      <c r="AX82" s="36">
        <f>AX81/AX74</f>
        <v/>
      </c>
      <c r="AY82" s="36">
        <f>AY81/AY74</f>
        <v/>
      </c>
      <c r="AZ82" s="36">
        <f>AZ81/AZ74</f>
        <v/>
      </c>
      <c r="BA82" s="56" t="n">
        <v>1.00366012345567</v>
      </c>
      <c r="BB82" s="39" t="n">
        <v>0</v>
      </c>
      <c r="BC82" s="61" t="n">
        <v>0</v>
      </c>
      <c r="BD82" s="27" t="inlineStr"/>
    </row>
    <row r="83">
      <c r="A83" s="43" t="inlineStr">
        <is>
          <t>P202601001368</t>
        </is>
      </c>
      <c r="B83" s="44" t="inlineStr">
        <is>
          <t>全国畜牧总站-2026年畜牧核心数据查询APP（牧数查）项目-FP项目</t>
        </is>
      </c>
      <c r="C83" s="45" t="n">
        <v>46023</v>
      </c>
      <c r="D83" s="45" t="n">
        <v>46387</v>
      </c>
      <c r="E83" s="15" t="n"/>
      <c r="F83" s="15" t="n">
        <v>2</v>
      </c>
      <c r="G83" s="17" t="n"/>
      <c r="H83" s="17" t="n"/>
      <c r="I83" s="17" t="n"/>
      <c r="J83" s="17" t="n"/>
      <c r="K83" s="17" t="n"/>
      <c r="L83" s="17" t="n"/>
      <c r="M83" s="17" t="n"/>
      <c r="N83" s="17" t="n"/>
      <c r="O83" s="17" t="n"/>
      <c r="P83" s="17" t="n"/>
      <c r="Q83" s="17" t="inlineStr"/>
      <c r="R83" s="48" t="inlineStr">
        <is>
          <t>累计收入（NR）</t>
        </is>
      </c>
      <c r="S83" s="19" t="n">
        <v>75471.7</v>
      </c>
      <c r="T83" s="19" t="n">
        <v>0</v>
      </c>
      <c r="U83" s="20" t="n">
        <v>0</v>
      </c>
      <c r="V83" s="19">
        <f>SUM(AO83:AZ83)</f>
        <v/>
      </c>
      <c r="W83" s="19">
        <f>SUM(AP83:AZ83)</f>
        <v/>
      </c>
      <c r="X83" s="19" t="n">
        <v>0</v>
      </c>
      <c r="Y83" s="19" t="n">
        <v>0</v>
      </c>
      <c r="Z83" s="19" t="n">
        <v>0</v>
      </c>
      <c r="AA83" s="19" t="n">
        <v>0</v>
      </c>
      <c r="AB83" s="19" t="n">
        <v>0</v>
      </c>
      <c r="AC83" s="19" t="n">
        <v>0</v>
      </c>
      <c r="AD83" s="19" t="n">
        <v>0</v>
      </c>
      <c r="AE83" s="19" t="n">
        <v>0</v>
      </c>
      <c r="AF83" s="19" t="n">
        <v>0</v>
      </c>
      <c r="AG83" s="19" t="n">
        <v>6409.96</v>
      </c>
      <c r="AH83" s="21" t="n">
        <v>0</v>
      </c>
      <c r="AI83" s="21" t="n">
        <v>0</v>
      </c>
      <c r="AJ83" s="44" t="inlineStr"/>
      <c r="AK83" s="49" t="inlineStr"/>
      <c r="AL83" s="49" t="inlineStr"/>
      <c r="AM83" s="49" t="inlineStr"/>
      <c r="AN83" s="24" t="n"/>
      <c r="AO83" s="19" t="n">
        <v>0</v>
      </c>
      <c r="AP83" s="19" t="n">
        <v>0</v>
      </c>
      <c r="AQ83" s="19" t="n">
        <v>0</v>
      </c>
      <c r="AR83" s="19" t="n">
        <v>0</v>
      </c>
      <c r="AS83" s="19" t="n">
        <v>0</v>
      </c>
      <c r="AT83" s="19" t="n">
        <v>0</v>
      </c>
      <c r="AU83" s="19" t="n">
        <v>0</v>
      </c>
      <c r="AV83" s="19" t="n">
        <v>0</v>
      </c>
      <c r="AW83" s="19" t="n">
        <v>0</v>
      </c>
      <c r="AX83" s="19" t="n">
        <v>0</v>
      </c>
      <c r="AY83" s="19" t="n">
        <v>62945.83</v>
      </c>
      <c r="AZ83" s="19" t="n">
        <v>62991.71</v>
      </c>
      <c r="BA83" s="50" t="n">
        <v>0</v>
      </c>
      <c r="BB83" s="20" t="n">
        <v>0</v>
      </c>
      <c r="BC83" s="61"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人工成本（成本１）</t>
        </is>
      </c>
      <c r="S84" s="19" t="n">
        <v>34151.4</v>
      </c>
      <c r="T84" s="19" t="n">
        <v>0</v>
      </c>
      <c r="U84" s="20" t="n">
        <v>0</v>
      </c>
      <c r="V84" s="19">
        <f>SUM(AO84:AZ84)</f>
        <v/>
      </c>
      <c r="W84" s="19">
        <f>SUM(AP84:AZ84)</f>
        <v/>
      </c>
      <c r="X84" s="19" t="n">
        <v>0</v>
      </c>
      <c r="Y84" s="19" t="n">
        <v>0</v>
      </c>
      <c r="Z84" s="19" t="n">
        <v>0</v>
      </c>
      <c r="AA84" s="19" t="n">
        <v>0</v>
      </c>
      <c r="AB84" s="19" t="n">
        <v>0</v>
      </c>
      <c r="AC84" s="19" t="n">
        <v>0</v>
      </c>
      <c r="AD84" s="19" t="n">
        <v>0</v>
      </c>
      <c r="AE84" s="19" t="n">
        <v>0</v>
      </c>
      <c r="AF84" s="19" t="n">
        <v>0</v>
      </c>
      <c r="AG84" s="19" t="n">
        <v>19659.83</v>
      </c>
      <c r="AH84" s="21" t="n">
        <v>0</v>
      </c>
      <c r="AI84" s="21" t="n">
        <v>0</v>
      </c>
      <c r="AJ84" s="28" t="n"/>
      <c r="AK84" s="28" t="n"/>
      <c r="AL84" s="28" t="n"/>
      <c r="AM84" s="28" t="n"/>
      <c r="AN84" s="28" t="n"/>
      <c r="AO84" s="19" t="n">
        <v>0</v>
      </c>
      <c r="AP84" s="19" t="n">
        <v>0</v>
      </c>
      <c r="AQ84" s="19" t="n">
        <v>0</v>
      </c>
      <c r="AR84" s="19" t="n">
        <v>0</v>
      </c>
      <c r="AS84" s="19" t="n">
        <v>0</v>
      </c>
      <c r="AT84" s="19" t="n">
        <v>0</v>
      </c>
      <c r="AU84" s="19" t="n">
        <v>0</v>
      </c>
      <c r="AV84" s="19" t="n">
        <v>0</v>
      </c>
      <c r="AW84" s="19" t="n">
        <v>0</v>
      </c>
      <c r="AX84" s="19" t="n">
        <v>0</v>
      </c>
      <c r="AY84" s="19" t="n">
        <v>61858.83</v>
      </c>
      <c r="AZ84" s="19" t="n">
        <v>61858.83</v>
      </c>
      <c r="BA84" s="50" t="n">
        <v>0</v>
      </c>
      <c r="BB84" s="20" t="n">
        <v>0</v>
      </c>
      <c r="BC84" s="61"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19" t="n">
        <v>0</v>
      </c>
      <c r="T85" s="19" t="n">
        <v>0</v>
      </c>
      <c r="U85" s="20" t="n">
        <v>0</v>
      </c>
      <c r="V85" s="19">
        <f>SUM(AO85:AZ85)</f>
        <v/>
      </c>
      <c r="W85" s="19">
        <f>SUM(AP85:AZ85)</f>
        <v/>
      </c>
      <c r="X85" s="19" t="n">
        <v>0</v>
      </c>
      <c r="Y85" s="19" t="n">
        <v>0</v>
      </c>
      <c r="Z85" s="19" t="n">
        <v>0</v>
      </c>
      <c r="AA85" s="19" t="n">
        <v>0</v>
      </c>
      <c r="AB85" s="19" t="n">
        <v>0</v>
      </c>
      <c r="AC85" s="19" t="n">
        <v>0</v>
      </c>
      <c r="AD85" s="19" t="n">
        <v>0</v>
      </c>
      <c r="AE85" s="19" t="n">
        <v>0</v>
      </c>
      <c r="AF85" s="19" t="n">
        <v>0</v>
      </c>
      <c r="AG85" s="19" t="n">
        <v>0</v>
      </c>
      <c r="AH85" s="21" t="n">
        <v>0</v>
      </c>
      <c r="AI85" s="21" t="n">
        <v>0</v>
      </c>
      <c r="AJ85" s="28" t="n"/>
      <c r="AK85" s="28" t="n"/>
      <c r="AL85" s="28" t="n"/>
      <c r="AM85" s="28" t="n"/>
      <c r="AN85" s="28" t="n"/>
      <c r="AO85" s="19" t="n">
        <v>0</v>
      </c>
      <c r="AP85" s="19" t="n">
        <v>0</v>
      </c>
      <c r="AQ85" s="19" t="n">
        <v>0</v>
      </c>
      <c r="AR85" s="19" t="n">
        <v>0</v>
      </c>
      <c r="AS85" s="19" t="n">
        <v>0</v>
      </c>
      <c r="AT85" s="19" t="n">
        <v>0</v>
      </c>
      <c r="AU85" s="19" t="n">
        <v>0</v>
      </c>
      <c r="AV85" s="19" t="n">
        <v>0</v>
      </c>
      <c r="AW85" s="19" t="n">
        <v>0</v>
      </c>
      <c r="AX85" s="19" t="n">
        <v>0</v>
      </c>
      <c r="AY85" s="19" t="n">
        <v>0</v>
      </c>
      <c r="AZ85" s="19" t="n">
        <v>0</v>
      </c>
      <c r="BA85" s="50" t="n">
        <v>0</v>
      </c>
      <c r="BB85" s="20" t="n">
        <v>0</v>
      </c>
      <c r="BC85" s="61"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19" t="n">
        <v>29037</v>
      </c>
      <c r="T86" s="19" t="n">
        <v>0</v>
      </c>
      <c r="U86" s="20" t="n">
        <v>0</v>
      </c>
      <c r="V86" s="19">
        <f>SUM(AO86:AZ86)</f>
        <v/>
      </c>
      <c r="W86" s="19">
        <f>SUM(AP86:AZ86)</f>
        <v/>
      </c>
      <c r="X86" s="19" t="n">
        <v>0</v>
      </c>
      <c r="Y86" s="19" t="n">
        <v>0</v>
      </c>
      <c r="Z86" s="19" t="n">
        <v>0</v>
      </c>
      <c r="AA86" s="19" t="n">
        <v>0</v>
      </c>
      <c r="AB86" s="19" t="n">
        <v>0</v>
      </c>
      <c r="AC86" s="19" t="n">
        <v>0</v>
      </c>
      <c r="AD86" s="19" t="n">
        <v>0</v>
      </c>
      <c r="AE86" s="19" t="n">
        <v>0</v>
      </c>
      <c r="AF86" s="19" t="n">
        <v>0</v>
      </c>
      <c r="AG86" s="19" t="n">
        <v>-69.06</v>
      </c>
      <c r="AH86" s="21" t="n">
        <v>0</v>
      </c>
      <c r="AI86" s="21" t="n">
        <v>0</v>
      </c>
      <c r="AJ86" s="28" t="n"/>
      <c r="AK86" s="28" t="n"/>
      <c r="AL86" s="28" t="n"/>
      <c r="AM86" s="28" t="n"/>
      <c r="AN86" s="28" t="n"/>
      <c r="AO86" s="19" t="n">
        <v>0</v>
      </c>
      <c r="AP86" s="19" t="n">
        <v>0</v>
      </c>
      <c r="AQ86" s="19" t="n">
        <v>0</v>
      </c>
      <c r="AR86" s="19" t="n">
        <v>0</v>
      </c>
      <c r="AS86" s="19" t="n">
        <v>0</v>
      </c>
      <c r="AT86" s="19" t="n">
        <v>0</v>
      </c>
      <c r="AU86" s="19" t="n">
        <v>0</v>
      </c>
      <c r="AV86" s="19" t="n">
        <v>0</v>
      </c>
      <c r="AW86" s="19" t="n">
        <v>0</v>
      </c>
      <c r="AX86" s="19" t="n">
        <v>0</v>
      </c>
      <c r="AY86" s="19" t="n">
        <v>134.51</v>
      </c>
      <c r="AZ86" s="19" t="n">
        <v>67.28</v>
      </c>
      <c r="BA86" s="50" t="n">
        <v>0</v>
      </c>
      <c r="BB86" s="20" t="n">
        <v>0</v>
      </c>
      <c r="BC86" s="61"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t="n">
        <v>63188.4</v>
      </c>
      <c r="T87" s="30" t="n">
        <v>0</v>
      </c>
      <c r="U87" s="31" t="n">
        <v>0</v>
      </c>
      <c r="V87" s="30">
        <f>SUM(V84:V86)</f>
        <v/>
      </c>
      <c r="W87" s="30">
        <f>SUM(W84:W86)</f>
        <v/>
      </c>
      <c r="X87" s="30" t="n">
        <v>0</v>
      </c>
      <c r="Y87" s="30" t="n">
        <v>0</v>
      </c>
      <c r="Z87" s="30" t="n">
        <v>0</v>
      </c>
      <c r="AA87" s="30" t="n">
        <v>0</v>
      </c>
      <c r="AB87" s="30" t="n">
        <v>0</v>
      </c>
      <c r="AC87" s="30" t="n">
        <v>0</v>
      </c>
      <c r="AD87" s="30" t="n">
        <v>0</v>
      </c>
      <c r="AE87" s="30" t="n">
        <v>0</v>
      </c>
      <c r="AF87" s="30" t="n">
        <v>0</v>
      </c>
      <c r="AG87" s="30" t="n">
        <v>19590.77</v>
      </c>
      <c r="AH87" s="30" t="n">
        <v>0</v>
      </c>
      <c r="AI87" s="30">
        <f>SUM(AI84:AI86)</f>
        <v/>
      </c>
      <c r="AJ87" s="28" t="n"/>
      <c r="AK87" s="28" t="n"/>
      <c r="AL87" s="28" t="n"/>
      <c r="AM87" s="28" t="n"/>
      <c r="AN87" s="28" t="n"/>
      <c r="AO87" s="30">
        <f>SUM(AO84:AO86)</f>
        <v/>
      </c>
      <c r="AP87" s="30">
        <f>SUM(AP84:AP86)</f>
        <v/>
      </c>
      <c r="AQ87" s="30">
        <f>SUM(AQ84:AQ86)</f>
        <v/>
      </c>
      <c r="AR87" s="30">
        <f>SUM(AR84:AR86)</f>
        <v/>
      </c>
      <c r="AS87" s="30">
        <f>SUM(AS84:AS86)</f>
        <v/>
      </c>
      <c r="AT87" s="30">
        <f>SUM(AT84:AT86)</f>
        <v/>
      </c>
      <c r="AU87" s="30">
        <f>SUM(AU84:AU86)</f>
        <v/>
      </c>
      <c r="AV87" s="30">
        <f>SUM(AV84:AV86)</f>
        <v/>
      </c>
      <c r="AW87" s="30">
        <f>SUM(AW84:AW86)</f>
        <v/>
      </c>
      <c r="AX87" s="30">
        <f>SUM(AX84:AX86)</f>
        <v/>
      </c>
      <c r="AY87" s="30">
        <f>SUM(AY84:AY86)</f>
        <v/>
      </c>
      <c r="AZ87" s="30">
        <f>SUM(AZ84:AZ86)</f>
        <v/>
      </c>
      <c r="BA87" s="53" t="n">
        <v>0</v>
      </c>
      <c r="BB87" s="31">
        <f>SUM(BB84:BB86)</f>
        <v/>
      </c>
      <c r="BC87" s="54">
        <f>SUM(BC84:BC86)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19" t="n">
        <v>41320.3</v>
      </c>
      <c r="T88" s="19" t="n">
        <v>0</v>
      </c>
      <c r="U88" s="20">
        <f>U83-U84</f>
        <v/>
      </c>
      <c r="V88" s="19">
        <f>V83-V84</f>
        <v/>
      </c>
      <c r="W88" s="19">
        <f>W83-W84</f>
        <v/>
      </c>
      <c r="X88" s="19" t="n">
        <v>0</v>
      </c>
      <c r="Y88" s="19" t="n">
        <v>0</v>
      </c>
      <c r="Z88" s="19" t="n">
        <v>0</v>
      </c>
      <c r="AA88" s="19" t="n">
        <v>0</v>
      </c>
      <c r="AB88" s="19" t="n">
        <v>0</v>
      </c>
      <c r="AC88" s="19" t="n">
        <v>0</v>
      </c>
      <c r="AD88" s="19" t="n">
        <v>0</v>
      </c>
      <c r="AE88" s="19" t="n">
        <v>0</v>
      </c>
      <c r="AF88" s="19" t="n">
        <v>0</v>
      </c>
      <c r="AG88" s="19" t="n">
        <v>-13249.87</v>
      </c>
      <c r="AH88" s="33" t="n">
        <v>0</v>
      </c>
      <c r="AI88" s="33" t="n">
        <v>0</v>
      </c>
      <c r="AJ88" s="28" t="n"/>
      <c r="AK88" s="28" t="n"/>
      <c r="AL88" s="28" t="n"/>
      <c r="AM88" s="28" t="n"/>
      <c r="AN88" s="28" t="n"/>
      <c r="AO88" s="19">
        <f>AO83-AO84</f>
        <v/>
      </c>
      <c r="AP88" s="19">
        <f>AP83-AP84</f>
        <v/>
      </c>
      <c r="AQ88" s="19">
        <f>AQ83-AQ84</f>
        <v/>
      </c>
      <c r="AR88" s="19">
        <f>AR83-AR84</f>
        <v/>
      </c>
      <c r="AS88" s="19">
        <f>AS83-AS84</f>
        <v/>
      </c>
      <c r="AT88" s="19">
        <f>AT83-AT84</f>
        <v/>
      </c>
      <c r="AU88" s="19">
        <f>AU83-AU84</f>
        <v/>
      </c>
      <c r="AV88" s="19">
        <f>AV83-AV84</f>
        <v/>
      </c>
      <c r="AW88" s="19">
        <f>AW83-AW84</f>
        <v/>
      </c>
      <c r="AX88" s="19">
        <f>AX83-AX84</f>
        <v/>
      </c>
      <c r="AY88" s="19">
        <f>AY83-AY84</f>
        <v/>
      </c>
      <c r="AZ88" s="19">
        <f>AZ83-AZ84</f>
        <v/>
      </c>
      <c r="BA88" s="55" t="n">
        <v>0</v>
      </c>
      <c r="BB88" s="31" t="n">
        <v>0</v>
      </c>
      <c r="BC88" s="61"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t="n">
        <v>0.547493961312651</v>
      </c>
      <c r="T89" s="36" t="n">
        <v>0</v>
      </c>
      <c r="U89" s="37">
        <f>U88/U83</f>
        <v/>
      </c>
      <c r="V89" s="36">
        <f>V88/V83</f>
        <v/>
      </c>
      <c r="W89" s="36">
        <f>W88/W83</f>
        <v/>
      </c>
      <c r="X89" s="36" t="n">
        <v>0</v>
      </c>
      <c r="Y89" s="36" t="n">
        <v>0</v>
      </c>
      <c r="Z89" s="36" t="n">
        <v>0</v>
      </c>
      <c r="AA89" s="36" t="n">
        <v>0</v>
      </c>
      <c r="AB89" s="36" t="n">
        <v>0</v>
      </c>
      <c r="AC89" s="36" t="n">
        <v>0</v>
      </c>
      <c r="AD89" s="36" t="n">
        <v>0</v>
      </c>
      <c r="AE89" s="36" t="n">
        <v>0</v>
      </c>
      <c r="AF89" s="36" t="n">
        <v>0</v>
      </c>
      <c r="AG89" s="36" t="n">
        <v>-2.06707530156194</v>
      </c>
      <c r="AH89" s="38" t="n">
        <v>-0.547493961312651</v>
      </c>
      <c r="AI89" s="38">
        <f>AF89-S89</f>
        <v/>
      </c>
      <c r="AJ89" s="28" t="n"/>
      <c r="AK89" s="28" t="n"/>
      <c r="AL89" s="28" t="n"/>
      <c r="AM89" s="28" t="n"/>
      <c r="AN89" s="28" t="n"/>
      <c r="AO89" s="36">
        <f>AO88/AO83</f>
        <v/>
      </c>
      <c r="AP89" s="36">
        <f>AP88/AP83</f>
        <v/>
      </c>
      <c r="AQ89" s="36">
        <f>AQ88/AQ83</f>
        <v/>
      </c>
      <c r="AR89" s="36">
        <f>AR88/AR83</f>
        <v/>
      </c>
      <c r="AS89" s="36">
        <f>AS88/AS83</f>
        <v/>
      </c>
      <c r="AT89" s="36">
        <f>AT88/AT83</f>
        <v/>
      </c>
      <c r="AU89" s="36">
        <f>AU88/AU83</f>
        <v/>
      </c>
      <c r="AV89" s="36">
        <f>AV88/AV83</f>
        <v/>
      </c>
      <c r="AW89" s="36">
        <f>AW88/AW83</f>
        <v/>
      </c>
      <c r="AX89" s="36">
        <f>AX88/AX83</f>
        <v/>
      </c>
      <c r="AY89" s="36">
        <f>AY88/AY83</f>
        <v/>
      </c>
      <c r="AZ89" s="36">
        <f>AZ88/AZ83</f>
        <v/>
      </c>
      <c r="BA89" s="56" t="n">
        <v>0</v>
      </c>
      <c r="BB89" s="39" t="n">
        <v>0</v>
      </c>
      <c r="BC89" s="61"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19" t="n">
        <v>12283.3</v>
      </c>
      <c r="T90" s="19" t="n">
        <v>0</v>
      </c>
      <c r="U90" s="20">
        <f>U83-U84-U85-U86</f>
        <v/>
      </c>
      <c r="V90" s="19">
        <f>V83-V84-V85-V86</f>
        <v/>
      </c>
      <c r="W90" s="19">
        <f>W83-W84-W85-W86</f>
        <v/>
      </c>
      <c r="X90" s="19" t="n">
        <v>0</v>
      </c>
      <c r="Y90" s="19" t="n">
        <v>0</v>
      </c>
      <c r="Z90" s="19" t="n">
        <v>0</v>
      </c>
      <c r="AA90" s="19" t="n">
        <v>0</v>
      </c>
      <c r="AB90" s="19" t="n">
        <v>0</v>
      </c>
      <c r="AC90" s="19" t="n">
        <v>0</v>
      </c>
      <c r="AD90" s="19" t="n">
        <v>0</v>
      </c>
      <c r="AE90" s="19" t="n">
        <v>0</v>
      </c>
      <c r="AF90" s="19" t="n">
        <v>0</v>
      </c>
      <c r="AG90" s="19" t="n">
        <v>-13180.81</v>
      </c>
      <c r="AH90" s="38" t="n">
        <v>0</v>
      </c>
      <c r="AI90" s="38" t="n">
        <v>0</v>
      </c>
      <c r="AJ90" s="28" t="n"/>
      <c r="AK90" s="28" t="n"/>
      <c r="AL90" s="28" t="n"/>
      <c r="AM90" s="28" t="n"/>
      <c r="AN90" s="28" t="n"/>
      <c r="AO90" s="19">
        <f>AO83-AO84-AO85-AO86</f>
        <v/>
      </c>
      <c r="AP90" s="19">
        <f>AP83-AP84-AP85-AP86</f>
        <v/>
      </c>
      <c r="AQ90" s="19">
        <f>AQ83-AQ84-AQ85-AQ86</f>
        <v/>
      </c>
      <c r="AR90" s="19">
        <f>AR83-AR84-AR85-AR86</f>
        <v/>
      </c>
      <c r="AS90" s="19">
        <f>AS83-AS84-AS85-AS86</f>
        <v/>
      </c>
      <c r="AT90" s="19">
        <f>AT83-AT84-AT85-AT86</f>
        <v/>
      </c>
      <c r="AU90" s="19">
        <f>AU83-AU84-AU85-AU86</f>
        <v/>
      </c>
      <c r="AV90" s="19">
        <f>AV83-AV84-AV85-AV86</f>
        <v/>
      </c>
      <c r="AW90" s="19">
        <f>AW83-AW84-AW85-AW86</f>
        <v/>
      </c>
      <c r="AX90" s="19">
        <f>AX83-AX84-AX85-AX86</f>
        <v/>
      </c>
      <c r="AY90" s="19">
        <f>AY83-AY84-AY85-AY86</f>
        <v/>
      </c>
      <c r="AZ90" s="19">
        <f>AZ83-AZ84-AZ85-AZ86</f>
        <v/>
      </c>
      <c r="BA90" s="57" t="n">
        <v>0</v>
      </c>
      <c r="BB90" s="31" t="n">
        <v>0</v>
      </c>
      <c r="BC90" s="61"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t="n">
        <v>0.162753720931157</v>
      </c>
      <c r="T91" s="36" t="n">
        <v>0</v>
      </c>
      <c r="U91" s="37">
        <f>U90/U83</f>
        <v/>
      </c>
      <c r="V91" s="36">
        <f>V90/V83</f>
        <v/>
      </c>
      <c r="W91" s="36">
        <f>W90/W83</f>
        <v/>
      </c>
      <c r="X91" s="36" t="n">
        <v>0</v>
      </c>
      <c r="Y91" s="36" t="n">
        <v>0</v>
      </c>
      <c r="Z91" s="36" t="n">
        <v>0</v>
      </c>
      <c r="AA91" s="36" t="n">
        <v>0</v>
      </c>
      <c r="AB91" s="36" t="n">
        <v>0</v>
      </c>
      <c r="AC91" s="36" t="n">
        <v>0</v>
      </c>
      <c r="AD91" s="36" t="n">
        <v>0</v>
      </c>
      <c r="AE91" s="36" t="n">
        <v>0</v>
      </c>
      <c r="AF91" s="36" t="n">
        <v>0</v>
      </c>
      <c r="AG91" s="36" t="n">
        <v>-2.05630144337874</v>
      </c>
      <c r="AH91" s="38" t="n">
        <v>-0.162753720931157</v>
      </c>
      <c r="AI91" s="38">
        <f>AF91-S91</f>
        <v/>
      </c>
      <c r="AJ91" s="42" t="n"/>
      <c r="AK91" s="42" t="n"/>
      <c r="AL91" s="42" t="n"/>
      <c r="AM91" s="42" t="n"/>
      <c r="AN91" s="42" t="n"/>
      <c r="AO91" s="36">
        <f>AO90/AO83</f>
        <v/>
      </c>
      <c r="AP91" s="36">
        <f>AP90/AP83</f>
        <v/>
      </c>
      <c r="AQ91" s="36">
        <f>AQ90/AQ83</f>
        <v/>
      </c>
      <c r="AR91" s="36">
        <f>AR90/AR83</f>
        <v/>
      </c>
      <c r="AS91" s="36">
        <f>AS90/AS83</f>
        <v/>
      </c>
      <c r="AT91" s="36">
        <f>AT90/AT83</f>
        <v/>
      </c>
      <c r="AU91" s="36">
        <f>AU90/AU83</f>
        <v/>
      </c>
      <c r="AV91" s="36">
        <f>AV90/AV83</f>
        <v/>
      </c>
      <c r="AW91" s="36">
        <f>AW90/AW83</f>
        <v/>
      </c>
      <c r="AX91" s="36">
        <f>AX90/AX83</f>
        <v/>
      </c>
      <c r="AY91" s="36">
        <f>AY90/AY83</f>
        <v/>
      </c>
      <c r="AZ91" s="36">
        <f>AZ90/AZ83</f>
        <v/>
      </c>
      <c r="BA91" s="56" t="n">
        <v>0</v>
      </c>
      <c r="BB91" s="39" t="n">
        <v>0</v>
      </c>
      <c r="BC91" s="61" t="n">
        <v>0</v>
      </c>
      <c r="BD91" s="27" t="inlineStr"/>
    </row>
  </sheetData>
  <mergeCells count="220">
    <mergeCell ref="P65:P73"/>
    <mergeCell ref="AN29:AN37"/>
    <mergeCell ref="AL47:AL55"/>
    <mergeCell ref="AN47:AN55"/>
    <mergeCell ref="AL56:AL64"/>
    <mergeCell ref="AN56:AN64"/>
    <mergeCell ref="P2:P10"/>
    <mergeCell ref="AK29:AK37"/>
    <mergeCell ref="C11:C19"/>
    <mergeCell ref="E11:E19"/>
    <mergeCell ref="AM11:AM19"/>
    <mergeCell ref="L38:L46"/>
    <mergeCell ref="O83:O91"/>
    <mergeCell ref="B65:B73"/>
    <mergeCell ref="N38:N46"/>
    <mergeCell ref="AJ65:AJ73"/>
    <mergeCell ref="J56:J64"/>
    <mergeCell ref="F38:F46"/>
    <mergeCell ref="B74:B82"/>
    <mergeCell ref="A20:A28"/>
    <mergeCell ref="L56:L64"/>
    <mergeCell ref="D74:D82"/>
    <mergeCell ref="A29:A37"/>
    <mergeCell ref="K38:K46"/>
    <mergeCell ref="C38:C46"/>
    <mergeCell ref="M29:M37"/>
    <mergeCell ref="N83:N91"/>
    <mergeCell ref="P83:P91"/>
    <mergeCell ref="E47:E55"/>
    <mergeCell ref="B20:B28"/>
    <mergeCell ref="I38:I46"/>
    <mergeCell ref="G47:G55"/>
    <mergeCell ref="D20:D28"/>
    <mergeCell ref="M56:M64"/>
    <mergeCell ref="L11:L19"/>
    <mergeCell ref="D29:D37"/>
    <mergeCell ref="N11:N19"/>
    <mergeCell ref="N20:N28"/>
    <mergeCell ref="F29:F37"/>
    <mergeCell ref="F11:F19"/>
    <mergeCell ref="P20:P28"/>
    <mergeCell ref="P29:P37"/>
    <mergeCell ref="AJ2:AJ10"/>
    <mergeCell ref="K65:K73"/>
    <mergeCell ref="AJ11:AJ19"/>
    <mergeCell ref="K74:K82"/>
    <mergeCell ref="AM29:AM37"/>
    <mergeCell ref="Q38:Q46"/>
    <mergeCell ref="M74:M82"/>
    <mergeCell ref="E74:E82"/>
    <mergeCell ref="O74:O82"/>
    <mergeCell ref="A2:A10"/>
    <mergeCell ref="K2:K10"/>
    <mergeCell ref="AK20:AK28"/>
    <mergeCell ref="C2:C10"/>
    <mergeCell ref="E2:E10"/>
    <mergeCell ref="D56:D64"/>
    <mergeCell ref="F56:F64"/>
    <mergeCell ref="P47:P55"/>
    <mergeCell ref="H65:H73"/>
    <mergeCell ref="H47:H55"/>
    <mergeCell ref="J47:J55"/>
    <mergeCell ref="G20:G28"/>
    <mergeCell ref="O11:O19"/>
    <mergeCell ref="I20:I28"/>
    <mergeCell ref="G29:G37"/>
    <mergeCell ref="Q11:Q19"/>
    <mergeCell ref="I29:I37"/>
    <mergeCell ref="L65:L73"/>
    <mergeCell ref="N65:N73"/>
    <mergeCell ref="A47:A55"/>
    <mergeCell ref="N74:N82"/>
    <mergeCell ref="P74:P82"/>
    <mergeCell ref="D38:D46"/>
    <mergeCell ref="AL38:AL46"/>
    <mergeCell ref="M47:M55"/>
    <mergeCell ref="J2:J10"/>
    <mergeCell ref="AN38:AN46"/>
    <mergeCell ref="AJ47:AJ55"/>
    <mergeCell ref="L2:L10"/>
    <mergeCell ref="AJ56:AJ64"/>
    <mergeCell ref="A11:A19"/>
    <mergeCell ref="Q47:Q55"/>
    <mergeCell ref="AL74:AL82"/>
    <mergeCell ref="AN74:AN82"/>
    <mergeCell ref="AK47:AK55"/>
    <mergeCell ref="F83:F91"/>
    <mergeCell ref="H56:H64"/>
    <mergeCell ref="AM47:AM55"/>
    <mergeCell ref="H83:H91"/>
    <mergeCell ref="AN83:AN91"/>
    <mergeCell ref="AM56:AM64"/>
    <mergeCell ref="AL2:AL10"/>
    <mergeCell ref="B11:B19"/>
    <mergeCell ref="G38:G46"/>
    <mergeCell ref="Q83:Q91"/>
    <mergeCell ref="D11:D19"/>
    <mergeCell ref="AL11:AL19"/>
    <mergeCell ref="N2:N10"/>
    <mergeCell ref="F20:F28"/>
    <mergeCell ref="AN20:AN28"/>
    <mergeCell ref="A65:A73"/>
    <mergeCell ref="L83:L91"/>
    <mergeCell ref="I56:I64"/>
    <mergeCell ref="E38:E46"/>
    <mergeCell ref="C47:C55"/>
    <mergeCell ref="O29:O37"/>
    <mergeCell ref="A56:A64"/>
    <mergeCell ref="K56:K64"/>
    <mergeCell ref="H11:H19"/>
    <mergeCell ref="C56:C64"/>
    <mergeCell ref="C65:C73"/>
    <mergeCell ref="J11:J19"/>
    <mergeCell ref="J20:J28"/>
    <mergeCell ref="B29:B37"/>
    <mergeCell ref="L20:L28"/>
    <mergeCell ref="M65:M73"/>
    <mergeCell ref="B38:B46"/>
    <mergeCell ref="O65:O73"/>
    <mergeCell ref="L29:L37"/>
    <mergeCell ref="J83:J91"/>
    <mergeCell ref="N29:N37"/>
    <mergeCell ref="E65:E73"/>
    <mergeCell ref="G65:G73"/>
    <mergeCell ref="O56:O64"/>
    <mergeCell ref="G74:G82"/>
    <mergeCell ref="Q65:Q73"/>
    <mergeCell ref="D47:D55"/>
    <mergeCell ref="G83:G91"/>
    <mergeCell ref="F47:F55"/>
    <mergeCell ref="Q74:Q82"/>
    <mergeCell ref="I83:I91"/>
    <mergeCell ref="AM65:AM73"/>
    <mergeCell ref="AM74:AM82"/>
    <mergeCell ref="O2:O10"/>
    <mergeCell ref="AM83:AM91"/>
    <mergeCell ref="Q2:Q10"/>
    <mergeCell ref="AL29:AL37"/>
    <mergeCell ref="AJ83:AJ91"/>
    <mergeCell ref="AK2:AK10"/>
    <mergeCell ref="A83:A91"/>
    <mergeCell ref="O38:O46"/>
    <mergeCell ref="AJ29:AJ37"/>
    <mergeCell ref="K83:K91"/>
    <mergeCell ref="AM2:AM10"/>
    <mergeCell ref="G11:G19"/>
    <mergeCell ref="I11:I19"/>
    <mergeCell ref="B56:B64"/>
    <mergeCell ref="D65:D73"/>
    <mergeCell ref="P38:P46"/>
    <mergeCell ref="AL65:AL73"/>
    <mergeCell ref="F65:F73"/>
    <mergeCell ref="H38:H46"/>
    <mergeCell ref="AN65:AN73"/>
    <mergeCell ref="C20:C28"/>
    <mergeCell ref="J38:J46"/>
    <mergeCell ref="N56:N64"/>
    <mergeCell ref="E20:E28"/>
    <mergeCell ref="C29:C37"/>
    <mergeCell ref="P56:P64"/>
    <mergeCell ref="M11:M19"/>
    <mergeCell ref="E29:E37"/>
    <mergeCell ref="F74:F82"/>
    <mergeCell ref="O20:O28"/>
    <mergeCell ref="B2:B10"/>
    <mergeCell ref="H74:H82"/>
    <mergeCell ref="Q20:Q28"/>
    <mergeCell ref="D2:D10"/>
    <mergeCell ref="Q29:Q37"/>
    <mergeCell ref="J65:J73"/>
    <mergeCell ref="J74:J82"/>
    <mergeCell ref="K11:K19"/>
    <mergeCell ref="L74:L82"/>
    <mergeCell ref="I47:I55"/>
    <mergeCell ref="F2:F10"/>
    <mergeCell ref="AJ38:AJ46"/>
    <mergeCell ref="K47:K55"/>
    <mergeCell ref="H2:H10"/>
    <mergeCell ref="P11:P19"/>
    <mergeCell ref="A74:A82"/>
    <mergeCell ref="AN2:AN10"/>
    <mergeCell ref="AN11:AN19"/>
    <mergeCell ref="O47:O55"/>
    <mergeCell ref="AJ74:AJ82"/>
    <mergeCell ref="AK11:AK19"/>
    <mergeCell ref="B83:B91"/>
    <mergeCell ref="AK38:AK46"/>
    <mergeCell ref="AM20:AM28"/>
    <mergeCell ref="D83:D91"/>
    <mergeCell ref="AL83:AL91"/>
    <mergeCell ref="AK56:AK64"/>
    <mergeCell ref="AK65:AK73"/>
    <mergeCell ref="AJ20:AJ28"/>
    <mergeCell ref="AL20:AL28"/>
    <mergeCell ref="E56:E64"/>
    <mergeCell ref="A38:A46"/>
    <mergeCell ref="G56:G64"/>
    <mergeCell ref="I65:I73"/>
    <mergeCell ref="Q56:Q64"/>
    <mergeCell ref="M38:M46"/>
    <mergeCell ref="I74:I82"/>
    <mergeCell ref="H20:H28"/>
    <mergeCell ref="H29:H37"/>
    <mergeCell ref="J29:J37"/>
    <mergeCell ref="G2:G10"/>
    <mergeCell ref="I2:I10"/>
    <mergeCell ref="C74:C82"/>
    <mergeCell ref="C83:C91"/>
    <mergeCell ref="M83:M91"/>
    <mergeCell ref="B47:B55"/>
    <mergeCell ref="E83:E91"/>
    <mergeCell ref="L47:L55"/>
    <mergeCell ref="AM38:AM46"/>
    <mergeCell ref="K20:K28"/>
    <mergeCell ref="N47:N55"/>
    <mergeCell ref="AK74:AK82"/>
    <mergeCell ref="M20:M28"/>
    <mergeCell ref="K29:K37"/>
    <mergeCell ref="M2:M10"/>
    <mergeCell ref="AK83:AK9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00"/>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2"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5" t="n">
        <v>0</v>
      </c>
      <c r="G2" s="16" t="n"/>
      <c r="H2" s="17" t="n"/>
      <c r="I2" s="17" t="n"/>
      <c r="J2" s="17" t="n"/>
      <c r="K2" s="17" t="n"/>
      <c r="L2" s="17" t="n"/>
      <c r="M2" s="17" t="n"/>
      <c r="N2" s="17" t="n"/>
      <c r="O2" s="17" t="n"/>
      <c r="P2" s="17" t="n"/>
      <c r="Q2" s="17" t="inlineStr"/>
      <c r="R2" s="18" t="inlineStr">
        <is>
          <t>累计收入（NR）</t>
        </is>
      </c>
      <c r="S2" s="19" t="n">
        <v>351886.79</v>
      </c>
      <c r="T2" s="19">
        <f>SUM(AO2:BC2)</f>
        <v/>
      </c>
      <c r="U2" s="20">
        <f>SUM(BA2:BC2)</f>
        <v/>
      </c>
      <c r="V2" s="19">
        <f>SUM(AO2:AZ2)</f>
        <v/>
      </c>
      <c r="W2" s="19">
        <f>SUM(AP2:AZ2)</f>
        <v/>
      </c>
      <c r="X2" s="19">
        <f>SUM(AQ2:AZ2)</f>
        <v/>
      </c>
      <c r="Y2" s="19">
        <f>SUM(AR2:AZ2)</f>
        <v/>
      </c>
      <c r="Z2" s="19">
        <f>SUM(AS2:AZ2)</f>
        <v/>
      </c>
      <c r="AA2" s="19">
        <f>SUM(AT2:AZ2)</f>
        <v/>
      </c>
      <c r="AB2" s="19">
        <f>SUM(AU2:AZ2)</f>
        <v/>
      </c>
      <c r="AC2" s="19">
        <f>SUM(AV2:AZ2)</f>
        <v/>
      </c>
      <c r="AD2" s="19">
        <f>SUM(AW2:AZ2)</f>
        <v/>
      </c>
      <c r="AE2" s="19">
        <f>SUM(AX2:AZ2)</f>
        <v/>
      </c>
      <c r="AF2" s="19">
        <f>SUM(AY2:AZ2)</f>
        <v/>
      </c>
      <c r="AG2" s="19">
        <f>SUM(AZ2:AZ2)</f>
        <v/>
      </c>
      <c r="AH2" s="21" t="n">
        <v>0</v>
      </c>
      <c r="AI2" s="21" t="n">
        <v>0</v>
      </c>
      <c r="AJ2" s="22"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3" t="inlineStr"/>
      <c r="AM2" s="23" t="inlineStr"/>
      <c r="AN2" s="24" t="n"/>
      <c r="AO2" s="19" t="n">
        <v>0</v>
      </c>
      <c r="AP2" s="19" t="n">
        <v>0</v>
      </c>
      <c r="AQ2" s="19" t="n">
        <v>0</v>
      </c>
      <c r="AR2" s="19" t="n">
        <v>0</v>
      </c>
      <c r="AS2" s="19" t="n">
        <v>0</v>
      </c>
      <c r="AT2" s="19" t="n">
        <v>0</v>
      </c>
      <c r="AU2" s="19" t="n">
        <v>0</v>
      </c>
      <c r="AV2" s="19" t="n">
        <v>0</v>
      </c>
      <c r="AW2" s="19" t="n">
        <v>0</v>
      </c>
      <c r="AX2" s="19" t="n">
        <v>0</v>
      </c>
      <c r="AY2" s="19" t="n">
        <v>66560.5</v>
      </c>
      <c r="AZ2" s="19" t="n">
        <v>0</v>
      </c>
      <c r="BA2" s="25" t="n">
        <v>32200.04</v>
      </c>
      <c r="BB2" s="20"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8" t="inlineStr">
        <is>
          <t>人工成本（成本１）</t>
        </is>
      </c>
      <c r="S3" s="19" t="n">
        <v>235685.1</v>
      </c>
      <c r="T3" s="19">
        <f>SUM(AO3:BC3)</f>
        <v/>
      </c>
      <c r="U3" s="20">
        <f>SUM(BA3:BC3)</f>
        <v/>
      </c>
      <c r="V3" s="19">
        <f>SUM(AO3:AZ3)</f>
        <v/>
      </c>
      <c r="W3" s="19">
        <f>SUM(AP3:AZ3)</f>
        <v/>
      </c>
      <c r="X3" s="19">
        <f>SUM(AQ3:AZ3)</f>
        <v/>
      </c>
      <c r="Y3" s="19">
        <f>SUM(AR3:AZ3)</f>
        <v/>
      </c>
      <c r="Z3" s="19">
        <f>SUM(AS3:AZ3)</f>
        <v/>
      </c>
      <c r="AA3" s="19">
        <f>SUM(AT3:AZ3)</f>
        <v/>
      </c>
      <c r="AB3" s="19">
        <f>SUM(AU3:AZ3)</f>
        <v/>
      </c>
      <c r="AC3" s="19">
        <f>SUM(AV3:AZ3)</f>
        <v/>
      </c>
      <c r="AD3" s="19">
        <f>SUM(AW3:AZ3)</f>
        <v/>
      </c>
      <c r="AE3" s="19">
        <f>SUM(AX3:AZ3)</f>
        <v/>
      </c>
      <c r="AF3" s="19">
        <f>SUM(AY3:AZ3)</f>
        <v/>
      </c>
      <c r="AG3" s="19">
        <f>SUM(AZ3:AZ3)</f>
        <v/>
      </c>
      <c r="AH3" s="21" t="n">
        <v>0</v>
      </c>
      <c r="AI3" s="21" t="n">
        <v>0</v>
      </c>
      <c r="AJ3" s="28" t="n"/>
      <c r="AK3" s="28" t="n"/>
      <c r="AL3" s="28" t="n"/>
      <c r="AM3" s="28" t="n"/>
      <c r="AN3" s="28" t="n"/>
      <c r="AO3" s="19" t="n">
        <v>0</v>
      </c>
      <c r="AP3" s="19" t="n">
        <v>0</v>
      </c>
      <c r="AQ3" s="19" t="n">
        <v>0</v>
      </c>
      <c r="AR3" s="19" t="n">
        <v>0</v>
      </c>
      <c r="AS3" s="19" t="n">
        <v>0</v>
      </c>
      <c r="AT3" s="19" t="n">
        <v>0</v>
      </c>
      <c r="AU3" s="19" t="n">
        <v>0</v>
      </c>
      <c r="AV3" s="19" t="n">
        <v>0</v>
      </c>
      <c r="AW3" s="19" t="n">
        <v>0</v>
      </c>
      <c r="AX3" s="19" t="n">
        <v>0</v>
      </c>
      <c r="AY3" s="19" t="n">
        <v>0</v>
      </c>
      <c r="AZ3" s="19" t="n">
        <v>20617.93</v>
      </c>
      <c r="BA3" s="25" t="n">
        <v>91878.25999999999</v>
      </c>
      <c r="BB3" s="20"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18" t="inlineStr">
        <is>
          <t>差旅费（成本３）</t>
        </is>
      </c>
      <c r="S4" s="19" t="n">
        <v>24000</v>
      </c>
      <c r="T4" s="19">
        <f>SUM(AO4:BC4)</f>
        <v/>
      </c>
      <c r="U4" s="20">
        <f>SUM(BA4:BC4)</f>
        <v/>
      </c>
      <c r="V4" s="19">
        <f>SUM(AO4:AZ4)</f>
        <v/>
      </c>
      <c r="W4" s="19">
        <f>SUM(AP4:AZ4)</f>
        <v/>
      </c>
      <c r="X4" s="19">
        <f>SUM(AQ4:AZ4)</f>
        <v/>
      </c>
      <c r="Y4" s="19">
        <f>SUM(AR4:AZ4)</f>
        <v/>
      </c>
      <c r="Z4" s="19">
        <f>SUM(AS4:AZ4)</f>
        <v/>
      </c>
      <c r="AA4" s="19">
        <f>SUM(AT4:AZ4)</f>
        <v/>
      </c>
      <c r="AB4" s="19">
        <f>SUM(AU4:AZ4)</f>
        <v/>
      </c>
      <c r="AC4" s="19">
        <f>SUM(AV4:AZ4)</f>
        <v/>
      </c>
      <c r="AD4" s="19">
        <f>SUM(AW4:AZ4)</f>
        <v/>
      </c>
      <c r="AE4" s="19">
        <f>SUM(AX4:AZ4)</f>
        <v/>
      </c>
      <c r="AF4" s="19">
        <f>SUM(AY4:AZ4)</f>
        <v/>
      </c>
      <c r="AG4" s="19">
        <f>SUM(AZ4:AZ4)</f>
        <v/>
      </c>
      <c r="AH4" s="21" t="n">
        <v>0</v>
      </c>
      <c r="AI4" s="21" t="n">
        <v>0</v>
      </c>
      <c r="AJ4" s="28" t="n"/>
      <c r="AK4" s="28" t="n"/>
      <c r="AL4" s="28" t="n"/>
      <c r="AM4" s="28" t="n"/>
      <c r="AN4" s="28" t="n"/>
      <c r="AO4" s="19" t="n">
        <v>0</v>
      </c>
      <c r="AP4" s="19" t="n">
        <v>0</v>
      </c>
      <c r="AQ4" s="19" t="n">
        <v>0</v>
      </c>
      <c r="AR4" s="19" t="n">
        <v>0</v>
      </c>
      <c r="AS4" s="19" t="n">
        <v>0</v>
      </c>
      <c r="AT4" s="19" t="n">
        <v>0</v>
      </c>
      <c r="AU4" s="19" t="n">
        <v>0</v>
      </c>
      <c r="AV4" s="19" t="n">
        <v>0</v>
      </c>
      <c r="AW4" s="19" t="n">
        <v>0</v>
      </c>
      <c r="AX4" s="19" t="n">
        <v>0</v>
      </c>
      <c r="AY4" s="19" t="n">
        <v>0</v>
      </c>
      <c r="AZ4" s="19" t="n">
        <v>0</v>
      </c>
      <c r="BA4" s="25" t="n">
        <v>306.5</v>
      </c>
      <c r="BB4" s="20" t="n">
        <v>0</v>
      </c>
      <c r="BC4" s="26" t="n">
        <v>5324.09</v>
      </c>
      <c r="BD4" s="27" t="inlineStr"/>
    </row>
    <row r="5">
      <c r="A5" s="28" t="n"/>
      <c r="B5" s="28" t="n"/>
      <c r="C5" s="28" t="n"/>
      <c r="D5" s="28" t="n"/>
      <c r="E5" s="28" t="n"/>
      <c r="F5" s="28" t="n"/>
      <c r="G5" s="28" t="n"/>
      <c r="H5" s="28" t="n"/>
      <c r="I5" s="28" t="n"/>
      <c r="J5" s="28" t="n"/>
      <c r="K5" s="28" t="n"/>
      <c r="L5" s="28" t="n"/>
      <c r="M5" s="28" t="n"/>
      <c r="N5" s="28" t="n"/>
      <c r="O5" s="28" t="n"/>
      <c r="P5" s="28" t="n"/>
      <c r="Q5" s="28" t="n"/>
      <c r="R5" s="18" t="inlineStr">
        <is>
          <t>其他成本（成本３）</t>
        </is>
      </c>
      <c r="S5" s="19" t="n">
        <v>6700</v>
      </c>
      <c r="T5" s="19">
        <f>SUM(AO5:BC5)</f>
        <v/>
      </c>
      <c r="U5" s="20">
        <f>SUM(BA5:BC5)</f>
        <v/>
      </c>
      <c r="V5" s="19">
        <f>SUM(AO5:AZ5)</f>
        <v/>
      </c>
      <c r="W5" s="19">
        <f>SUM(AP5:AZ5)</f>
        <v/>
      </c>
      <c r="X5" s="19">
        <f>SUM(AQ5:AZ5)</f>
        <v/>
      </c>
      <c r="Y5" s="19">
        <f>SUM(AR5:AZ5)</f>
        <v/>
      </c>
      <c r="Z5" s="19">
        <f>SUM(AS5:AZ5)</f>
        <v/>
      </c>
      <c r="AA5" s="19">
        <f>SUM(AT5:AZ5)</f>
        <v/>
      </c>
      <c r="AB5" s="19">
        <f>SUM(AU5:AZ5)</f>
        <v/>
      </c>
      <c r="AC5" s="19">
        <f>SUM(AV5:AZ5)</f>
        <v/>
      </c>
      <c r="AD5" s="19">
        <f>SUM(AW5:AZ5)</f>
        <v/>
      </c>
      <c r="AE5" s="19">
        <f>SUM(AX5:AZ5)</f>
        <v/>
      </c>
      <c r="AF5" s="19">
        <f>SUM(AY5:AZ5)</f>
        <v/>
      </c>
      <c r="AG5" s="19">
        <f>SUM(AZ5:AZ5)</f>
        <v/>
      </c>
      <c r="AH5" s="21" t="n">
        <v>0</v>
      </c>
      <c r="AI5" s="21" t="n">
        <v>0</v>
      </c>
      <c r="AJ5" s="28" t="n"/>
      <c r="AK5" s="28" t="n"/>
      <c r="AL5" s="28" t="n"/>
      <c r="AM5" s="28" t="n"/>
      <c r="AN5" s="28" t="n"/>
      <c r="AO5" s="19" t="n">
        <v>0</v>
      </c>
      <c r="AP5" s="19" t="n">
        <v>0</v>
      </c>
      <c r="AQ5" s="19" t="n">
        <v>0</v>
      </c>
      <c r="AR5" s="19" t="n">
        <v>0</v>
      </c>
      <c r="AS5" s="19" t="n">
        <v>0</v>
      </c>
      <c r="AT5" s="19" t="n">
        <v>0</v>
      </c>
      <c r="AU5" s="19" t="n">
        <v>0</v>
      </c>
      <c r="AV5" s="19" t="n">
        <v>0</v>
      </c>
      <c r="AW5" s="19" t="n">
        <v>0</v>
      </c>
      <c r="AX5" s="19" t="n">
        <v>0</v>
      </c>
      <c r="AY5" s="19" t="n">
        <v>-11.9</v>
      </c>
      <c r="AZ5" s="19" t="n">
        <v>-82.98999999999999</v>
      </c>
      <c r="BA5" s="25" t="n">
        <v>2153.11</v>
      </c>
      <c r="BB5" s="20" t="n">
        <v>336.02</v>
      </c>
      <c r="BC5" s="26" t="n">
        <v>34582.147</v>
      </c>
      <c r="BD5" s="27" t="inlineStr"/>
    </row>
    <row r="6">
      <c r="A6" s="28" t="n"/>
      <c r="B6" s="28" t="n"/>
      <c r="C6" s="28" t="n"/>
      <c r="D6" s="28" t="n"/>
      <c r="E6" s="28" t="n"/>
      <c r="F6" s="28" t="n"/>
      <c r="G6" s="28" t="n"/>
      <c r="H6" s="28" t="n"/>
      <c r="I6" s="28" t="n"/>
      <c r="J6" s="28" t="n"/>
      <c r="K6" s="28" t="n"/>
      <c r="L6" s="28" t="n"/>
      <c r="M6" s="28" t="n"/>
      <c r="N6" s="28" t="n"/>
      <c r="O6" s="28" t="n"/>
      <c r="P6" s="28" t="n"/>
      <c r="Q6" s="28" t="n"/>
      <c r="R6" s="29" t="inlineStr">
        <is>
          <t>累计成本</t>
        </is>
      </c>
      <c r="S6" s="30">
        <f>SUM(S3:S5)</f>
        <v/>
      </c>
      <c r="T6" s="30">
        <f>SUM(T3:T5)</f>
        <v/>
      </c>
      <c r="U6" s="31">
        <f>SUM(U3:U5)</f>
        <v/>
      </c>
      <c r="V6" s="30">
        <f>SUM(V3:V5)</f>
        <v/>
      </c>
      <c r="W6" s="30">
        <f>SUM(W3:W5)</f>
        <v/>
      </c>
      <c r="X6" s="30">
        <f>SUM(X3:X5)</f>
        <v/>
      </c>
      <c r="Y6" s="30">
        <f>SUM(Y3:Y5)</f>
        <v/>
      </c>
      <c r="Z6" s="30">
        <f>SUM(Z3:Z5)</f>
        <v/>
      </c>
      <c r="AA6" s="30">
        <f>SUM(AA3:AA5)</f>
        <v/>
      </c>
      <c r="AB6" s="30">
        <f>SUM(AB3:AB5)</f>
        <v/>
      </c>
      <c r="AC6" s="30">
        <f>SUM(AC3:AC5)</f>
        <v/>
      </c>
      <c r="AD6" s="30">
        <f>SUM(AD3:AD5)</f>
        <v/>
      </c>
      <c r="AE6" s="30">
        <f>SUM(AE3:AE5)</f>
        <v/>
      </c>
      <c r="AF6" s="30">
        <f>SUM(AF3:AF5)</f>
        <v/>
      </c>
      <c r="AG6" s="30">
        <f>SUM(AG3:AG5)</f>
        <v/>
      </c>
      <c r="AH6" s="30">
        <f>SUM(AH3:AH5)</f>
        <v/>
      </c>
      <c r="AI6" s="30">
        <f>SUM(AI3:AI5)</f>
        <v/>
      </c>
      <c r="AJ6" s="28" t="n"/>
      <c r="AK6" s="28" t="n"/>
      <c r="AL6" s="28" t="n"/>
      <c r="AM6" s="28" t="n"/>
      <c r="AN6" s="28" t="n"/>
      <c r="AO6" s="30">
        <f>SUM(AO3:AO5)</f>
        <v/>
      </c>
      <c r="AP6" s="30">
        <f>SUM(AP3:AP5)</f>
        <v/>
      </c>
      <c r="AQ6" s="30">
        <f>SUM(AQ3:AQ5)</f>
        <v/>
      </c>
      <c r="AR6" s="30">
        <f>SUM(AR3:AR5)</f>
        <v/>
      </c>
      <c r="AS6" s="30">
        <f>SUM(AS3:AS5)</f>
        <v/>
      </c>
      <c r="AT6" s="30">
        <f>SUM(AT3:AT5)</f>
        <v/>
      </c>
      <c r="AU6" s="30">
        <f>SUM(AU3:AU5)</f>
        <v/>
      </c>
      <c r="AV6" s="30">
        <f>SUM(AV3:AV5)</f>
        <v/>
      </c>
      <c r="AW6" s="30">
        <f>SUM(AW3:AW5)</f>
        <v/>
      </c>
      <c r="AX6" s="30">
        <f>SUM(AX3:AX5)</f>
        <v/>
      </c>
      <c r="AY6" s="30">
        <f>SUM(AY3:AY5)</f>
        <v/>
      </c>
      <c r="AZ6" s="30">
        <f>SUM(AZ3:AZ5)</f>
        <v/>
      </c>
      <c r="BA6" s="31">
        <f>SUM(BA3:BA5)</f>
        <v/>
      </c>
      <c r="BB6" s="31">
        <f>SUM(BB3:BB5)</f>
        <v/>
      </c>
      <c r="BC6" s="31">
        <f>SUM(BC3:BC5)</f>
        <v/>
      </c>
      <c r="BD6" s="32" t="inlineStr"/>
    </row>
    <row r="7">
      <c r="A7" s="28" t="n"/>
      <c r="B7" s="28" t="n"/>
      <c r="C7" s="28" t="n"/>
      <c r="D7" s="28" t="n"/>
      <c r="E7" s="28" t="n"/>
      <c r="F7" s="28" t="n"/>
      <c r="G7" s="28" t="n"/>
      <c r="H7" s="28" t="n"/>
      <c r="I7" s="28" t="n"/>
      <c r="J7" s="28" t="n"/>
      <c r="K7" s="28" t="n"/>
      <c r="L7" s="28" t="n"/>
      <c r="M7" s="28" t="n"/>
      <c r="N7" s="28" t="n"/>
      <c r="O7" s="28" t="n"/>
      <c r="P7" s="28" t="n"/>
      <c r="Q7" s="28" t="n"/>
      <c r="R7" s="18" t="inlineStr">
        <is>
          <t>GP1毛利</t>
        </is>
      </c>
      <c r="S7" s="19">
        <f>S2-S3</f>
        <v/>
      </c>
      <c r="T7" s="19">
        <f>T2-T3</f>
        <v/>
      </c>
      <c r="U7" s="20">
        <f>U2-U3</f>
        <v/>
      </c>
      <c r="V7" s="19">
        <f>V2-V3</f>
        <v/>
      </c>
      <c r="W7" s="19">
        <f>W2-W3</f>
        <v/>
      </c>
      <c r="X7" s="19">
        <f>X2-X3</f>
        <v/>
      </c>
      <c r="Y7" s="19">
        <f>Y2-Y3</f>
        <v/>
      </c>
      <c r="Z7" s="19">
        <f>Z2-Z3</f>
        <v/>
      </c>
      <c r="AA7" s="19">
        <f>AA2-AA3</f>
        <v/>
      </c>
      <c r="AB7" s="19">
        <f>AB2-AB3</f>
        <v/>
      </c>
      <c r="AC7" s="19">
        <f>AC2-AC3</f>
        <v/>
      </c>
      <c r="AD7" s="19">
        <f>AD2-AD3</f>
        <v/>
      </c>
      <c r="AE7" s="19">
        <f>AE2-AE3</f>
        <v/>
      </c>
      <c r="AF7" s="19">
        <f>AF2-AF3</f>
        <v/>
      </c>
      <c r="AG7" s="19">
        <f>AG2-AG3</f>
        <v/>
      </c>
      <c r="AH7" s="33" t="n">
        <v>0</v>
      </c>
      <c r="AI7" s="33" t="n">
        <v>0</v>
      </c>
      <c r="AJ7" s="28" t="n"/>
      <c r="AK7" s="28" t="n"/>
      <c r="AL7" s="28" t="n"/>
      <c r="AM7" s="28" t="n"/>
      <c r="AN7" s="28" t="n"/>
      <c r="AO7" s="19">
        <f>AO2-AO3</f>
        <v/>
      </c>
      <c r="AP7" s="19">
        <f>AP2-AP3</f>
        <v/>
      </c>
      <c r="AQ7" s="19">
        <f>AQ2-AQ3</f>
        <v/>
      </c>
      <c r="AR7" s="19">
        <f>AR2-AR3</f>
        <v/>
      </c>
      <c r="AS7" s="19">
        <f>AS2-AS3</f>
        <v/>
      </c>
      <c r="AT7" s="19">
        <f>AT2-AT3</f>
        <v/>
      </c>
      <c r="AU7" s="19">
        <f>AU2-AU3</f>
        <v/>
      </c>
      <c r="AV7" s="19">
        <f>AV2-AV3</f>
        <v/>
      </c>
      <c r="AW7" s="19">
        <f>AW2-AW3</f>
        <v/>
      </c>
      <c r="AX7" s="19">
        <f>AX2-AX3</f>
        <v/>
      </c>
      <c r="AY7" s="19">
        <f>AY2-AY3</f>
        <v/>
      </c>
      <c r="AZ7" s="19">
        <f>AZ2-AZ3</f>
        <v/>
      </c>
      <c r="BA7" s="25" t="n">
        <v>-59678.22</v>
      </c>
      <c r="BB7" s="31" t="n">
        <v>4420.81</v>
      </c>
      <c r="BC7" s="34">
        <f>BC2-BC3</f>
        <v/>
      </c>
      <c r="BD7" s="27" t="inlineStr"/>
    </row>
    <row r="8">
      <c r="A8" s="28" t="n"/>
      <c r="B8" s="28" t="n"/>
      <c r="C8" s="28" t="n"/>
      <c r="D8" s="28" t="n"/>
      <c r="E8" s="28" t="n"/>
      <c r="F8" s="28" t="n"/>
      <c r="G8" s="28" t="n"/>
      <c r="H8" s="28" t="n"/>
      <c r="I8" s="28" t="n"/>
      <c r="J8" s="28" t="n"/>
      <c r="K8" s="28" t="n"/>
      <c r="L8" s="28" t="n"/>
      <c r="M8" s="28" t="n"/>
      <c r="N8" s="28" t="n"/>
      <c r="O8" s="28" t="n"/>
      <c r="P8" s="28" t="n"/>
      <c r="Q8" s="28" t="n"/>
      <c r="R8" s="35" t="inlineStr">
        <is>
          <t>GP1毛利率(%)</t>
        </is>
      </c>
      <c r="S8" s="36">
        <f>S7/S2</f>
        <v/>
      </c>
      <c r="T8" s="36">
        <f>T7/T2</f>
        <v/>
      </c>
      <c r="U8" s="37">
        <f>U7/U2</f>
        <v/>
      </c>
      <c r="V8" s="36">
        <f>V7/V2</f>
        <v/>
      </c>
      <c r="W8" s="36">
        <f>W7/W2</f>
        <v/>
      </c>
      <c r="X8" s="36">
        <f>X7/X2</f>
        <v/>
      </c>
      <c r="Y8" s="36">
        <f>Y7/Y2</f>
        <v/>
      </c>
      <c r="Z8" s="36">
        <f>Z7/Z2</f>
        <v/>
      </c>
      <c r="AA8" s="36">
        <f>AA7/AA2</f>
        <v/>
      </c>
      <c r="AB8" s="36">
        <f>AB7/AB2</f>
        <v/>
      </c>
      <c r="AC8" s="36">
        <f>AC7/AC2</f>
        <v/>
      </c>
      <c r="AD8" s="36">
        <f>AD7/AD2</f>
        <v/>
      </c>
      <c r="AE8" s="36">
        <f>AE7/AE2</f>
        <v/>
      </c>
      <c r="AF8" s="36">
        <f>AF7/AF2</f>
        <v/>
      </c>
      <c r="AG8" s="36">
        <f>AG7/AG2</f>
        <v/>
      </c>
      <c r="AH8" s="38">
        <f>T8-S8</f>
        <v/>
      </c>
      <c r="AI8" s="38">
        <f>AF8-S8</f>
        <v/>
      </c>
      <c r="AJ8" s="28" t="n"/>
      <c r="AK8" s="28" t="n"/>
      <c r="AL8" s="28" t="n"/>
      <c r="AM8" s="28" t="n"/>
      <c r="AN8" s="28" t="n"/>
      <c r="AO8" s="36">
        <f>AO7/AO2</f>
        <v/>
      </c>
      <c r="AP8" s="36">
        <f>AP7/AP2</f>
        <v/>
      </c>
      <c r="AQ8" s="36">
        <f>AQ7/AQ2</f>
        <v/>
      </c>
      <c r="AR8" s="36">
        <f>AR7/AR2</f>
        <v/>
      </c>
      <c r="AS8" s="36">
        <f>AS7/AS2</f>
        <v/>
      </c>
      <c r="AT8" s="36">
        <f>AT7/AT2</f>
        <v/>
      </c>
      <c r="AU8" s="36">
        <f>AU7/AU2</f>
        <v/>
      </c>
      <c r="AV8" s="36">
        <f>AV7/AV2</f>
        <v/>
      </c>
      <c r="AW8" s="36">
        <f>AW7/AW2</f>
        <v/>
      </c>
      <c r="AX8" s="36">
        <f>AX7/AX2</f>
        <v/>
      </c>
      <c r="AY8" s="36">
        <f>AY7/AY2</f>
        <v/>
      </c>
      <c r="AZ8" s="36">
        <f>AZ7/AZ2</f>
        <v/>
      </c>
      <c r="BA8" s="37" t="n">
        <v>-1.85335856725644</v>
      </c>
      <c r="BB8" s="39" t="n">
        <v>0.626837630590878</v>
      </c>
      <c r="BC8" s="40">
        <f>BC7/BC2</f>
        <v/>
      </c>
      <c r="BD8" s="27" t="inlineStr"/>
    </row>
    <row r="9">
      <c r="A9" s="28" t="n"/>
      <c r="B9" s="28" t="n"/>
      <c r="C9" s="28" t="n"/>
      <c r="D9" s="28" t="n"/>
      <c r="E9" s="28" t="n"/>
      <c r="F9" s="28" t="n"/>
      <c r="G9" s="28" t="n"/>
      <c r="H9" s="28" t="n"/>
      <c r="I9" s="28" t="n"/>
      <c r="J9" s="28" t="n"/>
      <c r="K9" s="28" t="n"/>
      <c r="L9" s="28" t="n"/>
      <c r="M9" s="28" t="n"/>
      <c r="N9" s="28" t="n"/>
      <c r="O9" s="28" t="n"/>
      <c r="P9" s="28" t="n"/>
      <c r="Q9" s="28" t="n"/>
      <c r="R9" s="18" t="inlineStr">
        <is>
          <t>GP3毛利</t>
        </is>
      </c>
      <c r="S9" s="41">
        <f>S2-S3-S4-S5</f>
        <v/>
      </c>
      <c r="T9" s="19">
        <f>T2-T3-T4-T5</f>
        <v/>
      </c>
      <c r="U9" s="20">
        <f>U2-U3-U4-U5</f>
        <v/>
      </c>
      <c r="V9" s="19">
        <f>V2-V3-V4-V5</f>
        <v/>
      </c>
      <c r="W9" s="19">
        <f>W2-W3-W4-W5</f>
        <v/>
      </c>
      <c r="X9" s="19">
        <f>X2-X3-X4-X5</f>
        <v/>
      </c>
      <c r="Y9" s="19">
        <f>Y2-Y3-Y4-Y5</f>
        <v/>
      </c>
      <c r="Z9" s="19">
        <f>Z2-Z3-Z4-Z5</f>
        <v/>
      </c>
      <c r="AA9" s="19">
        <f>AA2-AA3-AA4-AA5</f>
        <v/>
      </c>
      <c r="AB9" s="19">
        <f>AB2-AB3-AB4-AB5</f>
        <v/>
      </c>
      <c r="AC9" s="19">
        <f>AC2-AC3-AC4-AC5</f>
        <v/>
      </c>
      <c r="AD9" s="19">
        <f>AD2-AD3-AD4-AD5</f>
        <v/>
      </c>
      <c r="AE9" s="19">
        <f>AE2-AE3-AE4-AE5</f>
        <v/>
      </c>
      <c r="AF9" s="19">
        <f>AF2-AF3-AF4-AF5</f>
        <v/>
      </c>
      <c r="AG9" s="19">
        <f>AG2-AG3-AG4-AG5</f>
        <v/>
      </c>
      <c r="AH9" s="38" t="n">
        <v>0</v>
      </c>
      <c r="AI9" s="38" t="n">
        <v>0</v>
      </c>
      <c r="AJ9" s="28" t="n"/>
      <c r="AK9" s="28" t="n"/>
      <c r="AL9" s="28" t="n"/>
      <c r="AM9" s="28" t="n"/>
      <c r="AN9" s="28" t="n"/>
      <c r="AO9" s="19">
        <f>AO2-AO3-AO4-AO5</f>
        <v/>
      </c>
      <c r="AP9" s="19">
        <f>AP2-AP3-AP4-AP5</f>
        <v/>
      </c>
      <c r="AQ9" s="19">
        <f>AQ2-AQ3-AQ4-AQ5</f>
        <v/>
      </c>
      <c r="AR9" s="19">
        <f>AR2-AR3-AR4-AR5</f>
        <v/>
      </c>
      <c r="AS9" s="19">
        <f>AS2-AS3-AS4-AS5</f>
        <v/>
      </c>
      <c r="AT9" s="19">
        <f>AT2-AT3-AT4-AT5</f>
        <v/>
      </c>
      <c r="AU9" s="19">
        <f>AU2-AU3-AU4-AU5</f>
        <v/>
      </c>
      <c r="AV9" s="19">
        <f>AV2-AV3-AV4-AV5</f>
        <v/>
      </c>
      <c r="AW9" s="19">
        <f>AW2-AW3-AW4-AW5</f>
        <v/>
      </c>
      <c r="AX9" s="19">
        <f>AX2-AX3-AX4-AX5</f>
        <v/>
      </c>
      <c r="AY9" s="19">
        <f>AY2-AY3-AY4-AY5</f>
        <v/>
      </c>
      <c r="AZ9" s="19">
        <f>AZ2-AZ3-AZ4-AZ5</f>
        <v/>
      </c>
      <c r="BA9" s="25" t="n">
        <v>-62137.83</v>
      </c>
      <c r="BB9" s="31" t="n">
        <v>4084.79</v>
      </c>
      <c r="BC9" s="34">
        <f>BC2-BC3-BC4-BC5</f>
        <v/>
      </c>
      <c r="BD9" s="27" t="inlineStr"/>
    </row>
    <row r="10">
      <c r="A10" s="42" t="n"/>
      <c r="B10" s="42" t="n"/>
      <c r="C10" s="42" t="n"/>
      <c r="D10" s="42" t="n"/>
      <c r="E10" s="42" t="n"/>
      <c r="F10" s="42" t="n"/>
      <c r="G10" s="42" t="n"/>
      <c r="H10" s="42" t="n"/>
      <c r="I10" s="42" t="n"/>
      <c r="J10" s="42" t="n"/>
      <c r="K10" s="42" t="n"/>
      <c r="L10" s="42" t="n"/>
      <c r="M10" s="42" t="n"/>
      <c r="N10" s="42" t="n"/>
      <c r="O10" s="42" t="n"/>
      <c r="P10" s="42" t="n"/>
      <c r="Q10" s="42" t="n"/>
      <c r="R10" s="35" t="inlineStr">
        <is>
          <t>GP3毛利率(%)</t>
        </is>
      </c>
      <c r="S10" s="36">
        <f>S9/S2</f>
        <v/>
      </c>
      <c r="T10" s="36">
        <f>T9/T2</f>
        <v/>
      </c>
      <c r="U10" s="37">
        <f>U9/U2</f>
        <v/>
      </c>
      <c r="V10" s="36">
        <f>V9/V2</f>
        <v/>
      </c>
      <c r="W10" s="36">
        <f>W9/W2</f>
        <v/>
      </c>
      <c r="X10" s="36">
        <f>X9/X2</f>
        <v/>
      </c>
      <c r="Y10" s="36">
        <f>Y9/Y2</f>
        <v/>
      </c>
      <c r="Z10" s="36">
        <f>Z9/Z2</f>
        <v/>
      </c>
      <c r="AA10" s="36">
        <f>AA9/AA2</f>
        <v/>
      </c>
      <c r="AB10" s="36">
        <f>AB9/AB2</f>
        <v/>
      </c>
      <c r="AC10" s="36">
        <f>AC9/AC2</f>
        <v/>
      </c>
      <c r="AD10" s="36">
        <f>AD9/AD2</f>
        <v/>
      </c>
      <c r="AE10" s="36">
        <f>AE9/AE2</f>
        <v/>
      </c>
      <c r="AF10" s="36">
        <f>AF9/AF2</f>
        <v/>
      </c>
      <c r="AG10" s="36">
        <f>AG9/AG2</f>
        <v/>
      </c>
      <c r="AH10" s="38">
        <f>T10-S10</f>
        <v/>
      </c>
      <c r="AI10" s="38">
        <f>AF10-S10</f>
        <v/>
      </c>
      <c r="AJ10" s="42" t="n"/>
      <c r="AK10" s="42" t="n"/>
      <c r="AL10" s="42" t="n"/>
      <c r="AM10" s="42" t="n"/>
      <c r="AN10" s="42" t="n"/>
      <c r="AO10" s="36">
        <f>AO9/AO2</f>
        <v/>
      </c>
      <c r="AP10" s="36">
        <f>AP9/AP2</f>
        <v/>
      </c>
      <c r="AQ10" s="36">
        <f>AQ9/AQ2</f>
        <v/>
      </c>
      <c r="AR10" s="36">
        <f>AR9/AR2</f>
        <v/>
      </c>
      <c r="AS10" s="36">
        <f>AS9/AS2</f>
        <v/>
      </c>
      <c r="AT10" s="36">
        <f>AT9/AT2</f>
        <v/>
      </c>
      <c r="AU10" s="36">
        <f>AU9/AU2</f>
        <v/>
      </c>
      <c r="AV10" s="36">
        <f>AV9/AV2</f>
        <v/>
      </c>
      <c r="AW10" s="36">
        <f>AW9/AW2</f>
        <v/>
      </c>
      <c r="AX10" s="36">
        <f>AX9/AX2</f>
        <v/>
      </c>
      <c r="AY10" s="36">
        <f>AY9/AY2</f>
        <v/>
      </c>
      <c r="AZ10" s="36">
        <f>AZ9/AZ2</f>
        <v/>
      </c>
      <c r="BA10" s="37" t="n">
        <v>-1.92974387609456</v>
      </c>
      <c r="BB10" s="39" t="n">
        <v>0.579192520162891</v>
      </c>
      <c r="BC10" s="40">
        <f>BC9/BC2</f>
        <v/>
      </c>
      <c r="BD10" s="27" t="inlineStr"/>
    </row>
    <row r="11">
      <c r="A11" s="12" t="inlineStr">
        <is>
          <t>P202212000030</t>
        </is>
      </c>
      <c r="B11" s="13" t="inlineStr">
        <is>
          <t>2022年安徽省农业科学院畜牧兽医研究所种猪遗传评估系统软件及育种分析服务</t>
        </is>
      </c>
      <c r="C11" s="14" t="n">
        <v>44903</v>
      </c>
      <c r="D11" s="14" t="n">
        <v>46034</v>
      </c>
      <c r="E11" s="15" t="n"/>
      <c r="F11" s="15" t="n">
        <v>0</v>
      </c>
      <c r="G11" s="16" t="n"/>
      <c r="H11" s="17" t="n"/>
      <c r="I11" s="17" t="n"/>
      <c r="J11" s="17" t="n"/>
      <c r="K11" s="17" t="n"/>
      <c r="L11" s="17" t="n"/>
      <c r="M11" s="17" t="n"/>
      <c r="N11" s="17" t="n"/>
      <c r="O11" s="17" t="n"/>
      <c r="P11" s="17" t="n"/>
      <c r="Q11" s="17" t="inlineStr"/>
      <c r="R11" s="18" t="inlineStr">
        <is>
          <t>累计收入（NR）</t>
        </is>
      </c>
      <c r="S11" s="19" t="n">
        <v>330094.34</v>
      </c>
      <c r="T11" s="19">
        <f>SUM(AO11:BC11)</f>
        <v/>
      </c>
      <c r="U11" s="20">
        <f>SUM(BA11:BC11)</f>
        <v/>
      </c>
      <c r="V11" s="19">
        <f>SUM(AO11:AZ11)</f>
        <v/>
      </c>
      <c r="W11" s="19">
        <f>SUM(AP11:AZ11)</f>
        <v/>
      </c>
      <c r="X11" s="19">
        <f>SUM(AQ11:AZ11)</f>
        <v/>
      </c>
      <c r="Y11" s="19">
        <f>SUM(AR11:AZ11)</f>
        <v/>
      </c>
      <c r="Z11" s="19">
        <f>SUM(AS11:AZ11)</f>
        <v/>
      </c>
      <c r="AA11" s="19">
        <f>SUM(AT11:AZ11)</f>
        <v/>
      </c>
      <c r="AB11" s="19">
        <f>SUM(AU11:AZ11)</f>
        <v/>
      </c>
      <c r="AC11" s="19">
        <f>SUM(AV11:AZ11)</f>
        <v/>
      </c>
      <c r="AD11" s="19">
        <f>SUM(AW11:AZ11)</f>
        <v/>
      </c>
      <c r="AE11" s="19">
        <f>SUM(AX11:AZ11)</f>
        <v/>
      </c>
      <c r="AF11" s="19">
        <f>SUM(AY11:AZ11)</f>
        <v/>
      </c>
      <c r="AG11" s="19">
        <f>SUM(AZ11:AZ11)</f>
        <v/>
      </c>
      <c r="AH11" s="21" t="n">
        <v>0</v>
      </c>
      <c r="AI11" s="21" t="n">
        <v>0</v>
      </c>
      <c r="AJ11" s="49" t="inlineStr"/>
      <c r="AK11" s="13" t="inlineStr">
        <is>
          <t>当前测算毛利率高于预算，原因是实际投入人力成本低于预算</t>
        </is>
      </c>
      <c r="AL11" s="23" t="inlineStr"/>
      <c r="AM11" s="23" t="inlineStr"/>
      <c r="AN11" s="24" t="n"/>
      <c r="AO11" s="19" t="n">
        <v>0</v>
      </c>
      <c r="AP11" s="19" t="n">
        <v>0</v>
      </c>
      <c r="AQ11" s="19" t="n">
        <v>0</v>
      </c>
      <c r="AR11" s="19" t="n">
        <v>0</v>
      </c>
      <c r="AS11" s="19" t="n">
        <v>0</v>
      </c>
      <c r="AT11" s="19" t="n">
        <v>0</v>
      </c>
      <c r="AU11" s="19" t="n">
        <v>0</v>
      </c>
      <c r="AV11" s="19" t="n">
        <v>0</v>
      </c>
      <c r="AW11" s="19" t="n">
        <v>0</v>
      </c>
      <c r="AX11" s="19" t="n">
        <v>0</v>
      </c>
      <c r="AY11" s="19" t="n">
        <v>0</v>
      </c>
      <c r="AZ11" s="19" t="n">
        <v>-0.13</v>
      </c>
      <c r="BA11" s="50" t="n">
        <v>75260.57000000001</v>
      </c>
      <c r="BB11" s="20" t="n">
        <v>47129.727</v>
      </c>
      <c r="BC11" s="26" t="n">
        <v>205340.81</v>
      </c>
      <c r="BD11" s="27" t="inlineStr"/>
    </row>
    <row r="12">
      <c r="A12" s="28" t="n"/>
      <c r="B12" s="28" t="n"/>
      <c r="C12" s="28" t="n"/>
      <c r="D12" s="28" t="n"/>
      <c r="E12" s="28" t="n"/>
      <c r="F12" s="28" t="n"/>
      <c r="G12" s="28" t="n"/>
      <c r="H12" s="28" t="n"/>
      <c r="I12" s="28" t="n"/>
      <c r="J12" s="28" t="n"/>
      <c r="K12" s="28" t="n"/>
      <c r="L12" s="28" t="n"/>
      <c r="M12" s="28" t="n"/>
      <c r="N12" s="28" t="n"/>
      <c r="O12" s="28" t="n"/>
      <c r="P12" s="28" t="n"/>
      <c r="Q12" s="28" t="n"/>
      <c r="R12" s="18" t="inlineStr">
        <is>
          <t>人工成本（成本１）</t>
        </is>
      </c>
      <c r="S12" s="19" t="n">
        <v>207999</v>
      </c>
      <c r="T12" s="19">
        <f>SUM(AO12:BC12)</f>
        <v/>
      </c>
      <c r="U12" s="20">
        <f>SUM(BA12:BC12)</f>
        <v/>
      </c>
      <c r="V12" s="19">
        <f>SUM(AO12:AZ12)</f>
        <v/>
      </c>
      <c r="W12" s="19">
        <f>SUM(AP12:AZ12)</f>
        <v/>
      </c>
      <c r="X12" s="19">
        <f>SUM(AQ12:AZ12)</f>
        <v/>
      </c>
      <c r="Y12" s="19">
        <f>SUM(AR12:AZ12)</f>
        <v/>
      </c>
      <c r="Z12" s="19">
        <f>SUM(AS12:AZ12)</f>
        <v/>
      </c>
      <c r="AA12" s="19">
        <f>SUM(AT12:AZ12)</f>
        <v/>
      </c>
      <c r="AB12" s="19">
        <f>SUM(AU12:AZ12)</f>
        <v/>
      </c>
      <c r="AC12" s="19">
        <f>SUM(AV12:AZ12)</f>
        <v/>
      </c>
      <c r="AD12" s="19">
        <f>SUM(AW12:AZ12)</f>
        <v/>
      </c>
      <c r="AE12" s="19">
        <f>SUM(AX12:AZ12)</f>
        <v/>
      </c>
      <c r="AF12" s="19">
        <f>SUM(AY12:AZ12)</f>
        <v/>
      </c>
      <c r="AG12" s="19">
        <f>SUM(AZ12:AZ12)</f>
        <v/>
      </c>
      <c r="AH12" s="21" t="n">
        <v>0</v>
      </c>
      <c r="AI12" s="21" t="n">
        <v>0</v>
      </c>
      <c r="AJ12" s="28" t="n"/>
      <c r="AK12" s="28" t="n"/>
      <c r="AL12" s="28" t="n"/>
      <c r="AM12" s="28" t="n"/>
      <c r="AN12" s="28" t="n"/>
      <c r="AO12" s="19" t="n">
        <v>0</v>
      </c>
      <c r="AP12" s="19" t="n">
        <v>0</v>
      </c>
      <c r="AQ12" s="19" t="n">
        <v>0</v>
      </c>
      <c r="AR12" s="19" t="n">
        <v>0</v>
      </c>
      <c r="AS12" s="19" t="n">
        <v>0</v>
      </c>
      <c r="AT12" s="19" t="n">
        <v>0</v>
      </c>
      <c r="AU12" s="19" t="n">
        <v>0</v>
      </c>
      <c r="AV12" s="19" t="n">
        <v>0</v>
      </c>
      <c r="AW12" s="19" t="n">
        <v>0</v>
      </c>
      <c r="AX12" s="19" t="n">
        <v>0</v>
      </c>
      <c r="AY12" s="19" t="n">
        <v>0</v>
      </c>
      <c r="AZ12" s="19" t="n">
        <v>0</v>
      </c>
      <c r="BA12" s="50" t="n">
        <v>48896.58</v>
      </c>
      <c r="BB12" s="20" t="n">
        <v>1331.99</v>
      </c>
      <c r="BC12" s="26" t="n">
        <v>81151.98</v>
      </c>
      <c r="BD12" s="27" t="inlineStr"/>
    </row>
    <row r="13">
      <c r="A13" s="28" t="n"/>
      <c r="B13" s="28" t="n"/>
      <c r="C13" s="28" t="n"/>
      <c r="D13" s="28" t="n"/>
      <c r="E13" s="28" t="n"/>
      <c r="F13" s="28" t="n"/>
      <c r="G13" s="28" t="n"/>
      <c r="H13" s="28" t="n"/>
      <c r="I13" s="28" t="n"/>
      <c r="J13" s="28" t="n"/>
      <c r="K13" s="28" t="n"/>
      <c r="L13" s="28" t="n"/>
      <c r="M13" s="28" t="n"/>
      <c r="N13" s="28" t="n"/>
      <c r="O13" s="28" t="n"/>
      <c r="P13" s="28" t="n"/>
      <c r="Q13" s="28" t="n"/>
      <c r="R13" s="18" t="inlineStr">
        <is>
          <t>差旅费（成本３）</t>
        </is>
      </c>
      <c r="S13" s="19" t="n">
        <v>17000</v>
      </c>
      <c r="T13" s="19">
        <f>SUM(AO13:BC13)</f>
        <v/>
      </c>
      <c r="U13" s="20">
        <f>SUM(BA13:BC13)</f>
        <v/>
      </c>
      <c r="V13" s="19">
        <f>SUM(AO13:AZ13)</f>
        <v/>
      </c>
      <c r="W13" s="19">
        <f>SUM(AP13:AZ13)</f>
        <v/>
      </c>
      <c r="X13" s="19">
        <f>SUM(AQ13:AZ13)</f>
        <v/>
      </c>
      <c r="Y13" s="19">
        <f>SUM(AR13:AZ13)</f>
        <v/>
      </c>
      <c r="Z13" s="19">
        <f>SUM(AS13:AZ13)</f>
        <v/>
      </c>
      <c r="AA13" s="19">
        <f>SUM(AT13:AZ13)</f>
        <v/>
      </c>
      <c r="AB13" s="19">
        <f>SUM(AU13:AZ13)</f>
        <v/>
      </c>
      <c r="AC13" s="19">
        <f>SUM(AV13:AZ13)</f>
        <v/>
      </c>
      <c r="AD13" s="19">
        <f>SUM(AW13:AZ13)</f>
        <v/>
      </c>
      <c r="AE13" s="19">
        <f>SUM(AX13:AZ13)</f>
        <v/>
      </c>
      <c r="AF13" s="19">
        <f>SUM(AY13:AZ13)</f>
        <v/>
      </c>
      <c r="AG13" s="19">
        <f>SUM(AZ13:AZ13)</f>
        <v/>
      </c>
      <c r="AH13" s="21" t="n">
        <v>0</v>
      </c>
      <c r="AI13" s="21" t="n">
        <v>0</v>
      </c>
      <c r="AJ13" s="28" t="n"/>
      <c r="AK13" s="28" t="n"/>
      <c r="AL13" s="28" t="n"/>
      <c r="AM13" s="28" t="n"/>
      <c r="AN13" s="28" t="n"/>
      <c r="AO13" s="19" t="n">
        <v>0</v>
      </c>
      <c r="AP13" s="19" t="n">
        <v>0</v>
      </c>
      <c r="AQ13" s="19" t="n">
        <v>0</v>
      </c>
      <c r="AR13" s="19" t="n">
        <v>0</v>
      </c>
      <c r="AS13" s="19" t="n">
        <v>0</v>
      </c>
      <c r="AT13" s="19" t="n">
        <v>0</v>
      </c>
      <c r="AU13" s="19" t="n">
        <v>0</v>
      </c>
      <c r="AV13" s="19" t="n">
        <v>0</v>
      </c>
      <c r="AW13" s="19" t="n">
        <v>0</v>
      </c>
      <c r="AX13" s="19" t="n">
        <v>0</v>
      </c>
      <c r="AY13" s="19" t="n">
        <v>0</v>
      </c>
      <c r="AZ13" s="19" t="n">
        <v>0</v>
      </c>
      <c r="BA13" s="50" t="n">
        <v>0</v>
      </c>
      <c r="BB13" s="20" t="n">
        <v>0</v>
      </c>
      <c r="BC13" s="26" t="n">
        <v>4118.38</v>
      </c>
      <c r="BD13" s="27" t="inlineStr"/>
    </row>
    <row r="14">
      <c r="A14" s="28" t="n"/>
      <c r="B14" s="28" t="n"/>
      <c r="C14" s="28" t="n"/>
      <c r="D14" s="28" t="n"/>
      <c r="E14" s="28" t="n"/>
      <c r="F14" s="28" t="n"/>
      <c r="G14" s="28" t="n"/>
      <c r="H14" s="28" t="n"/>
      <c r="I14" s="28" t="n"/>
      <c r="J14" s="28" t="n"/>
      <c r="K14" s="28" t="n"/>
      <c r="L14" s="28" t="n"/>
      <c r="M14" s="28" t="n"/>
      <c r="N14" s="28" t="n"/>
      <c r="O14" s="28" t="n"/>
      <c r="P14" s="28" t="n"/>
      <c r="Q14" s="28" t="n"/>
      <c r="R14" s="18" t="inlineStr">
        <is>
          <t>其他成本（成本３）</t>
        </is>
      </c>
      <c r="S14" s="19" t="n">
        <v>10000</v>
      </c>
      <c r="T14" s="19">
        <f>SUM(AO14:BC14)</f>
        <v/>
      </c>
      <c r="U14" s="20">
        <f>SUM(BA14:BC14)</f>
        <v/>
      </c>
      <c r="V14" s="19">
        <f>SUM(AO14:AZ14)</f>
        <v/>
      </c>
      <c r="W14" s="19">
        <f>SUM(AP14:AZ14)</f>
        <v/>
      </c>
      <c r="X14" s="19">
        <f>SUM(AQ14:AZ14)</f>
        <v/>
      </c>
      <c r="Y14" s="19">
        <f>SUM(AR14:AZ14)</f>
        <v/>
      </c>
      <c r="Z14" s="19">
        <f>SUM(AS14:AZ14)</f>
        <v/>
      </c>
      <c r="AA14" s="19">
        <f>SUM(AT14:AZ14)</f>
        <v/>
      </c>
      <c r="AB14" s="19">
        <f>SUM(AU14:AZ14)</f>
        <v/>
      </c>
      <c r="AC14" s="19">
        <f>SUM(AV14:AZ14)</f>
        <v/>
      </c>
      <c r="AD14" s="19">
        <f>SUM(AW14:AZ14)</f>
        <v/>
      </c>
      <c r="AE14" s="19">
        <f>SUM(AX14:AZ14)</f>
        <v/>
      </c>
      <c r="AF14" s="19">
        <f>SUM(AY14:AZ14)</f>
        <v/>
      </c>
      <c r="AG14" s="19">
        <f>SUM(AZ14:AZ14)</f>
        <v/>
      </c>
      <c r="AH14" s="21" t="n">
        <v>0</v>
      </c>
      <c r="AI14" s="21" t="n">
        <v>0</v>
      </c>
      <c r="AJ14" s="28" t="n"/>
      <c r="AK14" s="28" t="n"/>
      <c r="AL14" s="28" t="n"/>
      <c r="AM14" s="28" t="n"/>
      <c r="AN14" s="28" t="n"/>
      <c r="AO14" s="19" t="n">
        <v>0</v>
      </c>
      <c r="AP14" s="19" t="n">
        <v>0</v>
      </c>
      <c r="AQ14" s="19" t="n">
        <v>0</v>
      </c>
      <c r="AR14" s="19" t="n">
        <v>0</v>
      </c>
      <c r="AS14" s="19" t="n">
        <v>0</v>
      </c>
      <c r="AT14" s="19" t="n">
        <v>0</v>
      </c>
      <c r="AU14" s="19" t="n">
        <v>0</v>
      </c>
      <c r="AV14" s="19" t="n">
        <v>0</v>
      </c>
      <c r="AW14" s="19" t="n">
        <v>0</v>
      </c>
      <c r="AX14" s="19" t="n">
        <v>0</v>
      </c>
      <c r="AY14" s="19" t="n">
        <v>0</v>
      </c>
      <c r="AZ14" s="19" t="n">
        <v>0</v>
      </c>
      <c r="BA14" s="50" t="n">
        <v>-322.66</v>
      </c>
      <c r="BB14" s="20" t="n">
        <v>10.03</v>
      </c>
      <c r="BC14" s="26" t="n">
        <v>5683.58</v>
      </c>
      <c r="BD14" s="27" t="inlineStr"/>
    </row>
    <row r="15">
      <c r="A15" s="28" t="n"/>
      <c r="B15" s="28" t="n"/>
      <c r="C15" s="28" t="n"/>
      <c r="D15" s="28" t="n"/>
      <c r="E15" s="28" t="n"/>
      <c r="F15" s="28" t="n"/>
      <c r="G15" s="28" t="n"/>
      <c r="H15" s="28" t="n"/>
      <c r="I15" s="28" t="n"/>
      <c r="J15" s="28" t="n"/>
      <c r="K15" s="28" t="n"/>
      <c r="L15" s="28" t="n"/>
      <c r="M15" s="28" t="n"/>
      <c r="N15" s="28" t="n"/>
      <c r="O15" s="28" t="n"/>
      <c r="P15" s="28" t="n"/>
      <c r="Q15" s="28" t="n"/>
      <c r="R15" s="29" t="inlineStr">
        <is>
          <t>累计成本</t>
        </is>
      </c>
      <c r="S15" s="30">
        <f>SUM(S12:S14)</f>
        <v/>
      </c>
      <c r="T15" s="30">
        <f>SUM(T12:T14)</f>
        <v/>
      </c>
      <c r="U15" s="31">
        <f>SUM(U12:U14)</f>
        <v/>
      </c>
      <c r="V15" s="30">
        <f>SUM(V12:V14)</f>
        <v/>
      </c>
      <c r="W15" s="30">
        <f>SUM(W12:W14)</f>
        <v/>
      </c>
      <c r="X15" s="30">
        <f>SUM(X12:X14)</f>
        <v/>
      </c>
      <c r="Y15" s="30">
        <f>SUM(Y12:Y14)</f>
        <v/>
      </c>
      <c r="Z15" s="30">
        <f>SUM(Z12:Z14)</f>
        <v/>
      </c>
      <c r="AA15" s="30">
        <f>SUM(AA12:AA14)</f>
        <v/>
      </c>
      <c r="AB15" s="30">
        <f>SUM(AB12:AB14)</f>
        <v/>
      </c>
      <c r="AC15" s="30">
        <f>SUM(AC12:AC14)</f>
        <v/>
      </c>
      <c r="AD15" s="30">
        <f>SUM(AD12:AD14)</f>
        <v/>
      </c>
      <c r="AE15" s="30">
        <f>SUM(AE12:AE14)</f>
        <v/>
      </c>
      <c r="AF15" s="30">
        <f>SUM(AF12:AF14)</f>
        <v/>
      </c>
      <c r="AG15" s="30">
        <f>SUM(AG12:AG14)</f>
        <v/>
      </c>
      <c r="AH15" s="30">
        <f>SUM(AH12:AH14)</f>
        <v/>
      </c>
      <c r="AI15" s="30">
        <f>SUM(AI12:AI14)</f>
        <v/>
      </c>
      <c r="AJ15" s="28" t="n"/>
      <c r="AK15" s="28" t="n"/>
      <c r="AL15" s="28" t="n"/>
      <c r="AM15" s="28" t="n"/>
      <c r="AN15" s="28" t="n"/>
      <c r="AO15" s="30">
        <f>SUM(AO12:AO14)</f>
        <v/>
      </c>
      <c r="AP15" s="30">
        <f>SUM(AP12:AP14)</f>
        <v/>
      </c>
      <c r="AQ15" s="30">
        <f>SUM(AQ12:AQ14)</f>
        <v/>
      </c>
      <c r="AR15" s="30">
        <f>SUM(AR12:AR14)</f>
        <v/>
      </c>
      <c r="AS15" s="30">
        <f>SUM(AS12:AS14)</f>
        <v/>
      </c>
      <c r="AT15" s="30">
        <f>SUM(AT12:AT14)</f>
        <v/>
      </c>
      <c r="AU15" s="30">
        <f>SUM(AU12:AU14)</f>
        <v/>
      </c>
      <c r="AV15" s="30">
        <f>SUM(AV12:AV14)</f>
        <v/>
      </c>
      <c r="AW15" s="30">
        <f>SUM(AW12:AW14)</f>
        <v/>
      </c>
      <c r="AX15" s="30">
        <f>SUM(AX12:AX14)</f>
        <v/>
      </c>
      <c r="AY15" s="30">
        <f>SUM(AY12:AY14)</f>
        <v/>
      </c>
      <c r="AZ15" s="30">
        <f>SUM(AZ12:AZ14)</f>
        <v/>
      </c>
      <c r="BA15" s="53" t="n">
        <v>48573.92</v>
      </c>
      <c r="BB15" s="31">
        <f>SUM(BB12:BB14)</f>
        <v/>
      </c>
      <c r="BC15" s="31">
        <f>SUM(BC12:BC14)</f>
        <v/>
      </c>
      <c r="BD15" s="32" t="inlineStr"/>
    </row>
    <row r="16">
      <c r="A16" s="28" t="n"/>
      <c r="B16" s="28" t="n"/>
      <c r="C16" s="28" t="n"/>
      <c r="D16" s="28" t="n"/>
      <c r="E16" s="28" t="n"/>
      <c r="F16" s="28" t="n"/>
      <c r="G16" s="28" t="n"/>
      <c r="H16" s="28" t="n"/>
      <c r="I16" s="28" t="n"/>
      <c r="J16" s="28" t="n"/>
      <c r="K16" s="28" t="n"/>
      <c r="L16" s="28" t="n"/>
      <c r="M16" s="28" t="n"/>
      <c r="N16" s="28" t="n"/>
      <c r="O16" s="28" t="n"/>
      <c r="P16" s="28" t="n"/>
      <c r="Q16" s="28" t="n"/>
      <c r="R16" s="18" t="inlineStr">
        <is>
          <t>GP1毛利</t>
        </is>
      </c>
      <c r="S16" s="19">
        <f>S11-S12</f>
        <v/>
      </c>
      <c r="T16" s="19">
        <f>T11-T12</f>
        <v/>
      </c>
      <c r="U16" s="20">
        <f>U11-U12</f>
        <v/>
      </c>
      <c r="V16" s="19">
        <f>V11-V12</f>
        <v/>
      </c>
      <c r="W16" s="19">
        <f>W11-W12</f>
        <v/>
      </c>
      <c r="X16" s="19">
        <f>X11-X12</f>
        <v/>
      </c>
      <c r="Y16" s="19">
        <f>Y11-Y12</f>
        <v/>
      </c>
      <c r="Z16" s="19">
        <f>Z11-Z12</f>
        <v/>
      </c>
      <c r="AA16" s="19">
        <f>AA11-AA12</f>
        <v/>
      </c>
      <c r="AB16" s="19">
        <f>AB11-AB12</f>
        <v/>
      </c>
      <c r="AC16" s="19">
        <f>AC11-AC12</f>
        <v/>
      </c>
      <c r="AD16" s="19">
        <f>AD11-AD12</f>
        <v/>
      </c>
      <c r="AE16" s="19">
        <f>AE11-AE12</f>
        <v/>
      </c>
      <c r="AF16" s="19">
        <f>AF11-AF12</f>
        <v/>
      </c>
      <c r="AG16" s="19">
        <f>AG11-AG12</f>
        <v/>
      </c>
      <c r="AH16" s="33" t="n">
        <v>0</v>
      </c>
      <c r="AI16" s="33" t="n">
        <v>0</v>
      </c>
      <c r="AJ16" s="28" t="n"/>
      <c r="AK16" s="28" t="n"/>
      <c r="AL16" s="28" t="n"/>
      <c r="AM16" s="28" t="n"/>
      <c r="AN16" s="28" t="n"/>
      <c r="AO16" s="19">
        <f>AO11-AO12</f>
        <v/>
      </c>
      <c r="AP16" s="19">
        <f>AP11-AP12</f>
        <v/>
      </c>
      <c r="AQ16" s="19">
        <f>AQ11-AQ12</f>
        <v/>
      </c>
      <c r="AR16" s="19">
        <f>AR11-AR12</f>
        <v/>
      </c>
      <c r="AS16" s="19">
        <f>AS11-AS12</f>
        <v/>
      </c>
      <c r="AT16" s="19">
        <f>AT11-AT12</f>
        <v/>
      </c>
      <c r="AU16" s="19">
        <f>AU11-AU12</f>
        <v/>
      </c>
      <c r="AV16" s="19">
        <f>AV11-AV12</f>
        <v/>
      </c>
      <c r="AW16" s="19">
        <f>AW11-AW12</f>
        <v/>
      </c>
      <c r="AX16" s="19">
        <f>AX11-AX12</f>
        <v/>
      </c>
      <c r="AY16" s="19">
        <f>AY11-AY12</f>
        <v/>
      </c>
      <c r="AZ16" s="19">
        <f>AZ11-AZ12</f>
        <v/>
      </c>
      <c r="BA16" s="55" t="n">
        <v>26363.99</v>
      </c>
      <c r="BB16" s="31" t="n">
        <v>45797.737</v>
      </c>
      <c r="BC16" s="34">
        <f>BC11-BC12</f>
        <v/>
      </c>
      <c r="BD16" s="27" t="inlineStr"/>
    </row>
    <row r="17">
      <c r="A17" s="28" t="n"/>
      <c r="B17" s="28" t="n"/>
      <c r="C17" s="28" t="n"/>
      <c r="D17" s="28" t="n"/>
      <c r="E17" s="28" t="n"/>
      <c r="F17" s="28" t="n"/>
      <c r="G17" s="28" t="n"/>
      <c r="H17" s="28" t="n"/>
      <c r="I17" s="28" t="n"/>
      <c r="J17" s="28" t="n"/>
      <c r="K17" s="28" t="n"/>
      <c r="L17" s="28" t="n"/>
      <c r="M17" s="28" t="n"/>
      <c r="N17" s="28" t="n"/>
      <c r="O17" s="28" t="n"/>
      <c r="P17" s="28" t="n"/>
      <c r="Q17" s="28" t="n"/>
      <c r="R17" s="35" t="inlineStr">
        <is>
          <t>GP1毛利率(%)</t>
        </is>
      </c>
      <c r="S17" s="36">
        <f>S16/S11</f>
        <v/>
      </c>
      <c r="T17" s="36">
        <f>T16/T11</f>
        <v/>
      </c>
      <c r="U17" s="37">
        <f>U16/U11</f>
        <v/>
      </c>
      <c r="V17" s="36">
        <f>V16/V11</f>
        <v/>
      </c>
      <c r="W17" s="36">
        <f>W16/W11</f>
        <v/>
      </c>
      <c r="X17" s="36">
        <f>X16/X11</f>
        <v/>
      </c>
      <c r="Y17" s="36">
        <f>Y16/Y11</f>
        <v/>
      </c>
      <c r="Z17" s="36">
        <f>Z16/Z11</f>
        <v/>
      </c>
      <c r="AA17" s="36">
        <f>AA16/AA11</f>
        <v/>
      </c>
      <c r="AB17" s="36">
        <f>AB16/AB11</f>
        <v/>
      </c>
      <c r="AC17" s="36">
        <f>AC16/AC11</f>
        <v/>
      </c>
      <c r="AD17" s="36">
        <f>AD16/AD11</f>
        <v/>
      </c>
      <c r="AE17" s="36">
        <f>AE16/AE11</f>
        <v/>
      </c>
      <c r="AF17" s="36">
        <f>AF16/AF11</f>
        <v/>
      </c>
      <c r="AG17" s="36">
        <f>AG16/AG11</f>
        <v/>
      </c>
      <c r="AH17" s="38">
        <f>T17-S17</f>
        <v/>
      </c>
      <c r="AI17" s="38">
        <f>AF17-S17</f>
        <v/>
      </c>
      <c r="AJ17" s="28" t="n"/>
      <c r="AK17" s="28" t="n"/>
      <c r="AL17" s="28" t="n"/>
      <c r="AM17" s="28" t="n"/>
      <c r="AN17" s="28" t="n"/>
      <c r="AO17" s="36">
        <f>AO16/AO11</f>
        <v/>
      </c>
      <c r="AP17" s="36">
        <f>AP16/AP11</f>
        <v/>
      </c>
      <c r="AQ17" s="36">
        <f>AQ16/AQ11</f>
        <v/>
      </c>
      <c r="AR17" s="36">
        <f>AR16/AR11</f>
        <v/>
      </c>
      <c r="AS17" s="36">
        <f>AS16/AS11</f>
        <v/>
      </c>
      <c r="AT17" s="36">
        <f>AT16/AT11</f>
        <v/>
      </c>
      <c r="AU17" s="36">
        <f>AU16/AU11</f>
        <v/>
      </c>
      <c r="AV17" s="36">
        <f>AV16/AV11</f>
        <v/>
      </c>
      <c r="AW17" s="36">
        <f>AW16/AW11</f>
        <v/>
      </c>
      <c r="AX17" s="36">
        <f>AX16/AX11</f>
        <v/>
      </c>
      <c r="AY17" s="36">
        <f>AY16/AY11</f>
        <v/>
      </c>
      <c r="AZ17" s="36">
        <f>AZ16/AZ11</f>
        <v/>
      </c>
      <c r="BA17" s="56" t="n">
        <v>0.350302821251553</v>
      </c>
      <c r="BB17" s="39" t="n">
        <v>0.971737795128752</v>
      </c>
      <c r="BC17" s="40">
        <f>BC16/BC11</f>
        <v/>
      </c>
      <c r="BD17" s="27" t="inlineStr"/>
    </row>
    <row r="18">
      <c r="A18" s="28" t="n"/>
      <c r="B18" s="28" t="n"/>
      <c r="C18" s="28" t="n"/>
      <c r="D18" s="28" t="n"/>
      <c r="E18" s="28" t="n"/>
      <c r="F18" s="28" t="n"/>
      <c r="G18" s="28" t="n"/>
      <c r="H18" s="28" t="n"/>
      <c r="I18" s="28" t="n"/>
      <c r="J18" s="28" t="n"/>
      <c r="K18" s="28" t="n"/>
      <c r="L18" s="28" t="n"/>
      <c r="M18" s="28" t="n"/>
      <c r="N18" s="28" t="n"/>
      <c r="O18" s="28" t="n"/>
      <c r="P18" s="28" t="n"/>
      <c r="Q18" s="28" t="n"/>
      <c r="R18" s="18" t="inlineStr">
        <is>
          <t>GP3毛利</t>
        </is>
      </c>
      <c r="S18" s="41">
        <f>S11-S12-S13-S14</f>
        <v/>
      </c>
      <c r="T18" s="19">
        <f>T11-T12-T13-T14</f>
        <v/>
      </c>
      <c r="U18" s="20">
        <f>U11-U12-U13-U14</f>
        <v/>
      </c>
      <c r="V18" s="19">
        <f>V11-V12-V13-V14</f>
        <v/>
      </c>
      <c r="W18" s="19">
        <f>W11-W12-W13-W14</f>
        <v/>
      </c>
      <c r="X18" s="19">
        <f>X11-X12-X13-X14</f>
        <v/>
      </c>
      <c r="Y18" s="19">
        <f>Y11-Y12-Y13-Y14</f>
        <v/>
      </c>
      <c r="Z18" s="19">
        <f>Z11-Z12-Z13-Z14</f>
        <v/>
      </c>
      <c r="AA18" s="19">
        <f>AA11-AA12-AA13-AA14</f>
        <v/>
      </c>
      <c r="AB18" s="19">
        <f>AB11-AB12-AB13-AB14</f>
        <v/>
      </c>
      <c r="AC18" s="19">
        <f>AC11-AC12-AC13-AC14</f>
        <v/>
      </c>
      <c r="AD18" s="19">
        <f>AD11-AD12-AD13-AD14</f>
        <v/>
      </c>
      <c r="AE18" s="19">
        <f>AE11-AE12-AE13-AE14</f>
        <v/>
      </c>
      <c r="AF18" s="19">
        <f>AF11-AF12-AF13-AF14</f>
        <v/>
      </c>
      <c r="AG18" s="19">
        <f>AG11-AG12-AG13-AG14</f>
        <v/>
      </c>
      <c r="AH18" s="38" t="n">
        <v>0</v>
      </c>
      <c r="AI18" s="38" t="n">
        <v>0</v>
      </c>
      <c r="AJ18" s="28" t="n"/>
      <c r="AK18" s="28" t="n"/>
      <c r="AL18" s="28" t="n"/>
      <c r="AM18" s="28" t="n"/>
      <c r="AN18" s="28" t="n"/>
      <c r="AO18" s="19">
        <f>AO11-AO12-AO13-AO14</f>
        <v/>
      </c>
      <c r="AP18" s="19">
        <f>AP11-AP12-AP13-AP14</f>
        <v/>
      </c>
      <c r="AQ18" s="19">
        <f>AQ11-AQ12-AQ13-AQ14</f>
        <v/>
      </c>
      <c r="AR18" s="19">
        <f>AR11-AR12-AR13-AR14</f>
        <v/>
      </c>
      <c r="AS18" s="19">
        <f>AS11-AS12-AS13-AS14</f>
        <v/>
      </c>
      <c r="AT18" s="19">
        <f>AT11-AT12-AT13-AT14</f>
        <v/>
      </c>
      <c r="AU18" s="19">
        <f>AU11-AU12-AU13-AU14</f>
        <v/>
      </c>
      <c r="AV18" s="19">
        <f>AV11-AV12-AV13-AV14</f>
        <v/>
      </c>
      <c r="AW18" s="19">
        <f>AW11-AW12-AW13-AW14</f>
        <v/>
      </c>
      <c r="AX18" s="19">
        <f>AX11-AX12-AX13-AX14</f>
        <v/>
      </c>
      <c r="AY18" s="19">
        <f>AY11-AY12-AY13-AY14</f>
        <v/>
      </c>
      <c r="AZ18" s="19">
        <f>AZ11-AZ12-AZ13-AZ14</f>
        <v/>
      </c>
      <c r="BA18" s="57" t="n">
        <v>26686.65</v>
      </c>
      <c r="BB18" s="31" t="n">
        <v>45787.707</v>
      </c>
      <c r="BC18" s="34">
        <f>BC11-BC12-BC13-BC14</f>
        <v/>
      </c>
      <c r="BD18" s="27" t="inlineStr"/>
    </row>
    <row r="19">
      <c r="A19" s="42" t="n"/>
      <c r="B19" s="42" t="n"/>
      <c r="C19" s="42" t="n"/>
      <c r="D19" s="42" t="n"/>
      <c r="E19" s="42" t="n"/>
      <c r="F19" s="42" t="n"/>
      <c r="G19" s="42" t="n"/>
      <c r="H19" s="42" t="n"/>
      <c r="I19" s="42" t="n"/>
      <c r="J19" s="42" t="n"/>
      <c r="K19" s="42" t="n"/>
      <c r="L19" s="42" t="n"/>
      <c r="M19" s="42" t="n"/>
      <c r="N19" s="42" t="n"/>
      <c r="O19" s="42" t="n"/>
      <c r="P19" s="42" t="n"/>
      <c r="Q19" s="42" t="n"/>
      <c r="R19" s="35" t="inlineStr">
        <is>
          <t>GP3毛利率(%)</t>
        </is>
      </c>
      <c r="S19" s="36">
        <f>S18/S11</f>
        <v/>
      </c>
      <c r="T19" s="36">
        <f>T18/T11</f>
        <v/>
      </c>
      <c r="U19" s="37">
        <f>U18/U11</f>
        <v/>
      </c>
      <c r="V19" s="36">
        <f>V18/V11</f>
        <v/>
      </c>
      <c r="W19" s="36">
        <f>W18/W11</f>
        <v/>
      </c>
      <c r="X19" s="36">
        <f>X18/X11</f>
        <v/>
      </c>
      <c r="Y19" s="36">
        <f>Y18/Y11</f>
        <v/>
      </c>
      <c r="Z19" s="36">
        <f>Z18/Z11</f>
        <v/>
      </c>
      <c r="AA19" s="36">
        <f>AA18/AA11</f>
        <v/>
      </c>
      <c r="AB19" s="36">
        <f>AB18/AB11</f>
        <v/>
      </c>
      <c r="AC19" s="36">
        <f>AC18/AC11</f>
        <v/>
      </c>
      <c r="AD19" s="36">
        <f>AD18/AD11</f>
        <v/>
      </c>
      <c r="AE19" s="36">
        <f>AE18/AE11</f>
        <v/>
      </c>
      <c r="AF19" s="36">
        <f>AF18/AF11</f>
        <v/>
      </c>
      <c r="AG19" s="36">
        <f>AG18/AG11</f>
        <v/>
      </c>
      <c r="AH19" s="38">
        <f>T19-S19</f>
        <v/>
      </c>
      <c r="AI19" s="38">
        <f>AF19-S19</f>
        <v/>
      </c>
      <c r="AJ19" s="42" t="n"/>
      <c r="AK19" s="42" t="n"/>
      <c r="AL19" s="42" t="n"/>
      <c r="AM19" s="42" t="n"/>
      <c r="AN19" s="42" t="n"/>
      <c r="AO19" s="36">
        <f>AO18/AO11</f>
        <v/>
      </c>
      <c r="AP19" s="36">
        <f>AP18/AP11</f>
        <v/>
      </c>
      <c r="AQ19" s="36">
        <f>AQ18/AQ11</f>
        <v/>
      </c>
      <c r="AR19" s="36">
        <f>AR18/AR11</f>
        <v/>
      </c>
      <c r="AS19" s="36">
        <f>AS18/AS11</f>
        <v/>
      </c>
      <c r="AT19" s="36">
        <f>AT18/AT11</f>
        <v/>
      </c>
      <c r="AU19" s="36">
        <f>AU18/AU11</f>
        <v/>
      </c>
      <c r="AV19" s="36">
        <f>AV18/AV11</f>
        <v/>
      </c>
      <c r="AW19" s="36">
        <f>AW18/AW11</f>
        <v/>
      </c>
      <c r="AX19" s="36">
        <f>AX18/AX11</f>
        <v/>
      </c>
      <c r="AY19" s="36">
        <f>AY18/AY11</f>
        <v/>
      </c>
      <c r="AZ19" s="36">
        <f>AZ18/AZ11</f>
        <v/>
      </c>
      <c r="BA19" s="56" t="n">
        <v>0.354590059575685</v>
      </c>
      <c r="BB19" s="39" t="n">
        <v>0.971524978279632</v>
      </c>
      <c r="BC19" s="40">
        <f>BC18/BC11</f>
        <v/>
      </c>
      <c r="BD19" s="27" t="inlineStr"/>
    </row>
    <row r="20">
      <c r="A20" s="43" t="inlineStr">
        <is>
          <t>P202504000428</t>
        </is>
      </c>
      <c r="B20" s="44" t="inlineStr">
        <is>
          <t>全国畜牧总站-2025年度畜牧业综合信息平台种畜禽运维项目-fp项目</t>
        </is>
      </c>
      <c r="C20" s="45" t="n">
        <v>45748</v>
      </c>
      <c r="D20" s="45" t="n">
        <v>46112</v>
      </c>
      <c r="E20" s="15" t="n"/>
      <c r="F20" s="15" t="n">
        <v>0</v>
      </c>
      <c r="G20" s="16" t="n"/>
      <c r="H20" s="46" t="n"/>
      <c r="I20" s="47" t="n"/>
      <c r="J20" s="47" t="n"/>
      <c r="K20" s="47" t="n"/>
      <c r="L20" s="17" t="n"/>
      <c r="M20" s="17" t="n"/>
      <c r="N20" s="17" t="n"/>
      <c r="O20" s="17" t="n"/>
      <c r="P20" s="17" t="n"/>
      <c r="Q20" s="17" t="inlineStr"/>
      <c r="R20" s="48" t="inlineStr">
        <is>
          <t>累计收入（NR）</t>
        </is>
      </c>
      <c r="S20" s="19" t="n">
        <v>150943.4</v>
      </c>
      <c r="T20" s="19">
        <f>SUM(AO20:BC20)</f>
        <v/>
      </c>
      <c r="U20" s="20">
        <f>SUM(BA20:BC20)</f>
        <v/>
      </c>
      <c r="V20" s="19">
        <f>SUM(AO20:AZ20)</f>
        <v/>
      </c>
      <c r="W20" s="19">
        <f>SUM(AP20:AZ20)</f>
        <v/>
      </c>
      <c r="X20" s="19">
        <f>SUM(AQ20:AZ20)</f>
        <v/>
      </c>
      <c r="Y20" s="19">
        <f>SUM(AR20:AZ20)</f>
        <v/>
      </c>
      <c r="Z20" s="19">
        <f>SUM(AS20:AZ20)</f>
        <v/>
      </c>
      <c r="AA20" s="19">
        <f>SUM(AT20:AZ20)</f>
        <v/>
      </c>
      <c r="AB20" s="19">
        <f>SUM(AU20:AZ20)</f>
        <v/>
      </c>
      <c r="AC20" s="19">
        <f>SUM(AV20:AZ20)</f>
        <v/>
      </c>
      <c r="AD20" s="19">
        <f>SUM(AW20:AZ20)</f>
        <v/>
      </c>
      <c r="AE20" s="19">
        <f>SUM(AX20:AZ20)</f>
        <v/>
      </c>
      <c r="AF20" s="19">
        <f>SUM(AY20:AZ20)</f>
        <v/>
      </c>
      <c r="AG20" s="19">
        <f>SUM(AZ20:AZ20)</f>
        <v/>
      </c>
      <c r="AH20" s="21" t="n">
        <v>0</v>
      </c>
      <c r="AI20" s="21" t="n">
        <v>0</v>
      </c>
      <c r="AJ20" s="49" t="inlineStr"/>
      <c r="AK20" s="49" t="inlineStr">
        <is>
          <t>周期性运维项目，系统每月自动计入收入，4~8月每月投入人力成本1.86万超出预算</t>
        </is>
      </c>
      <c r="AL20" s="49" t="inlineStr"/>
      <c r="AM20" s="49" t="inlineStr">
        <is>
          <t>11月投入0.48万成本降低</t>
        </is>
      </c>
      <c r="AN20" s="24" t="n"/>
      <c r="AO20" s="19" t="n">
        <v>0</v>
      </c>
      <c r="AP20" s="19" t="n">
        <v>0</v>
      </c>
      <c r="AQ20" s="19" t="n">
        <v>0</v>
      </c>
      <c r="AR20" s="19" t="n">
        <v>0</v>
      </c>
      <c r="AS20" s="19" t="n">
        <v>0</v>
      </c>
      <c r="AT20" s="19" t="n">
        <v>0</v>
      </c>
      <c r="AU20" s="19" t="n">
        <v>0</v>
      </c>
      <c r="AV20" s="19" t="n">
        <v>0</v>
      </c>
      <c r="AW20" s="19" t="n">
        <v>0</v>
      </c>
      <c r="AX20" s="19" t="n">
        <v>0</v>
      </c>
      <c r="AY20" s="19" t="n">
        <v>11579.17</v>
      </c>
      <c r="AZ20" s="19" t="n">
        <v>12819.77</v>
      </c>
      <c r="BA20" s="50" t="n">
        <v>112589.72</v>
      </c>
      <c r="BB20" s="20" t="n">
        <v>0</v>
      </c>
      <c r="BC20" s="51" t="n">
        <v>0</v>
      </c>
      <c r="BD20" s="27" t="inlineStr"/>
    </row>
    <row r="21">
      <c r="A21" s="28" t="n"/>
      <c r="B21" s="28" t="n"/>
      <c r="C21" s="28" t="n"/>
      <c r="D21" s="28" t="n"/>
      <c r="E21" s="28" t="n"/>
      <c r="F21" s="28" t="n"/>
      <c r="G21" s="28" t="n"/>
      <c r="H21" s="52" t="n"/>
      <c r="I21" s="52" t="n"/>
      <c r="J21" s="52" t="n"/>
      <c r="K21" s="52" t="n"/>
      <c r="L21" s="28" t="n"/>
      <c r="M21" s="28" t="n"/>
      <c r="N21" s="28" t="n"/>
      <c r="O21" s="28" t="n"/>
      <c r="P21" s="28" t="n"/>
      <c r="Q21" s="28" t="n"/>
      <c r="R21" s="29" t="inlineStr">
        <is>
          <t>人工成本（成本１）</t>
        </is>
      </c>
      <c r="S21" s="19" t="n">
        <v>123201.71</v>
      </c>
      <c r="T21" s="19">
        <f>SUM(AO21:BC21)</f>
        <v/>
      </c>
      <c r="U21" s="20">
        <f>SUM(BA21:BC21)</f>
        <v/>
      </c>
      <c r="V21" s="19">
        <f>SUM(AO21:AZ21)</f>
        <v/>
      </c>
      <c r="W21" s="19">
        <f>SUM(AP21:AZ21)</f>
        <v/>
      </c>
      <c r="X21" s="19">
        <f>SUM(AQ21:AZ21)</f>
        <v/>
      </c>
      <c r="Y21" s="19">
        <f>SUM(AR21:AZ21)</f>
        <v/>
      </c>
      <c r="Z21" s="19">
        <f>SUM(AS21:AZ21)</f>
        <v/>
      </c>
      <c r="AA21" s="19">
        <f>SUM(AT21:AZ21)</f>
        <v/>
      </c>
      <c r="AB21" s="19">
        <f>SUM(AU21:AZ21)</f>
        <v/>
      </c>
      <c r="AC21" s="19">
        <f>SUM(AV21:AZ21)</f>
        <v/>
      </c>
      <c r="AD21" s="19">
        <f>SUM(AW21:AZ21)</f>
        <v/>
      </c>
      <c r="AE21" s="19">
        <f>SUM(AX21:AZ21)</f>
        <v/>
      </c>
      <c r="AF21" s="19">
        <f>SUM(AY21:AZ21)</f>
        <v/>
      </c>
      <c r="AG21" s="19">
        <f>SUM(AZ21:AZ21)</f>
        <v/>
      </c>
      <c r="AH21" s="21" t="n">
        <v>0</v>
      </c>
      <c r="AI21" s="21" t="n">
        <v>0</v>
      </c>
      <c r="AJ21" s="28" t="n"/>
      <c r="AK21" s="28" t="n"/>
      <c r="AL21" s="28" t="n"/>
      <c r="AM21" s="28" t="n"/>
      <c r="AN21" s="28" t="n"/>
      <c r="AO21" s="19" t="n">
        <v>0</v>
      </c>
      <c r="AP21" s="19" t="n">
        <v>0</v>
      </c>
      <c r="AQ21" s="19" t="n">
        <v>0</v>
      </c>
      <c r="AR21" s="19" t="n">
        <v>0</v>
      </c>
      <c r="AS21" s="19" t="n">
        <v>0</v>
      </c>
      <c r="AT21" s="19" t="n">
        <v>0</v>
      </c>
      <c r="AU21" s="19" t="n">
        <v>0</v>
      </c>
      <c r="AV21" s="19" t="n">
        <v>0</v>
      </c>
      <c r="AW21" s="19" t="n">
        <v>0</v>
      </c>
      <c r="AX21" s="19" t="n">
        <v>0</v>
      </c>
      <c r="AY21" s="19" t="n">
        <v>0</v>
      </c>
      <c r="AZ21" s="19" t="n">
        <v>7039.31</v>
      </c>
      <c r="BA21" s="50" t="n">
        <v>112560.11</v>
      </c>
      <c r="BB21" s="20" t="n">
        <v>0</v>
      </c>
      <c r="BC21" s="51" t="n">
        <v>0</v>
      </c>
      <c r="BD21" s="27" t="inlineStr"/>
    </row>
    <row r="22">
      <c r="A22" s="28" t="n"/>
      <c r="B22" s="28" t="n"/>
      <c r="C22" s="28" t="n"/>
      <c r="D22" s="28" t="n"/>
      <c r="E22" s="28" t="n"/>
      <c r="F22" s="28" t="n"/>
      <c r="G22" s="28" t="n"/>
      <c r="H22" s="52" t="n"/>
      <c r="I22" s="52" t="n"/>
      <c r="J22" s="52" t="n"/>
      <c r="K22" s="52" t="n"/>
      <c r="L22" s="28" t="n"/>
      <c r="M22" s="28" t="n"/>
      <c r="N22" s="28" t="n"/>
      <c r="O22" s="28" t="n"/>
      <c r="P22" s="28" t="n"/>
      <c r="Q22" s="28" t="n"/>
      <c r="R22" s="29" t="inlineStr">
        <is>
          <t>差旅费（成本３）</t>
        </is>
      </c>
      <c r="S22" s="19" t="n">
        <v>0</v>
      </c>
      <c r="T22" s="19">
        <f>SUM(AO22:BC22)</f>
        <v/>
      </c>
      <c r="U22" s="20">
        <f>SUM(BA22:BC22)</f>
        <v/>
      </c>
      <c r="V22" s="19">
        <f>SUM(AO22:AZ22)</f>
        <v/>
      </c>
      <c r="W22" s="19">
        <f>SUM(AP22:AZ22)</f>
        <v/>
      </c>
      <c r="X22" s="19">
        <f>SUM(AQ22:AZ22)</f>
        <v/>
      </c>
      <c r="Y22" s="19">
        <f>SUM(AR22:AZ22)</f>
        <v/>
      </c>
      <c r="Z22" s="19">
        <f>SUM(AS22:AZ22)</f>
        <v/>
      </c>
      <c r="AA22" s="19">
        <f>SUM(AT22:AZ22)</f>
        <v/>
      </c>
      <c r="AB22" s="19">
        <f>SUM(AU22:AZ22)</f>
        <v/>
      </c>
      <c r="AC22" s="19">
        <f>SUM(AV22:AZ22)</f>
        <v/>
      </c>
      <c r="AD22" s="19">
        <f>SUM(AW22:AZ22)</f>
        <v/>
      </c>
      <c r="AE22" s="19">
        <f>SUM(AX22:AZ22)</f>
        <v/>
      </c>
      <c r="AF22" s="19">
        <f>SUM(AY22:AZ22)</f>
        <v/>
      </c>
      <c r="AG22" s="19">
        <f>SUM(AZ22:AZ22)</f>
        <v/>
      </c>
      <c r="AH22" s="21" t="n">
        <v>0</v>
      </c>
      <c r="AI22" s="21" t="n">
        <v>0</v>
      </c>
      <c r="AJ22" s="28" t="n"/>
      <c r="AK22" s="28" t="n"/>
      <c r="AL22" s="28" t="n"/>
      <c r="AM22" s="28" t="n"/>
      <c r="AN22" s="28" t="n"/>
      <c r="AO22" s="19" t="n">
        <v>0</v>
      </c>
      <c r="AP22" s="19" t="n">
        <v>0</v>
      </c>
      <c r="AQ22" s="19" t="n">
        <v>0</v>
      </c>
      <c r="AR22" s="19" t="n">
        <v>0</v>
      </c>
      <c r="AS22" s="19" t="n">
        <v>0</v>
      </c>
      <c r="AT22" s="19" t="n">
        <v>0</v>
      </c>
      <c r="AU22" s="19" t="n">
        <v>0</v>
      </c>
      <c r="AV22" s="19" t="n">
        <v>0</v>
      </c>
      <c r="AW22" s="19" t="n">
        <v>0</v>
      </c>
      <c r="AX22" s="19" t="n">
        <v>0</v>
      </c>
      <c r="AY22" s="19" t="n">
        <v>0</v>
      </c>
      <c r="AZ22" s="19" t="n">
        <v>0</v>
      </c>
      <c r="BA22" s="50" t="n">
        <v>0</v>
      </c>
      <c r="BB22" s="20" t="n">
        <v>0</v>
      </c>
      <c r="BC22" s="51" t="n">
        <v>0</v>
      </c>
      <c r="BD22" s="27" t="inlineStr"/>
    </row>
    <row r="23">
      <c r="A23" s="28" t="n"/>
      <c r="B23" s="28" t="n"/>
      <c r="C23" s="28" t="n"/>
      <c r="D23" s="28" t="n"/>
      <c r="E23" s="28" t="n"/>
      <c r="F23" s="28" t="n"/>
      <c r="G23" s="28" t="n"/>
      <c r="H23" s="52" t="n"/>
      <c r="I23" s="52" t="n"/>
      <c r="J23" s="52" t="n"/>
      <c r="K23" s="52" t="n"/>
      <c r="L23" s="28" t="n"/>
      <c r="M23" s="28" t="n"/>
      <c r="N23" s="28" t="n"/>
      <c r="O23" s="28" t="n"/>
      <c r="P23" s="28" t="n"/>
      <c r="Q23" s="28" t="n"/>
      <c r="R23" s="29" t="inlineStr">
        <is>
          <t>其他成本（成本３）</t>
        </is>
      </c>
      <c r="S23" s="19" t="n">
        <v>0</v>
      </c>
      <c r="T23" s="19">
        <f>SUM(AO23:BC23)</f>
        <v/>
      </c>
      <c r="U23" s="20">
        <f>SUM(BA23:BC23)</f>
        <v/>
      </c>
      <c r="V23" s="19">
        <f>SUM(AO23:AZ23)</f>
        <v/>
      </c>
      <c r="W23" s="19">
        <f>SUM(AP23:AZ23)</f>
        <v/>
      </c>
      <c r="X23" s="19">
        <f>SUM(AQ23:AZ23)</f>
        <v/>
      </c>
      <c r="Y23" s="19">
        <f>SUM(AR23:AZ23)</f>
        <v/>
      </c>
      <c r="Z23" s="19">
        <f>SUM(AS23:AZ23)</f>
        <v/>
      </c>
      <c r="AA23" s="19">
        <f>SUM(AT23:AZ23)</f>
        <v/>
      </c>
      <c r="AB23" s="19">
        <f>SUM(AU23:AZ23)</f>
        <v/>
      </c>
      <c r="AC23" s="19">
        <f>SUM(AV23:AZ23)</f>
        <v/>
      </c>
      <c r="AD23" s="19">
        <f>SUM(AW23:AZ23)</f>
        <v/>
      </c>
      <c r="AE23" s="19">
        <f>SUM(AX23:AZ23)</f>
        <v/>
      </c>
      <c r="AF23" s="19">
        <f>SUM(AY23:AZ23)</f>
        <v/>
      </c>
      <c r="AG23" s="19">
        <f>SUM(AZ23:AZ23)</f>
        <v/>
      </c>
      <c r="AH23" s="21" t="n">
        <v>0</v>
      </c>
      <c r="AI23" s="21" t="n">
        <v>0</v>
      </c>
      <c r="AJ23" s="28" t="n"/>
      <c r="AK23" s="28" t="n"/>
      <c r="AL23" s="28" t="n"/>
      <c r="AM23" s="28" t="n"/>
      <c r="AN23" s="28" t="n"/>
      <c r="AO23" s="19" t="n">
        <v>0</v>
      </c>
      <c r="AP23" s="19" t="n">
        <v>0</v>
      </c>
      <c r="AQ23" s="19" t="n">
        <v>0</v>
      </c>
      <c r="AR23" s="19" t="n">
        <v>0</v>
      </c>
      <c r="AS23" s="19" t="n">
        <v>0</v>
      </c>
      <c r="AT23" s="19" t="n">
        <v>0</v>
      </c>
      <c r="AU23" s="19" t="n">
        <v>0</v>
      </c>
      <c r="AV23" s="19" t="n">
        <v>0</v>
      </c>
      <c r="AW23" s="19" t="n">
        <v>0</v>
      </c>
      <c r="AX23" s="19" t="n">
        <v>0</v>
      </c>
      <c r="AY23" s="19" t="n">
        <v>-12.82</v>
      </c>
      <c r="AZ23" s="19" t="n">
        <v>-24.4</v>
      </c>
      <c r="BA23" s="50" t="n">
        <v>-790.7</v>
      </c>
      <c r="BB23" s="20" t="n">
        <v>0</v>
      </c>
      <c r="BC23" s="51" t="n">
        <v>0</v>
      </c>
      <c r="BD23" s="27" t="inlineStr"/>
    </row>
    <row r="24">
      <c r="A24" s="28" t="n"/>
      <c r="B24" s="28" t="n"/>
      <c r="C24" s="28" t="n"/>
      <c r="D24" s="28" t="n"/>
      <c r="E24" s="28" t="n"/>
      <c r="F24" s="28" t="n"/>
      <c r="G24" s="28" t="n"/>
      <c r="H24" s="52" t="n"/>
      <c r="I24" s="52" t="n"/>
      <c r="J24" s="52" t="n"/>
      <c r="K24" s="52" t="n"/>
      <c r="L24" s="28" t="n"/>
      <c r="M24" s="28" t="n"/>
      <c r="N24" s="28" t="n"/>
      <c r="O24" s="28" t="n"/>
      <c r="P24" s="28" t="n"/>
      <c r="Q24" s="28" t="n"/>
      <c r="R24" s="29" t="inlineStr">
        <is>
          <t>累计成本</t>
        </is>
      </c>
      <c r="S24" s="30">
        <f>SUM(S21:S23)</f>
        <v/>
      </c>
      <c r="T24" s="30">
        <f>SUM(T21:T23)</f>
        <v/>
      </c>
      <c r="U24" s="31">
        <f>SUM(U21:U23)</f>
        <v/>
      </c>
      <c r="V24" s="30">
        <f>SUM(V21:V23)</f>
        <v/>
      </c>
      <c r="W24" s="30">
        <f>SUM(W21:W23)</f>
        <v/>
      </c>
      <c r="X24" s="30">
        <f>SUM(X21:X23)</f>
        <v/>
      </c>
      <c r="Y24" s="30">
        <f>SUM(Y21:Y23)</f>
        <v/>
      </c>
      <c r="Z24" s="30">
        <f>SUM(Z21:Z23)</f>
        <v/>
      </c>
      <c r="AA24" s="30">
        <f>SUM(AA21:AA23)</f>
        <v/>
      </c>
      <c r="AB24" s="30">
        <f>SUM(AB21:AB23)</f>
        <v/>
      </c>
      <c r="AC24" s="30">
        <f>SUM(AC21:AC23)</f>
        <v/>
      </c>
      <c r="AD24" s="30">
        <f>SUM(AD21:AD23)</f>
        <v/>
      </c>
      <c r="AE24" s="30">
        <f>SUM(AE21:AE23)</f>
        <v/>
      </c>
      <c r="AF24" s="30">
        <f>SUM(AF21:AF23)</f>
        <v/>
      </c>
      <c r="AG24" s="30">
        <f>SUM(AG21:AG23)</f>
        <v/>
      </c>
      <c r="AH24" s="30">
        <f>SUM(AH21:AH23)</f>
        <v/>
      </c>
      <c r="AI24" s="30">
        <f>SUM(AI21:AI23)</f>
        <v/>
      </c>
      <c r="AJ24" s="28" t="n"/>
      <c r="AK24" s="28" t="n"/>
      <c r="AL24" s="28" t="n"/>
      <c r="AM24" s="28" t="n"/>
      <c r="AN24" s="28" t="n"/>
      <c r="AO24" s="30">
        <f>SUM(AO21:AO23)</f>
        <v/>
      </c>
      <c r="AP24" s="30">
        <f>SUM(AP21:AP23)</f>
        <v/>
      </c>
      <c r="AQ24" s="30">
        <f>SUM(AQ21:AQ23)</f>
        <v/>
      </c>
      <c r="AR24" s="30">
        <f>SUM(AR21:AR23)</f>
        <v/>
      </c>
      <c r="AS24" s="30">
        <f>SUM(AS21:AS23)</f>
        <v/>
      </c>
      <c r="AT24" s="30">
        <f>SUM(AT21:AT23)</f>
        <v/>
      </c>
      <c r="AU24" s="30">
        <f>SUM(AU21:AU23)</f>
        <v/>
      </c>
      <c r="AV24" s="30">
        <f>SUM(AV21:AV23)</f>
        <v/>
      </c>
      <c r="AW24" s="30">
        <f>SUM(AW21:AW23)</f>
        <v/>
      </c>
      <c r="AX24" s="30">
        <f>SUM(AX21:AX23)</f>
        <v/>
      </c>
      <c r="AY24" s="30">
        <f>SUM(AY21:AY23)</f>
        <v/>
      </c>
      <c r="AZ24" s="30">
        <f>SUM(AZ21:AZ23)</f>
        <v/>
      </c>
      <c r="BA24" s="53" t="n">
        <v>111769.41</v>
      </c>
      <c r="BB24" s="31">
        <f>SUM(BB21:BB23)</f>
        <v/>
      </c>
      <c r="BC24" s="54">
        <f>SUM(BC21:BC23)</f>
        <v/>
      </c>
      <c r="BD24" s="32" t="inlineStr"/>
    </row>
    <row r="25">
      <c r="A25" s="28" t="n"/>
      <c r="B25" s="28" t="n"/>
      <c r="C25" s="28" t="n"/>
      <c r="D25" s="28" t="n"/>
      <c r="E25" s="28" t="n"/>
      <c r="F25" s="28" t="n"/>
      <c r="G25" s="28" t="n"/>
      <c r="H25" s="52" t="n"/>
      <c r="I25" s="52" t="n"/>
      <c r="J25" s="52" t="n"/>
      <c r="K25" s="52" t="n"/>
      <c r="L25" s="28" t="n"/>
      <c r="M25" s="28" t="n"/>
      <c r="N25" s="28" t="n"/>
      <c r="O25" s="28" t="n"/>
      <c r="P25" s="28" t="n"/>
      <c r="Q25" s="28" t="n"/>
      <c r="R25" s="29" t="inlineStr">
        <is>
          <t>GP1毛利</t>
        </is>
      </c>
      <c r="S25" s="19">
        <f>S20-S21</f>
        <v/>
      </c>
      <c r="T25" s="19">
        <f>T20-T21</f>
        <v/>
      </c>
      <c r="U25" s="20">
        <f>U20-U21</f>
        <v/>
      </c>
      <c r="V25" s="19">
        <f>V20-V21</f>
        <v/>
      </c>
      <c r="W25" s="19">
        <f>W20-W21</f>
        <v/>
      </c>
      <c r="X25" s="19">
        <f>X20-X21</f>
        <v/>
      </c>
      <c r="Y25" s="19">
        <f>Y20-Y21</f>
        <v/>
      </c>
      <c r="Z25" s="19">
        <f>Z20-Z21</f>
        <v/>
      </c>
      <c r="AA25" s="19">
        <f>AA20-AA21</f>
        <v/>
      </c>
      <c r="AB25" s="19">
        <f>AB20-AB21</f>
        <v/>
      </c>
      <c r="AC25" s="19">
        <f>AC20-AC21</f>
        <v/>
      </c>
      <c r="AD25" s="19">
        <f>AD20-AD21</f>
        <v/>
      </c>
      <c r="AE25" s="19">
        <f>AE20-AE21</f>
        <v/>
      </c>
      <c r="AF25" s="19">
        <f>AF20-AF21</f>
        <v/>
      </c>
      <c r="AG25" s="19">
        <f>AG20-AG21</f>
        <v/>
      </c>
      <c r="AH25" s="33" t="n">
        <v>0</v>
      </c>
      <c r="AI25" s="33" t="n">
        <v>0</v>
      </c>
      <c r="AJ25" s="28" t="n"/>
      <c r="AK25" s="28" t="n"/>
      <c r="AL25" s="28" t="n"/>
      <c r="AM25" s="28" t="n"/>
      <c r="AN25" s="28" t="n"/>
      <c r="AO25" s="19">
        <f>AO20-AO21</f>
        <v/>
      </c>
      <c r="AP25" s="19">
        <f>AP20-AP21</f>
        <v/>
      </c>
      <c r="AQ25" s="19">
        <f>AQ20-AQ21</f>
        <v/>
      </c>
      <c r="AR25" s="19">
        <f>AR20-AR21</f>
        <v/>
      </c>
      <c r="AS25" s="19">
        <f>AS20-AS21</f>
        <v/>
      </c>
      <c r="AT25" s="19">
        <f>AT20-AT21</f>
        <v/>
      </c>
      <c r="AU25" s="19">
        <f>AU20-AU21</f>
        <v/>
      </c>
      <c r="AV25" s="19">
        <f>AV20-AV21</f>
        <v/>
      </c>
      <c r="AW25" s="19">
        <f>AW20-AW21</f>
        <v/>
      </c>
      <c r="AX25" s="19">
        <f>AX20-AX21</f>
        <v/>
      </c>
      <c r="AY25" s="19">
        <f>AY20-AY21</f>
        <v/>
      </c>
      <c r="AZ25" s="19">
        <f>AZ20-AZ21</f>
        <v/>
      </c>
      <c r="BA25" s="55" t="n">
        <v>29.609999999986</v>
      </c>
      <c r="BB25" s="31" t="n">
        <v>0</v>
      </c>
      <c r="BC25" s="51" t="n">
        <v>0</v>
      </c>
      <c r="BD25" s="27" t="inlineStr"/>
    </row>
    <row r="26">
      <c r="A26" s="28" t="n"/>
      <c r="B26" s="28" t="n"/>
      <c r="C26" s="28" t="n"/>
      <c r="D26" s="28" t="n"/>
      <c r="E26" s="28" t="n"/>
      <c r="F26" s="28" t="n"/>
      <c r="G26" s="28" t="n"/>
      <c r="H26" s="52" t="n"/>
      <c r="I26" s="52" t="n"/>
      <c r="J26" s="52" t="n"/>
      <c r="K26" s="52" t="n"/>
      <c r="L26" s="28" t="n"/>
      <c r="M26" s="28" t="n"/>
      <c r="N26" s="28" t="n"/>
      <c r="O26" s="28" t="n"/>
      <c r="P26" s="28" t="n"/>
      <c r="Q26" s="28" t="n"/>
      <c r="R26" s="35" t="inlineStr">
        <is>
          <t>GP1毛利率(%)</t>
        </is>
      </c>
      <c r="S26" s="36">
        <f>S25/S20</f>
        <v/>
      </c>
      <c r="T26" s="36">
        <f>T25/T20</f>
        <v/>
      </c>
      <c r="U26" s="37">
        <f>U25/U20</f>
        <v/>
      </c>
      <c r="V26" s="36">
        <f>V25/V20</f>
        <v/>
      </c>
      <c r="W26" s="36">
        <f>W25/W20</f>
        <v/>
      </c>
      <c r="X26" s="36">
        <f>X25/X20</f>
        <v/>
      </c>
      <c r="Y26" s="36">
        <f>Y25/Y20</f>
        <v/>
      </c>
      <c r="Z26" s="36">
        <f>Z25/Z20</f>
        <v/>
      </c>
      <c r="AA26" s="36">
        <f>AA25/AA20</f>
        <v/>
      </c>
      <c r="AB26" s="36">
        <f>AB25/AB20</f>
        <v/>
      </c>
      <c r="AC26" s="36">
        <f>AC25/AC20</f>
        <v/>
      </c>
      <c r="AD26" s="36">
        <f>AD25/AD20</f>
        <v/>
      </c>
      <c r="AE26" s="36">
        <f>AE25/AE20</f>
        <v/>
      </c>
      <c r="AF26" s="36">
        <f>AF25/AF20</f>
        <v/>
      </c>
      <c r="AG26" s="36">
        <f>AG25/AG20</f>
        <v/>
      </c>
      <c r="AH26" s="38">
        <f>T26-S26</f>
        <v/>
      </c>
      <c r="AI26" s="38">
        <f>AF26-S26</f>
        <v/>
      </c>
      <c r="AJ26" s="28" t="n"/>
      <c r="AK26" s="28" t="n"/>
      <c r="AL26" s="28" t="n"/>
      <c r="AM26" s="28" t="n"/>
      <c r="AN26" s="28" t="n"/>
      <c r="AO26" s="36">
        <f>AO25/AO20</f>
        <v/>
      </c>
      <c r="AP26" s="36">
        <f>AP25/AP20</f>
        <v/>
      </c>
      <c r="AQ26" s="36">
        <f>AQ25/AQ20</f>
        <v/>
      </c>
      <c r="AR26" s="36">
        <f>AR25/AR20</f>
        <v/>
      </c>
      <c r="AS26" s="36">
        <f>AS25/AS20</f>
        <v/>
      </c>
      <c r="AT26" s="36">
        <f>AT25/AT20</f>
        <v/>
      </c>
      <c r="AU26" s="36">
        <f>AU25/AU20</f>
        <v/>
      </c>
      <c r="AV26" s="36">
        <f>AV25/AV20</f>
        <v/>
      </c>
      <c r="AW26" s="36">
        <f>AW25/AW20</f>
        <v/>
      </c>
      <c r="AX26" s="36">
        <f>AX25/AX20</f>
        <v/>
      </c>
      <c r="AY26" s="36">
        <f>AY25/AY20</f>
        <v/>
      </c>
      <c r="AZ26" s="36">
        <f>AZ25/AZ20</f>
        <v/>
      </c>
      <c r="BA26" s="56" t="n">
        <v>0.000262990262343543</v>
      </c>
      <c r="BB26" s="39" t="n">
        <v>0</v>
      </c>
      <c r="BC26" s="51" t="n">
        <v>0</v>
      </c>
      <c r="BD26" s="27" t="inlineStr"/>
    </row>
    <row r="27">
      <c r="A27" s="28" t="n"/>
      <c r="B27" s="28" t="n"/>
      <c r="C27" s="28" t="n"/>
      <c r="D27" s="28" t="n"/>
      <c r="E27" s="28" t="n"/>
      <c r="F27" s="28" t="n"/>
      <c r="G27" s="28" t="n"/>
      <c r="H27" s="52" t="n"/>
      <c r="I27" s="52" t="n"/>
      <c r="J27" s="52" t="n"/>
      <c r="K27" s="52" t="n"/>
      <c r="L27" s="28" t="n"/>
      <c r="M27" s="28" t="n"/>
      <c r="N27" s="28" t="n"/>
      <c r="O27" s="28" t="n"/>
      <c r="P27" s="28" t="n"/>
      <c r="Q27" s="28" t="n"/>
      <c r="R27" s="29" t="inlineStr">
        <is>
          <t>GP3毛利</t>
        </is>
      </c>
      <c r="S27" s="19">
        <f>S20-S21-S22-S23</f>
        <v/>
      </c>
      <c r="T27" s="19">
        <f>T20-T21-T22-T23</f>
        <v/>
      </c>
      <c r="U27" s="20">
        <f>U20-U21-U22-U23</f>
        <v/>
      </c>
      <c r="V27" s="19">
        <f>V20-V21-V22-V23</f>
        <v/>
      </c>
      <c r="W27" s="19">
        <f>W20-W21-W22-W23</f>
        <v/>
      </c>
      <c r="X27" s="19">
        <f>X20-X21-X22-X23</f>
        <v/>
      </c>
      <c r="Y27" s="19">
        <f>Y20-Y21-Y22-Y23</f>
        <v/>
      </c>
      <c r="Z27" s="19">
        <f>Z20-Z21-Z22-Z23</f>
        <v/>
      </c>
      <c r="AA27" s="19">
        <f>AA20-AA21-AA22-AA23</f>
        <v/>
      </c>
      <c r="AB27" s="19">
        <f>AB20-AB21-AB22-AB23</f>
        <v/>
      </c>
      <c r="AC27" s="19">
        <f>AC20-AC21-AC22-AC23</f>
        <v/>
      </c>
      <c r="AD27" s="19">
        <f>AD20-AD21-AD22-AD23</f>
        <v/>
      </c>
      <c r="AE27" s="19">
        <f>AE20-AE21-AE22-AE23</f>
        <v/>
      </c>
      <c r="AF27" s="19">
        <f>AF20-AF21-AF22-AF23</f>
        <v/>
      </c>
      <c r="AG27" s="19">
        <f>AG20-AG21-AG22-AG23</f>
        <v/>
      </c>
      <c r="AH27" s="38" t="n">
        <v>0</v>
      </c>
      <c r="AI27" s="38" t="n">
        <v>0</v>
      </c>
      <c r="AJ27" s="28" t="n"/>
      <c r="AK27" s="28" t="n"/>
      <c r="AL27" s="28" t="n"/>
      <c r="AM27" s="28" t="n"/>
      <c r="AN27" s="28" t="n"/>
      <c r="AO27" s="19">
        <f>AO20-AO21-AO22-AO23</f>
        <v/>
      </c>
      <c r="AP27" s="19">
        <f>AP20-AP21-AP22-AP23</f>
        <v/>
      </c>
      <c r="AQ27" s="19">
        <f>AQ20-AQ21-AQ22-AQ23</f>
        <v/>
      </c>
      <c r="AR27" s="19">
        <f>AR20-AR21-AR22-AR23</f>
        <v/>
      </c>
      <c r="AS27" s="19">
        <f>AS20-AS21-AS22-AS23</f>
        <v/>
      </c>
      <c r="AT27" s="19">
        <f>AT20-AT21-AT22-AT23</f>
        <v/>
      </c>
      <c r="AU27" s="19">
        <f>AU20-AU21-AU22-AU23</f>
        <v/>
      </c>
      <c r="AV27" s="19">
        <f>AV20-AV21-AV22-AV23</f>
        <v/>
      </c>
      <c r="AW27" s="19">
        <f>AW20-AW21-AW22-AW23</f>
        <v/>
      </c>
      <c r="AX27" s="19">
        <f>AX20-AX21-AX22-AX23</f>
        <v/>
      </c>
      <c r="AY27" s="19">
        <f>AY20-AY21-AY22-AY23</f>
        <v/>
      </c>
      <c r="AZ27" s="19">
        <f>AZ20-AZ21-AZ22-AZ23</f>
        <v/>
      </c>
      <c r="BA27" s="57" t="n">
        <v>820.309999999986</v>
      </c>
      <c r="BB27" s="31" t="n">
        <v>0</v>
      </c>
      <c r="BC27" s="51" t="n">
        <v>0</v>
      </c>
      <c r="BD27" s="27" t="inlineStr"/>
    </row>
    <row r="28">
      <c r="A28" s="42" t="n"/>
      <c r="B28" s="42" t="n"/>
      <c r="C28" s="42" t="n"/>
      <c r="D28" s="42" t="n"/>
      <c r="E28" s="42" t="n"/>
      <c r="F28" s="42" t="n"/>
      <c r="G28" s="42" t="n"/>
      <c r="H28" s="58" t="n"/>
      <c r="I28" s="58" t="n"/>
      <c r="J28" s="58" t="n"/>
      <c r="K28" s="58" t="n"/>
      <c r="L28" s="42" t="n"/>
      <c r="M28" s="42" t="n"/>
      <c r="N28" s="42" t="n"/>
      <c r="O28" s="42" t="n"/>
      <c r="P28" s="42" t="n"/>
      <c r="Q28" s="42" t="n"/>
      <c r="R28" s="35" t="inlineStr">
        <is>
          <t>GP3毛利率(%)</t>
        </is>
      </c>
      <c r="S28" s="36">
        <f>S27/S20</f>
        <v/>
      </c>
      <c r="T28" s="36">
        <f>T27/T20</f>
        <v/>
      </c>
      <c r="U28" s="37">
        <f>U27/U20</f>
        <v/>
      </c>
      <c r="V28" s="36">
        <f>V27/V20</f>
        <v/>
      </c>
      <c r="W28" s="36">
        <f>W27/W20</f>
        <v/>
      </c>
      <c r="X28" s="36">
        <f>X27/X20</f>
        <v/>
      </c>
      <c r="Y28" s="36">
        <f>Y27/Y20</f>
        <v/>
      </c>
      <c r="Z28" s="36">
        <f>Z27/Z20</f>
        <v/>
      </c>
      <c r="AA28" s="36">
        <f>AA27/AA20</f>
        <v/>
      </c>
      <c r="AB28" s="36">
        <f>AB27/AB20</f>
        <v/>
      </c>
      <c r="AC28" s="36">
        <f>AC27/AC20</f>
        <v/>
      </c>
      <c r="AD28" s="36">
        <f>AD27/AD20</f>
        <v/>
      </c>
      <c r="AE28" s="36">
        <f>AE27/AE20</f>
        <v/>
      </c>
      <c r="AF28" s="36">
        <f>AF27/AF20</f>
        <v/>
      </c>
      <c r="AG28" s="36">
        <f>AG27/AG20</f>
        <v/>
      </c>
      <c r="AH28" s="38">
        <f>T28-S28</f>
        <v/>
      </c>
      <c r="AI28" s="38">
        <f>AF28-S28</f>
        <v/>
      </c>
      <c r="AJ28" s="42" t="n"/>
      <c r="AK28" s="42" t="n"/>
      <c r="AL28" s="42" t="n"/>
      <c r="AM28" s="42" t="n"/>
      <c r="AN28" s="42" t="n"/>
      <c r="AO28" s="36">
        <f>AO27/AO20</f>
        <v/>
      </c>
      <c r="AP28" s="36">
        <f>AP27/AP20</f>
        <v/>
      </c>
      <c r="AQ28" s="36">
        <f>AQ27/AQ20</f>
        <v/>
      </c>
      <c r="AR28" s="36">
        <f>AR27/AR20</f>
        <v/>
      </c>
      <c r="AS28" s="36">
        <f>AS27/AS20</f>
        <v/>
      </c>
      <c r="AT28" s="36">
        <f>AT27/AT20</f>
        <v/>
      </c>
      <c r="AU28" s="36">
        <f>AU27/AU20</f>
        <v/>
      </c>
      <c r="AV28" s="36">
        <f>AV27/AV20</f>
        <v/>
      </c>
      <c r="AW28" s="36">
        <f>AW27/AW20</f>
        <v/>
      </c>
      <c r="AX28" s="36">
        <f>AX27/AX20</f>
        <v/>
      </c>
      <c r="AY28" s="36">
        <f>AY27/AY20</f>
        <v/>
      </c>
      <c r="AZ28" s="36">
        <f>AZ27/AZ20</f>
        <v/>
      </c>
      <c r="BA28" s="56" t="n">
        <v>0.00728583391094663</v>
      </c>
      <c r="BB28" s="39" t="n">
        <v>0</v>
      </c>
      <c r="BC28" s="51" t="n">
        <v>0</v>
      </c>
      <c r="BD28" s="27" t="inlineStr"/>
    </row>
    <row r="29">
      <c r="A29" s="43" t="inlineStr">
        <is>
          <t>P202506000290</t>
        </is>
      </c>
      <c r="B29" s="44" t="inlineStr">
        <is>
          <t>中监所-2025年OA办公系统升级改造项目-研究生管理模块-FP项目</t>
        </is>
      </c>
      <c r="C29" s="45" t="n">
        <v>45807</v>
      </c>
      <c r="D29" s="45" t="n">
        <v>46275</v>
      </c>
      <c r="E29" s="15" t="n"/>
      <c r="F29" s="15" t="n">
        <v>0.8129999999999999</v>
      </c>
      <c r="G29" s="16" t="n"/>
      <c r="H29" s="44" t="n"/>
      <c r="I29" s="44" t="n"/>
      <c r="J29" s="17" t="n"/>
      <c r="K29" s="17" t="n"/>
      <c r="L29" s="17" t="n"/>
      <c r="M29" s="17" t="n"/>
      <c r="N29" s="17" t="n"/>
      <c r="O29" s="17" t="n"/>
      <c r="P29" s="17" t="n"/>
      <c r="Q29" s="17" t="inlineStr"/>
      <c r="R29" s="48" t="inlineStr">
        <is>
          <t>累计收入（NR）</t>
        </is>
      </c>
      <c r="S29" s="19" t="n">
        <v>181603.77</v>
      </c>
      <c r="T29" s="19">
        <f>SUM(AO29:BC29)</f>
        <v/>
      </c>
      <c r="U29" s="20">
        <f>SUM(BA29:BC29)</f>
        <v/>
      </c>
      <c r="V29" s="19">
        <f>SUM(AO29:AZ29)</f>
        <v/>
      </c>
      <c r="W29" s="19">
        <f>SUM(AP29:AZ29)</f>
        <v/>
      </c>
      <c r="X29" s="19">
        <f>SUM(AQ29:AZ29)</f>
        <v/>
      </c>
      <c r="Y29" s="19">
        <f>SUM(AR29:AZ29)</f>
        <v/>
      </c>
      <c r="Z29" s="19">
        <f>SUM(AS29:AZ29)</f>
        <v/>
      </c>
      <c r="AA29" s="19">
        <f>SUM(AT29:AZ29)</f>
        <v/>
      </c>
      <c r="AB29" s="19">
        <f>SUM(AU29:AZ29)</f>
        <v/>
      </c>
      <c r="AC29" s="19">
        <f>SUM(AV29:AZ29)</f>
        <v/>
      </c>
      <c r="AD29" s="19">
        <f>SUM(AW29:AZ29)</f>
        <v/>
      </c>
      <c r="AE29" s="19">
        <f>SUM(AX29:AZ29)</f>
        <v/>
      </c>
      <c r="AF29" s="19">
        <f>SUM(AY29:AZ29)</f>
        <v/>
      </c>
      <c r="AG29" s="19">
        <f>SUM(AZ29:AZ29)</f>
        <v/>
      </c>
      <c r="AH29" s="21" t="n">
        <v>0</v>
      </c>
      <c r="AI29" s="21" t="n">
        <v>0</v>
      </c>
      <c r="AJ29" s="49" t="inlineStr"/>
      <c r="AK29" s="16" t="inlineStr">
        <is>
          <t>固定投入1人，人力成本已超出预算</t>
        </is>
      </c>
      <c r="AL29" s="49" t="inlineStr">
        <is>
          <t>建议项目经理及时变更后续月份成本投入计划</t>
        </is>
      </c>
      <c r="AM29" s="49" t="inlineStr"/>
      <c r="AN29" s="59" t="n"/>
      <c r="AO29" s="19" t="n">
        <v>0</v>
      </c>
      <c r="AP29" s="19" t="n">
        <v>0</v>
      </c>
      <c r="AQ29" s="19" t="n">
        <v>0</v>
      </c>
      <c r="AR29" s="19" t="n">
        <v>0</v>
      </c>
      <c r="AS29" s="19" t="n">
        <v>0</v>
      </c>
      <c r="AT29" s="19" t="n">
        <v>0</v>
      </c>
      <c r="AU29" s="19" t="n">
        <v>0</v>
      </c>
      <c r="AV29" s="19" t="n">
        <v>0</v>
      </c>
      <c r="AW29" s="19" t="n">
        <v>0</v>
      </c>
      <c r="AX29" s="19" t="n">
        <v>0</v>
      </c>
      <c r="AY29" s="19" t="n">
        <v>36407.37</v>
      </c>
      <c r="AZ29" s="19" t="n">
        <v>3848.19</v>
      </c>
      <c r="BA29" s="57" t="n">
        <v>139982.95</v>
      </c>
      <c r="BB29" s="20" t="n">
        <v>0</v>
      </c>
      <c r="BC29" s="5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人工成本（成本１）</t>
        </is>
      </c>
      <c r="S30" s="19" t="n">
        <v>148783.99</v>
      </c>
      <c r="T30" s="19">
        <f>SUM(AO30:BC30)</f>
        <v/>
      </c>
      <c r="U30" s="20">
        <f>SUM(BA30:BC30)</f>
        <v/>
      </c>
      <c r="V30" s="19">
        <f>SUM(AO30:AZ30)</f>
        <v/>
      </c>
      <c r="W30" s="19">
        <f>SUM(AP30:AZ30)</f>
        <v/>
      </c>
      <c r="X30" s="19">
        <f>SUM(AQ30:AZ30)</f>
        <v/>
      </c>
      <c r="Y30" s="19">
        <f>SUM(AR30:AZ30)</f>
        <v/>
      </c>
      <c r="Z30" s="19">
        <f>SUM(AS30:AZ30)</f>
        <v/>
      </c>
      <c r="AA30" s="19">
        <f>SUM(AT30:AZ30)</f>
        <v/>
      </c>
      <c r="AB30" s="19">
        <f>SUM(AU30:AZ30)</f>
        <v/>
      </c>
      <c r="AC30" s="19">
        <f>SUM(AV30:AZ30)</f>
        <v/>
      </c>
      <c r="AD30" s="19">
        <f>SUM(AW30:AZ30)</f>
        <v/>
      </c>
      <c r="AE30" s="19">
        <f>SUM(AX30:AZ30)</f>
        <v/>
      </c>
      <c r="AF30" s="19">
        <f>SUM(AY30:AZ30)</f>
        <v/>
      </c>
      <c r="AG30" s="19">
        <f>SUM(AZ30:AZ30)</f>
        <v/>
      </c>
      <c r="AH30" s="21" t="n">
        <v>0</v>
      </c>
      <c r="AI30" s="21" t="n">
        <v>0</v>
      </c>
      <c r="AJ30" s="28" t="n"/>
      <c r="AK30" s="28" t="n"/>
      <c r="AL30" s="28" t="n"/>
      <c r="AM30" s="28" t="n"/>
      <c r="AN30" s="28" t="n"/>
      <c r="AO30" s="19" t="n">
        <v>0</v>
      </c>
      <c r="AP30" s="19" t="n">
        <v>0</v>
      </c>
      <c r="AQ30" s="19" t="n">
        <v>0</v>
      </c>
      <c r="AR30" s="19" t="n">
        <v>0</v>
      </c>
      <c r="AS30" s="19" t="n">
        <v>0</v>
      </c>
      <c r="AT30" s="19" t="n">
        <v>0</v>
      </c>
      <c r="AU30" s="19" t="n">
        <v>0</v>
      </c>
      <c r="AV30" s="19" t="n">
        <v>0</v>
      </c>
      <c r="AW30" s="19" t="n">
        <v>0</v>
      </c>
      <c r="AX30" s="19" t="n">
        <v>0</v>
      </c>
      <c r="AY30" s="19" t="n">
        <v>17923.23</v>
      </c>
      <c r="AZ30" s="19" t="n">
        <v>0</v>
      </c>
      <c r="BA30" s="57" t="n">
        <v>154415.59</v>
      </c>
      <c r="BB30" s="20" t="n">
        <v>0</v>
      </c>
      <c r="BC30" s="51" t="n">
        <v>0</v>
      </c>
      <c r="BD30" s="27" t="inlineStr"/>
    </row>
    <row r="31">
      <c r="A31" s="28" t="n"/>
      <c r="B31" s="28" t="n"/>
      <c r="C31" s="28" t="n"/>
      <c r="D31" s="28" t="n"/>
      <c r="E31" s="28" t="n"/>
      <c r="F31" s="28" t="n"/>
      <c r="G31" s="28" t="n"/>
      <c r="H31" s="28" t="n"/>
      <c r="I31" s="28" t="n"/>
      <c r="J31" s="28" t="n"/>
      <c r="K31" s="28" t="n"/>
      <c r="L31" s="28" t="n"/>
      <c r="M31" s="28" t="n"/>
      <c r="N31" s="28" t="n"/>
      <c r="O31" s="28" t="n"/>
      <c r="P31" s="28" t="n"/>
      <c r="Q31" s="28" t="n"/>
      <c r="R31" s="29" t="inlineStr">
        <is>
          <t>差旅费（成本３）</t>
        </is>
      </c>
      <c r="S31" s="19" t="n">
        <v>0</v>
      </c>
      <c r="T31" s="19">
        <f>SUM(AO31:BC31)</f>
        <v/>
      </c>
      <c r="U31" s="20">
        <f>SUM(BA31:BC31)</f>
        <v/>
      </c>
      <c r="V31" s="19">
        <f>SUM(AO31:AZ31)</f>
        <v/>
      </c>
      <c r="W31" s="19">
        <f>SUM(AP31:AZ31)</f>
        <v/>
      </c>
      <c r="X31" s="19">
        <f>SUM(AQ31:AZ31)</f>
        <v/>
      </c>
      <c r="Y31" s="19">
        <f>SUM(AR31:AZ31)</f>
        <v/>
      </c>
      <c r="Z31" s="19">
        <f>SUM(AS31:AZ31)</f>
        <v/>
      </c>
      <c r="AA31" s="19">
        <f>SUM(AT31:AZ31)</f>
        <v/>
      </c>
      <c r="AB31" s="19">
        <f>SUM(AU31:AZ31)</f>
        <v/>
      </c>
      <c r="AC31" s="19">
        <f>SUM(AV31:AZ31)</f>
        <v/>
      </c>
      <c r="AD31" s="19">
        <f>SUM(AW31:AZ31)</f>
        <v/>
      </c>
      <c r="AE31" s="19">
        <f>SUM(AX31:AZ31)</f>
        <v/>
      </c>
      <c r="AF31" s="19">
        <f>SUM(AY31:AZ31)</f>
        <v/>
      </c>
      <c r="AG31" s="19">
        <f>SUM(AZ31:AZ31)</f>
        <v/>
      </c>
      <c r="AH31" s="21" t="n">
        <v>0</v>
      </c>
      <c r="AI31" s="21" t="n">
        <v>0</v>
      </c>
      <c r="AJ31" s="28" t="n"/>
      <c r="AK31" s="28" t="n"/>
      <c r="AL31" s="28" t="n"/>
      <c r="AM31" s="28" t="n"/>
      <c r="AN31" s="28" t="n"/>
      <c r="AO31" s="19" t="n">
        <v>0</v>
      </c>
      <c r="AP31" s="19" t="n">
        <v>0</v>
      </c>
      <c r="AQ31" s="19" t="n">
        <v>0</v>
      </c>
      <c r="AR31" s="19" t="n">
        <v>0</v>
      </c>
      <c r="AS31" s="19" t="n">
        <v>0</v>
      </c>
      <c r="AT31" s="19" t="n">
        <v>0</v>
      </c>
      <c r="AU31" s="19" t="n">
        <v>0</v>
      </c>
      <c r="AV31" s="19" t="n">
        <v>0</v>
      </c>
      <c r="AW31" s="19" t="n">
        <v>0</v>
      </c>
      <c r="AX31" s="19" t="n">
        <v>0</v>
      </c>
      <c r="AY31" s="19" t="n">
        <v>0</v>
      </c>
      <c r="AZ31" s="19" t="n">
        <v>0</v>
      </c>
      <c r="BA31" s="57" t="n">
        <v>0</v>
      </c>
      <c r="BB31" s="20" t="n">
        <v>0</v>
      </c>
      <c r="BC31" s="51" t="n">
        <v>0</v>
      </c>
      <c r="BD31" s="27" t="inlineStr"/>
    </row>
    <row r="32">
      <c r="A32" s="28" t="n"/>
      <c r="B32" s="28" t="n"/>
      <c r="C32" s="28" t="n"/>
      <c r="D32" s="28" t="n"/>
      <c r="E32" s="28" t="n"/>
      <c r="F32" s="28" t="n"/>
      <c r="G32" s="28" t="n"/>
      <c r="H32" s="28" t="n"/>
      <c r="I32" s="28" t="n"/>
      <c r="J32" s="28" t="n"/>
      <c r="K32" s="28" t="n"/>
      <c r="L32" s="28" t="n"/>
      <c r="M32" s="28" t="n"/>
      <c r="N32" s="28" t="n"/>
      <c r="O32" s="28" t="n"/>
      <c r="P32" s="28" t="n"/>
      <c r="Q32" s="28" t="n"/>
      <c r="R32" s="29" t="inlineStr">
        <is>
          <t>其他成本（成本３）</t>
        </is>
      </c>
      <c r="S32" s="19" t="n">
        <v>0</v>
      </c>
      <c r="T32" s="19">
        <f>SUM(AO32:BC32)</f>
        <v/>
      </c>
      <c r="U32" s="20">
        <f>SUM(BA32:BC32)</f>
        <v/>
      </c>
      <c r="V32" s="19">
        <f>SUM(AO32:AZ32)</f>
        <v/>
      </c>
      <c r="W32" s="19">
        <f>SUM(AP32:AZ32)</f>
        <v/>
      </c>
      <c r="X32" s="19">
        <f>SUM(AQ32:AZ32)</f>
        <v/>
      </c>
      <c r="Y32" s="19">
        <f>SUM(AR32:AZ32)</f>
        <v/>
      </c>
      <c r="Z32" s="19">
        <f>SUM(AS32:AZ32)</f>
        <v/>
      </c>
      <c r="AA32" s="19">
        <f>SUM(AT32:AZ32)</f>
        <v/>
      </c>
      <c r="AB32" s="19">
        <f>SUM(AU32:AZ32)</f>
        <v/>
      </c>
      <c r="AC32" s="19">
        <f>SUM(AV32:AZ32)</f>
        <v/>
      </c>
      <c r="AD32" s="19">
        <f>SUM(AW32:AZ32)</f>
        <v/>
      </c>
      <c r="AE32" s="19">
        <f>SUM(AX32:AZ32)</f>
        <v/>
      </c>
      <c r="AF32" s="19">
        <f>SUM(AY32:AZ32)</f>
        <v/>
      </c>
      <c r="AG32" s="19">
        <f>SUM(AZ32:AZ32)</f>
        <v/>
      </c>
      <c r="AH32" s="21" t="n">
        <v>0</v>
      </c>
      <c r="AI32" s="21" t="n">
        <v>0</v>
      </c>
      <c r="AJ32" s="28" t="n"/>
      <c r="AK32" s="28" t="n"/>
      <c r="AL32" s="28" t="n"/>
      <c r="AM32" s="28" t="n"/>
      <c r="AN32" s="28" t="n"/>
      <c r="AO32" s="19" t="n">
        <v>0</v>
      </c>
      <c r="AP32" s="19" t="n">
        <v>0</v>
      </c>
      <c r="AQ32" s="19" t="n">
        <v>0</v>
      </c>
      <c r="AR32" s="19" t="n">
        <v>0</v>
      </c>
      <c r="AS32" s="19" t="n">
        <v>0</v>
      </c>
      <c r="AT32" s="19" t="n">
        <v>0</v>
      </c>
      <c r="AU32" s="19" t="n">
        <v>0</v>
      </c>
      <c r="AV32" s="19" t="n">
        <v>0</v>
      </c>
      <c r="AW32" s="19" t="n">
        <v>0</v>
      </c>
      <c r="AX32" s="19" t="n">
        <v>0</v>
      </c>
      <c r="AY32" s="19" t="n">
        <v>0</v>
      </c>
      <c r="AZ32" s="19" t="n">
        <v>-36.41</v>
      </c>
      <c r="BA32" s="57" t="n">
        <v>-195.24</v>
      </c>
      <c r="BB32" s="20" t="n">
        <v>0</v>
      </c>
      <c r="BC32" s="5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累计成本</t>
        </is>
      </c>
      <c r="S33" s="30">
        <f>SUM(S30:S32)</f>
        <v/>
      </c>
      <c r="T33" s="30">
        <f>SUM(T30:T32)</f>
        <v/>
      </c>
      <c r="U33" s="31">
        <f>SUM(U30:U32)</f>
        <v/>
      </c>
      <c r="V33" s="30">
        <f>SUM(V30:V32)</f>
        <v/>
      </c>
      <c r="W33" s="30">
        <f>SUM(W30:W32)</f>
        <v/>
      </c>
      <c r="X33" s="30">
        <f>SUM(X30:X32)</f>
        <v/>
      </c>
      <c r="Y33" s="30">
        <f>SUM(Y30:Y32)</f>
        <v/>
      </c>
      <c r="Z33" s="30">
        <f>SUM(Z30:Z32)</f>
        <v/>
      </c>
      <c r="AA33" s="30">
        <f>SUM(AA30:AA32)</f>
        <v/>
      </c>
      <c r="AB33" s="30">
        <f>SUM(AB30:AB32)</f>
        <v/>
      </c>
      <c r="AC33" s="30">
        <f>SUM(AC30:AC32)</f>
        <v/>
      </c>
      <c r="AD33" s="30">
        <f>SUM(AD30:AD32)</f>
        <v/>
      </c>
      <c r="AE33" s="30">
        <f>SUM(AE30:AE32)</f>
        <v/>
      </c>
      <c r="AF33" s="30">
        <f>SUM(AF30:AF32)</f>
        <v/>
      </c>
      <c r="AG33" s="30">
        <f>SUM(AG30:AG32)</f>
        <v/>
      </c>
      <c r="AH33" s="30">
        <f>SUM(AH30:AH32)</f>
        <v/>
      </c>
      <c r="AI33" s="30">
        <f>SUM(AI30:AI32)</f>
        <v/>
      </c>
      <c r="AJ33" s="28" t="n"/>
      <c r="AK33" s="28" t="n"/>
      <c r="AL33" s="28" t="n"/>
      <c r="AM33" s="28" t="n"/>
      <c r="AN33" s="28" t="n"/>
      <c r="AO33" s="30">
        <f>SUM(AO30:AO32)</f>
        <v/>
      </c>
      <c r="AP33" s="30">
        <f>SUM(AP30:AP32)</f>
        <v/>
      </c>
      <c r="AQ33" s="30">
        <f>SUM(AQ30:AQ32)</f>
        <v/>
      </c>
      <c r="AR33" s="30">
        <f>SUM(AR30:AR32)</f>
        <v/>
      </c>
      <c r="AS33" s="30">
        <f>SUM(AS30:AS32)</f>
        <v/>
      </c>
      <c r="AT33" s="30">
        <f>SUM(AT30:AT32)</f>
        <v/>
      </c>
      <c r="AU33" s="30">
        <f>SUM(AU30:AU32)</f>
        <v/>
      </c>
      <c r="AV33" s="30">
        <f>SUM(AV30:AV32)</f>
        <v/>
      </c>
      <c r="AW33" s="30">
        <f>SUM(AW30:AW32)</f>
        <v/>
      </c>
      <c r="AX33" s="30">
        <f>SUM(AX30:AX32)</f>
        <v/>
      </c>
      <c r="AY33" s="30">
        <f>SUM(AY30:AY32)</f>
        <v/>
      </c>
      <c r="AZ33" s="30">
        <f>SUM(AZ30:AZ32)</f>
        <v/>
      </c>
      <c r="BA33" s="53" t="n">
        <v>154220.35</v>
      </c>
      <c r="BB33" s="31">
        <f>SUM(BB30:BB32)</f>
        <v/>
      </c>
      <c r="BC33" s="54">
        <f>SUM(BC30:BC32)</f>
        <v/>
      </c>
      <c r="BD33" s="32"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GP1毛利</t>
        </is>
      </c>
      <c r="S34" s="19">
        <f>S29-S30</f>
        <v/>
      </c>
      <c r="T34" s="19">
        <f>T29-T30</f>
        <v/>
      </c>
      <c r="U34" s="20">
        <f>U29-U30</f>
        <v/>
      </c>
      <c r="V34" s="19">
        <f>V29-V30</f>
        <v/>
      </c>
      <c r="W34" s="19">
        <f>W29-W30</f>
        <v/>
      </c>
      <c r="X34" s="19">
        <f>X29-X30</f>
        <v/>
      </c>
      <c r="Y34" s="19">
        <f>Y29-Y30</f>
        <v/>
      </c>
      <c r="Z34" s="19">
        <f>Z29-Z30</f>
        <v/>
      </c>
      <c r="AA34" s="19">
        <f>AA29-AA30</f>
        <v/>
      </c>
      <c r="AB34" s="19">
        <f>AB29-AB30</f>
        <v/>
      </c>
      <c r="AC34" s="19">
        <f>AC29-AC30</f>
        <v/>
      </c>
      <c r="AD34" s="19">
        <f>AD29-AD30</f>
        <v/>
      </c>
      <c r="AE34" s="19">
        <f>AE29-AE30</f>
        <v/>
      </c>
      <c r="AF34" s="19">
        <f>AF29-AF30</f>
        <v/>
      </c>
      <c r="AG34" s="19">
        <f>AG29-AG30</f>
        <v/>
      </c>
      <c r="AH34" s="33" t="n">
        <v>0</v>
      </c>
      <c r="AI34" s="33" t="n">
        <v>0</v>
      </c>
      <c r="AJ34" s="28" t="n"/>
      <c r="AK34" s="28" t="n"/>
      <c r="AL34" s="28" t="n"/>
      <c r="AM34" s="28" t="n"/>
      <c r="AN34" s="28" t="n"/>
      <c r="AO34" s="19">
        <f>AO29-AO30</f>
        <v/>
      </c>
      <c r="AP34" s="19">
        <f>AP29-AP30</f>
        <v/>
      </c>
      <c r="AQ34" s="19">
        <f>AQ29-AQ30</f>
        <v/>
      </c>
      <c r="AR34" s="19">
        <f>AR29-AR30</f>
        <v/>
      </c>
      <c r="AS34" s="19">
        <f>AS29-AS30</f>
        <v/>
      </c>
      <c r="AT34" s="19">
        <f>AT29-AT30</f>
        <v/>
      </c>
      <c r="AU34" s="19">
        <f>AU29-AU30</f>
        <v/>
      </c>
      <c r="AV34" s="19">
        <f>AV29-AV30</f>
        <v/>
      </c>
      <c r="AW34" s="19">
        <f>AW29-AW30</f>
        <v/>
      </c>
      <c r="AX34" s="19">
        <f>AX29-AX30</f>
        <v/>
      </c>
      <c r="AY34" s="19">
        <f>AY29-AY30</f>
        <v/>
      </c>
      <c r="AZ34" s="19">
        <f>AZ29-AZ30</f>
        <v/>
      </c>
      <c r="BA34" s="57" t="n">
        <v>-14432.64</v>
      </c>
      <c r="BB34" s="31" t="n">
        <v>0</v>
      </c>
      <c r="BC34" s="5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35" t="inlineStr">
        <is>
          <t>GP1毛利率(%)</t>
        </is>
      </c>
      <c r="S35" s="36">
        <f>S34/S29</f>
        <v/>
      </c>
      <c r="T35" s="36">
        <f>T34/T29</f>
        <v/>
      </c>
      <c r="U35" s="37">
        <f>U34/U29</f>
        <v/>
      </c>
      <c r="V35" s="36">
        <f>V34/V29</f>
        <v/>
      </c>
      <c r="W35" s="36">
        <f>W34/W29</f>
        <v/>
      </c>
      <c r="X35" s="36">
        <f>X34/X29</f>
        <v/>
      </c>
      <c r="Y35" s="36">
        <f>Y34/Y29</f>
        <v/>
      </c>
      <c r="Z35" s="36">
        <f>Z34/Z29</f>
        <v/>
      </c>
      <c r="AA35" s="36">
        <f>AA34/AA29</f>
        <v/>
      </c>
      <c r="AB35" s="36">
        <f>AB34/AB29</f>
        <v/>
      </c>
      <c r="AC35" s="36">
        <f>AC34/AC29</f>
        <v/>
      </c>
      <c r="AD35" s="36">
        <f>AD34/AD29</f>
        <v/>
      </c>
      <c r="AE35" s="36">
        <f>AE34/AE29</f>
        <v/>
      </c>
      <c r="AF35" s="36">
        <f>AF34/AF29</f>
        <v/>
      </c>
      <c r="AG35" s="36">
        <f>AG34/AG29</f>
        <v/>
      </c>
      <c r="AH35" s="38">
        <f>T35-S35</f>
        <v/>
      </c>
      <c r="AI35" s="38">
        <f>AF35-S35</f>
        <v/>
      </c>
      <c r="AJ35" s="28" t="n"/>
      <c r="AK35" s="28" t="n"/>
      <c r="AL35" s="28" t="n"/>
      <c r="AM35" s="28" t="n"/>
      <c r="AN35" s="28" t="n"/>
      <c r="AO35" s="36">
        <f>AO34/AO29</f>
        <v/>
      </c>
      <c r="AP35" s="36">
        <f>AP34/AP29</f>
        <v/>
      </c>
      <c r="AQ35" s="36">
        <f>AQ34/AQ29</f>
        <v/>
      </c>
      <c r="AR35" s="36">
        <f>AR34/AR29</f>
        <v/>
      </c>
      <c r="AS35" s="36">
        <f>AS34/AS29</f>
        <v/>
      </c>
      <c r="AT35" s="36">
        <f>AT34/AT29</f>
        <v/>
      </c>
      <c r="AU35" s="36">
        <f>AU34/AU29</f>
        <v/>
      </c>
      <c r="AV35" s="36">
        <f>AV34/AV29</f>
        <v/>
      </c>
      <c r="AW35" s="36">
        <f>AW34/AW29</f>
        <v/>
      </c>
      <c r="AX35" s="36">
        <f>AX34/AX29</f>
        <v/>
      </c>
      <c r="AY35" s="36">
        <f>AY34/AY29</f>
        <v/>
      </c>
      <c r="AZ35" s="36">
        <f>AZ34/AZ29</f>
        <v/>
      </c>
      <c r="BA35" s="56" t="n">
        <v>-0.103102842167564</v>
      </c>
      <c r="BB35" s="39" t="n">
        <v>0</v>
      </c>
      <c r="BC35" s="5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GP3毛利</t>
        </is>
      </c>
      <c r="S36" s="19">
        <f>S29-S30-S31-S32</f>
        <v/>
      </c>
      <c r="T36" s="19">
        <f>T29-T30-T31-T32</f>
        <v/>
      </c>
      <c r="U36" s="20">
        <f>U29-U30-U31-U32</f>
        <v/>
      </c>
      <c r="V36" s="19">
        <f>V29-V30-V31-V32</f>
        <v/>
      </c>
      <c r="W36" s="19">
        <f>W29-W30-W31-W32</f>
        <v/>
      </c>
      <c r="X36" s="19">
        <f>X29-X30-X31-X32</f>
        <v/>
      </c>
      <c r="Y36" s="19">
        <f>Y29-Y30-Y31-Y32</f>
        <v/>
      </c>
      <c r="Z36" s="19">
        <f>Z29-Z30-Z31-Z32</f>
        <v/>
      </c>
      <c r="AA36" s="19">
        <f>AA29-AA30-AA31-AA32</f>
        <v/>
      </c>
      <c r="AB36" s="19">
        <f>AB29-AB30-AB31-AB32</f>
        <v/>
      </c>
      <c r="AC36" s="19">
        <f>AC29-AC30-AC31-AC32</f>
        <v/>
      </c>
      <c r="AD36" s="19">
        <f>AD29-AD30-AD31-AD32</f>
        <v/>
      </c>
      <c r="AE36" s="19">
        <f>AE29-AE30-AE31-AE32</f>
        <v/>
      </c>
      <c r="AF36" s="19">
        <f>AF29-AF30-AF31-AF32</f>
        <v/>
      </c>
      <c r="AG36" s="19">
        <f>AG29-AG30-AG31-AG32</f>
        <v/>
      </c>
      <c r="AH36" s="38" t="n">
        <v>0</v>
      </c>
      <c r="AI36" s="38" t="n">
        <v>0</v>
      </c>
      <c r="AJ36" s="28" t="n"/>
      <c r="AK36" s="28" t="n"/>
      <c r="AL36" s="28" t="n"/>
      <c r="AM36" s="28" t="n"/>
      <c r="AN36" s="28" t="n"/>
      <c r="AO36" s="19">
        <f>AO29-AO30-AO31-AO32</f>
        <v/>
      </c>
      <c r="AP36" s="19">
        <f>AP29-AP30-AP31-AP32</f>
        <v/>
      </c>
      <c r="AQ36" s="19">
        <f>AQ29-AQ30-AQ31-AQ32</f>
        <v/>
      </c>
      <c r="AR36" s="19">
        <f>AR29-AR30-AR31-AR32</f>
        <v/>
      </c>
      <c r="AS36" s="19">
        <f>AS29-AS30-AS31-AS32</f>
        <v/>
      </c>
      <c r="AT36" s="19">
        <f>AT29-AT30-AT31-AT32</f>
        <v/>
      </c>
      <c r="AU36" s="19">
        <f>AU29-AU30-AU31-AU32</f>
        <v/>
      </c>
      <c r="AV36" s="19">
        <f>AV29-AV30-AV31-AV32</f>
        <v/>
      </c>
      <c r="AW36" s="19">
        <f>AW29-AW30-AW31-AW32</f>
        <v/>
      </c>
      <c r="AX36" s="19">
        <f>AX29-AX30-AX31-AX32</f>
        <v/>
      </c>
      <c r="AY36" s="19">
        <f>AY29-AY30-AY31-AY32</f>
        <v/>
      </c>
      <c r="AZ36" s="19">
        <f>AZ29-AZ30-AZ31-AZ32</f>
        <v/>
      </c>
      <c r="BA36" s="57" t="n">
        <v>-14237.4</v>
      </c>
      <c r="BB36" s="31" t="n">
        <v>0</v>
      </c>
      <c r="BC36" s="51" t="n">
        <v>0</v>
      </c>
      <c r="BD36" s="27" t="inlineStr"/>
    </row>
    <row r="37">
      <c r="A37" s="42" t="n"/>
      <c r="B37" s="42" t="n"/>
      <c r="C37" s="42" t="n"/>
      <c r="D37" s="42" t="n"/>
      <c r="E37" s="42" t="n"/>
      <c r="F37" s="42" t="n"/>
      <c r="G37" s="42" t="n"/>
      <c r="H37" s="42" t="n"/>
      <c r="I37" s="42" t="n"/>
      <c r="J37" s="42" t="n"/>
      <c r="K37" s="42" t="n"/>
      <c r="L37" s="42" t="n"/>
      <c r="M37" s="42" t="n"/>
      <c r="N37" s="42" t="n"/>
      <c r="O37" s="42" t="n"/>
      <c r="P37" s="42" t="n"/>
      <c r="Q37" s="42" t="n"/>
      <c r="R37" s="35" t="inlineStr">
        <is>
          <t>GP3毛利率(%)</t>
        </is>
      </c>
      <c r="S37" s="36">
        <f>S36/S29</f>
        <v/>
      </c>
      <c r="T37" s="36">
        <f>T36/T29</f>
        <v/>
      </c>
      <c r="U37" s="37">
        <f>U36/U29</f>
        <v/>
      </c>
      <c r="V37" s="36">
        <f>V36/V29</f>
        <v/>
      </c>
      <c r="W37" s="36">
        <f>W36/W29</f>
        <v/>
      </c>
      <c r="X37" s="36">
        <f>X36/X29</f>
        <v/>
      </c>
      <c r="Y37" s="36">
        <f>Y36/Y29</f>
        <v/>
      </c>
      <c r="Z37" s="36">
        <f>Z36/Z29</f>
        <v/>
      </c>
      <c r="AA37" s="36">
        <f>AA36/AA29</f>
        <v/>
      </c>
      <c r="AB37" s="36">
        <f>AB36/AB29</f>
        <v/>
      </c>
      <c r="AC37" s="36">
        <f>AC36/AC29</f>
        <v/>
      </c>
      <c r="AD37" s="36">
        <f>AD36/AD29</f>
        <v/>
      </c>
      <c r="AE37" s="36">
        <f>AE36/AE29</f>
        <v/>
      </c>
      <c r="AF37" s="36">
        <f>AF36/AF29</f>
        <v/>
      </c>
      <c r="AG37" s="36">
        <f>AG36/AG29</f>
        <v/>
      </c>
      <c r="AH37" s="38">
        <f>T37-S37</f>
        <v/>
      </c>
      <c r="AI37" s="38">
        <f>AF37-S37</f>
        <v/>
      </c>
      <c r="AJ37" s="42" t="n"/>
      <c r="AK37" s="42" t="n"/>
      <c r="AL37" s="42" t="n"/>
      <c r="AM37" s="42" t="n"/>
      <c r="AN37" s="42" t="n"/>
      <c r="AO37" s="36">
        <f>AO36/AO29</f>
        <v/>
      </c>
      <c r="AP37" s="36">
        <f>AP36/AP29</f>
        <v/>
      </c>
      <c r="AQ37" s="36">
        <f>AQ36/AQ29</f>
        <v/>
      </c>
      <c r="AR37" s="36">
        <f>AR36/AR29</f>
        <v/>
      </c>
      <c r="AS37" s="36">
        <f>AS36/AS29</f>
        <v/>
      </c>
      <c r="AT37" s="36">
        <f>AT36/AT29</f>
        <v/>
      </c>
      <c r="AU37" s="36">
        <f>AU36/AU29</f>
        <v/>
      </c>
      <c r="AV37" s="36">
        <f>AV36/AV29</f>
        <v/>
      </c>
      <c r="AW37" s="36">
        <f>AW36/AW29</f>
        <v/>
      </c>
      <c r="AX37" s="36">
        <f>AX36/AX29</f>
        <v/>
      </c>
      <c r="AY37" s="36">
        <f>AY36/AY29</f>
        <v/>
      </c>
      <c r="AZ37" s="36">
        <f>AZ36/AZ29</f>
        <v/>
      </c>
      <c r="BA37" s="56" t="n">
        <v>-0.101708100879428</v>
      </c>
      <c r="BB37" s="39" t="n">
        <v>0</v>
      </c>
      <c r="BC37" s="51" t="n">
        <v>0</v>
      </c>
      <c r="BD37" s="27" t="inlineStr"/>
    </row>
    <row r="38">
      <c r="A38" s="43" t="inlineStr">
        <is>
          <t>P202507000656</t>
        </is>
      </c>
      <c r="B38" s="44" t="inlineStr">
        <is>
          <t>全国畜牧总站-畜牧核心数据查询APP开发-FP项目</t>
        </is>
      </c>
      <c r="C38" s="45" t="n">
        <v>45839</v>
      </c>
      <c r="D38" s="45" t="n">
        <v>46203</v>
      </c>
      <c r="E38" s="15" t="n"/>
      <c r="F38" s="15" t="n">
        <v>0</v>
      </c>
      <c r="G38" s="17" t="n"/>
      <c r="H38" s="17" t="n"/>
      <c r="I38" s="17" t="n"/>
      <c r="J38" s="17" t="n"/>
      <c r="K38" s="17" t="n"/>
      <c r="L38" s="17" t="n"/>
      <c r="M38" s="17" t="n"/>
      <c r="N38" s="17" t="n"/>
      <c r="O38" s="17" t="n"/>
      <c r="P38" s="17" t="n"/>
      <c r="Q38" s="17" t="inlineStr"/>
      <c r="R38" s="48" t="inlineStr">
        <is>
          <t>累计收入（NR）</t>
        </is>
      </c>
      <c r="S38" s="19" t="n">
        <v>188679.25</v>
      </c>
      <c r="T38" s="19">
        <f>SUM(AO38:BC38)</f>
        <v/>
      </c>
      <c r="U38" s="20">
        <f>SUM(BA38:BC38)</f>
        <v/>
      </c>
      <c r="V38" s="19">
        <f>SUM(AO38:AZ38)</f>
        <v/>
      </c>
      <c r="W38" s="19">
        <f>SUM(AP38:AZ38)</f>
        <v/>
      </c>
      <c r="X38" s="19">
        <f>SUM(AQ38:AZ38)</f>
        <v/>
      </c>
      <c r="Y38" s="19">
        <f>SUM(AR38:AZ38)</f>
        <v/>
      </c>
      <c r="Z38" s="19">
        <f>SUM(AS38:AZ38)</f>
        <v/>
      </c>
      <c r="AA38" s="19">
        <f>SUM(AT38:AZ38)</f>
        <v/>
      </c>
      <c r="AB38" s="19">
        <f>SUM(AU38:AZ38)</f>
        <v/>
      </c>
      <c r="AC38" s="19">
        <f>SUM(AV38:AZ38)</f>
        <v/>
      </c>
      <c r="AD38" s="19">
        <f>SUM(AW38:AZ38)</f>
        <v/>
      </c>
      <c r="AE38" s="19">
        <f>SUM(AX38:AZ38)</f>
        <v/>
      </c>
      <c r="AF38" s="19">
        <f>SUM(AY38:AZ38)</f>
        <v/>
      </c>
      <c r="AG38" s="19">
        <f>SUM(AZ38:AZ38)</f>
        <v/>
      </c>
      <c r="AH38" s="21" t="n">
        <v>0</v>
      </c>
      <c r="AI38" s="21" t="n">
        <v>0</v>
      </c>
      <c r="AJ38" s="44" t="inlineStr"/>
      <c r="AK38" s="49" t="inlineStr">
        <is>
          <t>项目已于12月中旬上线了并验收回款，后面不再投入。已投入成本超出预算2W，预计全周期GP3%毛利率7.55%</t>
        </is>
      </c>
      <c r="AL38" s="49" t="inlineStr">
        <is>
          <t>后续不再投入人力，随着交付进度提升毛利率</t>
        </is>
      </c>
      <c r="AM38" s="49" t="inlineStr"/>
      <c r="AN38" s="60" t="n"/>
      <c r="AO38" s="19" t="n">
        <v>0</v>
      </c>
      <c r="AP38" s="19" t="n">
        <v>0</v>
      </c>
      <c r="AQ38" s="19" t="n">
        <v>0</v>
      </c>
      <c r="AR38" s="19" t="n">
        <v>0</v>
      </c>
      <c r="AS38" s="19" t="n">
        <v>0</v>
      </c>
      <c r="AT38" s="19" t="n">
        <v>0</v>
      </c>
      <c r="AU38" s="19" t="n">
        <v>0</v>
      </c>
      <c r="AV38" s="19" t="n">
        <v>0</v>
      </c>
      <c r="AW38" s="19" t="n">
        <v>0</v>
      </c>
      <c r="AX38" s="19" t="n">
        <v>0</v>
      </c>
      <c r="AY38" s="19" t="n">
        <v>8055.28</v>
      </c>
      <c r="AZ38" s="19" t="n">
        <v>7201.51</v>
      </c>
      <c r="BA38" s="50" t="n">
        <v>127263.98</v>
      </c>
      <c r="BB38" s="20" t="n">
        <v>0</v>
      </c>
      <c r="BC38" s="6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29" t="inlineStr">
        <is>
          <t>人工成本（成本１）</t>
        </is>
      </c>
      <c r="S39" s="19" t="n">
        <v>154705.8</v>
      </c>
      <c r="T39" s="19">
        <f>SUM(AO39:BC39)</f>
        <v/>
      </c>
      <c r="U39" s="20">
        <f>SUM(BA39:BC39)</f>
        <v/>
      </c>
      <c r="V39" s="19">
        <f>SUM(AO39:AZ39)</f>
        <v/>
      </c>
      <c r="W39" s="19">
        <f>SUM(AP39:AZ39)</f>
        <v/>
      </c>
      <c r="X39" s="19">
        <f>SUM(AQ39:AZ39)</f>
        <v/>
      </c>
      <c r="Y39" s="19">
        <f>SUM(AR39:AZ39)</f>
        <v/>
      </c>
      <c r="Z39" s="19">
        <f>SUM(AS39:AZ39)</f>
        <v/>
      </c>
      <c r="AA39" s="19">
        <f>SUM(AT39:AZ39)</f>
        <v/>
      </c>
      <c r="AB39" s="19">
        <f>SUM(AU39:AZ39)</f>
        <v/>
      </c>
      <c r="AC39" s="19">
        <f>SUM(AV39:AZ39)</f>
        <v/>
      </c>
      <c r="AD39" s="19">
        <f>SUM(AW39:AZ39)</f>
        <v/>
      </c>
      <c r="AE39" s="19">
        <f>SUM(AX39:AZ39)</f>
        <v/>
      </c>
      <c r="AF39" s="19">
        <f>SUM(AY39:AZ39)</f>
        <v/>
      </c>
      <c r="AG39" s="19">
        <f>SUM(AZ39:AZ39)</f>
        <v/>
      </c>
      <c r="AH39" s="21" t="n">
        <v>0</v>
      </c>
      <c r="AI39" s="21" t="n">
        <v>0</v>
      </c>
      <c r="AJ39" s="28" t="n"/>
      <c r="AK39" s="28" t="n"/>
      <c r="AL39" s="28" t="n"/>
      <c r="AM39" s="28" t="n"/>
      <c r="AN39" s="28" t="n"/>
      <c r="AO39" s="19" t="n">
        <v>0</v>
      </c>
      <c r="AP39" s="19" t="n">
        <v>0</v>
      </c>
      <c r="AQ39" s="19" t="n">
        <v>0</v>
      </c>
      <c r="AR39" s="19" t="n">
        <v>0</v>
      </c>
      <c r="AS39" s="19" t="n">
        <v>0</v>
      </c>
      <c r="AT39" s="19" t="n">
        <v>0</v>
      </c>
      <c r="AU39" s="19" t="n">
        <v>0</v>
      </c>
      <c r="AV39" s="19" t="n">
        <v>0</v>
      </c>
      <c r="AW39" s="19" t="n">
        <v>0</v>
      </c>
      <c r="AX39" s="19" t="n">
        <v>0</v>
      </c>
      <c r="AY39" s="19" t="n">
        <v>0</v>
      </c>
      <c r="AZ39" s="19" t="n">
        <v>0</v>
      </c>
      <c r="BA39" s="50" t="n">
        <v>174002.79</v>
      </c>
      <c r="BB39" s="20" t="n">
        <v>0</v>
      </c>
      <c r="BC39" s="6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差旅费（成本３）</t>
        </is>
      </c>
      <c r="S40" s="19" t="n">
        <v>0</v>
      </c>
      <c r="T40" s="19">
        <f>SUM(AO40:BC40)</f>
        <v/>
      </c>
      <c r="U40" s="20">
        <f>SUM(BA40:BC40)</f>
        <v/>
      </c>
      <c r="V40" s="19">
        <f>SUM(AO40:AZ40)</f>
        <v/>
      </c>
      <c r="W40" s="19">
        <f>SUM(AP40:AZ40)</f>
        <v/>
      </c>
      <c r="X40" s="19">
        <f>SUM(AQ40:AZ40)</f>
        <v/>
      </c>
      <c r="Y40" s="19">
        <f>SUM(AR40:AZ40)</f>
        <v/>
      </c>
      <c r="Z40" s="19">
        <f>SUM(AS40:AZ40)</f>
        <v/>
      </c>
      <c r="AA40" s="19">
        <f>SUM(AT40:AZ40)</f>
        <v/>
      </c>
      <c r="AB40" s="19">
        <f>SUM(AU40:AZ40)</f>
        <v/>
      </c>
      <c r="AC40" s="19">
        <f>SUM(AV40:AZ40)</f>
        <v/>
      </c>
      <c r="AD40" s="19">
        <f>SUM(AW40:AZ40)</f>
        <v/>
      </c>
      <c r="AE40" s="19">
        <f>SUM(AX40:AZ40)</f>
        <v/>
      </c>
      <c r="AF40" s="19">
        <f>SUM(AY40:AZ40)</f>
        <v/>
      </c>
      <c r="AG40" s="19">
        <f>SUM(AZ40:AZ40)</f>
        <v/>
      </c>
      <c r="AH40" s="21" t="n">
        <v>0</v>
      </c>
      <c r="AI40" s="21" t="n">
        <v>0</v>
      </c>
      <c r="AJ40" s="28" t="n"/>
      <c r="AK40" s="28" t="n"/>
      <c r="AL40" s="28" t="n"/>
      <c r="AM40" s="28" t="n"/>
      <c r="AN40" s="28" t="n"/>
      <c r="AO40" s="19" t="n">
        <v>0</v>
      </c>
      <c r="AP40" s="19" t="n">
        <v>0</v>
      </c>
      <c r="AQ40" s="19" t="n">
        <v>0</v>
      </c>
      <c r="AR40" s="19" t="n">
        <v>0</v>
      </c>
      <c r="AS40" s="19" t="n">
        <v>0</v>
      </c>
      <c r="AT40" s="19" t="n">
        <v>0</v>
      </c>
      <c r="AU40" s="19" t="n">
        <v>0</v>
      </c>
      <c r="AV40" s="19" t="n">
        <v>0</v>
      </c>
      <c r="AW40" s="19" t="n">
        <v>0</v>
      </c>
      <c r="AX40" s="19" t="n">
        <v>0</v>
      </c>
      <c r="AY40" s="19" t="n">
        <v>0</v>
      </c>
      <c r="AZ40" s="19" t="n">
        <v>0</v>
      </c>
      <c r="BA40" s="50" t="n">
        <v>0</v>
      </c>
      <c r="BB40" s="20" t="n">
        <v>0</v>
      </c>
      <c r="BC40" s="61" t="n">
        <v>0</v>
      </c>
      <c r="BD40" s="27" t="inlineStr"/>
    </row>
    <row r="41">
      <c r="A41" s="28" t="n"/>
      <c r="B41" s="28" t="n"/>
      <c r="C41" s="28" t="n"/>
      <c r="D41" s="28" t="n"/>
      <c r="E41" s="28" t="n"/>
      <c r="F41" s="28" t="n"/>
      <c r="G41" s="28" t="n"/>
      <c r="H41" s="28" t="n"/>
      <c r="I41" s="28" t="n"/>
      <c r="J41" s="28" t="n"/>
      <c r="K41" s="28" t="n"/>
      <c r="L41" s="28" t="n"/>
      <c r="M41" s="28" t="n"/>
      <c r="N41" s="28" t="n"/>
      <c r="O41" s="28" t="n"/>
      <c r="P41" s="28" t="n"/>
      <c r="Q41" s="28" t="n"/>
      <c r="R41" s="29" t="inlineStr">
        <is>
          <t>其他成本（成本３）</t>
        </is>
      </c>
      <c r="S41" s="19" t="n">
        <v>0</v>
      </c>
      <c r="T41" s="19">
        <f>SUM(AO41:BC41)</f>
        <v/>
      </c>
      <c r="U41" s="20">
        <f>SUM(BA41:BC41)</f>
        <v/>
      </c>
      <c r="V41" s="19">
        <f>SUM(AO41:AZ41)</f>
        <v/>
      </c>
      <c r="W41" s="19">
        <f>SUM(AP41:AZ41)</f>
        <v/>
      </c>
      <c r="X41" s="19">
        <f>SUM(AQ41:AZ41)</f>
        <v/>
      </c>
      <c r="Y41" s="19">
        <f>SUM(AR41:AZ41)</f>
        <v/>
      </c>
      <c r="Z41" s="19">
        <f>SUM(AS41:AZ41)</f>
        <v/>
      </c>
      <c r="AA41" s="19">
        <f>SUM(AT41:AZ41)</f>
        <v/>
      </c>
      <c r="AB41" s="19">
        <f>SUM(AU41:AZ41)</f>
        <v/>
      </c>
      <c r="AC41" s="19">
        <f>SUM(AV41:AZ41)</f>
        <v/>
      </c>
      <c r="AD41" s="19">
        <f>SUM(AW41:AZ41)</f>
        <v/>
      </c>
      <c r="AE41" s="19">
        <f>SUM(AX41:AZ41)</f>
        <v/>
      </c>
      <c r="AF41" s="19">
        <f>SUM(AY41:AZ41)</f>
        <v/>
      </c>
      <c r="AG41" s="19">
        <f>SUM(AZ41:AZ41)</f>
        <v/>
      </c>
      <c r="AH41" s="21" t="n">
        <v>0</v>
      </c>
      <c r="AI41" s="21" t="n">
        <v>0</v>
      </c>
      <c r="AJ41" s="28" t="n"/>
      <c r="AK41" s="28" t="n"/>
      <c r="AL41" s="28" t="n"/>
      <c r="AM41" s="28" t="n"/>
      <c r="AN41" s="28" t="n"/>
      <c r="AO41" s="19" t="n">
        <v>0</v>
      </c>
      <c r="AP41" s="19" t="n">
        <v>0</v>
      </c>
      <c r="AQ41" s="19" t="n">
        <v>0</v>
      </c>
      <c r="AR41" s="19" t="n">
        <v>0</v>
      </c>
      <c r="AS41" s="19" t="n">
        <v>0</v>
      </c>
      <c r="AT41" s="19" t="n">
        <v>0</v>
      </c>
      <c r="AU41" s="19" t="n">
        <v>0</v>
      </c>
      <c r="AV41" s="19" t="n">
        <v>0</v>
      </c>
      <c r="AW41" s="19" t="n">
        <v>0</v>
      </c>
      <c r="AX41" s="19" t="n">
        <v>0</v>
      </c>
      <c r="AY41" s="19" t="n">
        <v>-44.74</v>
      </c>
      <c r="AZ41" s="19" t="n">
        <v>-52.8</v>
      </c>
      <c r="BA41" s="50" t="n">
        <v>374.87</v>
      </c>
      <c r="BB41" s="20" t="n">
        <v>0</v>
      </c>
      <c r="BC41" s="61" t="n">
        <v>0</v>
      </c>
      <c r="BD41" s="27" t="inlineStr"/>
    </row>
    <row r="42">
      <c r="A42" s="28" t="n"/>
      <c r="B42" s="28" t="n"/>
      <c r="C42" s="28" t="n"/>
      <c r="D42" s="28" t="n"/>
      <c r="E42" s="28" t="n"/>
      <c r="F42" s="28" t="n"/>
      <c r="G42" s="28" t="n"/>
      <c r="H42" s="28" t="n"/>
      <c r="I42" s="28" t="n"/>
      <c r="J42" s="28" t="n"/>
      <c r="K42" s="28" t="n"/>
      <c r="L42" s="28" t="n"/>
      <c r="M42" s="28" t="n"/>
      <c r="N42" s="28" t="n"/>
      <c r="O42" s="28" t="n"/>
      <c r="P42" s="28" t="n"/>
      <c r="Q42" s="28" t="n"/>
      <c r="R42" s="29" t="inlineStr">
        <is>
          <t>累计成本</t>
        </is>
      </c>
      <c r="S42" s="30">
        <f>SUM(S39:S41)</f>
        <v/>
      </c>
      <c r="T42" s="30">
        <f>SUM(T39:T41)</f>
        <v/>
      </c>
      <c r="U42" s="31">
        <f>SUM(U39:U41)</f>
        <v/>
      </c>
      <c r="V42" s="30">
        <f>SUM(V39:V41)</f>
        <v/>
      </c>
      <c r="W42" s="30">
        <f>SUM(W39:W41)</f>
        <v/>
      </c>
      <c r="X42" s="30">
        <f>SUM(X39:X41)</f>
        <v/>
      </c>
      <c r="Y42" s="30">
        <f>SUM(Y39:Y41)</f>
        <v/>
      </c>
      <c r="Z42" s="30">
        <f>SUM(Z39:Z41)</f>
        <v/>
      </c>
      <c r="AA42" s="30">
        <f>SUM(AA39:AA41)</f>
        <v/>
      </c>
      <c r="AB42" s="30">
        <f>SUM(AB39:AB41)</f>
        <v/>
      </c>
      <c r="AC42" s="30">
        <f>SUM(AC39:AC41)</f>
        <v/>
      </c>
      <c r="AD42" s="30">
        <f>SUM(AD39:AD41)</f>
        <v/>
      </c>
      <c r="AE42" s="30">
        <f>SUM(AE39:AE41)</f>
        <v/>
      </c>
      <c r="AF42" s="30">
        <f>SUM(AF39:AF41)</f>
        <v/>
      </c>
      <c r="AG42" s="30">
        <f>SUM(AG39:AG41)</f>
        <v/>
      </c>
      <c r="AH42" s="30">
        <f>SUM(AH39:AH41)</f>
        <v/>
      </c>
      <c r="AI42" s="30">
        <f>SUM(AI39:AI41)</f>
        <v/>
      </c>
      <c r="AJ42" s="28" t="n"/>
      <c r="AK42" s="28" t="n"/>
      <c r="AL42" s="28" t="n"/>
      <c r="AM42" s="28" t="n"/>
      <c r="AN42" s="28" t="n"/>
      <c r="AO42" s="30">
        <f>SUM(AO39:AO41)</f>
        <v/>
      </c>
      <c r="AP42" s="30">
        <f>SUM(AP39:AP41)</f>
        <v/>
      </c>
      <c r="AQ42" s="30">
        <f>SUM(AQ39:AQ41)</f>
        <v/>
      </c>
      <c r="AR42" s="30">
        <f>SUM(AR39:AR41)</f>
        <v/>
      </c>
      <c r="AS42" s="30">
        <f>SUM(AS39:AS41)</f>
        <v/>
      </c>
      <c r="AT42" s="30">
        <f>SUM(AT39:AT41)</f>
        <v/>
      </c>
      <c r="AU42" s="30">
        <f>SUM(AU39:AU41)</f>
        <v/>
      </c>
      <c r="AV42" s="30">
        <f>SUM(AV39:AV41)</f>
        <v/>
      </c>
      <c r="AW42" s="30">
        <f>SUM(AW39:AW41)</f>
        <v/>
      </c>
      <c r="AX42" s="30">
        <f>SUM(AX39:AX41)</f>
        <v/>
      </c>
      <c r="AY42" s="30">
        <f>SUM(AY39:AY41)</f>
        <v/>
      </c>
      <c r="AZ42" s="30">
        <f>SUM(AZ39:AZ41)</f>
        <v/>
      </c>
      <c r="BA42" s="53" t="n">
        <v>174377.66</v>
      </c>
      <c r="BB42" s="31">
        <f>SUM(BB39:BB41)</f>
        <v/>
      </c>
      <c r="BC42" s="54">
        <f>SUM(BC39:BC41)</f>
        <v/>
      </c>
      <c r="BD42" s="32"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GP1毛利</t>
        </is>
      </c>
      <c r="S43" s="30">
        <f>S38-S39</f>
        <v/>
      </c>
      <c r="T43" s="19">
        <f>T38-T39</f>
        <v/>
      </c>
      <c r="U43" s="20">
        <f>U38-U39</f>
        <v/>
      </c>
      <c r="V43" s="19">
        <f>V38-V39</f>
        <v/>
      </c>
      <c r="W43" s="19">
        <f>W38-W39</f>
        <v/>
      </c>
      <c r="X43" s="19">
        <f>X38-X39</f>
        <v/>
      </c>
      <c r="Y43" s="19">
        <f>Y38-Y39</f>
        <v/>
      </c>
      <c r="Z43" s="19">
        <f>Z38-Z39</f>
        <v/>
      </c>
      <c r="AA43" s="19">
        <f>AA38-AA39</f>
        <v/>
      </c>
      <c r="AB43" s="19">
        <f>AB38-AB39</f>
        <v/>
      </c>
      <c r="AC43" s="19">
        <f>AC38-AC39</f>
        <v/>
      </c>
      <c r="AD43" s="19">
        <f>AD38-AD39</f>
        <v/>
      </c>
      <c r="AE43" s="19">
        <f>AE38-AE39</f>
        <v/>
      </c>
      <c r="AF43" s="19">
        <f>AF38-AF39</f>
        <v/>
      </c>
      <c r="AG43" s="19">
        <f>AG38-AG39</f>
        <v/>
      </c>
      <c r="AH43" s="33" t="n">
        <v>0</v>
      </c>
      <c r="AI43" s="33" t="n">
        <v>0</v>
      </c>
      <c r="AJ43" s="28" t="n"/>
      <c r="AK43" s="28" t="n"/>
      <c r="AL43" s="28" t="n"/>
      <c r="AM43" s="28" t="n"/>
      <c r="AN43" s="28" t="n"/>
      <c r="AO43" s="19">
        <f>AO38-AO39</f>
        <v/>
      </c>
      <c r="AP43" s="19">
        <f>AP38-AP39</f>
        <v/>
      </c>
      <c r="AQ43" s="19">
        <f>AQ38-AQ39</f>
        <v/>
      </c>
      <c r="AR43" s="19">
        <f>AR38-AR39</f>
        <v/>
      </c>
      <c r="AS43" s="19">
        <f>AS38-AS39</f>
        <v/>
      </c>
      <c r="AT43" s="19">
        <f>AT38-AT39</f>
        <v/>
      </c>
      <c r="AU43" s="19">
        <f>AU38-AU39</f>
        <v/>
      </c>
      <c r="AV43" s="19">
        <f>AV38-AV39</f>
        <v/>
      </c>
      <c r="AW43" s="19">
        <f>AW38-AW39</f>
        <v/>
      </c>
      <c r="AX43" s="19">
        <f>AX38-AX39</f>
        <v/>
      </c>
      <c r="AY43" s="19">
        <f>AY38-AY39</f>
        <v/>
      </c>
      <c r="AZ43" s="19">
        <f>AZ38-AZ39</f>
        <v/>
      </c>
      <c r="BA43" s="55" t="n">
        <v>-46738.81</v>
      </c>
      <c r="BB43" s="31" t="n">
        <v>0</v>
      </c>
      <c r="BC43" s="61"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35" t="inlineStr">
        <is>
          <t>GP1毛利率(%)</t>
        </is>
      </c>
      <c r="S44" s="62">
        <f>S43/S38</f>
        <v/>
      </c>
      <c r="T44" s="36">
        <f>T43/T38</f>
        <v/>
      </c>
      <c r="U44" s="37">
        <f>U43/U38</f>
        <v/>
      </c>
      <c r="V44" s="36">
        <f>V43/V38</f>
        <v/>
      </c>
      <c r="W44" s="36">
        <f>W43/W38</f>
        <v/>
      </c>
      <c r="X44" s="36">
        <f>X43/X38</f>
        <v/>
      </c>
      <c r="Y44" s="36">
        <f>Y43/Y38</f>
        <v/>
      </c>
      <c r="Z44" s="36">
        <f>Z43/Z38</f>
        <v/>
      </c>
      <c r="AA44" s="36">
        <f>AA43/AA38</f>
        <v/>
      </c>
      <c r="AB44" s="36">
        <f>AB43/AB38</f>
        <v/>
      </c>
      <c r="AC44" s="36">
        <f>AC43/AC38</f>
        <v/>
      </c>
      <c r="AD44" s="36">
        <f>AD43/AD38</f>
        <v/>
      </c>
      <c r="AE44" s="36">
        <f>AE43/AE38</f>
        <v/>
      </c>
      <c r="AF44" s="36">
        <f>AF43/AF38</f>
        <v/>
      </c>
      <c r="AG44" s="36">
        <f>AG43/AG38</f>
        <v/>
      </c>
      <c r="AH44" s="38">
        <f>T44-S44</f>
        <v/>
      </c>
      <c r="AI44" s="38">
        <f>AF44-S44</f>
        <v/>
      </c>
      <c r="AJ44" s="28" t="n"/>
      <c r="AK44" s="28" t="n"/>
      <c r="AL44" s="28" t="n"/>
      <c r="AM44" s="28" t="n"/>
      <c r="AN44" s="28" t="n"/>
      <c r="AO44" s="36">
        <f>AO43/AO38</f>
        <v/>
      </c>
      <c r="AP44" s="36">
        <f>AP43/AP38</f>
        <v/>
      </c>
      <c r="AQ44" s="36">
        <f>AQ43/AQ38</f>
        <v/>
      </c>
      <c r="AR44" s="36">
        <f>AR43/AR38</f>
        <v/>
      </c>
      <c r="AS44" s="36">
        <f>AS43/AS38</f>
        <v/>
      </c>
      <c r="AT44" s="36">
        <f>AT43/AT38</f>
        <v/>
      </c>
      <c r="AU44" s="36">
        <f>AU43/AU38</f>
        <v/>
      </c>
      <c r="AV44" s="36">
        <f>AV43/AV38</f>
        <v/>
      </c>
      <c r="AW44" s="36">
        <f>AW43/AW38</f>
        <v/>
      </c>
      <c r="AX44" s="36">
        <f>AX43/AX38</f>
        <v/>
      </c>
      <c r="AY44" s="36">
        <f>AY43/AY38</f>
        <v/>
      </c>
      <c r="AZ44" s="36">
        <f>AZ43/AZ38</f>
        <v/>
      </c>
      <c r="BA44" s="56" t="n">
        <v>-0.367258748311973</v>
      </c>
      <c r="BB44" s="39" t="n">
        <v>0</v>
      </c>
      <c r="BC44" s="61"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GP3毛利</t>
        </is>
      </c>
      <c r="S45" s="30">
        <f>S38-S39-S40-S41</f>
        <v/>
      </c>
      <c r="T45" s="19">
        <f>T38-T39-T40-T41</f>
        <v/>
      </c>
      <c r="U45" s="20">
        <f>U38-U39-U40-U41</f>
        <v/>
      </c>
      <c r="V45" s="19">
        <f>V38-V39-V40-V41</f>
        <v/>
      </c>
      <c r="W45" s="19">
        <f>W38-W39-W40-W41</f>
        <v/>
      </c>
      <c r="X45" s="19">
        <f>X38-X39-X40-X41</f>
        <v/>
      </c>
      <c r="Y45" s="19">
        <f>Y38-Y39-Y40-Y41</f>
        <v/>
      </c>
      <c r="Z45" s="19">
        <f>Z38-Z39-Z40-Z41</f>
        <v/>
      </c>
      <c r="AA45" s="19">
        <f>AA38-AA39-AA40-AA41</f>
        <v/>
      </c>
      <c r="AB45" s="19">
        <f>AB38-AB39-AB40-AB41</f>
        <v/>
      </c>
      <c r="AC45" s="19">
        <f>AC38-AC39-AC40-AC41</f>
        <v/>
      </c>
      <c r="AD45" s="19">
        <f>AD38-AD39-AD40-AD41</f>
        <v/>
      </c>
      <c r="AE45" s="19">
        <f>AE38-AE39-AE40-AE41</f>
        <v/>
      </c>
      <c r="AF45" s="19">
        <f>AF38-AF39-AF40-AF41</f>
        <v/>
      </c>
      <c r="AG45" s="19">
        <f>AG38-AG39-AG40-AG41</f>
        <v/>
      </c>
      <c r="AH45" s="38" t="n">
        <v>0</v>
      </c>
      <c r="AI45" s="38" t="n">
        <v>0</v>
      </c>
      <c r="AJ45" s="28" t="n"/>
      <c r="AK45" s="28" t="n"/>
      <c r="AL45" s="28" t="n"/>
      <c r="AM45" s="28" t="n"/>
      <c r="AN45" s="28" t="n"/>
      <c r="AO45" s="19">
        <f>AO38-AO39-AO40-AO41</f>
        <v/>
      </c>
      <c r="AP45" s="19">
        <f>AP38-AP39-AP40-AP41</f>
        <v/>
      </c>
      <c r="AQ45" s="19">
        <f>AQ38-AQ39-AQ40-AQ41</f>
        <v/>
      </c>
      <c r="AR45" s="19">
        <f>AR38-AR39-AR40-AR41</f>
        <v/>
      </c>
      <c r="AS45" s="19">
        <f>AS38-AS39-AS40-AS41</f>
        <v/>
      </c>
      <c r="AT45" s="19">
        <f>AT38-AT39-AT40-AT41</f>
        <v/>
      </c>
      <c r="AU45" s="19">
        <f>AU38-AU39-AU40-AU41</f>
        <v/>
      </c>
      <c r="AV45" s="19">
        <f>AV38-AV39-AV40-AV41</f>
        <v/>
      </c>
      <c r="AW45" s="19">
        <f>AW38-AW39-AW40-AW41</f>
        <v/>
      </c>
      <c r="AX45" s="19">
        <f>AX38-AX39-AX40-AX41</f>
        <v/>
      </c>
      <c r="AY45" s="19">
        <f>AY38-AY39-AY40-AY41</f>
        <v/>
      </c>
      <c r="AZ45" s="19">
        <f>AZ38-AZ39-AZ40-AZ41</f>
        <v/>
      </c>
      <c r="BA45" s="57" t="n">
        <v>-47113.68</v>
      </c>
      <c r="BB45" s="31" t="n">
        <v>0</v>
      </c>
      <c r="BC45" s="61" t="n">
        <v>0</v>
      </c>
      <c r="BD45" s="27" t="inlineStr"/>
    </row>
    <row r="46">
      <c r="A46" s="42" t="n"/>
      <c r="B46" s="42" t="n"/>
      <c r="C46" s="42" t="n"/>
      <c r="D46" s="42" t="n"/>
      <c r="E46" s="42" t="n"/>
      <c r="F46" s="42" t="n"/>
      <c r="G46" s="42" t="n"/>
      <c r="H46" s="42" t="n"/>
      <c r="I46" s="42" t="n"/>
      <c r="J46" s="42" t="n"/>
      <c r="K46" s="42" t="n"/>
      <c r="L46" s="42" t="n"/>
      <c r="M46" s="42" t="n"/>
      <c r="N46" s="42" t="n"/>
      <c r="O46" s="42" t="n"/>
      <c r="P46" s="42" t="n"/>
      <c r="Q46" s="42" t="n"/>
      <c r="R46" s="35" t="inlineStr">
        <is>
          <t>GP3毛利率(%)</t>
        </is>
      </c>
      <c r="S46" s="62">
        <f>S45/S38</f>
        <v/>
      </c>
      <c r="T46" s="36">
        <f>T45/T38</f>
        <v/>
      </c>
      <c r="U46" s="37">
        <f>U45/U38</f>
        <v/>
      </c>
      <c r="V46" s="36">
        <f>V45/V38</f>
        <v/>
      </c>
      <c r="W46" s="36">
        <f>W45/W38</f>
        <v/>
      </c>
      <c r="X46" s="36">
        <f>X45/X38</f>
        <v/>
      </c>
      <c r="Y46" s="36">
        <f>Y45/Y38</f>
        <v/>
      </c>
      <c r="Z46" s="36">
        <f>Z45/Z38</f>
        <v/>
      </c>
      <c r="AA46" s="36">
        <f>AA45/AA38</f>
        <v/>
      </c>
      <c r="AB46" s="36">
        <f>AB45/AB38</f>
        <v/>
      </c>
      <c r="AC46" s="36">
        <f>AC45/AC38</f>
        <v/>
      </c>
      <c r="AD46" s="36">
        <f>AD45/AD38</f>
        <v/>
      </c>
      <c r="AE46" s="36">
        <f>AE45/AE38</f>
        <v/>
      </c>
      <c r="AF46" s="36">
        <f>AF45/AF38</f>
        <v/>
      </c>
      <c r="AG46" s="36">
        <f>AG45/AG38</f>
        <v/>
      </c>
      <c r="AH46" s="38">
        <f>T46-S46</f>
        <v/>
      </c>
      <c r="AI46" s="38">
        <f>AF46-S46</f>
        <v/>
      </c>
      <c r="AJ46" s="42" t="n"/>
      <c r="AK46" s="42" t="n"/>
      <c r="AL46" s="42" t="n"/>
      <c r="AM46" s="42" t="n"/>
      <c r="AN46" s="42" t="n"/>
      <c r="AO46" s="36">
        <f>AO45/AO38</f>
        <v/>
      </c>
      <c r="AP46" s="36">
        <f>AP45/AP38</f>
        <v/>
      </c>
      <c r="AQ46" s="36">
        <f>AQ45/AQ38</f>
        <v/>
      </c>
      <c r="AR46" s="36">
        <f>AR45/AR38</f>
        <v/>
      </c>
      <c r="AS46" s="36">
        <f>AS45/AS38</f>
        <v/>
      </c>
      <c r="AT46" s="36">
        <f>AT45/AT38</f>
        <v/>
      </c>
      <c r="AU46" s="36">
        <f>AU45/AU38</f>
        <v/>
      </c>
      <c r="AV46" s="36">
        <f>AV45/AV38</f>
        <v/>
      </c>
      <c r="AW46" s="36">
        <f>AW45/AW38</f>
        <v/>
      </c>
      <c r="AX46" s="36">
        <f>AX45/AX38</f>
        <v/>
      </c>
      <c r="AY46" s="36">
        <f>AY45/AY38</f>
        <v/>
      </c>
      <c r="AZ46" s="36">
        <f>AZ45/AZ38</f>
        <v/>
      </c>
      <c r="BA46" s="56" t="n">
        <v>-0.370204357902369</v>
      </c>
      <c r="BB46" s="39" t="n">
        <v>0</v>
      </c>
      <c r="BC46" s="61" t="n">
        <v>0</v>
      </c>
      <c r="BD46" s="27" t="inlineStr"/>
    </row>
    <row r="47">
      <c r="A47" s="43" t="inlineStr">
        <is>
          <t>P202508000162</t>
        </is>
      </c>
      <c r="B47" s="44" t="inlineStr">
        <is>
          <t>农业农村部信息中心-农业信息采集系统2025年度运行维护服务项目-FP运维</t>
        </is>
      </c>
      <c r="C47" s="45" t="n">
        <v>45870</v>
      </c>
      <c r="D47" s="45" t="n">
        <v>46234</v>
      </c>
      <c r="E47" s="15" t="n"/>
      <c r="F47" s="15" t="n">
        <v>5</v>
      </c>
      <c r="G47" s="17" t="n"/>
      <c r="H47" s="17" t="n"/>
      <c r="I47" s="17" t="n"/>
      <c r="J47" s="17" t="n"/>
      <c r="K47" s="17" t="n"/>
      <c r="L47" s="17" t="n"/>
      <c r="M47" s="17" t="n"/>
      <c r="N47" s="17" t="n"/>
      <c r="O47" s="17" t="n"/>
      <c r="P47" s="17" t="n"/>
      <c r="Q47" s="17" t="inlineStr"/>
      <c r="R47" s="48" t="inlineStr">
        <is>
          <t>累计收入（NR）</t>
        </is>
      </c>
      <c r="S47" s="19" t="n">
        <v>1000000</v>
      </c>
      <c r="T47" s="19">
        <f>SUM(AO47:BC47)</f>
        <v/>
      </c>
      <c r="U47" s="20">
        <f>SUM(BA47:BC47)</f>
        <v/>
      </c>
      <c r="V47" s="19">
        <f>SUM(AO47:AZ47)</f>
        <v/>
      </c>
      <c r="W47" s="19">
        <f>SUM(AP47:AZ47)</f>
        <v/>
      </c>
      <c r="X47" s="19">
        <f>SUM(AQ47:AZ47)</f>
        <v/>
      </c>
      <c r="Y47" s="19">
        <f>SUM(AR47:AZ47)</f>
        <v/>
      </c>
      <c r="Z47" s="19">
        <f>SUM(AS47:AZ47)</f>
        <v/>
      </c>
      <c r="AA47" s="19">
        <f>SUM(AT47:AZ47)</f>
        <v/>
      </c>
      <c r="AB47" s="19">
        <f>SUM(AU47:AZ47)</f>
        <v/>
      </c>
      <c r="AC47" s="19">
        <f>SUM(AV47:AZ47)</f>
        <v/>
      </c>
      <c r="AD47" s="19">
        <f>SUM(AW47:AZ47)</f>
        <v/>
      </c>
      <c r="AE47" s="19">
        <f>SUM(AX47:AZ47)</f>
        <v/>
      </c>
      <c r="AF47" s="19">
        <f>SUM(AY47:AZ47)</f>
        <v/>
      </c>
      <c r="AG47" s="19">
        <f>SUM(AZ47:AZ47)</f>
        <v/>
      </c>
      <c r="AH47" s="21" t="n">
        <v>0</v>
      </c>
      <c r="AI47" s="21" t="n">
        <v>0</v>
      </c>
      <c r="AJ47" s="44" t="inlineStr"/>
      <c r="AK47" s="49" t="inlineStr"/>
      <c r="AL47" s="49" t="inlineStr"/>
      <c r="AM47" s="49" t="inlineStr"/>
      <c r="AN47" s="24" t="n"/>
      <c r="AO47" s="19" t="n">
        <v>0</v>
      </c>
      <c r="AP47" s="19" t="n">
        <v>0</v>
      </c>
      <c r="AQ47" s="19" t="n">
        <v>0</v>
      </c>
      <c r="AR47" s="19" t="n">
        <v>0</v>
      </c>
      <c r="AS47" s="19" t="n">
        <v>0</v>
      </c>
      <c r="AT47" s="19" t="n">
        <v>0</v>
      </c>
      <c r="AU47" s="19" t="n">
        <v>0</v>
      </c>
      <c r="AV47" s="19" t="n">
        <v>0</v>
      </c>
      <c r="AW47" s="19" t="n">
        <v>0</v>
      </c>
      <c r="AX47" s="19" t="n">
        <v>0</v>
      </c>
      <c r="AY47" s="19" t="n">
        <v>76712</v>
      </c>
      <c r="AZ47" s="19" t="n">
        <v>84932</v>
      </c>
      <c r="BA47" s="50" t="n">
        <v>411660</v>
      </c>
      <c r="BB47" s="20" t="n">
        <v>0</v>
      </c>
      <c r="BC47" s="61" t="n">
        <v>0</v>
      </c>
      <c r="BD47" s="27"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人工成本（成本１）</t>
        </is>
      </c>
      <c r="S48" s="19" t="n">
        <v>783494.65</v>
      </c>
      <c r="T48" s="19">
        <f>SUM(AO48:BC48)</f>
        <v/>
      </c>
      <c r="U48" s="20">
        <f>SUM(BA48:BC48)</f>
        <v/>
      </c>
      <c r="V48" s="19">
        <f>SUM(AO48:AZ48)</f>
        <v/>
      </c>
      <c r="W48" s="19">
        <f>SUM(AP48:AZ48)</f>
        <v/>
      </c>
      <c r="X48" s="19">
        <f>SUM(AQ48:AZ48)</f>
        <v/>
      </c>
      <c r="Y48" s="19">
        <f>SUM(AR48:AZ48)</f>
        <v/>
      </c>
      <c r="Z48" s="19">
        <f>SUM(AS48:AZ48)</f>
        <v/>
      </c>
      <c r="AA48" s="19">
        <f>SUM(AT48:AZ48)</f>
        <v/>
      </c>
      <c r="AB48" s="19">
        <f>SUM(AU48:AZ48)</f>
        <v/>
      </c>
      <c r="AC48" s="19">
        <f>SUM(AV48:AZ48)</f>
        <v/>
      </c>
      <c r="AD48" s="19">
        <f>SUM(AW48:AZ48)</f>
        <v/>
      </c>
      <c r="AE48" s="19">
        <f>SUM(AX48:AZ48)</f>
        <v/>
      </c>
      <c r="AF48" s="19">
        <f>SUM(AY48:AZ48)</f>
        <v/>
      </c>
      <c r="AG48" s="19">
        <f>SUM(AZ48:AZ48)</f>
        <v/>
      </c>
      <c r="AH48" s="21" t="n">
        <v>0</v>
      </c>
      <c r="AI48" s="21" t="n">
        <v>0</v>
      </c>
      <c r="AJ48" s="28" t="n"/>
      <c r="AK48" s="28" t="n"/>
      <c r="AL48" s="28" t="n"/>
      <c r="AM48" s="28" t="n"/>
      <c r="AN48" s="28" t="n"/>
      <c r="AO48" s="19" t="n">
        <v>0</v>
      </c>
      <c r="AP48" s="19" t="n">
        <v>0</v>
      </c>
      <c r="AQ48" s="19" t="n">
        <v>0</v>
      </c>
      <c r="AR48" s="19" t="n">
        <v>0</v>
      </c>
      <c r="AS48" s="19" t="n">
        <v>0</v>
      </c>
      <c r="AT48" s="19" t="n">
        <v>0</v>
      </c>
      <c r="AU48" s="19" t="n">
        <v>0</v>
      </c>
      <c r="AV48" s="19" t="n">
        <v>0</v>
      </c>
      <c r="AW48" s="19" t="n">
        <v>0</v>
      </c>
      <c r="AX48" s="19" t="n">
        <v>0</v>
      </c>
      <c r="AY48" s="19" t="n">
        <v>87203.78999999999</v>
      </c>
      <c r="AZ48" s="19" t="n">
        <v>66585.86</v>
      </c>
      <c r="BA48" s="50" t="n">
        <v>331483.93</v>
      </c>
      <c r="BB48" s="20" t="n">
        <v>0</v>
      </c>
      <c r="BC48" s="61"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29" t="inlineStr">
        <is>
          <t>差旅费（成本３）</t>
        </is>
      </c>
      <c r="S49" s="19" t="n">
        <v>25000</v>
      </c>
      <c r="T49" s="19">
        <f>SUM(AO49:BC49)</f>
        <v/>
      </c>
      <c r="U49" s="20">
        <f>SUM(BA49:BC49)</f>
        <v/>
      </c>
      <c r="V49" s="19">
        <f>SUM(AO49:AZ49)</f>
        <v/>
      </c>
      <c r="W49" s="19">
        <f>SUM(AP49:AZ49)</f>
        <v/>
      </c>
      <c r="X49" s="19">
        <f>SUM(AQ49:AZ49)</f>
        <v/>
      </c>
      <c r="Y49" s="19">
        <f>SUM(AR49:AZ49)</f>
        <v/>
      </c>
      <c r="Z49" s="19">
        <f>SUM(AS49:AZ49)</f>
        <v/>
      </c>
      <c r="AA49" s="19">
        <f>SUM(AT49:AZ49)</f>
        <v/>
      </c>
      <c r="AB49" s="19">
        <f>SUM(AU49:AZ49)</f>
        <v/>
      </c>
      <c r="AC49" s="19">
        <f>SUM(AV49:AZ49)</f>
        <v/>
      </c>
      <c r="AD49" s="19">
        <f>SUM(AW49:AZ49)</f>
        <v/>
      </c>
      <c r="AE49" s="19">
        <f>SUM(AX49:AZ49)</f>
        <v/>
      </c>
      <c r="AF49" s="19">
        <f>SUM(AY49:AZ49)</f>
        <v/>
      </c>
      <c r="AG49" s="19">
        <f>SUM(AZ49:AZ49)</f>
        <v/>
      </c>
      <c r="AH49" s="21" t="n">
        <v>0</v>
      </c>
      <c r="AI49" s="21" t="n">
        <v>0</v>
      </c>
      <c r="AJ49" s="28" t="n"/>
      <c r="AK49" s="28" t="n"/>
      <c r="AL49" s="28" t="n"/>
      <c r="AM49" s="28" t="n"/>
      <c r="AN49" s="28" t="n"/>
      <c r="AO49" s="19" t="n">
        <v>0</v>
      </c>
      <c r="AP49" s="19" t="n">
        <v>0</v>
      </c>
      <c r="AQ49" s="19" t="n">
        <v>0</v>
      </c>
      <c r="AR49" s="19" t="n">
        <v>0</v>
      </c>
      <c r="AS49" s="19" t="n">
        <v>0</v>
      </c>
      <c r="AT49" s="19" t="n">
        <v>0</v>
      </c>
      <c r="AU49" s="19" t="n">
        <v>0</v>
      </c>
      <c r="AV49" s="19" t="n">
        <v>0</v>
      </c>
      <c r="AW49" s="19" t="n">
        <v>0</v>
      </c>
      <c r="AX49" s="19" t="n">
        <v>0</v>
      </c>
      <c r="AY49" s="19" t="n">
        <v>0</v>
      </c>
      <c r="AZ49" s="19" t="n">
        <v>0</v>
      </c>
      <c r="BA49" s="50" t="n">
        <v>0</v>
      </c>
      <c r="BB49" s="20" t="n">
        <v>0</v>
      </c>
      <c r="BC49" s="61"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其他成本（成本３）</t>
        </is>
      </c>
      <c r="S50" s="19" t="n">
        <v>35000</v>
      </c>
      <c r="T50" s="19">
        <f>SUM(AO50:BC50)</f>
        <v/>
      </c>
      <c r="U50" s="20">
        <f>SUM(BA50:BC50)</f>
        <v/>
      </c>
      <c r="V50" s="19">
        <f>SUM(AO50:AZ50)</f>
        <v/>
      </c>
      <c r="W50" s="19">
        <f>SUM(AP50:AZ50)</f>
        <v/>
      </c>
      <c r="X50" s="19">
        <f>SUM(AQ50:AZ50)</f>
        <v/>
      </c>
      <c r="Y50" s="19">
        <f>SUM(AR50:AZ50)</f>
        <v/>
      </c>
      <c r="Z50" s="19">
        <f>SUM(AS50:AZ50)</f>
        <v/>
      </c>
      <c r="AA50" s="19">
        <f>SUM(AT50:AZ50)</f>
        <v/>
      </c>
      <c r="AB50" s="19">
        <f>SUM(AU50:AZ50)</f>
        <v/>
      </c>
      <c r="AC50" s="19">
        <f>SUM(AV50:AZ50)</f>
        <v/>
      </c>
      <c r="AD50" s="19">
        <f>SUM(AW50:AZ50)</f>
        <v/>
      </c>
      <c r="AE50" s="19">
        <f>SUM(AX50:AZ50)</f>
        <v/>
      </c>
      <c r="AF50" s="19">
        <f>SUM(AY50:AZ50)</f>
        <v/>
      </c>
      <c r="AG50" s="19">
        <f>SUM(AZ50:AZ50)</f>
        <v/>
      </c>
      <c r="AH50" s="21" t="n">
        <v>0</v>
      </c>
      <c r="AI50" s="21" t="n">
        <v>0</v>
      </c>
      <c r="AJ50" s="28" t="n"/>
      <c r="AK50" s="28" t="n"/>
      <c r="AL50" s="28" t="n"/>
      <c r="AM50" s="28" t="n"/>
      <c r="AN50" s="28" t="n"/>
      <c r="AO50" s="19" t="n">
        <v>0</v>
      </c>
      <c r="AP50" s="19" t="n">
        <v>0</v>
      </c>
      <c r="AQ50" s="19" t="n">
        <v>0</v>
      </c>
      <c r="AR50" s="19" t="n">
        <v>0</v>
      </c>
      <c r="AS50" s="19" t="n">
        <v>0</v>
      </c>
      <c r="AT50" s="19" t="n">
        <v>0</v>
      </c>
      <c r="AU50" s="19" t="n">
        <v>0</v>
      </c>
      <c r="AV50" s="19" t="n">
        <v>0</v>
      </c>
      <c r="AW50" s="19" t="n">
        <v>0</v>
      </c>
      <c r="AX50" s="19" t="n">
        <v>0</v>
      </c>
      <c r="AY50" s="19" t="n">
        <v>-419.18</v>
      </c>
      <c r="AZ50" s="19" t="n">
        <v>-495.89</v>
      </c>
      <c r="BA50" s="50" t="n">
        <v>-3142.47</v>
      </c>
      <c r="BB50" s="20" t="n">
        <v>0</v>
      </c>
      <c r="BC50" s="61" t="n">
        <v>0</v>
      </c>
      <c r="BD50" s="27" t="inlineStr"/>
    </row>
    <row r="51">
      <c r="A51" s="28" t="n"/>
      <c r="B51" s="28" t="n"/>
      <c r="C51" s="28" t="n"/>
      <c r="D51" s="28" t="n"/>
      <c r="E51" s="28" t="n"/>
      <c r="F51" s="28" t="n"/>
      <c r="G51" s="28" t="n"/>
      <c r="H51" s="28" t="n"/>
      <c r="I51" s="28" t="n"/>
      <c r="J51" s="28" t="n"/>
      <c r="K51" s="28" t="n"/>
      <c r="L51" s="28" t="n"/>
      <c r="M51" s="28" t="n"/>
      <c r="N51" s="28" t="n"/>
      <c r="O51" s="28" t="n"/>
      <c r="P51" s="28" t="n"/>
      <c r="Q51" s="28" t="n"/>
      <c r="R51" s="29" t="inlineStr">
        <is>
          <t>累计成本</t>
        </is>
      </c>
      <c r="S51" s="30">
        <f>SUM(S48:S50)</f>
        <v/>
      </c>
      <c r="T51" s="30">
        <f>SUM(T48:T50)</f>
        <v/>
      </c>
      <c r="U51" s="31">
        <f>SUM(U48:U50)</f>
        <v/>
      </c>
      <c r="V51" s="30">
        <f>SUM(V48:V50)</f>
        <v/>
      </c>
      <c r="W51" s="30">
        <f>SUM(W48:W50)</f>
        <v/>
      </c>
      <c r="X51" s="30">
        <f>SUM(X48:X50)</f>
        <v/>
      </c>
      <c r="Y51" s="30">
        <f>SUM(Y48:Y50)</f>
        <v/>
      </c>
      <c r="Z51" s="30">
        <f>SUM(Z48:Z50)</f>
        <v/>
      </c>
      <c r="AA51" s="30">
        <f>SUM(AA48:AA50)</f>
        <v/>
      </c>
      <c r="AB51" s="30">
        <f>SUM(AB48:AB50)</f>
        <v/>
      </c>
      <c r="AC51" s="30">
        <f>SUM(AC48:AC50)</f>
        <v/>
      </c>
      <c r="AD51" s="30">
        <f>SUM(AD48:AD50)</f>
        <v/>
      </c>
      <c r="AE51" s="30">
        <f>SUM(AE48:AE50)</f>
        <v/>
      </c>
      <c r="AF51" s="30">
        <f>SUM(AF48:AF50)</f>
        <v/>
      </c>
      <c r="AG51" s="30">
        <f>SUM(AG48:AG50)</f>
        <v/>
      </c>
      <c r="AH51" s="30">
        <f>SUM(AH48:AH50)</f>
        <v/>
      </c>
      <c r="AI51" s="30">
        <f>SUM(AI48:AI50)</f>
        <v/>
      </c>
      <c r="AJ51" s="28" t="n"/>
      <c r="AK51" s="28" t="n"/>
      <c r="AL51" s="28" t="n"/>
      <c r="AM51" s="28" t="n"/>
      <c r="AN51" s="28" t="n"/>
      <c r="AO51" s="30">
        <f>SUM(AO48:AO50)</f>
        <v/>
      </c>
      <c r="AP51" s="30">
        <f>SUM(AP48:AP50)</f>
        <v/>
      </c>
      <c r="AQ51" s="30">
        <f>SUM(AQ48:AQ50)</f>
        <v/>
      </c>
      <c r="AR51" s="30">
        <f>SUM(AR48:AR50)</f>
        <v/>
      </c>
      <c r="AS51" s="30">
        <f>SUM(AS48:AS50)</f>
        <v/>
      </c>
      <c r="AT51" s="30">
        <f>SUM(AT48:AT50)</f>
        <v/>
      </c>
      <c r="AU51" s="30">
        <f>SUM(AU48:AU50)</f>
        <v/>
      </c>
      <c r="AV51" s="30">
        <f>SUM(AV48:AV50)</f>
        <v/>
      </c>
      <c r="AW51" s="30">
        <f>SUM(AW48:AW50)</f>
        <v/>
      </c>
      <c r="AX51" s="30">
        <f>SUM(AX48:AX50)</f>
        <v/>
      </c>
      <c r="AY51" s="30">
        <f>SUM(AY48:AY50)</f>
        <v/>
      </c>
      <c r="AZ51" s="30">
        <f>SUM(AZ48:AZ50)</f>
        <v/>
      </c>
      <c r="BA51" s="53" t="n">
        <v>328341.46</v>
      </c>
      <c r="BB51" s="31">
        <f>SUM(BB48:BB50)</f>
        <v/>
      </c>
      <c r="BC51" s="54">
        <f>SUM(BC48:BC50)</f>
        <v/>
      </c>
      <c r="BD51" s="32" t="inlineStr"/>
    </row>
    <row r="52">
      <c r="A52" s="28" t="n"/>
      <c r="B52" s="28" t="n"/>
      <c r="C52" s="28" t="n"/>
      <c r="D52" s="28" t="n"/>
      <c r="E52" s="28" t="n"/>
      <c r="F52" s="28" t="n"/>
      <c r="G52" s="28" t="n"/>
      <c r="H52" s="28" t="n"/>
      <c r="I52" s="28" t="n"/>
      <c r="J52" s="28" t="n"/>
      <c r="K52" s="28" t="n"/>
      <c r="L52" s="28" t="n"/>
      <c r="M52" s="28" t="n"/>
      <c r="N52" s="28" t="n"/>
      <c r="O52" s="28" t="n"/>
      <c r="P52" s="28" t="n"/>
      <c r="Q52" s="28" t="n"/>
      <c r="R52" s="29" t="inlineStr">
        <is>
          <t>GP1毛利</t>
        </is>
      </c>
      <c r="S52" s="19">
        <f>S47-S48</f>
        <v/>
      </c>
      <c r="T52" s="19">
        <f>T47-T48</f>
        <v/>
      </c>
      <c r="U52" s="20">
        <f>U47-U48</f>
        <v/>
      </c>
      <c r="V52" s="19">
        <f>V47-V48</f>
        <v/>
      </c>
      <c r="W52" s="19">
        <f>W47-W48</f>
        <v/>
      </c>
      <c r="X52" s="19">
        <f>X47-X48</f>
        <v/>
      </c>
      <c r="Y52" s="19">
        <f>Y47-Y48</f>
        <v/>
      </c>
      <c r="Z52" s="19">
        <f>Z47-Z48</f>
        <v/>
      </c>
      <c r="AA52" s="19">
        <f>AA47-AA48</f>
        <v/>
      </c>
      <c r="AB52" s="19">
        <f>AB47-AB48</f>
        <v/>
      </c>
      <c r="AC52" s="19">
        <f>AC47-AC48</f>
        <v/>
      </c>
      <c r="AD52" s="19">
        <f>AD47-AD48</f>
        <v/>
      </c>
      <c r="AE52" s="19">
        <f>AE47-AE48</f>
        <v/>
      </c>
      <c r="AF52" s="19">
        <f>AF47-AF48</f>
        <v/>
      </c>
      <c r="AG52" s="19">
        <f>AG47-AG48</f>
        <v/>
      </c>
      <c r="AH52" s="33" t="n">
        <v>0</v>
      </c>
      <c r="AI52" s="33" t="n">
        <v>0</v>
      </c>
      <c r="AJ52" s="28" t="n"/>
      <c r="AK52" s="28" t="n"/>
      <c r="AL52" s="28" t="n"/>
      <c r="AM52" s="28" t="n"/>
      <c r="AN52" s="28" t="n"/>
      <c r="AO52" s="19">
        <f>AO47-AO48</f>
        <v/>
      </c>
      <c r="AP52" s="19">
        <f>AP47-AP48</f>
        <v/>
      </c>
      <c r="AQ52" s="19">
        <f>AQ47-AQ48</f>
        <v/>
      </c>
      <c r="AR52" s="19">
        <f>AR47-AR48</f>
        <v/>
      </c>
      <c r="AS52" s="19">
        <f>AS47-AS48</f>
        <v/>
      </c>
      <c r="AT52" s="19">
        <f>AT47-AT48</f>
        <v/>
      </c>
      <c r="AU52" s="19">
        <f>AU47-AU48</f>
        <v/>
      </c>
      <c r="AV52" s="19">
        <f>AV47-AV48</f>
        <v/>
      </c>
      <c r="AW52" s="19">
        <f>AW47-AW48</f>
        <v/>
      </c>
      <c r="AX52" s="19">
        <f>AX47-AX48</f>
        <v/>
      </c>
      <c r="AY52" s="19">
        <f>AY47-AY48</f>
        <v/>
      </c>
      <c r="AZ52" s="19">
        <f>AZ47-AZ48</f>
        <v/>
      </c>
      <c r="BA52" s="55" t="n">
        <v>80176.07000000001</v>
      </c>
      <c r="BB52" s="31" t="n">
        <v>0</v>
      </c>
      <c r="BC52" s="61"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35" t="inlineStr">
        <is>
          <t>GP1毛利率(%)</t>
        </is>
      </c>
      <c r="S53" s="36">
        <f>S52/S47</f>
        <v/>
      </c>
      <c r="T53" s="36">
        <f>T52/T47</f>
        <v/>
      </c>
      <c r="U53" s="37">
        <f>U52/U47</f>
        <v/>
      </c>
      <c r="V53" s="36">
        <f>V52/V47</f>
        <v/>
      </c>
      <c r="W53" s="36">
        <f>W52/W47</f>
        <v/>
      </c>
      <c r="X53" s="36">
        <f>X52/X47</f>
        <v/>
      </c>
      <c r="Y53" s="36">
        <f>Y52/Y47</f>
        <v/>
      </c>
      <c r="Z53" s="36">
        <f>Z52/Z47</f>
        <v/>
      </c>
      <c r="AA53" s="36">
        <f>AA52/AA47</f>
        <v/>
      </c>
      <c r="AB53" s="36">
        <f>AB52/AB47</f>
        <v/>
      </c>
      <c r="AC53" s="36">
        <f>AC52/AC47</f>
        <v/>
      </c>
      <c r="AD53" s="36">
        <f>AD52/AD47</f>
        <v/>
      </c>
      <c r="AE53" s="36">
        <f>AE52/AE47</f>
        <v/>
      </c>
      <c r="AF53" s="36">
        <f>AF52/AF47</f>
        <v/>
      </c>
      <c r="AG53" s="36">
        <f>AG52/AG47</f>
        <v/>
      </c>
      <c r="AH53" s="38">
        <f>T53-S53</f>
        <v/>
      </c>
      <c r="AI53" s="38">
        <f>AF53-S53</f>
        <v/>
      </c>
      <c r="AJ53" s="28" t="n"/>
      <c r="AK53" s="28" t="n"/>
      <c r="AL53" s="28" t="n"/>
      <c r="AM53" s="28" t="n"/>
      <c r="AN53" s="28" t="n"/>
      <c r="AO53" s="36">
        <f>AO52/AO47</f>
        <v/>
      </c>
      <c r="AP53" s="36">
        <f>AP52/AP47</f>
        <v/>
      </c>
      <c r="AQ53" s="36">
        <f>AQ52/AQ47</f>
        <v/>
      </c>
      <c r="AR53" s="36">
        <f>AR52/AR47</f>
        <v/>
      </c>
      <c r="AS53" s="36">
        <f>AS52/AS47</f>
        <v/>
      </c>
      <c r="AT53" s="36">
        <f>AT52/AT47</f>
        <v/>
      </c>
      <c r="AU53" s="36">
        <f>AU52/AU47</f>
        <v/>
      </c>
      <c r="AV53" s="36">
        <f>AV52/AV47</f>
        <v/>
      </c>
      <c r="AW53" s="36">
        <f>AW52/AW47</f>
        <v/>
      </c>
      <c r="AX53" s="36">
        <f>AX52/AX47</f>
        <v/>
      </c>
      <c r="AY53" s="36">
        <f>AY52/AY47</f>
        <v/>
      </c>
      <c r="AZ53" s="36">
        <f>AZ52/AZ47</f>
        <v/>
      </c>
      <c r="BA53" s="56" t="n">
        <v>0.194762838264587</v>
      </c>
      <c r="BB53" s="39" t="n">
        <v>0</v>
      </c>
      <c r="BC53" s="61"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GP3毛利</t>
        </is>
      </c>
      <c r="S54" s="19">
        <f>S47-S48-S49-S50</f>
        <v/>
      </c>
      <c r="T54" s="19">
        <f>T47-T48-T49-T50</f>
        <v/>
      </c>
      <c r="U54" s="20">
        <f>U47-U48-U49-U50</f>
        <v/>
      </c>
      <c r="V54" s="19">
        <f>V47-V48-V49-V50</f>
        <v/>
      </c>
      <c r="W54" s="19">
        <f>W47-W48-W49-W50</f>
        <v/>
      </c>
      <c r="X54" s="19">
        <f>X47-X48-X49-X50</f>
        <v/>
      </c>
      <c r="Y54" s="19">
        <f>Y47-Y48-Y49-Y50</f>
        <v/>
      </c>
      <c r="Z54" s="19">
        <f>Z47-Z48-Z49-Z50</f>
        <v/>
      </c>
      <c r="AA54" s="19">
        <f>AA47-AA48-AA49-AA50</f>
        <v/>
      </c>
      <c r="AB54" s="19">
        <f>AB47-AB48-AB49-AB50</f>
        <v/>
      </c>
      <c r="AC54" s="19">
        <f>AC47-AC48-AC49-AC50</f>
        <v/>
      </c>
      <c r="AD54" s="19">
        <f>AD47-AD48-AD49-AD50</f>
        <v/>
      </c>
      <c r="AE54" s="19">
        <f>AE47-AE48-AE49-AE50</f>
        <v/>
      </c>
      <c r="AF54" s="19">
        <f>AF47-AF48-AF49-AF50</f>
        <v/>
      </c>
      <c r="AG54" s="19">
        <f>AG47-AG48-AG49-AG50</f>
        <v/>
      </c>
      <c r="AH54" s="38" t="n">
        <v>0</v>
      </c>
      <c r="AI54" s="38" t="n">
        <v>0</v>
      </c>
      <c r="AJ54" s="28" t="n"/>
      <c r="AK54" s="28" t="n"/>
      <c r="AL54" s="28" t="n"/>
      <c r="AM54" s="28" t="n"/>
      <c r="AN54" s="28" t="n"/>
      <c r="AO54" s="19">
        <f>AO47-AO48-AO49-AO50</f>
        <v/>
      </c>
      <c r="AP54" s="19">
        <f>AP47-AP48-AP49-AP50</f>
        <v/>
      </c>
      <c r="AQ54" s="19">
        <f>AQ47-AQ48-AQ49-AQ50</f>
        <v/>
      </c>
      <c r="AR54" s="19">
        <f>AR47-AR48-AR49-AR50</f>
        <v/>
      </c>
      <c r="AS54" s="19">
        <f>AS47-AS48-AS49-AS50</f>
        <v/>
      </c>
      <c r="AT54" s="19">
        <f>AT47-AT48-AT49-AT50</f>
        <v/>
      </c>
      <c r="AU54" s="19">
        <f>AU47-AU48-AU49-AU50</f>
        <v/>
      </c>
      <c r="AV54" s="19">
        <f>AV47-AV48-AV49-AV50</f>
        <v/>
      </c>
      <c r="AW54" s="19">
        <f>AW47-AW48-AW49-AW50</f>
        <v/>
      </c>
      <c r="AX54" s="19">
        <f>AX47-AX48-AX49-AX50</f>
        <v/>
      </c>
      <c r="AY54" s="19">
        <f>AY47-AY48-AY49-AY50</f>
        <v/>
      </c>
      <c r="AZ54" s="19">
        <f>AZ47-AZ48-AZ49-AZ50</f>
        <v/>
      </c>
      <c r="BA54" s="57" t="n">
        <v>83318.53999999999</v>
      </c>
      <c r="BB54" s="31" t="n">
        <v>0</v>
      </c>
      <c r="BC54" s="61" t="n">
        <v>0</v>
      </c>
      <c r="BD54" s="27" t="inlineStr"/>
    </row>
    <row r="55">
      <c r="A55" s="42" t="n"/>
      <c r="B55" s="42" t="n"/>
      <c r="C55" s="42" t="n"/>
      <c r="D55" s="42" t="n"/>
      <c r="E55" s="42" t="n"/>
      <c r="F55" s="42" t="n"/>
      <c r="G55" s="42" t="n"/>
      <c r="H55" s="42" t="n"/>
      <c r="I55" s="42" t="n"/>
      <c r="J55" s="42" t="n"/>
      <c r="K55" s="42" t="n"/>
      <c r="L55" s="42" t="n"/>
      <c r="M55" s="42" t="n"/>
      <c r="N55" s="42" t="n"/>
      <c r="O55" s="42" t="n"/>
      <c r="P55" s="42" t="n"/>
      <c r="Q55" s="42" t="n"/>
      <c r="R55" s="35" t="inlineStr">
        <is>
          <t>GP3毛利率(%)</t>
        </is>
      </c>
      <c r="S55" s="36">
        <f>S54/S47</f>
        <v/>
      </c>
      <c r="T55" s="36">
        <f>T54/T47</f>
        <v/>
      </c>
      <c r="U55" s="37">
        <f>U54/U47</f>
        <v/>
      </c>
      <c r="V55" s="36">
        <f>V54/V47</f>
        <v/>
      </c>
      <c r="W55" s="36">
        <f>W54/W47</f>
        <v/>
      </c>
      <c r="X55" s="36">
        <f>X54/X47</f>
        <v/>
      </c>
      <c r="Y55" s="36">
        <f>Y54/Y47</f>
        <v/>
      </c>
      <c r="Z55" s="36">
        <f>Z54/Z47</f>
        <v/>
      </c>
      <c r="AA55" s="36">
        <f>AA54/AA47</f>
        <v/>
      </c>
      <c r="AB55" s="36">
        <f>AB54/AB47</f>
        <v/>
      </c>
      <c r="AC55" s="36">
        <f>AC54/AC47</f>
        <v/>
      </c>
      <c r="AD55" s="36">
        <f>AD54/AD47</f>
        <v/>
      </c>
      <c r="AE55" s="36">
        <f>AE54/AE47</f>
        <v/>
      </c>
      <c r="AF55" s="36">
        <f>AF54/AF47</f>
        <v/>
      </c>
      <c r="AG55" s="36">
        <f>AG54/AG47</f>
        <v/>
      </c>
      <c r="AH55" s="38">
        <f>T55-S55</f>
        <v/>
      </c>
      <c r="AI55" s="38">
        <f>AF55-S55</f>
        <v/>
      </c>
      <c r="AJ55" s="42" t="n"/>
      <c r="AK55" s="42" t="n"/>
      <c r="AL55" s="42" t="n"/>
      <c r="AM55" s="42" t="n"/>
      <c r="AN55" s="42" t="n"/>
      <c r="AO55" s="36">
        <f>AO54/AO47</f>
        <v/>
      </c>
      <c r="AP55" s="36">
        <f>AP54/AP47</f>
        <v/>
      </c>
      <c r="AQ55" s="36">
        <f>AQ54/AQ47</f>
        <v/>
      </c>
      <c r="AR55" s="36">
        <f>AR54/AR47</f>
        <v/>
      </c>
      <c r="AS55" s="36">
        <f>AS54/AS47</f>
        <v/>
      </c>
      <c r="AT55" s="36">
        <f>AT54/AT47</f>
        <v/>
      </c>
      <c r="AU55" s="36">
        <f>AU54/AU47</f>
        <v/>
      </c>
      <c r="AV55" s="36">
        <f>AV54/AV47</f>
        <v/>
      </c>
      <c r="AW55" s="36">
        <f>AW54/AW47</f>
        <v/>
      </c>
      <c r="AX55" s="36">
        <f>AX54/AX47</f>
        <v/>
      </c>
      <c r="AY55" s="36">
        <f>AY54/AY47</f>
        <v/>
      </c>
      <c r="AZ55" s="36">
        <f>AZ54/AZ47</f>
        <v/>
      </c>
      <c r="BA55" s="56" t="n">
        <v>0.202396492250887</v>
      </c>
      <c r="BB55" s="39" t="n">
        <v>0</v>
      </c>
      <c r="BC55" s="61" t="n">
        <v>0</v>
      </c>
      <c r="BD55" s="27" t="inlineStr"/>
    </row>
    <row r="56">
      <c r="A56" s="43" t="inlineStr">
        <is>
          <t>P202509000658</t>
        </is>
      </c>
      <c r="B56" s="44" t="inlineStr">
        <is>
          <t>全国畜牧总站-2025年农生物育种大数据与知识产权支撑体系建设联合实施4-FP项目（有分包）</t>
        </is>
      </c>
      <c r="C56" s="45" t="n">
        <v>45809</v>
      </c>
      <c r="D56" s="45" t="n">
        <v>46173</v>
      </c>
      <c r="E56" s="15" t="n"/>
      <c r="F56" s="15" t="n">
        <v>0.75</v>
      </c>
      <c r="G56" s="17" t="n"/>
      <c r="H56" s="17" t="n"/>
      <c r="I56" s="17" t="n"/>
      <c r="J56" s="17" t="n"/>
      <c r="K56" s="17" t="n"/>
      <c r="L56" s="17" t="n"/>
      <c r="M56" s="17" t="n"/>
      <c r="N56" s="17" t="n"/>
      <c r="O56" s="17" t="n"/>
      <c r="P56" s="17" t="n"/>
      <c r="Q56" s="17" t="inlineStr"/>
      <c r="R56" s="48" t="inlineStr">
        <is>
          <t>累计收入（NR）</t>
        </is>
      </c>
      <c r="S56" s="19" t="n">
        <v>435000</v>
      </c>
      <c r="T56" s="19">
        <f>SUM(AO56:BC56)</f>
        <v/>
      </c>
      <c r="U56" s="20">
        <f>SUM(BA56:BC56)</f>
        <v/>
      </c>
      <c r="V56" s="19">
        <f>SUM(AO56:AZ56)</f>
        <v/>
      </c>
      <c r="W56" s="19">
        <f>SUM(AP56:AZ56)</f>
        <v/>
      </c>
      <c r="X56" s="19">
        <f>SUM(AQ56:AZ56)</f>
        <v/>
      </c>
      <c r="Y56" s="19">
        <f>SUM(AR56:AZ56)</f>
        <v/>
      </c>
      <c r="Z56" s="19">
        <f>SUM(AS56:AZ56)</f>
        <v/>
      </c>
      <c r="AA56" s="19">
        <f>SUM(AT56:AZ56)</f>
        <v/>
      </c>
      <c r="AB56" s="19">
        <f>SUM(AU56:AZ56)</f>
        <v/>
      </c>
      <c r="AC56" s="19">
        <f>SUM(AV56:AZ56)</f>
        <v/>
      </c>
      <c r="AD56" s="19">
        <f>SUM(AW56:AZ56)</f>
        <v/>
      </c>
      <c r="AE56" s="19">
        <f>SUM(AX56:AZ56)</f>
        <v/>
      </c>
      <c r="AF56" s="19">
        <f>SUM(AY56:AZ56)</f>
        <v/>
      </c>
      <c r="AG56" s="19">
        <f>SUM(AZ56:AZ56)</f>
        <v/>
      </c>
      <c r="AH56" s="21" t="n">
        <v>0</v>
      </c>
      <c r="AI56" s="21" t="n">
        <v>0</v>
      </c>
      <c r="AJ56" s="44" t="inlineStr"/>
      <c r="AK56" s="49" t="inlineStr">
        <is>
          <t>农业科研项目，12月成本13.76万，超出当月NR 2.9万，导致亏损</t>
        </is>
      </c>
      <c r="AL56" s="44" t="inlineStr">
        <is>
          <t>d</t>
        </is>
      </c>
      <c r="AM56" s="49" t="inlineStr"/>
      <c r="AN56" s="24" t="n"/>
      <c r="AO56" s="19" t="n">
        <v>0</v>
      </c>
      <c r="AP56" s="19" t="n">
        <v>0</v>
      </c>
      <c r="AQ56" s="19" t="n">
        <v>0</v>
      </c>
      <c r="AR56" s="19" t="n">
        <v>0</v>
      </c>
      <c r="AS56" s="19" t="n">
        <v>0</v>
      </c>
      <c r="AT56" s="19" t="n">
        <v>0</v>
      </c>
      <c r="AU56" s="19" t="n">
        <v>0</v>
      </c>
      <c r="AV56" s="19" t="n">
        <v>0</v>
      </c>
      <c r="AW56" s="19" t="n">
        <v>0</v>
      </c>
      <c r="AX56" s="19" t="n">
        <v>0</v>
      </c>
      <c r="AY56" s="19" t="n">
        <v>0</v>
      </c>
      <c r="AZ56" s="19" t="n">
        <v>0</v>
      </c>
      <c r="BA56" s="50" t="n">
        <v>435000</v>
      </c>
      <c r="BB56" s="20" t="n">
        <v>0</v>
      </c>
      <c r="BC56" s="61"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人工成本（成本１）</t>
        </is>
      </c>
      <c r="S57" s="19" t="n">
        <v>354384.65</v>
      </c>
      <c r="T57" s="19">
        <f>SUM(AO57:BC57)</f>
        <v/>
      </c>
      <c r="U57" s="20">
        <f>SUM(BA57:BC57)</f>
        <v/>
      </c>
      <c r="V57" s="19">
        <f>SUM(AO57:AZ57)</f>
        <v/>
      </c>
      <c r="W57" s="19">
        <f>SUM(AP57:AZ57)</f>
        <v/>
      </c>
      <c r="X57" s="19">
        <f>SUM(AQ57:AZ57)</f>
        <v/>
      </c>
      <c r="Y57" s="19">
        <f>SUM(AR57:AZ57)</f>
        <v/>
      </c>
      <c r="Z57" s="19">
        <f>SUM(AS57:AZ57)</f>
        <v/>
      </c>
      <c r="AA57" s="19">
        <f>SUM(AT57:AZ57)</f>
        <v/>
      </c>
      <c r="AB57" s="19">
        <f>SUM(AU57:AZ57)</f>
        <v/>
      </c>
      <c r="AC57" s="19">
        <f>SUM(AV57:AZ57)</f>
        <v/>
      </c>
      <c r="AD57" s="19">
        <f>SUM(AW57:AZ57)</f>
        <v/>
      </c>
      <c r="AE57" s="19">
        <f>SUM(AX57:AZ57)</f>
        <v/>
      </c>
      <c r="AF57" s="19">
        <f>SUM(AY57:AZ57)</f>
        <v/>
      </c>
      <c r="AG57" s="19">
        <f>SUM(AZ57:AZ57)</f>
        <v/>
      </c>
      <c r="AH57" s="21" t="n">
        <v>0</v>
      </c>
      <c r="AI57" s="21" t="n">
        <v>0</v>
      </c>
      <c r="AJ57" s="28" t="n"/>
      <c r="AK57" s="28" t="n"/>
      <c r="AL57" s="28" t="n"/>
      <c r="AM57" s="28" t="n"/>
      <c r="AN57" s="28" t="n"/>
      <c r="AO57" s="19" t="n">
        <v>0</v>
      </c>
      <c r="AP57" s="19" t="n">
        <v>0</v>
      </c>
      <c r="AQ57" s="19" t="n">
        <v>0</v>
      </c>
      <c r="AR57" s="19" t="n">
        <v>0</v>
      </c>
      <c r="AS57" s="19" t="n">
        <v>0</v>
      </c>
      <c r="AT57" s="19" t="n">
        <v>0</v>
      </c>
      <c r="AU57" s="19" t="n">
        <v>0</v>
      </c>
      <c r="AV57" s="19" t="n">
        <v>0</v>
      </c>
      <c r="AW57" s="19" t="n">
        <v>0</v>
      </c>
      <c r="AX57" s="19" t="n">
        <v>0</v>
      </c>
      <c r="AY57" s="19" t="n">
        <v>28405.83</v>
      </c>
      <c r="AZ57" s="19" t="n">
        <v>0</v>
      </c>
      <c r="BA57" s="50" t="n">
        <v>317303.07</v>
      </c>
      <c r="BB57" s="20" t="n">
        <v>0</v>
      </c>
      <c r="BC57" s="61" t="n">
        <v>0</v>
      </c>
      <c r="BD57" s="27"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差旅费（成本３）</t>
        </is>
      </c>
      <c r="S58" s="19" t="n">
        <v>13000</v>
      </c>
      <c r="T58" s="19">
        <f>SUM(AO58:BC58)</f>
        <v/>
      </c>
      <c r="U58" s="20">
        <f>SUM(BA58:BC58)</f>
        <v/>
      </c>
      <c r="V58" s="19">
        <f>SUM(AO58:AZ58)</f>
        <v/>
      </c>
      <c r="W58" s="19">
        <f>SUM(AP58:AZ58)</f>
        <v/>
      </c>
      <c r="X58" s="19">
        <f>SUM(AQ58:AZ58)</f>
        <v/>
      </c>
      <c r="Y58" s="19">
        <f>SUM(AR58:AZ58)</f>
        <v/>
      </c>
      <c r="Z58" s="19">
        <f>SUM(AS58:AZ58)</f>
        <v/>
      </c>
      <c r="AA58" s="19">
        <f>SUM(AT58:AZ58)</f>
        <v/>
      </c>
      <c r="AB58" s="19">
        <f>SUM(AU58:AZ58)</f>
        <v/>
      </c>
      <c r="AC58" s="19">
        <f>SUM(AV58:AZ58)</f>
        <v/>
      </c>
      <c r="AD58" s="19">
        <f>SUM(AW58:AZ58)</f>
        <v/>
      </c>
      <c r="AE58" s="19">
        <f>SUM(AX58:AZ58)</f>
        <v/>
      </c>
      <c r="AF58" s="19">
        <f>SUM(AY58:AZ58)</f>
        <v/>
      </c>
      <c r="AG58" s="19">
        <f>SUM(AZ58:AZ58)</f>
        <v/>
      </c>
      <c r="AH58" s="21" t="n">
        <v>0</v>
      </c>
      <c r="AI58" s="21" t="n">
        <v>0</v>
      </c>
      <c r="AJ58" s="28" t="n"/>
      <c r="AK58" s="28" t="n"/>
      <c r="AL58" s="28" t="n"/>
      <c r="AM58" s="28" t="n"/>
      <c r="AN58" s="28" t="n"/>
      <c r="AO58" s="19" t="n">
        <v>0</v>
      </c>
      <c r="AP58" s="19" t="n">
        <v>0</v>
      </c>
      <c r="AQ58" s="19" t="n">
        <v>0</v>
      </c>
      <c r="AR58" s="19" t="n">
        <v>0</v>
      </c>
      <c r="AS58" s="19" t="n">
        <v>0</v>
      </c>
      <c r="AT58" s="19" t="n">
        <v>0</v>
      </c>
      <c r="AU58" s="19" t="n">
        <v>0</v>
      </c>
      <c r="AV58" s="19" t="n">
        <v>0</v>
      </c>
      <c r="AW58" s="19" t="n">
        <v>0</v>
      </c>
      <c r="AX58" s="19" t="n">
        <v>0</v>
      </c>
      <c r="AY58" s="19" t="n">
        <v>0</v>
      </c>
      <c r="AZ58" s="19" t="n">
        <v>0</v>
      </c>
      <c r="BA58" s="50" t="n">
        <v>0</v>
      </c>
      <c r="BB58" s="20" t="n">
        <v>0</v>
      </c>
      <c r="BC58" s="61"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29" t="inlineStr">
        <is>
          <t>其他成本（成本３）</t>
        </is>
      </c>
      <c r="S59" s="19" t="n">
        <v>0</v>
      </c>
      <c r="T59" s="19">
        <f>SUM(AO59:BC59)</f>
        <v/>
      </c>
      <c r="U59" s="20">
        <f>SUM(BA59:BC59)</f>
        <v/>
      </c>
      <c r="V59" s="19">
        <f>SUM(AO59:AZ59)</f>
        <v/>
      </c>
      <c r="W59" s="19">
        <f>SUM(AP59:AZ59)</f>
        <v/>
      </c>
      <c r="X59" s="19">
        <f>SUM(AQ59:AZ59)</f>
        <v/>
      </c>
      <c r="Y59" s="19">
        <f>SUM(AR59:AZ59)</f>
        <v/>
      </c>
      <c r="Z59" s="19">
        <f>SUM(AS59:AZ59)</f>
        <v/>
      </c>
      <c r="AA59" s="19">
        <f>SUM(AT59:AZ59)</f>
        <v/>
      </c>
      <c r="AB59" s="19">
        <f>SUM(AU59:AZ59)</f>
        <v/>
      </c>
      <c r="AC59" s="19">
        <f>SUM(AV59:AZ59)</f>
        <v/>
      </c>
      <c r="AD59" s="19">
        <f>SUM(AW59:AZ59)</f>
        <v/>
      </c>
      <c r="AE59" s="19">
        <f>SUM(AX59:AZ59)</f>
        <v/>
      </c>
      <c r="AF59" s="19">
        <f>SUM(AY59:AZ59)</f>
        <v/>
      </c>
      <c r="AG59" s="19">
        <f>SUM(AZ59:AZ59)</f>
        <v/>
      </c>
      <c r="AH59" s="21" t="n">
        <v>0</v>
      </c>
      <c r="AI59" s="21" t="n">
        <v>0</v>
      </c>
      <c r="AJ59" s="28" t="n"/>
      <c r="AK59" s="28" t="n"/>
      <c r="AL59" s="28" t="n"/>
      <c r="AM59" s="28" t="n"/>
      <c r="AN59" s="28" t="n"/>
      <c r="AO59" s="19" t="n">
        <v>0</v>
      </c>
      <c r="AP59" s="19" t="n">
        <v>0</v>
      </c>
      <c r="AQ59" s="19" t="n">
        <v>0</v>
      </c>
      <c r="AR59" s="19" t="n">
        <v>0</v>
      </c>
      <c r="AS59" s="19" t="n">
        <v>0</v>
      </c>
      <c r="AT59" s="19" t="n">
        <v>0</v>
      </c>
      <c r="AU59" s="19" t="n">
        <v>0</v>
      </c>
      <c r="AV59" s="19" t="n">
        <v>0</v>
      </c>
      <c r="AW59" s="19" t="n">
        <v>0</v>
      </c>
      <c r="AX59" s="19" t="n">
        <v>0</v>
      </c>
      <c r="AY59" s="19" t="n">
        <v>-28405.83</v>
      </c>
      <c r="AZ59" s="19" t="n">
        <v>0</v>
      </c>
      <c r="BA59" s="50" t="n">
        <v>0</v>
      </c>
      <c r="BB59" s="20" t="n">
        <v>0</v>
      </c>
      <c r="BC59" s="61"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累计成本</t>
        </is>
      </c>
      <c r="S60" s="30">
        <f>SUM(S57:S59)</f>
        <v/>
      </c>
      <c r="T60" s="30">
        <f>SUM(T57:T59)</f>
        <v/>
      </c>
      <c r="U60" s="31">
        <f>SUM(U57:U59)</f>
        <v/>
      </c>
      <c r="V60" s="30">
        <f>SUM(V57:V59)</f>
        <v/>
      </c>
      <c r="W60" s="30">
        <f>SUM(W57:W59)</f>
        <v/>
      </c>
      <c r="X60" s="30">
        <f>SUM(X57:X59)</f>
        <v/>
      </c>
      <c r="Y60" s="30">
        <f>SUM(Y57:Y59)</f>
        <v/>
      </c>
      <c r="Z60" s="30">
        <f>SUM(Z57:Z59)</f>
        <v/>
      </c>
      <c r="AA60" s="30">
        <f>SUM(AA57:AA59)</f>
        <v/>
      </c>
      <c r="AB60" s="30">
        <f>SUM(AB57:AB59)</f>
        <v/>
      </c>
      <c r="AC60" s="30">
        <f>SUM(AC57:AC59)</f>
        <v/>
      </c>
      <c r="AD60" s="30">
        <f>SUM(AD57:AD59)</f>
        <v/>
      </c>
      <c r="AE60" s="30">
        <f>SUM(AE57:AE59)</f>
        <v/>
      </c>
      <c r="AF60" s="30">
        <f>SUM(AF57:AF59)</f>
        <v/>
      </c>
      <c r="AG60" s="30">
        <f>SUM(AG57:AG59)</f>
        <v/>
      </c>
      <c r="AH60" s="30">
        <f>SUM(AH57:AH59)</f>
        <v/>
      </c>
      <c r="AI60" s="30">
        <f>SUM(AI57:AI59)</f>
        <v/>
      </c>
      <c r="AJ60" s="28" t="n"/>
      <c r="AK60" s="28" t="n"/>
      <c r="AL60" s="28" t="n"/>
      <c r="AM60" s="28" t="n"/>
      <c r="AN60" s="28" t="n"/>
      <c r="AO60" s="30">
        <f>SUM(AO57:AO59)</f>
        <v/>
      </c>
      <c r="AP60" s="30">
        <f>SUM(AP57:AP59)</f>
        <v/>
      </c>
      <c r="AQ60" s="30">
        <f>SUM(AQ57:AQ59)</f>
        <v/>
      </c>
      <c r="AR60" s="30">
        <f>SUM(AR57:AR59)</f>
        <v/>
      </c>
      <c r="AS60" s="30">
        <f>SUM(AS57:AS59)</f>
        <v/>
      </c>
      <c r="AT60" s="30">
        <f>SUM(AT57:AT59)</f>
        <v/>
      </c>
      <c r="AU60" s="30">
        <f>SUM(AU57:AU59)</f>
        <v/>
      </c>
      <c r="AV60" s="30">
        <f>SUM(AV57:AV59)</f>
        <v/>
      </c>
      <c r="AW60" s="30">
        <f>SUM(AW57:AW59)</f>
        <v/>
      </c>
      <c r="AX60" s="30">
        <f>SUM(AX57:AX59)</f>
        <v/>
      </c>
      <c r="AY60" s="30">
        <f>SUM(AY57:AY59)</f>
        <v/>
      </c>
      <c r="AZ60" s="30">
        <f>SUM(AZ57:AZ59)</f>
        <v/>
      </c>
      <c r="BA60" s="53" t="n">
        <v>317303.07</v>
      </c>
      <c r="BB60" s="31">
        <f>SUM(BB57:BB59)</f>
        <v/>
      </c>
      <c r="BC60" s="54">
        <f>SUM(BC57:BC59)</f>
        <v/>
      </c>
      <c r="BD60" s="32" t="inlineStr"/>
    </row>
    <row r="61">
      <c r="A61" s="28" t="n"/>
      <c r="B61" s="28" t="n"/>
      <c r="C61" s="28" t="n"/>
      <c r="D61" s="28" t="n"/>
      <c r="E61" s="28" t="n"/>
      <c r="F61" s="28" t="n"/>
      <c r="G61" s="28" t="n"/>
      <c r="H61" s="28" t="n"/>
      <c r="I61" s="28" t="n"/>
      <c r="J61" s="28" t="n"/>
      <c r="K61" s="28" t="n"/>
      <c r="L61" s="28" t="n"/>
      <c r="M61" s="28" t="n"/>
      <c r="N61" s="28" t="n"/>
      <c r="O61" s="28" t="n"/>
      <c r="P61" s="28" t="n"/>
      <c r="Q61" s="28" t="n"/>
      <c r="R61" s="29" t="inlineStr">
        <is>
          <t>GP1毛利</t>
        </is>
      </c>
      <c r="S61" s="19">
        <f>S56-S57</f>
        <v/>
      </c>
      <c r="T61" s="19">
        <f>T56-T57</f>
        <v/>
      </c>
      <c r="U61" s="20">
        <f>U56-U57</f>
        <v/>
      </c>
      <c r="V61" s="19">
        <f>V56-V57</f>
        <v/>
      </c>
      <c r="W61" s="19">
        <f>W56-W57</f>
        <v/>
      </c>
      <c r="X61" s="19">
        <f>X56-X57</f>
        <v/>
      </c>
      <c r="Y61" s="19">
        <f>Y56-Y57</f>
        <v/>
      </c>
      <c r="Z61" s="19">
        <f>Z56-Z57</f>
        <v/>
      </c>
      <c r="AA61" s="19">
        <f>AA56-AA57</f>
        <v/>
      </c>
      <c r="AB61" s="19">
        <f>AB56-AB57</f>
        <v/>
      </c>
      <c r="AC61" s="19">
        <f>AC56-AC57</f>
        <v/>
      </c>
      <c r="AD61" s="19">
        <f>AD56-AD57</f>
        <v/>
      </c>
      <c r="AE61" s="19">
        <f>AE56-AE57</f>
        <v/>
      </c>
      <c r="AF61" s="19">
        <f>AF56-AF57</f>
        <v/>
      </c>
      <c r="AG61" s="19">
        <f>AG56-AG57</f>
        <v/>
      </c>
      <c r="AH61" s="33" t="n">
        <v>0</v>
      </c>
      <c r="AI61" s="33" t="n">
        <v>0</v>
      </c>
      <c r="AJ61" s="28" t="n"/>
      <c r="AK61" s="28" t="n"/>
      <c r="AL61" s="28" t="n"/>
      <c r="AM61" s="28" t="n"/>
      <c r="AN61" s="28" t="n"/>
      <c r="AO61" s="19">
        <f>AO56-AO57</f>
        <v/>
      </c>
      <c r="AP61" s="19">
        <f>AP56-AP57</f>
        <v/>
      </c>
      <c r="AQ61" s="19">
        <f>AQ56-AQ57</f>
        <v/>
      </c>
      <c r="AR61" s="19">
        <f>AR56-AR57</f>
        <v/>
      </c>
      <c r="AS61" s="19">
        <f>AS56-AS57</f>
        <v/>
      </c>
      <c r="AT61" s="19">
        <f>AT56-AT57</f>
        <v/>
      </c>
      <c r="AU61" s="19">
        <f>AU56-AU57</f>
        <v/>
      </c>
      <c r="AV61" s="19">
        <f>AV56-AV57</f>
        <v/>
      </c>
      <c r="AW61" s="19">
        <f>AW56-AW57</f>
        <v/>
      </c>
      <c r="AX61" s="19">
        <f>AX56-AX57</f>
        <v/>
      </c>
      <c r="AY61" s="19">
        <f>AY56-AY57</f>
        <v/>
      </c>
      <c r="AZ61" s="19">
        <f>AZ56-AZ57</f>
        <v/>
      </c>
      <c r="BA61" s="55" t="n">
        <v>117696.93</v>
      </c>
      <c r="BB61" s="31" t="n">
        <v>0</v>
      </c>
      <c r="BC61" s="61" t="n">
        <v>0</v>
      </c>
      <c r="BD61" s="27" t="inlineStr"/>
    </row>
    <row r="62">
      <c r="A62" s="28" t="n"/>
      <c r="B62" s="28" t="n"/>
      <c r="C62" s="28" t="n"/>
      <c r="D62" s="28" t="n"/>
      <c r="E62" s="28" t="n"/>
      <c r="F62" s="28" t="n"/>
      <c r="G62" s="28" t="n"/>
      <c r="H62" s="28" t="n"/>
      <c r="I62" s="28" t="n"/>
      <c r="J62" s="28" t="n"/>
      <c r="K62" s="28" t="n"/>
      <c r="L62" s="28" t="n"/>
      <c r="M62" s="28" t="n"/>
      <c r="N62" s="28" t="n"/>
      <c r="O62" s="28" t="n"/>
      <c r="P62" s="28" t="n"/>
      <c r="Q62" s="28" t="n"/>
      <c r="R62" s="35" t="inlineStr">
        <is>
          <t>GP1毛利率(%)</t>
        </is>
      </c>
      <c r="S62" s="36">
        <f>S61/S56</f>
        <v/>
      </c>
      <c r="T62" s="36">
        <f>T61/T56</f>
        <v/>
      </c>
      <c r="U62" s="37">
        <f>U61/U56</f>
        <v/>
      </c>
      <c r="V62" s="36">
        <f>V61/V56</f>
        <v/>
      </c>
      <c r="W62" s="36">
        <f>W61/W56</f>
        <v/>
      </c>
      <c r="X62" s="36">
        <f>X61/X56</f>
        <v/>
      </c>
      <c r="Y62" s="36">
        <f>Y61/Y56</f>
        <v/>
      </c>
      <c r="Z62" s="36">
        <f>Z61/Z56</f>
        <v/>
      </c>
      <c r="AA62" s="36">
        <f>AA61/AA56</f>
        <v/>
      </c>
      <c r="AB62" s="36">
        <f>AB61/AB56</f>
        <v/>
      </c>
      <c r="AC62" s="36">
        <f>AC61/AC56</f>
        <v/>
      </c>
      <c r="AD62" s="36">
        <f>AD61/AD56</f>
        <v/>
      </c>
      <c r="AE62" s="36">
        <f>AE61/AE56</f>
        <v/>
      </c>
      <c r="AF62" s="36">
        <f>AF61/AF56</f>
        <v/>
      </c>
      <c r="AG62" s="36">
        <f>AG61/AG56</f>
        <v/>
      </c>
      <c r="AH62" s="38">
        <f>T62-S62</f>
        <v/>
      </c>
      <c r="AI62" s="38">
        <f>AF62-S62</f>
        <v/>
      </c>
      <c r="AJ62" s="28" t="n"/>
      <c r="AK62" s="28" t="n"/>
      <c r="AL62" s="28" t="n"/>
      <c r="AM62" s="28" t="n"/>
      <c r="AN62" s="28" t="n"/>
      <c r="AO62" s="36">
        <f>AO61/AO56</f>
        <v/>
      </c>
      <c r="AP62" s="36">
        <f>AP61/AP56</f>
        <v/>
      </c>
      <c r="AQ62" s="36">
        <f>AQ61/AQ56</f>
        <v/>
      </c>
      <c r="AR62" s="36">
        <f>AR61/AR56</f>
        <v/>
      </c>
      <c r="AS62" s="36">
        <f>AS61/AS56</f>
        <v/>
      </c>
      <c r="AT62" s="36">
        <f>AT61/AT56</f>
        <v/>
      </c>
      <c r="AU62" s="36">
        <f>AU61/AU56</f>
        <v/>
      </c>
      <c r="AV62" s="36">
        <f>AV61/AV56</f>
        <v/>
      </c>
      <c r="AW62" s="36">
        <f>AW61/AW56</f>
        <v/>
      </c>
      <c r="AX62" s="36">
        <f>AX61/AX56</f>
        <v/>
      </c>
      <c r="AY62" s="36">
        <f>AY61/AY56</f>
        <v/>
      </c>
      <c r="AZ62" s="36">
        <f>AZ61/AZ56</f>
        <v/>
      </c>
      <c r="BA62" s="56" t="n">
        <v>0.270567655172414</v>
      </c>
      <c r="BB62" s="39" t="n">
        <v>0</v>
      </c>
      <c r="BC62" s="61"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GP3毛利</t>
        </is>
      </c>
      <c r="S63" s="19">
        <f>S56-S57-S58-S59</f>
        <v/>
      </c>
      <c r="T63" s="19">
        <f>T56-T57-T58-T59</f>
        <v/>
      </c>
      <c r="U63" s="20">
        <f>U56-U57-U58-U59</f>
        <v/>
      </c>
      <c r="V63" s="19">
        <f>V56-V57-V58-V59</f>
        <v/>
      </c>
      <c r="W63" s="19">
        <f>W56-W57-W58-W59</f>
        <v/>
      </c>
      <c r="X63" s="19">
        <f>X56-X57-X58-X59</f>
        <v/>
      </c>
      <c r="Y63" s="19">
        <f>Y56-Y57-Y58-Y59</f>
        <v/>
      </c>
      <c r="Z63" s="19">
        <f>Z56-Z57-Z58-Z59</f>
        <v/>
      </c>
      <c r="AA63" s="19">
        <f>AA56-AA57-AA58-AA59</f>
        <v/>
      </c>
      <c r="AB63" s="19">
        <f>AB56-AB57-AB58-AB59</f>
        <v/>
      </c>
      <c r="AC63" s="19">
        <f>AC56-AC57-AC58-AC59</f>
        <v/>
      </c>
      <c r="AD63" s="19">
        <f>AD56-AD57-AD58-AD59</f>
        <v/>
      </c>
      <c r="AE63" s="19">
        <f>AE56-AE57-AE58-AE59</f>
        <v/>
      </c>
      <c r="AF63" s="19">
        <f>AF56-AF57-AF58-AF59</f>
        <v/>
      </c>
      <c r="AG63" s="19">
        <f>AG56-AG57-AG58-AG59</f>
        <v/>
      </c>
      <c r="AH63" s="38" t="n">
        <v>0</v>
      </c>
      <c r="AI63" s="38" t="n">
        <v>0</v>
      </c>
      <c r="AJ63" s="28" t="n"/>
      <c r="AK63" s="28" t="n"/>
      <c r="AL63" s="28" t="n"/>
      <c r="AM63" s="28" t="n"/>
      <c r="AN63" s="28" t="n"/>
      <c r="AO63" s="19">
        <f>AO56-AO57-AO58-AO59</f>
        <v/>
      </c>
      <c r="AP63" s="19">
        <f>AP56-AP57-AP58-AP59</f>
        <v/>
      </c>
      <c r="AQ63" s="19">
        <f>AQ56-AQ57-AQ58-AQ59</f>
        <v/>
      </c>
      <c r="AR63" s="19">
        <f>AR56-AR57-AR58-AR59</f>
        <v/>
      </c>
      <c r="AS63" s="19">
        <f>AS56-AS57-AS58-AS59</f>
        <v/>
      </c>
      <c r="AT63" s="19">
        <f>AT56-AT57-AT58-AT59</f>
        <v/>
      </c>
      <c r="AU63" s="19">
        <f>AU56-AU57-AU58-AU59</f>
        <v/>
      </c>
      <c r="AV63" s="19">
        <f>AV56-AV57-AV58-AV59</f>
        <v/>
      </c>
      <c r="AW63" s="19">
        <f>AW56-AW57-AW58-AW59</f>
        <v/>
      </c>
      <c r="AX63" s="19">
        <f>AX56-AX57-AX58-AX59</f>
        <v/>
      </c>
      <c r="AY63" s="19">
        <f>AY56-AY57-AY58-AY59</f>
        <v/>
      </c>
      <c r="AZ63" s="19">
        <f>AZ56-AZ57-AZ58-AZ59</f>
        <v/>
      </c>
      <c r="BA63" s="57" t="n">
        <v>117696.93</v>
      </c>
      <c r="BB63" s="31" t="n">
        <v>0</v>
      </c>
      <c r="BC63" s="61" t="n">
        <v>0</v>
      </c>
      <c r="BD63" s="27" t="inlineStr"/>
    </row>
    <row r="64">
      <c r="A64" s="42" t="n"/>
      <c r="B64" s="42" t="n"/>
      <c r="C64" s="42" t="n"/>
      <c r="D64" s="42" t="n"/>
      <c r="E64" s="42" t="n"/>
      <c r="F64" s="42" t="n"/>
      <c r="G64" s="42" t="n"/>
      <c r="H64" s="42" t="n"/>
      <c r="I64" s="42" t="n"/>
      <c r="J64" s="42" t="n"/>
      <c r="K64" s="42" t="n"/>
      <c r="L64" s="42" t="n"/>
      <c r="M64" s="42" t="n"/>
      <c r="N64" s="42" t="n"/>
      <c r="O64" s="42" t="n"/>
      <c r="P64" s="42" t="n"/>
      <c r="Q64" s="42" t="n"/>
      <c r="R64" s="35" t="inlineStr">
        <is>
          <t>GP3毛利率(%)</t>
        </is>
      </c>
      <c r="S64" s="36">
        <f>S63/S56</f>
        <v/>
      </c>
      <c r="T64" s="36">
        <f>T63/T56</f>
        <v/>
      </c>
      <c r="U64" s="37">
        <f>U63/U56</f>
        <v/>
      </c>
      <c r="V64" s="36">
        <f>V63/V56</f>
        <v/>
      </c>
      <c r="W64" s="36">
        <f>W63/W56</f>
        <v/>
      </c>
      <c r="X64" s="36">
        <f>X63/X56</f>
        <v/>
      </c>
      <c r="Y64" s="36">
        <f>Y63/Y56</f>
        <v/>
      </c>
      <c r="Z64" s="36">
        <f>Z63/Z56</f>
        <v/>
      </c>
      <c r="AA64" s="36">
        <f>AA63/AA56</f>
        <v/>
      </c>
      <c r="AB64" s="36">
        <f>AB63/AB56</f>
        <v/>
      </c>
      <c r="AC64" s="36">
        <f>AC63/AC56</f>
        <v/>
      </c>
      <c r="AD64" s="36">
        <f>AD63/AD56</f>
        <v/>
      </c>
      <c r="AE64" s="36">
        <f>AE63/AE56</f>
        <v/>
      </c>
      <c r="AF64" s="36">
        <f>AF63/AF56</f>
        <v/>
      </c>
      <c r="AG64" s="36">
        <f>AG63/AG56</f>
        <v/>
      </c>
      <c r="AH64" s="38">
        <f>T64-S64</f>
        <v/>
      </c>
      <c r="AI64" s="38">
        <f>AF64-S64</f>
        <v/>
      </c>
      <c r="AJ64" s="42" t="n"/>
      <c r="AK64" s="42" t="n"/>
      <c r="AL64" s="42" t="n"/>
      <c r="AM64" s="42" t="n"/>
      <c r="AN64" s="42" t="n"/>
      <c r="AO64" s="36">
        <f>AO63/AO56</f>
        <v/>
      </c>
      <c r="AP64" s="36">
        <f>AP63/AP56</f>
        <v/>
      </c>
      <c r="AQ64" s="36">
        <f>AQ63/AQ56</f>
        <v/>
      </c>
      <c r="AR64" s="36">
        <f>AR63/AR56</f>
        <v/>
      </c>
      <c r="AS64" s="36">
        <f>AS63/AS56</f>
        <v/>
      </c>
      <c r="AT64" s="36">
        <f>AT63/AT56</f>
        <v/>
      </c>
      <c r="AU64" s="36">
        <f>AU63/AU56</f>
        <v/>
      </c>
      <c r="AV64" s="36">
        <f>AV63/AV56</f>
        <v/>
      </c>
      <c r="AW64" s="36">
        <f>AW63/AW56</f>
        <v/>
      </c>
      <c r="AX64" s="36">
        <f>AX63/AX56</f>
        <v/>
      </c>
      <c r="AY64" s="36">
        <f>AY63/AY56</f>
        <v/>
      </c>
      <c r="AZ64" s="36">
        <f>AZ63/AZ56</f>
        <v/>
      </c>
      <c r="BA64" s="56" t="n">
        <v>0.270567655172414</v>
      </c>
      <c r="BB64" s="39" t="n">
        <v>0</v>
      </c>
      <c r="BC64" s="61" t="n">
        <v>0</v>
      </c>
      <c r="BD64" s="27" t="inlineStr"/>
    </row>
    <row r="65">
      <c r="A65" s="43" t="inlineStr">
        <is>
          <t>P202511000193</t>
        </is>
      </c>
      <c r="B65" s="44" t="inlineStr">
        <is>
          <t>中国兽医药品监察所-2025-2026年OA办公系统运行维护服务-FP项目</t>
        </is>
      </c>
      <c r="C65" s="45" t="n">
        <v>45962</v>
      </c>
      <c r="D65" s="45" t="n">
        <v>46271</v>
      </c>
      <c r="E65" s="15" t="n"/>
      <c r="F65" s="15" t="n">
        <v>0.188</v>
      </c>
      <c r="G65" s="17" t="n"/>
      <c r="H65" s="17" t="n"/>
      <c r="I65" s="17" t="n"/>
      <c r="J65" s="17" t="n"/>
      <c r="K65" s="17" t="n"/>
      <c r="L65" s="17" t="n"/>
      <c r="M65" s="17" t="n"/>
      <c r="N65" s="17" t="n"/>
      <c r="O65" s="17" t="n"/>
      <c r="P65" s="17" t="n"/>
      <c r="Q65" s="17" t="inlineStr"/>
      <c r="R65" s="48" t="inlineStr">
        <is>
          <t>累计收入（NR）</t>
        </is>
      </c>
      <c r="S65" s="19" t="n">
        <v>80188.67999999999</v>
      </c>
      <c r="T65" s="19">
        <f>SUM(AO65:BC65)</f>
        <v/>
      </c>
      <c r="U65" s="20">
        <f>SUM(BA65:BC65)</f>
        <v/>
      </c>
      <c r="V65" s="19">
        <f>SUM(AO65:AZ65)</f>
        <v/>
      </c>
      <c r="W65" s="19">
        <f>SUM(AP65:AZ65)</f>
        <v/>
      </c>
      <c r="X65" s="19" t="n">
        <v>0</v>
      </c>
      <c r="Y65" s="19" t="n">
        <v>0</v>
      </c>
      <c r="Z65" s="19">
        <f>SUM(AS65:AZ65)</f>
        <v/>
      </c>
      <c r="AA65" s="19">
        <f>SUM(AT65:AZ65)</f>
        <v/>
      </c>
      <c r="AB65" s="19">
        <f>SUM(AU65:AZ65)</f>
        <v/>
      </c>
      <c r="AC65" s="19">
        <f>SUM(AV65:AZ65)</f>
        <v/>
      </c>
      <c r="AD65" s="19">
        <f>SUM(AW65:AZ65)</f>
        <v/>
      </c>
      <c r="AE65" s="19">
        <f>SUM(AX65:AZ65)</f>
        <v/>
      </c>
      <c r="AF65" s="19">
        <f>SUM(AY65:AZ65)</f>
        <v/>
      </c>
      <c r="AG65" s="19">
        <f>SUM(AZ65:AZ65)</f>
        <v/>
      </c>
      <c r="AH65" s="21" t="n">
        <v>0</v>
      </c>
      <c r="AI65" s="21" t="n">
        <v>0</v>
      </c>
      <c r="AJ65" s="44" t="inlineStr"/>
      <c r="AK65" s="49" t="inlineStr">
        <is>
          <t>农业运维项目，收入由系统每月自动计入，成本视实际投入情况填报</t>
        </is>
      </c>
      <c r="AL65" s="49" t="inlineStr"/>
      <c r="AM65" s="49" t="inlineStr"/>
      <c r="AN65" s="24" t="n"/>
      <c r="AO65" s="19" t="n">
        <v>0</v>
      </c>
      <c r="AP65" s="19" t="n">
        <v>0</v>
      </c>
      <c r="AQ65" s="19" t="n">
        <v>0</v>
      </c>
      <c r="AR65" s="19" t="n">
        <v>0</v>
      </c>
      <c r="AS65" s="19" t="n">
        <v>0</v>
      </c>
      <c r="AT65" s="19" t="n">
        <v>0</v>
      </c>
      <c r="AU65" s="19" t="n">
        <v>0</v>
      </c>
      <c r="AV65" s="19" t="n">
        <v>0</v>
      </c>
      <c r="AW65" s="19" t="n">
        <v>0</v>
      </c>
      <c r="AX65" s="19" t="n">
        <v>0</v>
      </c>
      <c r="AY65" s="19" t="n">
        <v>7242.89</v>
      </c>
      <c r="AZ65" s="19" t="n">
        <v>8018.87</v>
      </c>
      <c r="BA65" s="50" t="n">
        <v>15477.62</v>
      </c>
      <c r="BB65" s="20" t="n">
        <v>0</v>
      </c>
      <c r="BC65" s="61"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人工成本（成本１）</t>
        </is>
      </c>
      <c r="S66" s="19" t="n">
        <v>64941.27</v>
      </c>
      <c r="T66" s="19">
        <f>SUM(AO66:BC66)</f>
        <v/>
      </c>
      <c r="U66" s="20">
        <f>SUM(BA66:BC66)</f>
        <v/>
      </c>
      <c r="V66" s="19">
        <f>SUM(AO66:AZ66)</f>
        <v/>
      </c>
      <c r="W66" s="19">
        <f>SUM(AP66:AZ66)</f>
        <v/>
      </c>
      <c r="X66" s="19" t="n">
        <v>0</v>
      </c>
      <c r="Y66" s="19" t="n">
        <v>0</v>
      </c>
      <c r="Z66" s="19">
        <f>SUM(AS66:AZ66)</f>
        <v/>
      </c>
      <c r="AA66" s="19">
        <f>SUM(AT66:AZ66)</f>
        <v/>
      </c>
      <c r="AB66" s="19">
        <f>SUM(AU66:AZ66)</f>
        <v/>
      </c>
      <c r="AC66" s="19">
        <f>SUM(AV66:AZ66)</f>
        <v/>
      </c>
      <c r="AD66" s="19">
        <f>SUM(AW66:AZ66)</f>
        <v/>
      </c>
      <c r="AE66" s="19">
        <f>SUM(AX66:AZ66)</f>
        <v/>
      </c>
      <c r="AF66" s="19">
        <f>SUM(AY66:AZ66)</f>
        <v/>
      </c>
      <c r="AG66" s="19">
        <f>SUM(AZ66:AZ66)</f>
        <v/>
      </c>
      <c r="AH66" s="21" t="n">
        <v>0</v>
      </c>
      <c r="AI66" s="21" t="n">
        <v>0</v>
      </c>
      <c r="AJ66" s="28" t="n"/>
      <c r="AK66" s="28" t="n"/>
      <c r="AL66" s="28" t="n"/>
      <c r="AM66" s="28" t="n"/>
      <c r="AN66" s="28" t="n"/>
      <c r="AO66" s="19" t="n">
        <v>0</v>
      </c>
      <c r="AP66" s="19" t="n">
        <v>0</v>
      </c>
      <c r="AQ66" s="19" t="n">
        <v>0</v>
      </c>
      <c r="AR66" s="19" t="n">
        <v>0</v>
      </c>
      <c r="AS66" s="19" t="n">
        <v>0</v>
      </c>
      <c r="AT66" s="19" t="n">
        <v>0</v>
      </c>
      <c r="AU66" s="19" t="n">
        <v>0</v>
      </c>
      <c r="AV66" s="19" t="n">
        <v>0</v>
      </c>
      <c r="AW66" s="19" t="n">
        <v>0</v>
      </c>
      <c r="AX66" s="19" t="n">
        <v>0</v>
      </c>
      <c r="AY66" s="19" t="n">
        <v>4136.15</v>
      </c>
      <c r="AZ66" s="19" t="n">
        <v>22059.37</v>
      </c>
      <c r="BA66" s="50" t="n">
        <v>0</v>
      </c>
      <c r="BB66" s="20" t="n">
        <v>0</v>
      </c>
      <c r="BC66" s="61"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差旅费（成本３）</t>
        </is>
      </c>
      <c r="S67" s="19" t="n">
        <v>0</v>
      </c>
      <c r="T67" s="19">
        <f>SUM(AO67:BC67)</f>
        <v/>
      </c>
      <c r="U67" s="20">
        <f>SUM(BA67:BC67)</f>
        <v/>
      </c>
      <c r="V67" s="19">
        <f>SUM(AO67:AZ67)</f>
        <v/>
      </c>
      <c r="W67" s="19">
        <f>SUM(AP67:AZ67)</f>
        <v/>
      </c>
      <c r="X67" s="19" t="n">
        <v>0</v>
      </c>
      <c r="Y67" s="19" t="n">
        <v>0</v>
      </c>
      <c r="Z67" s="19">
        <f>SUM(AS67:AZ67)</f>
        <v/>
      </c>
      <c r="AA67" s="19">
        <f>SUM(AT67:AZ67)</f>
        <v/>
      </c>
      <c r="AB67" s="19">
        <f>SUM(AU67:AZ67)</f>
        <v/>
      </c>
      <c r="AC67" s="19">
        <f>SUM(AV67:AZ67)</f>
        <v/>
      </c>
      <c r="AD67" s="19">
        <f>SUM(AW67:AZ67)</f>
        <v/>
      </c>
      <c r="AE67" s="19">
        <f>SUM(AX67:AZ67)</f>
        <v/>
      </c>
      <c r="AF67" s="19">
        <f>SUM(AY67:AZ67)</f>
        <v/>
      </c>
      <c r="AG67" s="19">
        <f>SUM(AZ67:AZ67)</f>
        <v/>
      </c>
      <c r="AH67" s="21" t="n">
        <v>0</v>
      </c>
      <c r="AI67" s="21" t="n">
        <v>0</v>
      </c>
      <c r="AJ67" s="28" t="n"/>
      <c r="AK67" s="28" t="n"/>
      <c r="AL67" s="28" t="n"/>
      <c r="AM67" s="28" t="n"/>
      <c r="AN67" s="28" t="n"/>
      <c r="AO67" s="19" t="n">
        <v>0</v>
      </c>
      <c r="AP67" s="19" t="n">
        <v>0</v>
      </c>
      <c r="AQ67" s="19" t="n">
        <v>0</v>
      </c>
      <c r="AR67" s="19" t="n">
        <v>0</v>
      </c>
      <c r="AS67" s="19" t="n">
        <v>0</v>
      </c>
      <c r="AT67" s="19" t="n">
        <v>0</v>
      </c>
      <c r="AU67" s="19" t="n">
        <v>0</v>
      </c>
      <c r="AV67" s="19" t="n">
        <v>0</v>
      </c>
      <c r="AW67" s="19" t="n">
        <v>0</v>
      </c>
      <c r="AX67" s="19" t="n">
        <v>0</v>
      </c>
      <c r="AY67" s="19" t="n">
        <v>0</v>
      </c>
      <c r="AZ67" s="19" t="n">
        <v>0</v>
      </c>
      <c r="BA67" s="50" t="n">
        <v>0</v>
      </c>
      <c r="BB67" s="20" t="n">
        <v>0</v>
      </c>
      <c r="BC67" s="61" t="n">
        <v>0</v>
      </c>
      <c r="BD67" s="27"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其他成本（成本３）</t>
        </is>
      </c>
      <c r="S68" s="19" t="n">
        <v>0</v>
      </c>
      <c r="T68" s="19">
        <f>SUM(AO68:BC68)</f>
        <v/>
      </c>
      <c r="U68" s="20">
        <f>SUM(BA68:BC68)</f>
        <v/>
      </c>
      <c r="V68" s="19">
        <f>SUM(AO68:AZ68)</f>
        <v/>
      </c>
      <c r="W68" s="19">
        <f>SUM(AP68:AZ68)</f>
        <v/>
      </c>
      <c r="X68" s="19" t="n">
        <v>0</v>
      </c>
      <c r="Y68" s="19" t="n">
        <v>0</v>
      </c>
      <c r="Z68" s="19">
        <f>SUM(AS68:AZ68)</f>
        <v/>
      </c>
      <c r="AA68" s="19">
        <f>SUM(AT68:AZ68)</f>
        <v/>
      </c>
      <c r="AB68" s="19">
        <f>SUM(AU68:AZ68)</f>
        <v/>
      </c>
      <c r="AC68" s="19">
        <f>SUM(AV68:AZ68)</f>
        <v/>
      </c>
      <c r="AD68" s="19">
        <f>SUM(AW68:AZ68)</f>
        <v/>
      </c>
      <c r="AE68" s="19">
        <f>SUM(AX68:AZ68)</f>
        <v/>
      </c>
      <c r="AF68" s="19">
        <f>SUM(AY68:AZ68)</f>
        <v/>
      </c>
      <c r="AG68" s="19">
        <f>SUM(AZ68:AZ68)</f>
        <v/>
      </c>
      <c r="AH68" s="21" t="n">
        <v>0</v>
      </c>
      <c r="AI68" s="21" t="n">
        <v>0</v>
      </c>
      <c r="AJ68" s="28" t="n"/>
      <c r="AK68" s="28" t="n"/>
      <c r="AL68" s="28" t="n"/>
      <c r="AM68" s="28" t="n"/>
      <c r="AN68" s="28" t="n"/>
      <c r="AO68" s="19" t="n">
        <v>0</v>
      </c>
      <c r="AP68" s="19" t="n">
        <v>0</v>
      </c>
      <c r="AQ68" s="19" t="n">
        <v>0</v>
      </c>
      <c r="AR68" s="19" t="n">
        <v>0</v>
      </c>
      <c r="AS68" s="19" t="n">
        <v>0</v>
      </c>
      <c r="AT68" s="19" t="n">
        <v>0</v>
      </c>
      <c r="AU68" s="19" t="n">
        <v>0</v>
      </c>
      <c r="AV68" s="19" t="n">
        <v>0</v>
      </c>
      <c r="AW68" s="19" t="n">
        <v>0</v>
      </c>
      <c r="AX68" s="19" t="n">
        <v>0</v>
      </c>
      <c r="AY68" s="19" t="n">
        <v>0</v>
      </c>
      <c r="AZ68" s="19" t="n">
        <v>-16.3</v>
      </c>
      <c r="BA68" s="50" t="n">
        <v>-56.65</v>
      </c>
      <c r="BB68" s="20" t="n">
        <v>0</v>
      </c>
      <c r="BC68" s="61"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29" t="inlineStr">
        <is>
          <t>累计成本</t>
        </is>
      </c>
      <c r="S69" s="30">
        <f>SUM(S66:S68)</f>
        <v/>
      </c>
      <c r="T69" s="30">
        <f>SUM(T66:T68)</f>
        <v/>
      </c>
      <c r="U69" s="31">
        <f>SUM(U66:U68)</f>
        <v/>
      </c>
      <c r="V69" s="30">
        <f>SUM(V66:V68)</f>
        <v/>
      </c>
      <c r="W69" s="30">
        <f>SUM(W66:W68)</f>
        <v/>
      </c>
      <c r="X69" s="30">
        <f>SUM(X66:X68)</f>
        <v/>
      </c>
      <c r="Y69" s="30">
        <f>SUM(Y66:Y68)</f>
        <v/>
      </c>
      <c r="Z69" s="30">
        <f>SUM(Z66:Z68)</f>
        <v/>
      </c>
      <c r="AA69" s="30">
        <f>SUM(AA66:AA68)</f>
        <v/>
      </c>
      <c r="AB69" s="30">
        <f>SUM(AB66:AB68)</f>
        <v/>
      </c>
      <c r="AC69" s="30">
        <f>SUM(AC66:AC68)</f>
        <v/>
      </c>
      <c r="AD69" s="30">
        <f>SUM(AD66:AD68)</f>
        <v/>
      </c>
      <c r="AE69" s="30">
        <f>SUM(AE66:AE68)</f>
        <v/>
      </c>
      <c r="AF69" s="30">
        <f>SUM(AF66:AF68)</f>
        <v/>
      </c>
      <c r="AG69" s="30">
        <f>SUM(AG66:AG68)</f>
        <v/>
      </c>
      <c r="AH69" s="30">
        <f>SUM(AH66:AH68)</f>
        <v/>
      </c>
      <c r="AI69" s="30">
        <f>SUM(AI66:AI68)</f>
        <v/>
      </c>
      <c r="AJ69" s="28" t="n"/>
      <c r="AK69" s="28" t="n"/>
      <c r="AL69" s="28" t="n"/>
      <c r="AM69" s="28" t="n"/>
      <c r="AN69" s="28" t="n"/>
      <c r="AO69" s="30">
        <f>SUM(AO66:AO68)</f>
        <v/>
      </c>
      <c r="AP69" s="30">
        <f>SUM(AP66:AP68)</f>
        <v/>
      </c>
      <c r="AQ69" s="30">
        <f>SUM(AQ66:AQ68)</f>
        <v/>
      </c>
      <c r="AR69" s="30">
        <f>SUM(AR66:AR68)</f>
        <v/>
      </c>
      <c r="AS69" s="30">
        <f>SUM(AS66:AS68)</f>
        <v/>
      </c>
      <c r="AT69" s="30">
        <f>SUM(AT66:AT68)</f>
        <v/>
      </c>
      <c r="AU69" s="30">
        <f>SUM(AU66:AU68)</f>
        <v/>
      </c>
      <c r="AV69" s="30">
        <f>SUM(AV66:AV68)</f>
        <v/>
      </c>
      <c r="AW69" s="30">
        <f>SUM(AW66:AW68)</f>
        <v/>
      </c>
      <c r="AX69" s="30">
        <f>SUM(AX66:AX68)</f>
        <v/>
      </c>
      <c r="AY69" s="30">
        <f>SUM(AY66:AY68)</f>
        <v/>
      </c>
      <c r="AZ69" s="30">
        <f>SUM(AZ66:AZ68)</f>
        <v/>
      </c>
      <c r="BA69" s="53" t="n">
        <v>-56.65</v>
      </c>
      <c r="BB69" s="31">
        <f>SUM(BB66:BB68)</f>
        <v/>
      </c>
      <c r="BC69" s="54">
        <f>SUM(BC66:BC68)</f>
        <v/>
      </c>
      <c r="BD69" s="32"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GP1毛利</t>
        </is>
      </c>
      <c r="S70" s="19">
        <f>S65-S66</f>
        <v/>
      </c>
      <c r="T70" s="19">
        <f>T65-T66</f>
        <v/>
      </c>
      <c r="U70" s="20">
        <f>U65-U66</f>
        <v/>
      </c>
      <c r="V70" s="19">
        <f>V65-V66</f>
        <v/>
      </c>
      <c r="W70" s="19">
        <f>W65-W66</f>
        <v/>
      </c>
      <c r="X70" s="19" t="n">
        <v>0</v>
      </c>
      <c r="Y70" s="19" t="n">
        <v>0</v>
      </c>
      <c r="Z70" s="19">
        <f>Z65-Z66</f>
        <v/>
      </c>
      <c r="AA70" s="19">
        <f>AA65-AA66</f>
        <v/>
      </c>
      <c r="AB70" s="19">
        <f>AB65-AB66</f>
        <v/>
      </c>
      <c r="AC70" s="19">
        <f>AC65-AC66</f>
        <v/>
      </c>
      <c r="AD70" s="19">
        <f>AD65-AD66</f>
        <v/>
      </c>
      <c r="AE70" s="19">
        <f>AE65-AE66</f>
        <v/>
      </c>
      <c r="AF70" s="19">
        <f>AF65-AF66</f>
        <v/>
      </c>
      <c r="AG70" s="19">
        <f>AG65-AG66</f>
        <v/>
      </c>
      <c r="AH70" s="33" t="n">
        <v>0</v>
      </c>
      <c r="AI70" s="33" t="n">
        <v>0</v>
      </c>
      <c r="AJ70" s="28" t="n"/>
      <c r="AK70" s="28" t="n"/>
      <c r="AL70" s="28" t="n"/>
      <c r="AM70" s="28" t="n"/>
      <c r="AN70" s="28" t="n"/>
      <c r="AO70" s="19">
        <f>AO65-AO66</f>
        <v/>
      </c>
      <c r="AP70" s="19">
        <f>AP65-AP66</f>
        <v/>
      </c>
      <c r="AQ70" s="19">
        <f>AQ65-AQ66</f>
        <v/>
      </c>
      <c r="AR70" s="19">
        <f>AR65-AR66</f>
        <v/>
      </c>
      <c r="AS70" s="19">
        <f>AS65-AS66</f>
        <v/>
      </c>
      <c r="AT70" s="19">
        <f>AT65-AT66</f>
        <v/>
      </c>
      <c r="AU70" s="19">
        <f>AU65-AU66</f>
        <v/>
      </c>
      <c r="AV70" s="19">
        <f>AV65-AV66</f>
        <v/>
      </c>
      <c r="AW70" s="19">
        <f>AW65-AW66</f>
        <v/>
      </c>
      <c r="AX70" s="19">
        <f>AX65-AX66</f>
        <v/>
      </c>
      <c r="AY70" s="19">
        <f>AY65-AY66</f>
        <v/>
      </c>
      <c r="AZ70" s="19">
        <f>AZ65-AZ66</f>
        <v/>
      </c>
      <c r="BA70" s="55" t="n">
        <v>15477.62</v>
      </c>
      <c r="BB70" s="31" t="n">
        <v>0</v>
      </c>
      <c r="BC70" s="61" t="n">
        <v>0</v>
      </c>
      <c r="BD70" s="27" t="inlineStr"/>
    </row>
    <row r="71">
      <c r="A71" s="28" t="n"/>
      <c r="B71" s="28" t="n"/>
      <c r="C71" s="28" t="n"/>
      <c r="D71" s="28" t="n"/>
      <c r="E71" s="28" t="n"/>
      <c r="F71" s="28" t="n"/>
      <c r="G71" s="28" t="n"/>
      <c r="H71" s="28" t="n"/>
      <c r="I71" s="28" t="n"/>
      <c r="J71" s="28" t="n"/>
      <c r="K71" s="28" t="n"/>
      <c r="L71" s="28" t="n"/>
      <c r="M71" s="28" t="n"/>
      <c r="N71" s="28" t="n"/>
      <c r="O71" s="28" t="n"/>
      <c r="P71" s="28" t="n"/>
      <c r="Q71" s="28" t="n"/>
      <c r="R71" s="35" t="inlineStr">
        <is>
          <t>GP1毛利率(%)</t>
        </is>
      </c>
      <c r="S71" s="36">
        <f>S70/S65</f>
        <v/>
      </c>
      <c r="T71" s="36">
        <f>T70/T65</f>
        <v/>
      </c>
      <c r="U71" s="37">
        <f>U70/U65</f>
        <v/>
      </c>
      <c r="V71" s="36">
        <f>V70/V65</f>
        <v/>
      </c>
      <c r="W71" s="36">
        <f>W70/W65</f>
        <v/>
      </c>
      <c r="X71" s="36" t="n">
        <v>0</v>
      </c>
      <c r="Y71" s="36" t="n">
        <v>0</v>
      </c>
      <c r="Z71" s="36">
        <f>Z70/Z65</f>
        <v/>
      </c>
      <c r="AA71" s="36">
        <f>AA70/AA65</f>
        <v/>
      </c>
      <c r="AB71" s="36">
        <f>AB70/AB65</f>
        <v/>
      </c>
      <c r="AC71" s="36">
        <f>AC70/AC65</f>
        <v/>
      </c>
      <c r="AD71" s="36">
        <f>AD70/AD65</f>
        <v/>
      </c>
      <c r="AE71" s="36">
        <f>AE70/AE65</f>
        <v/>
      </c>
      <c r="AF71" s="36">
        <f>AF70/AF65</f>
        <v/>
      </c>
      <c r="AG71" s="36">
        <f>AG70/AG65</f>
        <v/>
      </c>
      <c r="AH71" s="38">
        <f>T71-S71</f>
        <v/>
      </c>
      <c r="AI71" s="38">
        <f>AF71-S71</f>
        <v/>
      </c>
      <c r="AJ71" s="28" t="n"/>
      <c r="AK71" s="28" t="n"/>
      <c r="AL71" s="28" t="n"/>
      <c r="AM71" s="28" t="n"/>
      <c r="AN71" s="28" t="n"/>
      <c r="AO71" s="36">
        <f>AO70/AO65</f>
        <v/>
      </c>
      <c r="AP71" s="36">
        <f>AP70/AP65</f>
        <v/>
      </c>
      <c r="AQ71" s="36">
        <f>AQ70/AQ65</f>
        <v/>
      </c>
      <c r="AR71" s="36">
        <f>AR70/AR65</f>
        <v/>
      </c>
      <c r="AS71" s="36">
        <f>AS70/AS65</f>
        <v/>
      </c>
      <c r="AT71" s="36">
        <f>AT70/AT65</f>
        <v/>
      </c>
      <c r="AU71" s="36">
        <f>AU70/AU65</f>
        <v/>
      </c>
      <c r="AV71" s="36">
        <f>AV70/AV65</f>
        <v/>
      </c>
      <c r="AW71" s="36">
        <f>AW70/AW65</f>
        <v/>
      </c>
      <c r="AX71" s="36">
        <f>AX70/AX65</f>
        <v/>
      </c>
      <c r="AY71" s="36">
        <f>AY70/AY65</f>
        <v/>
      </c>
      <c r="AZ71" s="36">
        <f>AZ70/AZ65</f>
        <v/>
      </c>
      <c r="BA71" s="56" t="n">
        <v>1</v>
      </c>
      <c r="BB71" s="39" t="n">
        <v>0</v>
      </c>
      <c r="BC71" s="61" t="n">
        <v>0</v>
      </c>
      <c r="BD71" s="27" t="inlineStr"/>
    </row>
    <row r="72">
      <c r="A72" s="28" t="n"/>
      <c r="B72" s="28" t="n"/>
      <c r="C72" s="28" t="n"/>
      <c r="D72" s="28" t="n"/>
      <c r="E72" s="28" t="n"/>
      <c r="F72" s="28" t="n"/>
      <c r="G72" s="28" t="n"/>
      <c r="H72" s="28" t="n"/>
      <c r="I72" s="28" t="n"/>
      <c r="J72" s="28" t="n"/>
      <c r="K72" s="28" t="n"/>
      <c r="L72" s="28" t="n"/>
      <c r="M72" s="28" t="n"/>
      <c r="N72" s="28" t="n"/>
      <c r="O72" s="28" t="n"/>
      <c r="P72" s="28" t="n"/>
      <c r="Q72" s="28" t="n"/>
      <c r="R72" s="29" t="inlineStr">
        <is>
          <t>GP3毛利</t>
        </is>
      </c>
      <c r="S72" s="19">
        <f>S65-S66-S67-S68</f>
        <v/>
      </c>
      <c r="T72" s="19">
        <f>T65-T66-T67-T68</f>
        <v/>
      </c>
      <c r="U72" s="20">
        <f>U65-U66-U67-U68</f>
        <v/>
      </c>
      <c r="V72" s="19">
        <f>V65-V66-V67-V68</f>
        <v/>
      </c>
      <c r="W72" s="19">
        <f>W65-W66-W67-W68</f>
        <v/>
      </c>
      <c r="X72" s="19" t="n">
        <v>0</v>
      </c>
      <c r="Y72" s="19" t="n">
        <v>0</v>
      </c>
      <c r="Z72" s="19">
        <f>Z65-Z66-Z67-Z68</f>
        <v/>
      </c>
      <c r="AA72" s="19">
        <f>AA65-AA66-AA67-AA68</f>
        <v/>
      </c>
      <c r="AB72" s="19">
        <f>AB65-AB66-AB67-AB68</f>
        <v/>
      </c>
      <c r="AC72" s="19">
        <f>AC65-AC66-AC67-AC68</f>
        <v/>
      </c>
      <c r="AD72" s="19">
        <f>AD65-AD66-AD67-AD68</f>
        <v/>
      </c>
      <c r="AE72" s="19">
        <f>AE65-AE66-AE67-AE68</f>
        <v/>
      </c>
      <c r="AF72" s="19">
        <f>AF65-AF66-AF67-AF68</f>
        <v/>
      </c>
      <c r="AG72" s="19">
        <f>AG65-AG66-AG67-AG68</f>
        <v/>
      </c>
      <c r="AH72" s="38" t="n">
        <v>0</v>
      </c>
      <c r="AI72" s="38" t="n">
        <v>0</v>
      </c>
      <c r="AJ72" s="28" t="n"/>
      <c r="AK72" s="28" t="n"/>
      <c r="AL72" s="28" t="n"/>
      <c r="AM72" s="28" t="n"/>
      <c r="AN72" s="28" t="n"/>
      <c r="AO72" s="19">
        <f>AO65-AO66-AO67-AO68</f>
        <v/>
      </c>
      <c r="AP72" s="19">
        <f>AP65-AP66-AP67-AP68</f>
        <v/>
      </c>
      <c r="AQ72" s="19">
        <f>AQ65-AQ66-AQ67-AQ68</f>
        <v/>
      </c>
      <c r="AR72" s="19">
        <f>AR65-AR66-AR67-AR68</f>
        <v/>
      </c>
      <c r="AS72" s="19">
        <f>AS65-AS66-AS67-AS68</f>
        <v/>
      </c>
      <c r="AT72" s="19">
        <f>AT65-AT66-AT67-AT68</f>
        <v/>
      </c>
      <c r="AU72" s="19">
        <f>AU65-AU66-AU67-AU68</f>
        <v/>
      </c>
      <c r="AV72" s="19">
        <f>AV65-AV66-AV67-AV68</f>
        <v/>
      </c>
      <c r="AW72" s="19">
        <f>AW65-AW66-AW67-AW68</f>
        <v/>
      </c>
      <c r="AX72" s="19">
        <f>AX65-AX66-AX67-AX68</f>
        <v/>
      </c>
      <c r="AY72" s="19">
        <f>AY65-AY66-AY67-AY68</f>
        <v/>
      </c>
      <c r="AZ72" s="19">
        <f>AZ65-AZ66-AZ67-AZ68</f>
        <v/>
      </c>
      <c r="BA72" s="57" t="n">
        <v>15534.27</v>
      </c>
      <c r="BB72" s="31" t="n">
        <v>0</v>
      </c>
      <c r="BC72" s="61" t="n">
        <v>0</v>
      </c>
      <c r="BD72" s="27" t="inlineStr"/>
    </row>
    <row r="73">
      <c r="A73" s="42" t="n"/>
      <c r="B73" s="42" t="n"/>
      <c r="C73" s="42" t="n"/>
      <c r="D73" s="42" t="n"/>
      <c r="E73" s="42" t="n"/>
      <c r="F73" s="42" t="n"/>
      <c r="G73" s="42" t="n"/>
      <c r="H73" s="42" t="n"/>
      <c r="I73" s="42" t="n"/>
      <c r="J73" s="42" t="n"/>
      <c r="K73" s="42" t="n"/>
      <c r="L73" s="42" t="n"/>
      <c r="M73" s="42" t="n"/>
      <c r="N73" s="42" t="n"/>
      <c r="O73" s="42" t="n"/>
      <c r="P73" s="42" t="n"/>
      <c r="Q73" s="42" t="n"/>
      <c r="R73" s="35" t="inlineStr">
        <is>
          <t>GP3毛利率(%)</t>
        </is>
      </c>
      <c r="S73" s="36">
        <f>S72/S65</f>
        <v/>
      </c>
      <c r="T73" s="36">
        <f>T72/T65</f>
        <v/>
      </c>
      <c r="U73" s="37">
        <f>U72/U65</f>
        <v/>
      </c>
      <c r="V73" s="36">
        <f>V72/V65</f>
        <v/>
      </c>
      <c r="W73" s="36">
        <f>W72/W65</f>
        <v/>
      </c>
      <c r="X73" s="36" t="n">
        <v>0</v>
      </c>
      <c r="Y73" s="36" t="n">
        <v>0</v>
      </c>
      <c r="Z73" s="36">
        <f>Z72/Z65</f>
        <v/>
      </c>
      <c r="AA73" s="36">
        <f>AA72/AA65</f>
        <v/>
      </c>
      <c r="AB73" s="36">
        <f>AB72/AB65</f>
        <v/>
      </c>
      <c r="AC73" s="36">
        <f>AC72/AC65</f>
        <v/>
      </c>
      <c r="AD73" s="36">
        <f>AD72/AD65</f>
        <v/>
      </c>
      <c r="AE73" s="36">
        <f>AE72/AE65</f>
        <v/>
      </c>
      <c r="AF73" s="36">
        <f>AF72/AF65</f>
        <v/>
      </c>
      <c r="AG73" s="36">
        <f>AG72/AG65</f>
        <v/>
      </c>
      <c r="AH73" s="38">
        <f>T73-S73</f>
        <v/>
      </c>
      <c r="AI73" s="38">
        <f>AF73-S73</f>
        <v/>
      </c>
      <c r="AJ73" s="42" t="n"/>
      <c r="AK73" s="42" t="n"/>
      <c r="AL73" s="42" t="n"/>
      <c r="AM73" s="42" t="n"/>
      <c r="AN73" s="42" t="n"/>
      <c r="AO73" s="36">
        <f>AO72/AO65</f>
        <v/>
      </c>
      <c r="AP73" s="36">
        <f>AP72/AP65</f>
        <v/>
      </c>
      <c r="AQ73" s="36">
        <f>AQ72/AQ65</f>
        <v/>
      </c>
      <c r="AR73" s="36">
        <f>AR72/AR65</f>
        <v/>
      </c>
      <c r="AS73" s="36">
        <f>AS72/AS65</f>
        <v/>
      </c>
      <c r="AT73" s="36">
        <f>AT72/AT65</f>
        <v/>
      </c>
      <c r="AU73" s="36">
        <f>AU72/AU65</f>
        <v/>
      </c>
      <c r="AV73" s="36">
        <f>AV72/AV65</f>
        <v/>
      </c>
      <c r="AW73" s="36">
        <f>AW72/AW65</f>
        <v/>
      </c>
      <c r="AX73" s="36">
        <f>AX72/AX65</f>
        <v/>
      </c>
      <c r="AY73" s="36">
        <f>AY72/AY65</f>
        <v/>
      </c>
      <c r="AZ73" s="36">
        <f>AZ72/AZ65</f>
        <v/>
      </c>
      <c r="BA73" s="56" t="n">
        <v>1.00366012345567</v>
      </c>
      <c r="BB73" s="39" t="n">
        <v>0</v>
      </c>
      <c r="BC73" s="61" t="n">
        <v>0</v>
      </c>
      <c r="BD73" s="27" t="inlineStr"/>
    </row>
    <row r="74">
      <c r="A74" s="43" t="inlineStr">
        <is>
          <t>P202512000483</t>
        </is>
      </c>
      <c r="B74" s="44" t="inlineStr">
        <is>
          <t>审计署审计干部培训中心（审计宣传中心）-信息报送系统2026年度运维服务合同-FP项目</t>
        </is>
      </c>
      <c r="C74" s="45" t="n">
        <v>46023</v>
      </c>
      <c r="D74" s="45" t="n">
        <v>46387</v>
      </c>
      <c r="E74" s="15" t="n"/>
      <c r="F74" s="15" t="n">
        <v>0</v>
      </c>
      <c r="G74" s="17" t="n"/>
      <c r="H74" s="17" t="n"/>
      <c r="I74" s="17" t="n"/>
      <c r="J74" s="17" t="n"/>
      <c r="K74" s="17" t="n"/>
      <c r="L74" s="17" t="n"/>
      <c r="M74" s="17" t="n"/>
      <c r="N74" s="17" t="n"/>
      <c r="O74" s="17" t="n"/>
      <c r="P74" s="17" t="n"/>
      <c r="Q74" s="17" t="inlineStr"/>
      <c r="R74" s="48" t="inlineStr">
        <is>
          <t>累计收入（NR）</t>
        </is>
      </c>
      <c r="S74" s="19" t="n">
        <v>66037.74000000001</v>
      </c>
      <c r="T74" s="19" t="n">
        <v>0</v>
      </c>
      <c r="U74" s="20">
        <f>SUM(BA74:BC74)</f>
        <v/>
      </c>
      <c r="V74" s="19">
        <f>SUM(AO74:AZ74)</f>
        <v/>
      </c>
      <c r="W74" s="19">
        <f>SUM(AP74:AZ74)</f>
        <v/>
      </c>
      <c r="X74" s="19" t="n">
        <v>0</v>
      </c>
      <c r="Y74" s="19" t="n">
        <v>0</v>
      </c>
      <c r="Z74" s="19">
        <f>SUM(AS74:AZ74)</f>
        <v/>
      </c>
      <c r="AA74" s="19">
        <f>SUM(AT74:AZ74)</f>
        <v/>
      </c>
      <c r="AB74" s="19">
        <f>SUM(AU74:AZ74)</f>
        <v/>
      </c>
      <c r="AC74" s="19">
        <f>SUM(AV74:AZ74)</f>
        <v/>
      </c>
      <c r="AD74" s="19">
        <f>SUM(AW74:AZ74)</f>
        <v/>
      </c>
      <c r="AE74" s="19">
        <f>SUM(AX74:AZ74)</f>
        <v/>
      </c>
      <c r="AF74" s="19">
        <f>SUM(AY74:AZ74)</f>
        <v/>
      </c>
      <c r="AG74" s="19">
        <f>SUM(AZ74:AZ74)</f>
        <v/>
      </c>
      <c r="AH74" s="21" t="n">
        <v>0</v>
      </c>
      <c r="AI74" s="21" t="n">
        <v>0</v>
      </c>
      <c r="AJ74" s="44" t="inlineStr"/>
      <c r="AK74" s="49" t="inlineStr"/>
      <c r="AL74" s="49" t="inlineStr"/>
      <c r="AM74" s="49" t="inlineStr"/>
      <c r="AN74" s="24" t="n"/>
      <c r="AO74" s="19" t="n">
        <v>0</v>
      </c>
      <c r="AP74" s="19" t="n">
        <v>0</v>
      </c>
      <c r="AQ74" s="19" t="n">
        <v>0</v>
      </c>
      <c r="AR74" s="19" t="n">
        <v>0</v>
      </c>
      <c r="AS74" s="19" t="n">
        <v>0</v>
      </c>
      <c r="AT74" s="19" t="n">
        <v>0</v>
      </c>
      <c r="AU74" s="19" t="n">
        <v>0</v>
      </c>
      <c r="AV74" s="19" t="n">
        <v>0</v>
      </c>
      <c r="AW74" s="19" t="n">
        <v>0</v>
      </c>
      <c r="AX74" s="19" t="n">
        <v>0</v>
      </c>
      <c r="AY74" s="19" t="n">
        <v>5065.89</v>
      </c>
      <c r="AZ74" s="19" t="n">
        <v>5608.72</v>
      </c>
      <c r="BA74" s="50" t="n">
        <v>15477.62</v>
      </c>
      <c r="BB74" s="20" t="n">
        <v>0</v>
      </c>
      <c r="BC74" s="61"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人工成本（成本１）</t>
        </is>
      </c>
      <c r="S75" s="19" t="n">
        <v>47233.8</v>
      </c>
      <c r="T75" s="19" t="n">
        <v>0</v>
      </c>
      <c r="U75" s="20">
        <f>SUM(BA75:BC75)</f>
        <v/>
      </c>
      <c r="V75" s="19">
        <f>SUM(AO75:AZ75)</f>
        <v/>
      </c>
      <c r="W75" s="19">
        <f>SUM(AP75:AZ75)</f>
        <v/>
      </c>
      <c r="X75" s="19" t="n">
        <v>0</v>
      </c>
      <c r="Y75" s="19" t="n">
        <v>0</v>
      </c>
      <c r="Z75" s="19">
        <f>SUM(AS75:AZ75)</f>
        <v/>
      </c>
      <c r="AA75" s="19">
        <f>SUM(AT75:AZ75)</f>
        <v/>
      </c>
      <c r="AB75" s="19">
        <f>SUM(AU75:AZ75)</f>
        <v/>
      </c>
      <c r="AC75" s="19">
        <f>SUM(AV75:AZ75)</f>
        <v/>
      </c>
      <c r="AD75" s="19">
        <f>SUM(AW75:AZ75)</f>
        <v/>
      </c>
      <c r="AE75" s="19">
        <f>SUM(AX75:AZ75)</f>
        <v/>
      </c>
      <c r="AF75" s="19">
        <f>SUM(AY75:AZ75)</f>
        <v/>
      </c>
      <c r="AG75" s="19">
        <f>SUM(AZ75:AZ75)</f>
        <v/>
      </c>
      <c r="AH75" s="21" t="n">
        <v>0</v>
      </c>
      <c r="AI75" s="21" t="n">
        <v>0</v>
      </c>
      <c r="AJ75" s="28" t="n"/>
      <c r="AK75" s="28" t="n"/>
      <c r="AL75" s="28" t="n"/>
      <c r="AM75" s="28" t="n"/>
      <c r="AN75" s="28" t="n"/>
      <c r="AO75" s="19" t="n">
        <v>0</v>
      </c>
      <c r="AP75" s="19" t="n">
        <v>0</v>
      </c>
      <c r="AQ75" s="19" t="n">
        <v>0</v>
      </c>
      <c r="AR75" s="19" t="n">
        <v>0</v>
      </c>
      <c r="AS75" s="19" t="n">
        <v>0</v>
      </c>
      <c r="AT75" s="19" t="n">
        <v>0</v>
      </c>
      <c r="AU75" s="19" t="n">
        <v>0</v>
      </c>
      <c r="AV75" s="19" t="n">
        <v>0</v>
      </c>
      <c r="AW75" s="19" t="n">
        <v>0</v>
      </c>
      <c r="AX75" s="19" t="n">
        <v>0</v>
      </c>
      <c r="AY75" s="19" t="n">
        <v>0.01</v>
      </c>
      <c r="AZ75" s="19" t="n">
        <v>4659.53</v>
      </c>
      <c r="BA75" s="50" t="n">
        <v>0</v>
      </c>
      <c r="BB75" s="20" t="n">
        <v>0</v>
      </c>
      <c r="BC75" s="61"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差旅费（成本３）</t>
        </is>
      </c>
      <c r="S76" s="19" t="n">
        <v>8000</v>
      </c>
      <c r="T76" s="19" t="n">
        <v>0</v>
      </c>
      <c r="U76" s="20">
        <f>SUM(BA76:BC76)</f>
        <v/>
      </c>
      <c r="V76" s="19">
        <f>SUM(AO76:AZ76)</f>
        <v/>
      </c>
      <c r="W76" s="19">
        <f>SUM(AP76:AZ76)</f>
        <v/>
      </c>
      <c r="X76" s="19" t="n">
        <v>0</v>
      </c>
      <c r="Y76" s="19" t="n">
        <v>0</v>
      </c>
      <c r="Z76" s="19">
        <f>SUM(AS76:AZ76)</f>
        <v/>
      </c>
      <c r="AA76" s="19">
        <f>SUM(AT76:AZ76)</f>
        <v/>
      </c>
      <c r="AB76" s="19">
        <f>SUM(AU76:AZ76)</f>
        <v/>
      </c>
      <c r="AC76" s="19">
        <f>SUM(AV76:AZ76)</f>
        <v/>
      </c>
      <c r="AD76" s="19">
        <f>SUM(AW76:AZ76)</f>
        <v/>
      </c>
      <c r="AE76" s="19">
        <f>SUM(AX76:AZ76)</f>
        <v/>
      </c>
      <c r="AF76" s="19">
        <f>SUM(AY76:AZ76)</f>
        <v/>
      </c>
      <c r="AG76" s="19">
        <f>SUM(AZ76:AZ76)</f>
        <v/>
      </c>
      <c r="AH76" s="21" t="n">
        <v>0</v>
      </c>
      <c r="AI76" s="21" t="n">
        <v>0</v>
      </c>
      <c r="AJ76" s="28" t="n"/>
      <c r="AK76" s="28" t="n"/>
      <c r="AL76" s="28" t="n"/>
      <c r="AM76" s="28" t="n"/>
      <c r="AN76" s="28" t="n"/>
      <c r="AO76" s="19" t="n">
        <v>0</v>
      </c>
      <c r="AP76" s="19" t="n">
        <v>0</v>
      </c>
      <c r="AQ76" s="19" t="n">
        <v>0</v>
      </c>
      <c r="AR76" s="19" t="n">
        <v>0</v>
      </c>
      <c r="AS76" s="19" t="n">
        <v>0</v>
      </c>
      <c r="AT76" s="19" t="n">
        <v>0</v>
      </c>
      <c r="AU76" s="19" t="n">
        <v>0</v>
      </c>
      <c r="AV76" s="19" t="n">
        <v>0</v>
      </c>
      <c r="AW76" s="19" t="n">
        <v>0</v>
      </c>
      <c r="AX76" s="19" t="n">
        <v>0</v>
      </c>
      <c r="AY76" s="19" t="n">
        <v>0</v>
      </c>
      <c r="AZ76" s="19" t="n">
        <v>0</v>
      </c>
      <c r="BA76" s="50" t="n">
        <v>0</v>
      </c>
      <c r="BB76" s="20" t="n">
        <v>0</v>
      </c>
      <c r="BC76" s="61"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其他成本（成本３）</t>
        </is>
      </c>
      <c r="S77" s="19" t="n">
        <v>0</v>
      </c>
      <c r="T77" s="19" t="n">
        <v>0</v>
      </c>
      <c r="U77" s="20">
        <f>SUM(BA77:BC77)</f>
        <v/>
      </c>
      <c r="V77" s="19">
        <f>SUM(AO77:AZ77)</f>
        <v/>
      </c>
      <c r="W77" s="19">
        <f>SUM(AP77:AZ77)</f>
        <v/>
      </c>
      <c r="X77" s="19" t="n">
        <v>0</v>
      </c>
      <c r="Y77" s="19" t="n">
        <v>0</v>
      </c>
      <c r="Z77" s="19">
        <f>SUM(AS77:AZ77)</f>
        <v/>
      </c>
      <c r="AA77" s="19">
        <f>SUM(AT77:AZ77)</f>
        <v/>
      </c>
      <c r="AB77" s="19">
        <f>SUM(AU77:AZ77)</f>
        <v/>
      </c>
      <c r="AC77" s="19">
        <f>SUM(AV77:AZ77)</f>
        <v/>
      </c>
      <c r="AD77" s="19">
        <f>SUM(AW77:AZ77)</f>
        <v/>
      </c>
      <c r="AE77" s="19">
        <f>SUM(AX77:AZ77)</f>
        <v/>
      </c>
      <c r="AF77" s="19">
        <f>SUM(AY77:AZ77)</f>
        <v/>
      </c>
      <c r="AG77" s="19">
        <f>SUM(AZ77:AZ77)</f>
        <v/>
      </c>
      <c r="AH77" s="21" t="n">
        <v>0</v>
      </c>
      <c r="AI77" s="21" t="n">
        <v>0</v>
      </c>
      <c r="AJ77" s="28" t="n"/>
      <c r="AK77" s="28" t="n"/>
      <c r="AL77" s="28" t="n"/>
      <c r="AM77" s="28" t="n"/>
      <c r="AN77" s="28" t="n"/>
      <c r="AO77" s="19" t="n">
        <v>0</v>
      </c>
      <c r="AP77" s="19" t="n">
        <v>0</v>
      </c>
      <c r="AQ77" s="19" t="n">
        <v>0</v>
      </c>
      <c r="AR77" s="19" t="n">
        <v>0</v>
      </c>
      <c r="AS77" s="19" t="n">
        <v>0</v>
      </c>
      <c r="AT77" s="19" t="n">
        <v>0</v>
      </c>
      <c r="AU77" s="19" t="n">
        <v>0</v>
      </c>
      <c r="AV77" s="19" t="n">
        <v>0</v>
      </c>
      <c r="AW77" s="19" t="n">
        <v>0</v>
      </c>
      <c r="AX77" s="19" t="n">
        <v>0</v>
      </c>
      <c r="AY77" s="19" t="n">
        <v>-28.95</v>
      </c>
      <c r="AZ77" s="19" t="n">
        <v>-34.01</v>
      </c>
      <c r="BA77" s="50" t="n">
        <v>-56.65</v>
      </c>
      <c r="BB77" s="20" t="n">
        <v>0</v>
      </c>
      <c r="BC77" s="61" t="n">
        <v>0</v>
      </c>
      <c r="BD77" s="27"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累计成本</t>
        </is>
      </c>
      <c r="S78" s="30">
        <f>SUM(S75:S77)</f>
        <v/>
      </c>
      <c r="T78" s="30">
        <f>SUM(T75:T77)</f>
        <v/>
      </c>
      <c r="U78" s="31">
        <f>SUM(U75:U77)</f>
        <v/>
      </c>
      <c r="V78" s="30">
        <f>SUM(V75:V77)</f>
        <v/>
      </c>
      <c r="W78" s="30">
        <f>SUM(W75:W77)</f>
        <v/>
      </c>
      <c r="X78" s="30">
        <f>SUM(X75:X77)</f>
        <v/>
      </c>
      <c r="Y78" s="30">
        <f>SUM(Y75:Y77)</f>
        <v/>
      </c>
      <c r="Z78" s="30">
        <f>SUM(Z75:Z77)</f>
        <v/>
      </c>
      <c r="AA78" s="30">
        <f>SUM(AA75:AA77)</f>
        <v/>
      </c>
      <c r="AB78" s="30">
        <f>SUM(AB75:AB77)</f>
        <v/>
      </c>
      <c r="AC78" s="30">
        <f>SUM(AC75:AC77)</f>
        <v/>
      </c>
      <c r="AD78" s="30">
        <f>SUM(AD75:AD77)</f>
        <v/>
      </c>
      <c r="AE78" s="30">
        <f>SUM(AE75:AE77)</f>
        <v/>
      </c>
      <c r="AF78" s="30">
        <f>SUM(AF75:AF77)</f>
        <v/>
      </c>
      <c r="AG78" s="30">
        <f>SUM(AG75:AG77)</f>
        <v/>
      </c>
      <c r="AH78" s="30">
        <f>SUM(AH75:AH77)</f>
        <v/>
      </c>
      <c r="AI78" s="30">
        <f>SUM(AI75:AI77)</f>
        <v/>
      </c>
      <c r="AJ78" s="28" t="n"/>
      <c r="AK78" s="28" t="n"/>
      <c r="AL78" s="28" t="n"/>
      <c r="AM78" s="28" t="n"/>
      <c r="AN78" s="28" t="n"/>
      <c r="AO78" s="30">
        <f>SUM(AO75:AO77)</f>
        <v/>
      </c>
      <c r="AP78" s="30">
        <f>SUM(AP75:AP77)</f>
        <v/>
      </c>
      <c r="AQ78" s="30">
        <f>SUM(AQ75:AQ77)</f>
        <v/>
      </c>
      <c r="AR78" s="30">
        <f>SUM(AR75:AR77)</f>
        <v/>
      </c>
      <c r="AS78" s="30">
        <f>SUM(AS75:AS77)</f>
        <v/>
      </c>
      <c r="AT78" s="30">
        <f>SUM(AT75:AT77)</f>
        <v/>
      </c>
      <c r="AU78" s="30">
        <f>SUM(AU75:AU77)</f>
        <v/>
      </c>
      <c r="AV78" s="30">
        <f>SUM(AV75:AV77)</f>
        <v/>
      </c>
      <c r="AW78" s="30">
        <f>SUM(AW75:AW77)</f>
        <v/>
      </c>
      <c r="AX78" s="30">
        <f>SUM(AX75:AX77)</f>
        <v/>
      </c>
      <c r="AY78" s="30">
        <f>SUM(AY75:AY77)</f>
        <v/>
      </c>
      <c r="AZ78" s="30">
        <f>SUM(AZ75:AZ77)</f>
        <v/>
      </c>
      <c r="BA78" s="53" t="n">
        <v>-56.65</v>
      </c>
      <c r="BB78" s="31">
        <f>SUM(BB75:BB77)</f>
        <v/>
      </c>
      <c r="BC78" s="54">
        <f>SUM(BC75:BC77)</f>
        <v/>
      </c>
      <c r="BD78" s="32" t="inlineStr"/>
    </row>
    <row r="79">
      <c r="A79" s="28" t="n"/>
      <c r="B79" s="28" t="n"/>
      <c r="C79" s="28" t="n"/>
      <c r="D79" s="28" t="n"/>
      <c r="E79" s="28" t="n"/>
      <c r="F79" s="28" t="n"/>
      <c r="G79" s="28" t="n"/>
      <c r="H79" s="28" t="n"/>
      <c r="I79" s="28" t="n"/>
      <c r="J79" s="28" t="n"/>
      <c r="K79" s="28" t="n"/>
      <c r="L79" s="28" t="n"/>
      <c r="M79" s="28" t="n"/>
      <c r="N79" s="28" t="n"/>
      <c r="O79" s="28" t="n"/>
      <c r="P79" s="28" t="n"/>
      <c r="Q79" s="28" t="n"/>
      <c r="R79" s="29" t="inlineStr">
        <is>
          <t>GP1毛利</t>
        </is>
      </c>
      <c r="S79" s="19">
        <f>S74-S75</f>
        <v/>
      </c>
      <c r="T79" s="19" t="n">
        <v>0</v>
      </c>
      <c r="U79" s="20">
        <f>U74-U75</f>
        <v/>
      </c>
      <c r="V79" s="19">
        <f>V74-V75</f>
        <v/>
      </c>
      <c r="W79" s="19">
        <f>W74-W75</f>
        <v/>
      </c>
      <c r="X79" s="19" t="n">
        <v>0</v>
      </c>
      <c r="Y79" s="19" t="n">
        <v>0</v>
      </c>
      <c r="Z79" s="19">
        <f>Z74-Z75</f>
        <v/>
      </c>
      <c r="AA79" s="19">
        <f>AA74-AA75</f>
        <v/>
      </c>
      <c r="AB79" s="19">
        <f>AB74-AB75</f>
        <v/>
      </c>
      <c r="AC79" s="19">
        <f>AC74-AC75</f>
        <v/>
      </c>
      <c r="AD79" s="19">
        <f>AD74-AD75</f>
        <v/>
      </c>
      <c r="AE79" s="19">
        <f>AE74-AE75</f>
        <v/>
      </c>
      <c r="AF79" s="19">
        <f>AF74-AF75</f>
        <v/>
      </c>
      <c r="AG79" s="19">
        <f>AG74-AG75</f>
        <v/>
      </c>
      <c r="AH79" s="33" t="n">
        <v>0</v>
      </c>
      <c r="AI79" s="33" t="n">
        <v>0</v>
      </c>
      <c r="AJ79" s="28" t="n"/>
      <c r="AK79" s="28" t="n"/>
      <c r="AL79" s="28" t="n"/>
      <c r="AM79" s="28" t="n"/>
      <c r="AN79" s="28" t="n"/>
      <c r="AO79" s="19">
        <f>AO74-AO75</f>
        <v/>
      </c>
      <c r="AP79" s="19">
        <f>AP74-AP75</f>
        <v/>
      </c>
      <c r="AQ79" s="19">
        <f>AQ74-AQ75</f>
        <v/>
      </c>
      <c r="AR79" s="19">
        <f>AR74-AR75</f>
        <v/>
      </c>
      <c r="AS79" s="19">
        <f>AS74-AS75</f>
        <v/>
      </c>
      <c r="AT79" s="19">
        <f>AT74-AT75</f>
        <v/>
      </c>
      <c r="AU79" s="19">
        <f>AU74-AU75</f>
        <v/>
      </c>
      <c r="AV79" s="19">
        <f>AV74-AV75</f>
        <v/>
      </c>
      <c r="AW79" s="19">
        <f>AW74-AW75</f>
        <v/>
      </c>
      <c r="AX79" s="19">
        <f>AX74-AX75</f>
        <v/>
      </c>
      <c r="AY79" s="19">
        <f>AY74-AY75</f>
        <v/>
      </c>
      <c r="AZ79" s="19">
        <f>AZ74-AZ75</f>
        <v/>
      </c>
      <c r="BA79" s="55" t="n">
        <v>15477.62</v>
      </c>
      <c r="BB79" s="31" t="n">
        <v>0</v>
      </c>
      <c r="BC79" s="61"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35" t="inlineStr">
        <is>
          <t>GP1毛利率(%)</t>
        </is>
      </c>
      <c r="S80" s="36">
        <f>S79/S74</f>
        <v/>
      </c>
      <c r="T80" s="36" t="n">
        <v>0</v>
      </c>
      <c r="U80" s="37">
        <f>U79/U74</f>
        <v/>
      </c>
      <c r="V80" s="36">
        <f>V79/V74</f>
        <v/>
      </c>
      <c r="W80" s="36">
        <f>W79/W74</f>
        <v/>
      </c>
      <c r="X80" s="36" t="n">
        <v>0</v>
      </c>
      <c r="Y80" s="36" t="n">
        <v>0</v>
      </c>
      <c r="Z80" s="36">
        <f>Z79/Z74</f>
        <v/>
      </c>
      <c r="AA80" s="36">
        <f>AA79/AA74</f>
        <v/>
      </c>
      <c r="AB80" s="36">
        <f>AB79/AB74</f>
        <v/>
      </c>
      <c r="AC80" s="36">
        <f>AC79/AC74</f>
        <v/>
      </c>
      <c r="AD80" s="36">
        <f>AD79/AD74</f>
        <v/>
      </c>
      <c r="AE80" s="36">
        <f>AE79/AE74</f>
        <v/>
      </c>
      <c r="AF80" s="36">
        <f>AF79/AF74</f>
        <v/>
      </c>
      <c r="AG80" s="36">
        <f>AG79/AG74</f>
        <v/>
      </c>
      <c r="AH80" s="38">
        <f>T80-S80</f>
        <v/>
      </c>
      <c r="AI80" s="38">
        <f>AF80-S80</f>
        <v/>
      </c>
      <c r="AJ80" s="28" t="n"/>
      <c r="AK80" s="28" t="n"/>
      <c r="AL80" s="28" t="n"/>
      <c r="AM80" s="28" t="n"/>
      <c r="AN80" s="28" t="n"/>
      <c r="AO80" s="36">
        <f>AO79/AO74</f>
        <v/>
      </c>
      <c r="AP80" s="36">
        <f>AP79/AP74</f>
        <v/>
      </c>
      <c r="AQ80" s="36">
        <f>AQ79/AQ74</f>
        <v/>
      </c>
      <c r="AR80" s="36">
        <f>AR79/AR74</f>
        <v/>
      </c>
      <c r="AS80" s="36">
        <f>AS79/AS74</f>
        <v/>
      </c>
      <c r="AT80" s="36">
        <f>AT79/AT74</f>
        <v/>
      </c>
      <c r="AU80" s="36">
        <f>AU79/AU74</f>
        <v/>
      </c>
      <c r="AV80" s="36">
        <f>AV79/AV74</f>
        <v/>
      </c>
      <c r="AW80" s="36">
        <f>AW79/AW74</f>
        <v/>
      </c>
      <c r="AX80" s="36">
        <f>AX79/AX74</f>
        <v/>
      </c>
      <c r="AY80" s="36">
        <f>AY79/AY74</f>
        <v/>
      </c>
      <c r="AZ80" s="36">
        <f>AZ79/AZ74</f>
        <v/>
      </c>
      <c r="BA80" s="56" t="n">
        <v>1</v>
      </c>
      <c r="BB80" s="39" t="n">
        <v>0</v>
      </c>
      <c r="BC80" s="61" t="n">
        <v>0</v>
      </c>
      <c r="BD80" s="27" t="inlineStr"/>
    </row>
    <row r="81">
      <c r="A81" s="28" t="n"/>
      <c r="B81" s="28" t="n"/>
      <c r="C81" s="28" t="n"/>
      <c r="D81" s="28" t="n"/>
      <c r="E81" s="28" t="n"/>
      <c r="F81" s="28" t="n"/>
      <c r="G81" s="28" t="n"/>
      <c r="H81" s="28" t="n"/>
      <c r="I81" s="28" t="n"/>
      <c r="J81" s="28" t="n"/>
      <c r="K81" s="28" t="n"/>
      <c r="L81" s="28" t="n"/>
      <c r="M81" s="28" t="n"/>
      <c r="N81" s="28" t="n"/>
      <c r="O81" s="28" t="n"/>
      <c r="P81" s="28" t="n"/>
      <c r="Q81" s="28" t="n"/>
      <c r="R81" s="29" t="inlineStr">
        <is>
          <t>GP3毛利</t>
        </is>
      </c>
      <c r="S81" s="19">
        <f>S74-S75-S76-S77</f>
        <v/>
      </c>
      <c r="T81" s="19" t="n">
        <v>0</v>
      </c>
      <c r="U81" s="20">
        <f>U74-U75-U76-U77</f>
        <v/>
      </c>
      <c r="V81" s="19">
        <f>V74-V75-V76-V77</f>
        <v/>
      </c>
      <c r="W81" s="19">
        <f>W74-W75-W76-W77</f>
        <v/>
      </c>
      <c r="X81" s="19" t="n">
        <v>0</v>
      </c>
      <c r="Y81" s="19" t="n">
        <v>0</v>
      </c>
      <c r="Z81" s="19">
        <f>Z74-Z75-Z76-Z77</f>
        <v/>
      </c>
      <c r="AA81" s="19">
        <f>AA74-AA75-AA76-AA77</f>
        <v/>
      </c>
      <c r="AB81" s="19">
        <f>AB74-AB75-AB76-AB77</f>
        <v/>
      </c>
      <c r="AC81" s="19">
        <f>AC74-AC75-AC76-AC77</f>
        <v/>
      </c>
      <c r="AD81" s="19">
        <f>AD74-AD75-AD76-AD77</f>
        <v/>
      </c>
      <c r="AE81" s="19">
        <f>AE74-AE75-AE76-AE77</f>
        <v/>
      </c>
      <c r="AF81" s="19">
        <f>AF74-AF75-AF76-AF77</f>
        <v/>
      </c>
      <c r="AG81" s="19">
        <f>AG74-AG75-AG76-AG77</f>
        <v/>
      </c>
      <c r="AH81" s="38" t="n">
        <v>0</v>
      </c>
      <c r="AI81" s="38" t="n">
        <v>0</v>
      </c>
      <c r="AJ81" s="28" t="n"/>
      <c r="AK81" s="28" t="n"/>
      <c r="AL81" s="28" t="n"/>
      <c r="AM81" s="28" t="n"/>
      <c r="AN81" s="28" t="n"/>
      <c r="AO81" s="19">
        <f>AO74-AO75-AO76-AO77</f>
        <v/>
      </c>
      <c r="AP81" s="19">
        <f>AP74-AP75-AP76-AP77</f>
        <v/>
      </c>
      <c r="AQ81" s="19">
        <f>AQ74-AQ75-AQ76-AQ77</f>
        <v/>
      </c>
      <c r="AR81" s="19">
        <f>AR74-AR75-AR76-AR77</f>
        <v/>
      </c>
      <c r="AS81" s="19">
        <f>AS74-AS75-AS76-AS77</f>
        <v/>
      </c>
      <c r="AT81" s="19">
        <f>AT74-AT75-AT76-AT77</f>
        <v/>
      </c>
      <c r="AU81" s="19">
        <f>AU74-AU75-AU76-AU77</f>
        <v/>
      </c>
      <c r="AV81" s="19">
        <f>AV74-AV75-AV76-AV77</f>
        <v/>
      </c>
      <c r="AW81" s="19">
        <f>AW74-AW75-AW76-AW77</f>
        <v/>
      </c>
      <c r="AX81" s="19">
        <f>AX74-AX75-AX76-AX77</f>
        <v/>
      </c>
      <c r="AY81" s="19">
        <f>AY74-AY75-AY76-AY77</f>
        <v/>
      </c>
      <c r="AZ81" s="19">
        <f>AZ74-AZ75-AZ76-AZ77</f>
        <v/>
      </c>
      <c r="BA81" s="57" t="n">
        <v>15534.27</v>
      </c>
      <c r="BB81" s="31" t="n">
        <v>0</v>
      </c>
      <c r="BC81" s="61" t="n">
        <v>0</v>
      </c>
      <c r="BD81" s="27" t="inlineStr"/>
    </row>
    <row r="82">
      <c r="A82" s="42" t="n"/>
      <c r="B82" s="42" t="n"/>
      <c r="C82" s="42" t="n"/>
      <c r="D82" s="42" t="n"/>
      <c r="E82" s="42" t="n"/>
      <c r="F82" s="42" t="n"/>
      <c r="G82" s="42" t="n"/>
      <c r="H82" s="42" t="n"/>
      <c r="I82" s="42" t="n"/>
      <c r="J82" s="42" t="n"/>
      <c r="K82" s="42" t="n"/>
      <c r="L82" s="42" t="n"/>
      <c r="M82" s="42" t="n"/>
      <c r="N82" s="42" t="n"/>
      <c r="O82" s="42" t="n"/>
      <c r="P82" s="42" t="n"/>
      <c r="Q82" s="42" t="n"/>
      <c r="R82" s="35" t="inlineStr">
        <is>
          <t>GP3毛利率(%)</t>
        </is>
      </c>
      <c r="S82" s="36">
        <f>S81/S74</f>
        <v/>
      </c>
      <c r="T82" s="36" t="n">
        <v>0</v>
      </c>
      <c r="U82" s="37">
        <f>U81/U74</f>
        <v/>
      </c>
      <c r="V82" s="36">
        <f>V81/V74</f>
        <v/>
      </c>
      <c r="W82" s="36">
        <f>W81/W74</f>
        <v/>
      </c>
      <c r="X82" s="36" t="n">
        <v>0</v>
      </c>
      <c r="Y82" s="36" t="n">
        <v>0</v>
      </c>
      <c r="Z82" s="36">
        <f>Z81/Z74</f>
        <v/>
      </c>
      <c r="AA82" s="36">
        <f>AA81/AA74</f>
        <v/>
      </c>
      <c r="AB82" s="36">
        <f>AB81/AB74</f>
        <v/>
      </c>
      <c r="AC82" s="36">
        <f>AC81/AC74</f>
        <v/>
      </c>
      <c r="AD82" s="36">
        <f>AD81/AD74</f>
        <v/>
      </c>
      <c r="AE82" s="36">
        <f>AE81/AE74</f>
        <v/>
      </c>
      <c r="AF82" s="36">
        <f>AF81/AF74</f>
        <v/>
      </c>
      <c r="AG82" s="36">
        <f>AG81/AG74</f>
        <v/>
      </c>
      <c r="AH82" s="38">
        <f>T82-S82</f>
        <v/>
      </c>
      <c r="AI82" s="38">
        <f>AF82-S82</f>
        <v/>
      </c>
      <c r="AJ82" s="42" t="n"/>
      <c r="AK82" s="42" t="n"/>
      <c r="AL82" s="42" t="n"/>
      <c r="AM82" s="42" t="n"/>
      <c r="AN82" s="42" t="n"/>
      <c r="AO82" s="36">
        <f>AO81/AO74</f>
        <v/>
      </c>
      <c r="AP82" s="36">
        <f>AP81/AP74</f>
        <v/>
      </c>
      <c r="AQ82" s="36">
        <f>AQ81/AQ74</f>
        <v/>
      </c>
      <c r="AR82" s="36">
        <f>AR81/AR74</f>
        <v/>
      </c>
      <c r="AS82" s="36">
        <f>AS81/AS74</f>
        <v/>
      </c>
      <c r="AT82" s="36">
        <f>AT81/AT74</f>
        <v/>
      </c>
      <c r="AU82" s="36">
        <f>AU81/AU74</f>
        <v/>
      </c>
      <c r="AV82" s="36">
        <f>AV81/AV74</f>
        <v/>
      </c>
      <c r="AW82" s="36">
        <f>AW81/AW74</f>
        <v/>
      </c>
      <c r="AX82" s="36">
        <f>AX81/AX74</f>
        <v/>
      </c>
      <c r="AY82" s="36">
        <f>AY81/AY74</f>
        <v/>
      </c>
      <c r="AZ82" s="36">
        <f>AZ81/AZ74</f>
        <v/>
      </c>
      <c r="BA82" s="56" t="n">
        <v>1.00366012345567</v>
      </c>
      <c r="BB82" s="39" t="n">
        <v>0</v>
      </c>
      <c r="BC82" s="61" t="n">
        <v>0</v>
      </c>
      <c r="BD82" s="27" t="inlineStr"/>
    </row>
    <row r="83">
      <c r="A83" s="43" t="inlineStr">
        <is>
          <t>P202511000622</t>
        </is>
      </c>
      <c r="B83" s="44" t="inlineStr">
        <is>
          <t>甘肃省畜牧技术推广总站-甘肃省畜牧业统计监测系统项目2026年度运维-FP项目</t>
        </is>
      </c>
      <c r="C83" s="45" t="n">
        <v>46023</v>
      </c>
      <c r="D83" s="45" t="n">
        <v>46387</v>
      </c>
      <c r="E83" s="15" t="n"/>
      <c r="F83" s="15" t="n">
        <v>0</v>
      </c>
      <c r="G83" s="17" t="n"/>
      <c r="H83" s="17" t="n"/>
      <c r="I83" s="17" t="n"/>
      <c r="J83" s="17" t="n"/>
      <c r="K83" s="17" t="n"/>
      <c r="L83" s="17" t="n"/>
      <c r="M83" s="17" t="n"/>
      <c r="N83" s="17" t="n"/>
      <c r="O83" s="17" t="n"/>
      <c r="P83" s="17" t="n"/>
      <c r="Q83" s="17" t="inlineStr"/>
      <c r="R83" s="48" t="inlineStr">
        <is>
          <t>累计收入（NR）</t>
        </is>
      </c>
      <c r="S83" s="19" t="n">
        <v>75471.7</v>
      </c>
      <c r="T83" s="19" t="n">
        <v>0</v>
      </c>
      <c r="U83" s="20">
        <f>SUM(BA83:BC83)</f>
        <v/>
      </c>
      <c r="V83" s="19">
        <f>SUM(AO83:AZ83)</f>
        <v/>
      </c>
      <c r="W83" s="19">
        <f>SUM(AP83:AZ83)</f>
        <v/>
      </c>
      <c r="X83" s="19" t="n">
        <v>0</v>
      </c>
      <c r="Y83" s="19" t="n">
        <v>0</v>
      </c>
      <c r="Z83" s="19">
        <f>SUM(AS83:AZ83)</f>
        <v/>
      </c>
      <c r="AA83" s="19">
        <f>SUM(AT83:AZ83)</f>
        <v/>
      </c>
      <c r="AB83" s="19">
        <f>SUM(AU83:AZ83)</f>
        <v/>
      </c>
      <c r="AC83" s="19">
        <f>SUM(AV83:AZ83)</f>
        <v/>
      </c>
      <c r="AD83" s="19">
        <f>SUM(AW83:AZ83)</f>
        <v/>
      </c>
      <c r="AE83" s="19">
        <f>SUM(AX83:AZ83)</f>
        <v/>
      </c>
      <c r="AF83" s="19">
        <f>SUM(AY83:AZ83)</f>
        <v/>
      </c>
      <c r="AG83" s="19">
        <f>SUM(AZ83:AZ83)</f>
        <v/>
      </c>
      <c r="AH83" s="21" t="n">
        <v>0</v>
      </c>
      <c r="AI83" s="21" t="n">
        <v>0</v>
      </c>
      <c r="AJ83" s="44" t="inlineStr"/>
      <c r="AK83" s="49" t="inlineStr">
        <is>
          <t>农业运维项目，收入由系统每月自动计入，成本视实际投入情况填报</t>
        </is>
      </c>
      <c r="AL83" s="49" t="inlineStr"/>
      <c r="AM83" s="49" t="inlineStr"/>
      <c r="AN83" s="24" t="n"/>
      <c r="AO83" s="19" t="n">
        <v>0</v>
      </c>
      <c r="AP83" s="19" t="n">
        <v>0</v>
      </c>
      <c r="AQ83" s="19" t="n">
        <v>0</v>
      </c>
      <c r="AR83" s="19" t="n">
        <v>0</v>
      </c>
      <c r="AS83" s="19" t="n">
        <v>0</v>
      </c>
      <c r="AT83" s="19" t="n">
        <v>0</v>
      </c>
      <c r="AU83" s="19" t="n">
        <v>0</v>
      </c>
      <c r="AV83" s="19" t="n">
        <v>0</v>
      </c>
      <c r="AW83" s="19" t="n">
        <v>0</v>
      </c>
      <c r="AX83" s="19" t="n">
        <v>0</v>
      </c>
      <c r="AY83" s="19" t="n">
        <v>5789.59</v>
      </c>
      <c r="AZ83" s="19" t="n">
        <v>6409.96</v>
      </c>
      <c r="BA83" s="50" t="n">
        <v>15477.62</v>
      </c>
      <c r="BB83" s="20" t="n">
        <v>0</v>
      </c>
      <c r="BC83" s="61"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人工成本（成本１）</t>
        </is>
      </c>
      <c r="S84" s="19" t="n">
        <v>34151.4</v>
      </c>
      <c r="T84" s="19" t="n">
        <v>0</v>
      </c>
      <c r="U84" s="20">
        <f>SUM(BA84:BC84)</f>
        <v/>
      </c>
      <c r="V84" s="19">
        <f>SUM(AO84:AZ84)</f>
        <v/>
      </c>
      <c r="W84" s="19">
        <f>SUM(AP84:AZ84)</f>
        <v/>
      </c>
      <c r="X84" s="19" t="n">
        <v>0</v>
      </c>
      <c r="Y84" s="19" t="n">
        <v>0</v>
      </c>
      <c r="Z84" s="19">
        <f>SUM(AS84:AZ84)</f>
        <v/>
      </c>
      <c r="AA84" s="19">
        <f>SUM(AT84:AZ84)</f>
        <v/>
      </c>
      <c r="AB84" s="19">
        <f>SUM(AU84:AZ84)</f>
        <v/>
      </c>
      <c r="AC84" s="19">
        <f>SUM(AV84:AZ84)</f>
        <v/>
      </c>
      <c r="AD84" s="19">
        <f>SUM(AW84:AZ84)</f>
        <v/>
      </c>
      <c r="AE84" s="19">
        <f>SUM(AX84:AZ84)</f>
        <v/>
      </c>
      <c r="AF84" s="19">
        <f>SUM(AY84:AZ84)</f>
        <v/>
      </c>
      <c r="AG84" s="19">
        <f>SUM(AZ84:AZ84)</f>
        <v/>
      </c>
      <c r="AH84" s="21" t="n">
        <v>0</v>
      </c>
      <c r="AI84" s="21" t="n">
        <v>0</v>
      </c>
      <c r="AJ84" s="28" t="n"/>
      <c r="AK84" s="28" t="n"/>
      <c r="AL84" s="28" t="n"/>
      <c r="AM84" s="28" t="n"/>
      <c r="AN84" s="28" t="n"/>
      <c r="AO84" s="19" t="n">
        <v>0</v>
      </c>
      <c r="AP84" s="19" t="n">
        <v>0</v>
      </c>
      <c r="AQ84" s="19" t="n">
        <v>0</v>
      </c>
      <c r="AR84" s="19" t="n">
        <v>0</v>
      </c>
      <c r="AS84" s="19" t="n">
        <v>0</v>
      </c>
      <c r="AT84" s="19" t="n">
        <v>0</v>
      </c>
      <c r="AU84" s="19" t="n">
        <v>0</v>
      </c>
      <c r="AV84" s="19" t="n">
        <v>0</v>
      </c>
      <c r="AW84" s="19" t="n">
        <v>0</v>
      </c>
      <c r="AX84" s="19" t="n">
        <v>0</v>
      </c>
      <c r="AY84" s="19" t="n">
        <v>0</v>
      </c>
      <c r="AZ84" s="19" t="n">
        <v>19659.83</v>
      </c>
      <c r="BA84" s="50" t="n">
        <v>0</v>
      </c>
      <c r="BB84" s="20" t="n">
        <v>0</v>
      </c>
      <c r="BC84" s="61"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19" t="n">
        <v>0</v>
      </c>
      <c r="T85" s="19" t="n">
        <v>0</v>
      </c>
      <c r="U85" s="20">
        <f>SUM(BA85:BC85)</f>
        <v/>
      </c>
      <c r="V85" s="19">
        <f>SUM(AO85:AZ85)</f>
        <v/>
      </c>
      <c r="W85" s="19">
        <f>SUM(AP85:AZ85)</f>
        <v/>
      </c>
      <c r="X85" s="19" t="n">
        <v>0</v>
      </c>
      <c r="Y85" s="19" t="n">
        <v>0</v>
      </c>
      <c r="Z85" s="19">
        <f>SUM(AS85:AZ85)</f>
        <v/>
      </c>
      <c r="AA85" s="19">
        <f>SUM(AT85:AZ85)</f>
        <v/>
      </c>
      <c r="AB85" s="19">
        <f>SUM(AU85:AZ85)</f>
        <v/>
      </c>
      <c r="AC85" s="19">
        <f>SUM(AV85:AZ85)</f>
        <v/>
      </c>
      <c r="AD85" s="19">
        <f>SUM(AW85:AZ85)</f>
        <v/>
      </c>
      <c r="AE85" s="19">
        <f>SUM(AX85:AZ85)</f>
        <v/>
      </c>
      <c r="AF85" s="19">
        <f>SUM(AY85:AZ85)</f>
        <v/>
      </c>
      <c r="AG85" s="19">
        <f>SUM(AZ85:AZ85)</f>
        <v/>
      </c>
      <c r="AH85" s="21" t="n">
        <v>0</v>
      </c>
      <c r="AI85" s="21" t="n">
        <v>0</v>
      </c>
      <c r="AJ85" s="28" t="n"/>
      <c r="AK85" s="28" t="n"/>
      <c r="AL85" s="28" t="n"/>
      <c r="AM85" s="28" t="n"/>
      <c r="AN85" s="28" t="n"/>
      <c r="AO85" s="19" t="n">
        <v>0</v>
      </c>
      <c r="AP85" s="19" t="n">
        <v>0</v>
      </c>
      <c r="AQ85" s="19" t="n">
        <v>0</v>
      </c>
      <c r="AR85" s="19" t="n">
        <v>0</v>
      </c>
      <c r="AS85" s="19" t="n">
        <v>0</v>
      </c>
      <c r="AT85" s="19" t="n">
        <v>0</v>
      </c>
      <c r="AU85" s="19" t="n">
        <v>0</v>
      </c>
      <c r="AV85" s="19" t="n">
        <v>0</v>
      </c>
      <c r="AW85" s="19" t="n">
        <v>0</v>
      </c>
      <c r="AX85" s="19" t="n">
        <v>0</v>
      </c>
      <c r="AY85" s="19" t="n">
        <v>0</v>
      </c>
      <c r="AZ85" s="19" t="n">
        <v>0</v>
      </c>
      <c r="BA85" s="50" t="n">
        <v>0</v>
      </c>
      <c r="BB85" s="20" t="n">
        <v>0</v>
      </c>
      <c r="BC85" s="61"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19" t="n">
        <v>29037</v>
      </c>
      <c r="T86" s="19" t="n">
        <v>0</v>
      </c>
      <c r="U86" s="20">
        <f>SUM(BA86:BC86)</f>
        <v/>
      </c>
      <c r="V86" s="19">
        <f>SUM(AO86:AZ86)</f>
        <v/>
      </c>
      <c r="W86" s="19">
        <f>SUM(AP86:AZ86)</f>
        <v/>
      </c>
      <c r="X86" s="19" t="n">
        <v>0</v>
      </c>
      <c r="Y86" s="19" t="n">
        <v>0</v>
      </c>
      <c r="Z86" s="19">
        <f>SUM(AS86:AZ86)</f>
        <v/>
      </c>
      <c r="AA86" s="19">
        <f>SUM(AT86:AZ86)</f>
        <v/>
      </c>
      <c r="AB86" s="19">
        <f>SUM(AU86:AZ86)</f>
        <v/>
      </c>
      <c r="AC86" s="19">
        <f>SUM(AV86:AZ86)</f>
        <v/>
      </c>
      <c r="AD86" s="19">
        <f>SUM(AW86:AZ86)</f>
        <v/>
      </c>
      <c r="AE86" s="19">
        <f>SUM(AX86:AZ86)</f>
        <v/>
      </c>
      <c r="AF86" s="19">
        <f>SUM(AY86:AZ86)</f>
        <v/>
      </c>
      <c r="AG86" s="19">
        <f>SUM(AZ86:AZ86)</f>
        <v/>
      </c>
      <c r="AH86" s="21" t="n">
        <v>0</v>
      </c>
      <c r="AI86" s="21" t="n">
        <v>0</v>
      </c>
      <c r="AJ86" s="28" t="n"/>
      <c r="AK86" s="28" t="n"/>
      <c r="AL86" s="28" t="n"/>
      <c r="AM86" s="28" t="n"/>
      <c r="AN86" s="28" t="n"/>
      <c r="AO86" s="19" t="n">
        <v>0</v>
      </c>
      <c r="AP86" s="19" t="n">
        <v>0</v>
      </c>
      <c r="AQ86" s="19" t="n">
        <v>0</v>
      </c>
      <c r="AR86" s="19" t="n">
        <v>0</v>
      </c>
      <c r="AS86" s="19" t="n">
        <v>0</v>
      </c>
      <c r="AT86" s="19" t="n">
        <v>0</v>
      </c>
      <c r="AU86" s="19" t="n">
        <v>0</v>
      </c>
      <c r="AV86" s="19" t="n">
        <v>0</v>
      </c>
      <c r="AW86" s="19" t="n">
        <v>0</v>
      </c>
      <c r="AX86" s="19" t="n">
        <v>0</v>
      </c>
      <c r="AY86" s="19" t="n">
        <v>-63.27</v>
      </c>
      <c r="AZ86" s="19" t="n">
        <v>-69.06</v>
      </c>
      <c r="BA86" s="50" t="n">
        <v>-56.65</v>
      </c>
      <c r="BB86" s="20" t="n">
        <v>0</v>
      </c>
      <c r="BC86" s="61"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SUM(S84:S86)</f>
        <v/>
      </c>
      <c r="T87" s="30">
        <f>SUM(T84:T86)</f>
        <v/>
      </c>
      <c r="U87" s="31">
        <f>SUM(U84:U86)</f>
        <v/>
      </c>
      <c r="V87" s="30">
        <f>SUM(V84:V86)</f>
        <v/>
      </c>
      <c r="W87" s="30">
        <f>SUM(W84:W86)</f>
        <v/>
      </c>
      <c r="X87" s="30">
        <f>SUM(X84:X86)</f>
        <v/>
      </c>
      <c r="Y87" s="30">
        <f>SUM(Y84:Y86)</f>
        <v/>
      </c>
      <c r="Z87" s="30">
        <f>SUM(Z84:Z86)</f>
        <v/>
      </c>
      <c r="AA87" s="30">
        <f>SUM(AA84:AA86)</f>
        <v/>
      </c>
      <c r="AB87" s="30">
        <f>SUM(AB84:AB86)</f>
        <v/>
      </c>
      <c r="AC87" s="30">
        <f>SUM(AC84:AC86)</f>
        <v/>
      </c>
      <c r="AD87" s="30">
        <f>SUM(AD84:AD86)</f>
        <v/>
      </c>
      <c r="AE87" s="30">
        <f>SUM(AE84:AE86)</f>
        <v/>
      </c>
      <c r="AF87" s="30">
        <f>SUM(AF84:AF86)</f>
        <v/>
      </c>
      <c r="AG87" s="30">
        <f>SUM(AG84:AG86)</f>
        <v/>
      </c>
      <c r="AH87" s="30">
        <f>SUM(AH84:AH86)</f>
        <v/>
      </c>
      <c r="AI87" s="30">
        <f>SUM(AI84:AI86)</f>
        <v/>
      </c>
      <c r="AJ87" s="28" t="n"/>
      <c r="AK87" s="28" t="n"/>
      <c r="AL87" s="28" t="n"/>
      <c r="AM87" s="28" t="n"/>
      <c r="AN87" s="28" t="n"/>
      <c r="AO87" s="30">
        <f>SUM(AO84:AO86)</f>
        <v/>
      </c>
      <c r="AP87" s="30">
        <f>SUM(AP84:AP86)</f>
        <v/>
      </c>
      <c r="AQ87" s="30">
        <f>SUM(AQ84:AQ86)</f>
        <v/>
      </c>
      <c r="AR87" s="30">
        <f>SUM(AR84:AR86)</f>
        <v/>
      </c>
      <c r="AS87" s="30">
        <f>SUM(AS84:AS86)</f>
        <v/>
      </c>
      <c r="AT87" s="30">
        <f>SUM(AT84:AT86)</f>
        <v/>
      </c>
      <c r="AU87" s="30">
        <f>SUM(AU84:AU86)</f>
        <v/>
      </c>
      <c r="AV87" s="30">
        <f>SUM(AV84:AV86)</f>
        <v/>
      </c>
      <c r="AW87" s="30">
        <f>SUM(AW84:AW86)</f>
        <v/>
      </c>
      <c r="AX87" s="30">
        <f>SUM(AX84:AX86)</f>
        <v/>
      </c>
      <c r="AY87" s="30">
        <f>SUM(AY84:AY86)</f>
        <v/>
      </c>
      <c r="AZ87" s="30">
        <f>SUM(AZ84:AZ86)</f>
        <v/>
      </c>
      <c r="BA87" s="53" t="n">
        <v>-56.65</v>
      </c>
      <c r="BB87" s="31">
        <f>SUM(BB84:BB86)</f>
        <v/>
      </c>
      <c r="BC87" s="54">
        <f>SUM(BC84:BC86)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19">
        <f>S83-S84</f>
        <v/>
      </c>
      <c r="T88" s="19" t="n">
        <v>0</v>
      </c>
      <c r="U88" s="20">
        <f>U83-U84</f>
        <v/>
      </c>
      <c r="V88" s="19">
        <f>V83-V84</f>
        <v/>
      </c>
      <c r="W88" s="19">
        <f>W83-W84</f>
        <v/>
      </c>
      <c r="X88" s="19" t="n">
        <v>0</v>
      </c>
      <c r="Y88" s="19" t="n">
        <v>0</v>
      </c>
      <c r="Z88" s="19">
        <f>Z83-Z84</f>
        <v/>
      </c>
      <c r="AA88" s="19">
        <f>AA83-AA84</f>
        <v/>
      </c>
      <c r="AB88" s="19">
        <f>AB83-AB84</f>
        <v/>
      </c>
      <c r="AC88" s="19">
        <f>AC83-AC84</f>
        <v/>
      </c>
      <c r="AD88" s="19">
        <f>AD83-AD84</f>
        <v/>
      </c>
      <c r="AE88" s="19">
        <f>AE83-AE84</f>
        <v/>
      </c>
      <c r="AF88" s="19">
        <f>AF83-AF84</f>
        <v/>
      </c>
      <c r="AG88" s="19">
        <f>AG83-AG84</f>
        <v/>
      </c>
      <c r="AH88" s="33" t="n">
        <v>0</v>
      </c>
      <c r="AI88" s="33" t="n">
        <v>0</v>
      </c>
      <c r="AJ88" s="28" t="n"/>
      <c r="AK88" s="28" t="n"/>
      <c r="AL88" s="28" t="n"/>
      <c r="AM88" s="28" t="n"/>
      <c r="AN88" s="28" t="n"/>
      <c r="AO88" s="19">
        <f>AO83-AO84</f>
        <v/>
      </c>
      <c r="AP88" s="19">
        <f>AP83-AP84</f>
        <v/>
      </c>
      <c r="AQ88" s="19">
        <f>AQ83-AQ84</f>
        <v/>
      </c>
      <c r="AR88" s="19">
        <f>AR83-AR84</f>
        <v/>
      </c>
      <c r="AS88" s="19">
        <f>AS83-AS84</f>
        <v/>
      </c>
      <c r="AT88" s="19">
        <f>AT83-AT84</f>
        <v/>
      </c>
      <c r="AU88" s="19">
        <f>AU83-AU84</f>
        <v/>
      </c>
      <c r="AV88" s="19">
        <f>AV83-AV84</f>
        <v/>
      </c>
      <c r="AW88" s="19">
        <f>AW83-AW84</f>
        <v/>
      </c>
      <c r="AX88" s="19">
        <f>AX83-AX84</f>
        <v/>
      </c>
      <c r="AY88" s="19">
        <f>AY83-AY84</f>
        <v/>
      </c>
      <c r="AZ88" s="19">
        <f>AZ83-AZ84</f>
        <v/>
      </c>
      <c r="BA88" s="55" t="n">
        <v>15477.62</v>
      </c>
      <c r="BB88" s="31" t="n">
        <v>0</v>
      </c>
      <c r="BC88" s="61"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S88/S83</f>
        <v/>
      </c>
      <c r="T89" s="36" t="n">
        <v>0</v>
      </c>
      <c r="U89" s="37">
        <f>U88/U83</f>
        <v/>
      </c>
      <c r="V89" s="36">
        <f>V88/V83</f>
        <v/>
      </c>
      <c r="W89" s="36">
        <f>W88/W83</f>
        <v/>
      </c>
      <c r="X89" s="36" t="n">
        <v>0</v>
      </c>
      <c r="Y89" s="36" t="n">
        <v>0</v>
      </c>
      <c r="Z89" s="36">
        <f>Z88/Z83</f>
        <v/>
      </c>
      <c r="AA89" s="36">
        <f>AA88/AA83</f>
        <v/>
      </c>
      <c r="AB89" s="36">
        <f>AB88/AB83</f>
        <v/>
      </c>
      <c r="AC89" s="36">
        <f>AC88/AC83</f>
        <v/>
      </c>
      <c r="AD89" s="36">
        <f>AD88/AD83</f>
        <v/>
      </c>
      <c r="AE89" s="36">
        <f>AE88/AE83</f>
        <v/>
      </c>
      <c r="AF89" s="36">
        <f>AF88/AF83</f>
        <v/>
      </c>
      <c r="AG89" s="36">
        <f>AG88/AG83</f>
        <v/>
      </c>
      <c r="AH89" s="38">
        <f>T89-S89</f>
        <v/>
      </c>
      <c r="AI89" s="38">
        <f>AF89-S89</f>
        <v/>
      </c>
      <c r="AJ89" s="28" t="n"/>
      <c r="AK89" s="28" t="n"/>
      <c r="AL89" s="28" t="n"/>
      <c r="AM89" s="28" t="n"/>
      <c r="AN89" s="28" t="n"/>
      <c r="AO89" s="36">
        <f>AO88/AO83</f>
        <v/>
      </c>
      <c r="AP89" s="36">
        <f>AP88/AP83</f>
        <v/>
      </c>
      <c r="AQ89" s="36">
        <f>AQ88/AQ83</f>
        <v/>
      </c>
      <c r="AR89" s="36">
        <f>AR88/AR83</f>
        <v/>
      </c>
      <c r="AS89" s="36">
        <f>AS88/AS83</f>
        <v/>
      </c>
      <c r="AT89" s="36">
        <f>AT88/AT83</f>
        <v/>
      </c>
      <c r="AU89" s="36">
        <f>AU88/AU83</f>
        <v/>
      </c>
      <c r="AV89" s="36">
        <f>AV88/AV83</f>
        <v/>
      </c>
      <c r="AW89" s="36">
        <f>AW88/AW83</f>
        <v/>
      </c>
      <c r="AX89" s="36">
        <f>AX88/AX83</f>
        <v/>
      </c>
      <c r="AY89" s="36">
        <f>AY88/AY83</f>
        <v/>
      </c>
      <c r="AZ89" s="36">
        <f>AZ88/AZ83</f>
        <v/>
      </c>
      <c r="BA89" s="56" t="n">
        <v>1</v>
      </c>
      <c r="BB89" s="39" t="n">
        <v>0</v>
      </c>
      <c r="BC89" s="61"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19">
        <f>S83-S84-S85-S86</f>
        <v/>
      </c>
      <c r="T90" s="19" t="n">
        <v>0</v>
      </c>
      <c r="U90" s="20">
        <f>U83-U84-U85-U86</f>
        <v/>
      </c>
      <c r="V90" s="19">
        <f>V83-V84-V85-V86</f>
        <v/>
      </c>
      <c r="W90" s="19">
        <f>W83-W84-W85-W86</f>
        <v/>
      </c>
      <c r="X90" s="19" t="n">
        <v>0</v>
      </c>
      <c r="Y90" s="19" t="n">
        <v>0</v>
      </c>
      <c r="Z90" s="19">
        <f>Z83-Z84-Z85-Z86</f>
        <v/>
      </c>
      <c r="AA90" s="19">
        <f>AA83-AA84-AA85-AA86</f>
        <v/>
      </c>
      <c r="AB90" s="19">
        <f>AB83-AB84-AB85-AB86</f>
        <v/>
      </c>
      <c r="AC90" s="19">
        <f>AC83-AC84-AC85-AC86</f>
        <v/>
      </c>
      <c r="AD90" s="19">
        <f>AD83-AD84-AD85-AD86</f>
        <v/>
      </c>
      <c r="AE90" s="19">
        <f>AE83-AE84-AE85-AE86</f>
        <v/>
      </c>
      <c r="AF90" s="19">
        <f>AF83-AF84-AF85-AF86</f>
        <v/>
      </c>
      <c r="AG90" s="19">
        <f>AG83-AG84-AG85-AG86</f>
        <v/>
      </c>
      <c r="AH90" s="38" t="n">
        <v>0</v>
      </c>
      <c r="AI90" s="38" t="n">
        <v>0</v>
      </c>
      <c r="AJ90" s="28" t="n"/>
      <c r="AK90" s="28" t="n"/>
      <c r="AL90" s="28" t="n"/>
      <c r="AM90" s="28" t="n"/>
      <c r="AN90" s="28" t="n"/>
      <c r="AO90" s="19">
        <f>AO83-AO84-AO85-AO86</f>
        <v/>
      </c>
      <c r="AP90" s="19">
        <f>AP83-AP84-AP85-AP86</f>
        <v/>
      </c>
      <c r="AQ90" s="19">
        <f>AQ83-AQ84-AQ85-AQ86</f>
        <v/>
      </c>
      <c r="AR90" s="19">
        <f>AR83-AR84-AR85-AR86</f>
        <v/>
      </c>
      <c r="AS90" s="19">
        <f>AS83-AS84-AS85-AS86</f>
        <v/>
      </c>
      <c r="AT90" s="19">
        <f>AT83-AT84-AT85-AT86</f>
        <v/>
      </c>
      <c r="AU90" s="19">
        <f>AU83-AU84-AU85-AU86</f>
        <v/>
      </c>
      <c r="AV90" s="19">
        <f>AV83-AV84-AV85-AV86</f>
        <v/>
      </c>
      <c r="AW90" s="19">
        <f>AW83-AW84-AW85-AW86</f>
        <v/>
      </c>
      <c r="AX90" s="19">
        <f>AX83-AX84-AX85-AX86</f>
        <v/>
      </c>
      <c r="AY90" s="19">
        <f>AY83-AY84-AY85-AY86</f>
        <v/>
      </c>
      <c r="AZ90" s="19">
        <f>AZ83-AZ84-AZ85-AZ86</f>
        <v/>
      </c>
      <c r="BA90" s="57" t="n">
        <v>15534.27</v>
      </c>
      <c r="BB90" s="31" t="n">
        <v>0</v>
      </c>
      <c r="BC90" s="61"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S90/S83</f>
        <v/>
      </c>
      <c r="T91" s="36" t="n">
        <v>0</v>
      </c>
      <c r="U91" s="37">
        <f>U90/U83</f>
        <v/>
      </c>
      <c r="V91" s="36">
        <f>V90/V83</f>
        <v/>
      </c>
      <c r="W91" s="36">
        <f>W90/W83</f>
        <v/>
      </c>
      <c r="X91" s="36" t="n">
        <v>0</v>
      </c>
      <c r="Y91" s="36" t="n">
        <v>0</v>
      </c>
      <c r="Z91" s="36">
        <f>Z90/Z83</f>
        <v/>
      </c>
      <c r="AA91" s="36">
        <f>AA90/AA83</f>
        <v/>
      </c>
      <c r="AB91" s="36">
        <f>AB90/AB83</f>
        <v/>
      </c>
      <c r="AC91" s="36">
        <f>AC90/AC83</f>
        <v/>
      </c>
      <c r="AD91" s="36">
        <f>AD90/AD83</f>
        <v/>
      </c>
      <c r="AE91" s="36">
        <f>AE90/AE83</f>
        <v/>
      </c>
      <c r="AF91" s="36">
        <f>AF90/AF83</f>
        <v/>
      </c>
      <c r="AG91" s="36">
        <f>AG90/AG83</f>
        <v/>
      </c>
      <c r="AH91" s="38">
        <f>T91-S91</f>
        <v/>
      </c>
      <c r="AI91" s="38">
        <f>AF91-S91</f>
        <v/>
      </c>
      <c r="AJ91" s="42" t="n"/>
      <c r="AK91" s="42" t="n"/>
      <c r="AL91" s="42" t="n"/>
      <c r="AM91" s="42" t="n"/>
      <c r="AN91" s="42" t="n"/>
      <c r="AO91" s="36">
        <f>AO90/AO83</f>
        <v/>
      </c>
      <c r="AP91" s="36">
        <f>AP90/AP83</f>
        <v/>
      </c>
      <c r="AQ91" s="36">
        <f>AQ90/AQ83</f>
        <v/>
      </c>
      <c r="AR91" s="36">
        <f>AR90/AR83</f>
        <v/>
      </c>
      <c r="AS91" s="36">
        <f>AS90/AS83</f>
        <v/>
      </c>
      <c r="AT91" s="36">
        <f>AT90/AT83</f>
        <v/>
      </c>
      <c r="AU91" s="36">
        <f>AU90/AU83</f>
        <v/>
      </c>
      <c r="AV91" s="36">
        <f>AV90/AV83</f>
        <v/>
      </c>
      <c r="AW91" s="36">
        <f>AW90/AW83</f>
        <v/>
      </c>
      <c r="AX91" s="36">
        <f>AX90/AX83</f>
        <v/>
      </c>
      <c r="AY91" s="36">
        <f>AY90/AY83</f>
        <v/>
      </c>
      <c r="AZ91" s="36">
        <f>AZ90/AZ83</f>
        <v/>
      </c>
      <c r="BA91" s="56" t="n">
        <v>1.00366012345567</v>
      </c>
      <c r="BB91" s="39" t="n">
        <v>0</v>
      </c>
      <c r="BC91" s="61" t="n">
        <v>0</v>
      </c>
      <c r="BD91" s="27" t="inlineStr"/>
    </row>
    <row r="92">
      <c r="A92" s="43" t="inlineStr">
        <is>
          <t>P202601001368</t>
        </is>
      </c>
      <c r="B92" s="44" t="inlineStr">
        <is>
          <t>全国畜牧总站-2026年畜牧核心数据查询APP（牧数查）项目-FP项目</t>
        </is>
      </c>
      <c r="C92" s="45" t="n">
        <v>46023</v>
      </c>
      <c r="D92" s="45" t="n">
        <v>46387</v>
      </c>
      <c r="E92" s="15" t="n"/>
      <c r="F92" s="15" t="n">
        <v>2</v>
      </c>
      <c r="G92" s="17" t="n"/>
      <c r="H92" s="17" t="n"/>
      <c r="I92" s="17" t="n"/>
      <c r="J92" s="17" t="n"/>
      <c r="K92" s="17" t="n"/>
      <c r="L92" s="17" t="n"/>
      <c r="M92" s="17" t="n"/>
      <c r="N92" s="17" t="n"/>
      <c r="O92" s="17" t="n"/>
      <c r="P92" s="17" t="n"/>
      <c r="Q92" s="17" t="inlineStr"/>
      <c r="R92" s="48" t="inlineStr">
        <is>
          <t>累计收入（NR）</t>
        </is>
      </c>
      <c r="S92" s="19" t="n">
        <v>75471.7</v>
      </c>
      <c r="T92" s="19" t="n">
        <v>0</v>
      </c>
      <c r="U92" s="20" t="n">
        <v>0</v>
      </c>
      <c r="V92" s="19">
        <f>SUM(AO92:AZ92)</f>
        <v/>
      </c>
      <c r="W92" s="19">
        <f>SUM(AP92:AZ92)</f>
        <v/>
      </c>
      <c r="X92" s="19" t="n">
        <v>0</v>
      </c>
      <c r="Y92" s="19" t="n">
        <v>0</v>
      </c>
      <c r="Z92" s="19" t="n">
        <v>0</v>
      </c>
      <c r="AA92" s="19" t="n">
        <v>0</v>
      </c>
      <c r="AB92" s="19" t="n">
        <v>0</v>
      </c>
      <c r="AC92" s="19" t="n">
        <v>0</v>
      </c>
      <c r="AD92" s="19" t="n">
        <v>0</v>
      </c>
      <c r="AE92" s="19" t="n">
        <v>0</v>
      </c>
      <c r="AF92" s="19" t="n">
        <v>0</v>
      </c>
      <c r="AG92" s="19" t="n">
        <v>6409.96</v>
      </c>
      <c r="AH92" s="21" t="n">
        <v>0</v>
      </c>
      <c r="AI92" s="21" t="n">
        <v>0</v>
      </c>
      <c r="AJ92" s="44" t="inlineStr"/>
      <c r="AK92" s="49" t="inlineStr"/>
      <c r="AL92" s="49" t="inlineStr"/>
      <c r="AM92" s="49" t="inlineStr"/>
      <c r="AN92" s="24" t="n"/>
      <c r="AO92" s="19" t="n">
        <v>0</v>
      </c>
      <c r="AP92" s="19" t="n">
        <v>0</v>
      </c>
      <c r="AQ92" s="19" t="n">
        <v>0</v>
      </c>
      <c r="AR92" s="19" t="n">
        <v>0</v>
      </c>
      <c r="AS92" s="19" t="n">
        <v>0</v>
      </c>
      <c r="AT92" s="19" t="n">
        <v>0</v>
      </c>
      <c r="AU92" s="19" t="n">
        <v>0</v>
      </c>
      <c r="AV92" s="19" t="n">
        <v>0</v>
      </c>
      <c r="AW92" s="19" t="n">
        <v>0</v>
      </c>
      <c r="AX92" s="19" t="n">
        <v>0</v>
      </c>
      <c r="AY92" s="19" t="n">
        <v>62945.83</v>
      </c>
      <c r="AZ92" s="19" t="n">
        <v>62991.71</v>
      </c>
      <c r="BA92" s="50" t="n">
        <v>0</v>
      </c>
      <c r="BB92" s="20" t="n">
        <v>0</v>
      </c>
      <c r="BC92" s="61"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19" t="n">
        <v>34151.4</v>
      </c>
      <c r="T93" s="19" t="n">
        <v>0</v>
      </c>
      <c r="U93" s="20" t="n">
        <v>0</v>
      </c>
      <c r="V93" s="19">
        <f>SUM(AO93:AZ93)</f>
        <v/>
      </c>
      <c r="W93" s="19">
        <f>SUM(AP93:AZ93)</f>
        <v/>
      </c>
      <c r="X93" s="19" t="n">
        <v>0</v>
      </c>
      <c r="Y93" s="19" t="n">
        <v>0</v>
      </c>
      <c r="Z93" s="19" t="n">
        <v>0</v>
      </c>
      <c r="AA93" s="19" t="n">
        <v>0</v>
      </c>
      <c r="AB93" s="19" t="n">
        <v>0</v>
      </c>
      <c r="AC93" s="19" t="n">
        <v>0</v>
      </c>
      <c r="AD93" s="19" t="n">
        <v>0</v>
      </c>
      <c r="AE93" s="19" t="n">
        <v>0</v>
      </c>
      <c r="AF93" s="19" t="n">
        <v>0</v>
      </c>
      <c r="AG93" s="19" t="n">
        <v>19659.83</v>
      </c>
      <c r="AH93" s="21" t="n">
        <v>0</v>
      </c>
      <c r="AI93" s="21" t="n">
        <v>0</v>
      </c>
      <c r="AJ93" s="28" t="n"/>
      <c r="AK93" s="28" t="n"/>
      <c r="AL93" s="28" t="n"/>
      <c r="AM93" s="28" t="n"/>
      <c r="AN93" s="28" t="n"/>
      <c r="AO93" s="19" t="n">
        <v>0</v>
      </c>
      <c r="AP93" s="19" t="n">
        <v>0</v>
      </c>
      <c r="AQ93" s="19" t="n">
        <v>0</v>
      </c>
      <c r="AR93" s="19" t="n">
        <v>0</v>
      </c>
      <c r="AS93" s="19" t="n">
        <v>0</v>
      </c>
      <c r="AT93" s="19" t="n">
        <v>0</v>
      </c>
      <c r="AU93" s="19" t="n">
        <v>0</v>
      </c>
      <c r="AV93" s="19" t="n">
        <v>0</v>
      </c>
      <c r="AW93" s="19" t="n">
        <v>0</v>
      </c>
      <c r="AX93" s="19" t="n">
        <v>0</v>
      </c>
      <c r="AY93" s="19" t="n">
        <v>61858.83</v>
      </c>
      <c r="AZ93" s="19" t="n">
        <v>61858.83</v>
      </c>
      <c r="BA93" s="50" t="n">
        <v>0</v>
      </c>
      <c r="BB93" s="20" t="n">
        <v>0</v>
      </c>
      <c r="BC93" s="61"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差旅费（成本３）</t>
        </is>
      </c>
      <c r="S94" s="19" t="n">
        <v>0</v>
      </c>
      <c r="T94" s="19" t="n">
        <v>0</v>
      </c>
      <c r="U94" s="20" t="n">
        <v>0</v>
      </c>
      <c r="V94" s="19">
        <f>SUM(AO94:AZ94)</f>
        <v/>
      </c>
      <c r="W94" s="19">
        <f>SUM(AP94:AZ94)</f>
        <v/>
      </c>
      <c r="X94" s="19" t="n">
        <v>0</v>
      </c>
      <c r="Y94" s="19" t="n">
        <v>0</v>
      </c>
      <c r="Z94" s="19" t="n">
        <v>0</v>
      </c>
      <c r="AA94" s="19" t="n">
        <v>0</v>
      </c>
      <c r="AB94" s="19" t="n">
        <v>0</v>
      </c>
      <c r="AC94" s="19" t="n">
        <v>0</v>
      </c>
      <c r="AD94" s="19" t="n">
        <v>0</v>
      </c>
      <c r="AE94" s="19" t="n">
        <v>0</v>
      </c>
      <c r="AF94" s="19" t="n">
        <v>0</v>
      </c>
      <c r="AG94" s="19" t="n">
        <v>0</v>
      </c>
      <c r="AH94" s="21" t="n">
        <v>0</v>
      </c>
      <c r="AI94" s="21" t="n">
        <v>0</v>
      </c>
      <c r="AJ94" s="28" t="n"/>
      <c r="AK94" s="28" t="n"/>
      <c r="AL94" s="28" t="n"/>
      <c r="AM94" s="28" t="n"/>
      <c r="AN94" s="28" t="n"/>
      <c r="AO94" s="19" t="n">
        <v>0</v>
      </c>
      <c r="AP94" s="19" t="n">
        <v>0</v>
      </c>
      <c r="AQ94" s="19" t="n">
        <v>0</v>
      </c>
      <c r="AR94" s="19" t="n">
        <v>0</v>
      </c>
      <c r="AS94" s="19" t="n">
        <v>0</v>
      </c>
      <c r="AT94" s="19" t="n">
        <v>0</v>
      </c>
      <c r="AU94" s="19" t="n">
        <v>0</v>
      </c>
      <c r="AV94" s="19" t="n">
        <v>0</v>
      </c>
      <c r="AW94" s="19" t="n">
        <v>0</v>
      </c>
      <c r="AX94" s="19" t="n">
        <v>0</v>
      </c>
      <c r="AY94" s="19" t="n">
        <v>0</v>
      </c>
      <c r="AZ94" s="19" t="n">
        <v>0</v>
      </c>
      <c r="BA94" s="50" t="n">
        <v>0</v>
      </c>
      <c r="BB94" s="20" t="n">
        <v>0</v>
      </c>
      <c r="BC94" s="61"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其他成本（成本３）</t>
        </is>
      </c>
      <c r="S95" s="19" t="n">
        <v>29037</v>
      </c>
      <c r="T95" s="19" t="n">
        <v>0</v>
      </c>
      <c r="U95" s="20" t="n">
        <v>0</v>
      </c>
      <c r="V95" s="19">
        <f>SUM(AO95:AZ95)</f>
        <v/>
      </c>
      <c r="W95" s="19">
        <f>SUM(AP95:AZ95)</f>
        <v/>
      </c>
      <c r="X95" s="19" t="n">
        <v>0</v>
      </c>
      <c r="Y95" s="19" t="n">
        <v>0</v>
      </c>
      <c r="Z95" s="19" t="n">
        <v>0</v>
      </c>
      <c r="AA95" s="19" t="n">
        <v>0</v>
      </c>
      <c r="AB95" s="19" t="n">
        <v>0</v>
      </c>
      <c r="AC95" s="19" t="n">
        <v>0</v>
      </c>
      <c r="AD95" s="19" t="n">
        <v>0</v>
      </c>
      <c r="AE95" s="19" t="n">
        <v>0</v>
      </c>
      <c r="AF95" s="19" t="n">
        <v>0</v>
      </c>
      <c r="AG95" s="19" t="n">
        <v>-69.06</v>
      </c>
      <c r="AH95" s="21" t="n">
        <v>0</v>
      </c>
      <c r="AI95" s="21" t="n">
        <v>0</v>
      </c>
      <c r="AJ95" s="28" t="n"/>
      <c r="AK95" s="28" t="n"/>
      <c r="AL95" s="28" t="n"/>
      <c r="AM95" s="28" t="n"/>
      <c r="AN95" s="28" t="n"/>
      <c r="AO95" s="19" t="n">
        <v>0</v>
      </c>
      <c r="AP95" s="19" t="n">
        <v>0</v>
      </c>
      <c r="AQ95" s="19" t="n">
        <v>0</v>
      </c>
      <c r="AR95" s="19" t="n">
        <v>0</v>
      </c>
      <c r="AS95" s="19" t="n">
        <v>0</v>
      </c>
      <c r="AT95" s="19" t="n">
        <v>0</v>
      </c>
      <c r="AU95" s="19" t="n">
        <v>0</v>
      </c>
      <c r="AV95" s="19" t="n">
        <v>0</v>
      </c>
      <c r="AW95" s="19" t="n">
        <v>0</v>
      </c>
      <c r="AX95" s="19" t="n">
        <v>0</v>
      </c>
      <c r="AY95" s="19" t="n">
        <v>134.51</v>
      </c>
      <c r="AZ95" s="19" t="n">
        <v>67.28</v>
      </c>
      <c r="BA95" s="50" t="n">
        <v>0</v>
      </c>
      <c r="BB95" s="20" t="n">
        <v>0</v>
      </c>
      <c r="BC95" s="61"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累计成本</t>
        </is>
      </c>
      <c r="S96" s="30" t="n">
        <v>63188.4</v>
      </c>
      <c r="T96" s="30" t="n">
        <v>0</v>
      </c>
      <c r="U96" s="31" t="n">
        <v>0</v>
      </c>
      <c r="V96" s="30">
        <f>SUM(V93:V95)</f>
        <v/>
      </c>
      <c r="W96" s="30">
        <f>SUM(W93:W95)</f>
        <v/>
      </c>
      <c r="X96" s="30" t="n">
        <v>0</v>
      </c>
      <c r="Y96" s="30" t="n">
        <v>0</v>
      </c>
      <c r="Z96" s="30" t="n">
        <v>0</v>
      </c>
      <c r="AA96" s="30" t="n">
        <v>0</v>
      </c>
      <c r="AB96" s="30" t="n">
        <v>0</v>
      </c>
      <c r="AC96" s="30" t="n">
        <v>0</v>
      </c>
      <c r="AD96" s="30" t="n">
        <v>0</v>
      </c>
      <c r="AE96" s="30" t="n">
        <v>0</v>
      </c>
      <c r="AF96" s="30" t="n">
        <v>0</v>
      </c>
      <c r="AG96" s="30" t="n">
        <v>19590.77</v>
      </c>
      <c r="AH96" s="30" t="n">
        <v>0</v>
      </c>
      <c r="AI96" s="30">
        <f>SUM(AI93:AI95)</f>
        <v/>
      </c>
      <c r="AJ96" s="28" t="n"/>
      <c r="AK96" s="28" t="n"/>
      <c r="AL96" s="28" t="n"/>
      <c r="AM96" s="28" t="n"/>
      <c r="AN96" s="28" t="n"/>
      <c r="AO96" s="30">
        <f>SUM(AO93:AO95)</f>
        <v/>
      </c>
      <c r="AP96" s="30">
        <f>SUM(AP93:AP95)</f>
        <v/>
      </c>
      <c r="AQ96" s="30">
        <f>SUM(AQ93:AQ95)</f>
        <v/>
      </c>
      <c r="AR96" s="30">
        <f>SUM(AR93:AR95)</f>
        <v/>
      </c>
      <c r="AS96" s="30">
        <f>SUM(AS93:AS95)</f>
        <v/>
      </c>
      <c r="AT96" s="30">
        <f>SUM(AT93:AT95)</f>
        <v/>
      </c>
      <c r="AU96" s="30">
        <f>SUM(AU93:AU95)</f>
        <v/>
      </c>
      <c r="AV96" s="30">
        <f>SUM(AV93:AV95)</f>
        <v/>
      </c>
      <c r="AW96" s="30">
        <f>SUM(AW93:AW95)</f>
        <v/>
      </c>
      <c r="AX96" s="30">
        <f>SUM(AX93:AX95)</f>
        <v/>
      </c>
      <c r="AY96" s="30">
        <f>SUM(AY93:AY95)</f>
        <v/>
      </c>
      <c r="AZ96" s="30">
        <f>SUM(AZ93:AZ95)</f>
        <v/>
      </c>
      <c r="BA96" s="53" t="n">
        <v>0</v>
      </c>
      <c r="BB96" s="31">
        <f>SUM(BB93:BB95)</f>
        <v/>
      </c>
      <c r="BC96" s="54">
        <f>SUM(BC93:BC95)</f>
        <v/>
      </c>
      <c r="BD96" s="32"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GP1毛利</t>
        </is>
      </c>
      <c r="S97" s="19" t="n">
        <v>41320.3</v>
      </c>
      <c r="T97" s="19" t="n">
        <v>0</v>
      </c>
      <c r="U97" s="20">
        <f>U92-U93</f>
        <v/>
      </c>
      <c r="V97" s="19">
        <f>V92-V93</f>
        <v/>
      </c>
      <c r="W97" s="19">
        <f>W92-W93</f>
        <v/>
      </c>
      <c r="X97" s="19" t="n">
        <v>0</v>
      </c>
      <c r="Y97" s="19" t="n">
        <v>0</v>
      </c>
      <c r="Z97" s="19" t="n">
        <v>0</v>
      </c>
      <c r="AA97" s="19" t="n">
        <v>0</v>
      </c>
      <c r="AB97" s="19" t="n">
        <v>0</v>
      </c>
      <c r="AC97" s="19" t="n">
        <v>0</v>
      </c>
      <c r="AD97" s="19" t="n">
        <v>0</v>
      </c>
      <c r="AE97" s="19" t="n">
        <v>0</v>
      </c>
      <c r="AF97" s="19" t="n">
        <v>0</v>
      </c>
      <c r="AG97" s="19" t="n">
        <v>-13249.87</v>
      </c>
      <c r="AH97" s="33" t="n">
        <v>0</v>
      </c>
      <c r="AI97" s="33" t="n">
        <v>0</v>
      </c>
      <c r="AJ97" s="28" t="n"/>
      <c r="AK97" s="28" t="n"/>
      <c r="AL97" s="28" t="n"/>
      <c r="AM97" s="28" t="n"/>
      <c r="AN97" s="28" t="n"/>
      <c r="AO97" s="19">
        <f>AO92-AO93</f>
        <v/>
      </c>
      <c r="AP97" s="19">
        <f>AP92-AP93</f>
        <v/>
      </c>
      <c r="AQ97" s="19">
        <f>AQ92-AQ93</f>
        <v/>
      </c>
      <c r="AR97" s="19">
        <f>AR92-AR93</f>
        <v/>
      </c>
      <c r="AS97" s="19">
        <f>AS92-AS93</f>
        <v/>
      </c>
      <c r="AT97" s="19">
        <f>AT92-AT93</f>
        <v/>
      </c>
      <c r="AU97" s="19">
        <f>AU92-AU93</f>
        <v/>
      </c>
      <c r="AV97" s="19">
        <f>AV92-AV93</f>
        <v/>
      </c>
      <c r="AW97" s="19">
        <f>AW92-AW93</f>
        <v/>
      </c>
      <c r="AX97" s="19">
        <f>AX92-AX93</f>
        <v/>
      </c>
      <c r="AY97" s="19">
        <f>AY92-AY93</f>
        <v/>
      </c>
      <c r="AZ97" s="19">
        <f>AZ92-AZ93</f>
        <v/>
      </c>
      <c r="BA97" s="55" t="n">
        <v>0</v>
      </c>
      <c r="BB97" s="31" t="n">
        <v>0</v>
      </c>
      <c r="BC97" s="61" t="n">
        <v>0</v>
      </c>
      <c r="BD97" s="27" t="inlineStr"/>
    </row>
    <row r="98">
      <c r="A98" s="28" t="n"/>
      <c r="B98" s="28" t="n"/>
      <c r="C98" s="28" t="n"/>
      <c r="D98" s="28" t="n"/>
      <c r="E98" s="28" t="n"/>
      <c r="F98" s="28" t="n"/>
      <c r="G98" s="28" t="n"/>
      <c r="H98" s="28" t="n"/>
      <c r="I98" s="28" t="n"/>
      <c r="J98" s="28" t="n"/>
      <c r="K98" s="28" t="n"/>
      <c r="L98" s="28" t="n"/>
      <c r="M98" s="28" t="n"/>
      <c r="N98" s="28" t="n"/>
      <c r="O98" s="28" t="n"/>
      <c r="P98" s="28" t="n"/>
      <c r="Q98" s="28" t="n"/>
      <c r="R98" s="35" t="inlineStr">
        <is>
          <t>GP1毛利率(%)</t>
        </is>
      </c>
      <c r="S98" s="36" t="n">
        <v>0.547493961312651</v>
      </c>
      <c r="T98" s="36" t="n">
        <v>0</v>
      </c>
      <c r="U98" s="37">
        <f>U97/U92</f>
        <v/>
      </c>
      <c r="V98" s="36">
        <f>V97/V92</f>
        <v/>
      </c>
      <c r="W98" s="36">
        <f>W97/W92</f>
        <v/>
      </c>
      <c r="X98" s="36" t="n">
        <v>0</v>
      </c>
      <c r="Y98" s="36" t="n">
        <v>0</v>
      </c>
      <c r="Z98" s="36" t="n">
        <v>0</v>
      </c>
      <c r="AA98" s="36" t="n">
        <v>0</v>
      </c>
      <c r="AB98" s="36" t="n">
        <v>0</v>
      </c>
      <c r="AC98" s="36" t="n">
        <v>0</v>
      </c>
      <c r="AD98" s="36" t="n">
        <v>0</v>
      </c>
      <c r="AE98" s="36" t="n">
        <v>0</v>
      </c>
      <c r="AF98" s="36" t="n">
        <v>0</v>
      </c>
      <c r="AG98" s="36" t="n">
        <v>-2.06707530156194</v>
      </c>
      <c r="AH98" s="38" t="n">
        <v>-0.547493961312651</v>
      </c>
      <c r="AI98" s="38">
        <f>AF98-S98</f>
        <v/>
      </c>
      <c r="AJ98" s="28" t="n"/>
      <c r="AK98" s="28" t="n"/>
      <c r="AL98" s="28" t="n"/>
      <c r="AM98" s="28" t="n"/>
      <c r="AN98" s="28" t="n"/>
      <c r="AO98" s="36">
        <f>AO97/AO92</f>
        <v/>
      </c>
      <c r="AP98" s="36">
        <f>AP97/AP92</f>
        <v/>
      </c>
      <c r="AQ98" s="36">
        <f>AQ97/AQ92</f>
        <v/>
      </c>
      <c r="AR98" s="36">
        <f>AR97/AR92</f>
        <v/>
      </c>
      <c r="AS98" s="36">
        <f>AS97/AS92</f>
        <v/>
      </c>
      <c r="AT98" s="36">
        <f>AT97/AT92</f>
        <v/>
      </c>
      <c r="AU98" s="36">
        <f>AU97/AU92</f>
        <v/>
      </c>
      <c r="AV98" s="36">
        <f>AV97/AV92</f>
        <v/>
      </c>
      <c r="AW98" s="36">
        <f>AW97/AW92</f>
        <v/>
      </c>
      <c r="AX98" s="36">
        <f>AX97/AX92</f>
        <v/>
      </c>
      <c r="AY98" s="36">
        <f>AY97/AY92</f>
        <v/>
      </c>
      <c r="AZ98" s="36">
        <f>AZ97/AZ92</f>
        <v/>
      </c>
      <c r="BA98" s="56" t="n">
        <v>0</v>
      </c>
      <c r="BB98" s="39" t="n">
        <v>0</v>
      </c>
      <c r="BC98" s="61"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29" t="inlineStr">
        <is>
          <t>GP3毛利</t>
        </is>
      </c>
      <c r="S99" s="19" t="n">
        <v>12283.3</v>
      </c>
      <c r="T99" s="19" t="n">
        <v>0</v>
      </c>
      <c r="U99" s="20">
        <f>U92-U93-U94-U95</f>
        <v/>
      </c>
      <c r="V99" s="19">
        <f>V92-V93-V94-V95</f>
        <v/>
      </c>
      <c r="W99" s="19">
        <f>W92-W93-W94-W95</f>
        <v/>
      </c>
      <c r="X99" s="19" t="n">
        <v>0</v>
      </c>
      <c r="Y99" s="19" t="n">
        <v>0</v>
      </c>
      <c r="Z99" s="19" t="n">
        <v>0</v>
      </c>
      <c r="AA99" s="19" t="n">
        <v>0</v>
      </c>
      <c r="AB99" s="19" t="n">
        <v>0</v>
      </c>
      <c r="AC99" s="19" t="n">
        <v>0</v>
      </c>
      <c r="AD99" s="19" t="n">
        <v>0</v>
      </c>
      <c r="AE99" s="19" t="n">
        <v>0</v>
      </c>
      <c r="AF99" s="19" t="n">
        <v>0</v>
      </c>
      <c r="AG99" s="19" t="n">
        <v>-13180.81</v>
      </c>
      <c r="AH99" s="38" t="n">
        <v>0</v>
      </c>
      <c r="AI99" s="38" t="n">
        <v>0</v>
      </c>
      <c r="AJ99" s="28" t="n"/>
      <c r="AK99" s="28" t="n"/>
      <c r="AL99" s="28" t="n"/>
      <c r="AM99" s="28" t="n"/>
      <c r="AN99" s="28" t="n"/>
      <c r="AO99" s="19">
        <f>AO92-AO93-AO94-AO95</f>
        <v/>
      </c>
      <c r="AP99" s="19">
        <f>AP92-AP93-AP94-AP95</f>
        <v/>
      </c>
      <c r="AQ99" s="19">
        <f>AQ92-AQ93-AQ94-AQ95</f>
        <v/>
      </c>
      <c r="AR99" s="19">
        <f>AR92-AR93-AR94-AR95</f>
        <v/>
      </c>
      <c r="AS99" s="19">
        <f>AS92-AS93-AS94-AS95</f>
        <v/>
      </c>
      <c r="AT99" s="19">
        <f>AT92-AT93-AT94-AT95</f>
        <v/>
      </c>
      <c r="AU99" s="19">
        <f>AU92-AU93-AU94-AU95</f>
        <v/>
      </c>
      <c r="AV99" s="19">
        <f>AV92-AV93-AV94-AV95</f>
        <v/>
      </c>
      <c r="AW99" s="19">
        <f>AW92-AW93-AW94-AW95</f>
        <v/>
      </c>
      <c r="AX99" s="19">
        <f>AX92-AX93-AX94-AX95</f>
        <v/>
      </c>
      <c r="AY99" s="19">
        <f>AY92-AY93-AY94-AY95</f>
        <v/>
      </c>
      <c r="AZ99" s="19">
        <f>AZ92-AZ93-AZ94-AZ95</f>
        <v/>
      </c>
      <c r="BA99" s="57" t="n">
        <v>0</v>
      </c>
      <c r="BB99" s="31" t="n">
        <v>0</v>
      </c>
      <c r="BC99" s="61" t="n">
        <v>0</v>
      </c>
      <c r="BD99" s="27" t="inlineStr"/>
    </row>
    <row r="100">
      <c r="A100" s="42" t="n"/>
      <c r="B100" s="42" t="n"/>
      <c r="C100" s="42" t="n"/>
      <c r="D100" s="42" t="n"/>
      <c r="E100" s="42" t="n"/>
      <c r="F100" s="42" t="n"/>
      <c r="G100" s="42" t="n"/>
      <c r="H100" s="42" t="n"/>
      <c r="I100" s="42" t="n"/>
      <c r="J100" s="42" t="n"/>
      <c r="K100" s="42" t="n"/>
      <c r="L100" s="42" t="n"/>
      <c r="M100" s="42" t="n"/>
      <c r="N100" s="42" t="n"/>
      <c r="O100" s="42" t="n"/>
      <c r="P100" s="42" t="n"/>
      <c r="Q100" s="42" t="n"/>
      <c r="R100" s="35" t="inlineStr">
        <is>
          <t>GP3毛利率(%)</t>
        </is>
      </c>
      <c r="S100" s="36" t="n">
        <v>0.162753720931157</v>
      </c>
      <c r="T100" s="36" t="n">
        <v>0</v>
      </c>
      <c r="U100" s="37">
        <f>U99/U92</f>
        <v/>
      </c>
      <c r="V100" s="36">
        <f>V99/V92</f>
        <v/>
      </c>
      <c r="W100" s="36">
        <f>W99/W92</f>
        <v/>
      </c>
      <c r="X100" s="36" t="n">
        <v>0</v>
      </c>
      <c r="Y100" s="36" t="n">
        <v>0</v>
      </c>
      <c r="Z100" s="36" t="n">
        <v>0</v>
      </c>
      <c r="AA100" s="36" t="n">
        <v>0</v>
      </c>
      <c r="AB100" s="36" t="n">
        <v>0</v>
      </c>
      <c r="AC100" s="36" t="n">
        <v>0</v>
      </c>
      <c r="AD100" s="36" t="n">
        <v>0</v>
      </c>
      <c r="AE100" s="36" t="n">
        <v>0</v>
      </c>
      <c r="AF100" s="36" t="n">
        <v>0</v>
      </c>
      <c r="AG100" s="36" t="n">
        <v>-2.05630144337874</v>
      </c>
      <c r="AH100" s="38" t="n">
        <v>-0.162753720931157</v>
      </c>
      <c r="AI100" s="38">
        <f>AF100-S100</f>
        <v/>
      </c>
      <c r="AJ100" s="42" t="n"/>
      <c r="AK100" s="42" t="n"/>
      <c r="AL100" s="42" t="n"/>
      <c r="AM100" s="42" t="n"/>
      <c r="AN100" s="42" t="n"/>
      <c r="AO100" s="36">
        <f>AO99/AO92</f>
        <v/>
      </c>
      <c r="AP100" s="36">
        <f>AP99/AP92</f>
        <v/>
      </c>
      <c r="AQ100" s="36">
        <f>AQ99/AQ92</f>
        <v/>
      </c>
      <c r="AR100" s="36">
        <f>AR99/AR92</f>
        <v/>
      </c>
      <c r="AS100" s="36">
        <f>AS99/AS92</f>
        <v/>
      </c>
      <c r="AT100" s="36">
        <f>AT99/AT92</f>
        <v/>
      </c>
      <c r="AU100" s="36">
        <f>AU99/AU92</f>
        <v/>
      </c>
      <c r="AV100" s="36">
        <f>AV99/AV92</f>
        <v/>
      </c>
      <c r="AW100" s="36">
        <f>AW99/AW92</f>
        <v/>
      </c>
      <c r="AX100" s="36">
        <f>AX99/AX92</f>
        <v/>
      </c>
      <c r="AY100" s="36">
        <f>AY99/AY92</f>
        <v/>
      </c>
      <c r="AZ100" s="36">
        <f>AZ99/AZ92</f>
        <v/>
      </c>
      <c r="BA100" s="56" t="n">
        <v>0</v>
      </c>
      <c r="BB100" s="39" t="n">
        <v>0</v>
      </c>
      <c r="BC100" s="61" t="n">
        <v>0</v>
      </c>
      <c r="BD100" s="27" t="inlineStr"/>
    </row>
  </sheetData>
  <mergeCells count="242">
    <mergeCell ref="P65:P73"/>
    <mergeCell ref="AN29:AN37"/>
    <mergeCell ref="AL47:AL55"/>
    <mergeCell ref="AN47:AN55"/>
    <mergeCell ref="AL56:AL64"/>
    <mergeCell ref="AN56:AN64"/>
    <mergeCell ref="P2:P10"/>
    <mergeCell ref="AK29:AK37"/>
    <mergeCell ref="C11:C19"/>
    <mergeCell ref="E11:E19"/>
    <mergeCell ref="AM11:AM19"/>
    <mergeCell ref="L38:L46"/>
    <mergeCell ref="O83:O91"/>
    <mergeCell ref="B65:B73"/>
    <mergeCell ref="N38:N46"/>
    <mergeCell ref="AJ65:AJ73"/>
    <mergeCell ref="J56:J64"/>
    <mergeCell ref="F38:F46"/>
    <mergeCell ref="B74:B82"/>
    <mergeCell ref="A20:A28"/>
    <mergeCell ref="L56:L64"/>
    <mergeCell ref="D74:D82"/>
    <mergeCell ref="A29:A37"/>
    <mergeCell ref="K38:K46"/>
    <mergeCell ref="C38:C46"/>
    <mergeCell ref="M29:M37"/>
    <mergeCell ref="N83:N91"/>
    <mergeCell ref="P83:P91"/>
    <mergeCell ref="E47:E55"/>
    <mergeCell ref="B20:B28"/>
    <mergeCell ref="I38:I46"/>
    <mergeCell ref="G47:G55"/>
    <mergeCell ref="D20:D28"/>
    <mergeCell ref="M56:M64"/>
    <mergeCell ref="L11:L19"/>
    <mergeCell ref="D29:D37"/>
    <mergeCell ref="N11:N19"/>
    <mergeCell ref="N20:N28"/>
    <mergeCell ref="F29:F37"/>
    <mergeCell ref="F11:F19"/>
    <mergeCell ref="P20:P28"/>
    <mergeCell ref="P29:P37"/>
    <mergeCell ref="N92:N100"/>
    <mergeCell ref="AJ2:AJ10"/>
    <mergeCell ref="K65:K73"/>
    <mergeCell ref="AJ11:AJ19"/>
    <mergeCell ref="K74:K82"/>
    <mergeCell ref="AM29:AM37"/>
    <mergeCell ref="AN92:AN100"/>
    <mergeCell ref="Q38:Q46"/>
    <mergeCell ref="M74:M82"/>
    <mergeCell ref="E74:E82"/>
    <mergeCell ref="O74:O82"/>
    <mergeCell ref="A2:A10"/>
    <mergeCell ref="K2:K10"/>
    <mergeCell ref="AK20:AK28"/>
    <mergeCell ref="C2:C10"/>
    <mergeCell ref="L92:L100"/>
    <mergeCell ref="E2:E10"/>
    <mergeCell ref="D56:D64"/>
    <mergeCell ref="F56:F64"/>
    <mergeCell ref="I92:I100"/>
    <mergeCell ref="P47:P55"/>
    <mergeCell ref="H65:H73"/>
    <mergeCell ref="H47:H55"/>
    <mergeCell ref="J47:J55"/>
    <mergeCell ref="G20:G28"/>
    <mergeCell ref="O11:O19"/>
    <mergeCell ref="I20:I28"/>
    <mergeCell ref="G29:G37"/>
    <mergeCell ref="Q11:Q19"/>
    <mergeCell ref="I29:I37"/>
    <mergeCell ref="L65:L73"/>
    <mergeCell ref="N65:N73"/>
    <mergeCell ref="A47:A55"/>
    <mergeCell ref="N74:N82"/>
    <mergeCell ref="P74:P82"/>
    <mergeCell ref="D38:D46"/>
    <mergeCell ref="AL38:AL46"/>
    <mergeCell ref="M47:M55"/>
    <mergeCell ref="J2:J10"/>
    <mergeCell ref="AN38:AN46"/>
    <mergeCell ref="AJ47:AJ55"/>
    <mergeCell ref="L2:L10"/>
    <mergeCell ref="AJ56:AJ64"/>
    <mergeCell ref="A11:A19"/>
    <mergeCell ref="Q47:Q55"/>
    <mergeCell ref="AL74:AL82"/>
    <mergeCell ref="K92:K100"/>
    <mergeCell ref="AN74:AN82"/>
    <mergeCell ref="AK47:AK55"/>
    <mergeCell ref="F83:F91"/>
    <mergeCell ref="H56:H64"/>
    <mergeCell ref="AM47:AM55"/>
    <mergeCell ref="H83:H91"/>
    <mergeCell ref="AN83:AN91"/>
    <mergeCell ref="AM56:AM64"/>
    <mergeCell ref="AL2:AL10"/>
    <mergeCell ref="B11:B19"/>
    <mergeCell ref="G38:G46"/>
    <mergeCell ref="Q83:Q91"/>
    <mergeCell ref="D11:D19"/>
    <mergeCell ref="AL11:AL19"/>
    <mergeCell ref="N2:N10"/>
    <mergeCell ref="F20:F28"/>
    <mergeCell ref="AN20:AN28"/>
    <mergeCell ref="C92:C100"/>
    <mergeCell ref="O92:O100"/>
    <mergeCell ref="Q92:Q100"/>
    <mergeCell ref="A65:A73"/>
    <mergeCell ref="L83:L91"/>
    <mergeCell ref="I56:I64"/>
    <mergeCell ref="E38:E46"/>
    <mergeCell ref="C47:C55"/>
    <mergeCell ref="O29:O37"/>
    <mergeCell ref="A56:A64"/>
    <mergeCell ref="K56:K64"/>
    <mergeCell ref="H11:H19"/>
    <mergeCell ref="C56:C64"/>
    <mergeCell ref="C65:C73"/>
    <mergeCell ref="J11:J19"/>
    <mergeCell ref="J20:J28"/>
    <mergeCell ref="B29:B37"/>
    <mergeCell ref="L20:L28"/>
    <mergeCell ref="M65:M73"/>
    <mergeCell ref="B38:B46"/>
    <mergeCell ref="O65:O73"/>
    <mergeCell ref="L29:L37"/>
    <mergeCell ref="J83:J91"/>
    <mergeCell ref="N29:N37"/>
    <mergeCell ref="E65:E73"/>
    <mergeCell ref="G65:G73"/>
    <mergeCell ref="O56:O64"/>
    <mergeCell ref="G74:G82"/>
    <mergeCell ref="Q65:Q73"/>
    <mergeCell ref="D47:D55"/>
    <mergeCell ref="G83:G91"/>
    <mergeCell ref="F47:F55"/>
    <mergeCell ref="Q74:Q82"/>
    <mergeCell ref="I83:I91"/>
    <mergeCell ref="AM65:AM73"/>
    <mergeCell ref="AM74:AM82"/>
    <mergeCell ref="O2:O10"/>
    <mergeCell ref="AM83:AM91"/>
    <mergeCell ref="Q2:Q10"/>
    <mergeCell ref="AL29:AL37"/>
    <mergeCell ref="AJ83:AJ91"/>
    <mergeCell ref="AK2:AK10"/>
    <mergeCell ref="B92:B100"/>
    <mergeCell ref="AJ92:AJ100"/>
    <mergeCell ref="AL92:AL100"/>
    <mergeCell ref="A83:A91"/>
    <mergeCell ref="O38:O46"/>
    <mergeCell ref="AJ29:AJ37"/>
    <mergeCell ref="A92:A100"/>
    <mergeCell ref="K83:K91"/>
    <mergeCell ref="AM2:AM10"/>
    <mergeCell ref="M92:M100"/>
    <mergeCell ref="H92:H100"/>
    <mergeCell ref="G11:G19"/>
    <mergeCell ref="I11:I19"/>
    <mergeCell ref="B56:B64"/>
    <mergeCell ref="E92:E100"/>
    <mergeCell ref="D65:D73"/>
    <mergeCell ref="P38:P46"/>
    <mergeCell ref="AL65:AL73"/>
    <mergeCell ref="F65:F73"/>
    <mergeCell ref="H38:H46"/>
    <mergeCell ref="AN65:AN73"/>
    <mergeCell ref="C20:C28"/>
    <mergeCell ref="J38:J46"/>
    <mergeCell ref="N56:N64"/>
    <mergeCell ref="E20:E28"/>
    <mergeCell ref="C29:C37"/>
    <mergeCell ref="P56:P64"/>
    <mergeCell ref="M11:M19"/>
    <mergeCell ref="E29:E37"/>
    <mergeCell ref="F74:F82"/>
    <mergeCell ref="O20:O28"/>
    <mergeCell ref="B2:B10"/>
    <mergeCell ref="H74:H82"/>
    <mergeCell ref="Q20:Q28"/>
    <mergeCell ref="D2:D10"/>
    <mergeCell ref="AM92:AM100"/>
    <mergeCell ref="Q29:Q37"/>
    <mergeCell ref="J65:J73"/>
    <mergeCell ref="J74:J82"/>
    <mergeCell ref="K11:K19"/>
    <mergeCell ref="L74:L82"/>
    <mergeCell ref="I47:I55"/>
    <mergeCell ref="AK92:AK100"/>
    <mergeCell ref="F2:F10"/>
    <mergeCell ref="AJ38:AJ46"/>
    <mergeCell ref="K47:K55"/>
    <mergeCell ref="H2:H10"/>
    <mergeCell ref="P11:P19"/>
    <mergeCell ref="A74:A82"/>
    <mergeCell ref="AN2:AN10"/>
    <mergeCell ref="G92:G100"/>
    <mergeCell ref="AN11:AN19"/>
    <mergeCell ref="O47:O55"/>
    <mergeCell ref="AJ74:AJ82"/>
    <mergeCell ref="AK11:AK19"/>
    <mergeCell ref="B83:B91"/>
    <mergeCell ref="AK38:AK46"/>
    <mergeCell ref="AM20:AM28"/>
    <mergeCell ref="D83:D91"/>
    <mergeCell ref="AL83:AL91"/>
    <mergeCell ref="D92:D100"/>
    <mergeCell ref="AK56:AK64"/>
    <mergeCell ref="AK65:AK73"/>
    <mergeCell ref="F92:F100"/>
    <mergeCell ref="AJ20:AJ28"/>
    <mergeCell ref="AL20:AL28"/>
    <mergeCell ref="E56:E64"/>
    <mergeCell ref="A38:A46"/>
    <mergeCell ref="G56:G64"/>
    <mergeCell ref="J92:J100"/>
    <mergeCell ref="I65:I73"/>
    <mergeCell ref="Q56:Q64"/>
    <mergeCell ref="M38:M46"/>
    <mergeCell ref="I74:I82"/>
    <mergeCell ref="H20:H28"/>
    <mergeCell ref="H29:H37"/>
    <mergeCell ref="J29:J37"/>
    <mergeCell ref="G2:G10"/>
    <mergeCell ref="P92:P100"/>
    <mergeCell ref="I2:I10"/>
    <mergeCell ref="C74:C82"/>
    <mergeCell ref="C83:C91"/>
    <mergeCell ref="M83:M91"/>
    <mergeCell ref="B47:B55"/>
    <mergeCell ref="E83:E91"/>
    <mergeCell ref="L47:L55"/>
    <mergeCell ref="AM38:AM46"/>
    <mergeCell ref="K20:K28"/>
    <mergeCell ref="N47:N55"/>
    <mergeCell ref="AK74:AK82"/>
    <mergeCell ref="M20:M28"/>
    <mergeCell ref="K29:K37"/>
    <mergeCell ref="M2:M10"/>
    <mergeCell ref="AK83:AK9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s="63" t="inlineStr">
        <is>
          <t>2026年3月在行农业项目</t>
        </is>
      </c>
    </row>
    <row r="3">
      <c r="A3" s="64" t="inlineStr">
        <is>
          <t>项目名称</t>
        </is>
      </c>
      <c r="B3" s="64" t="inlineStr">
        <is>
          <t>类别</t>
        </is>
      </c>
      <c r="C3" s="65" t="inlineStr">
        <is>
          <t>项目整体毛利目标预算</t>
        </is>
      </c>
      <c r="D3" s="65" t="inlineStr">
        <is>
          <t>项目开始-当前实际累计</t>
        </is>
      </c>
      <c r="E3" s="65" t="inlineStr">
        <is>
          <t>2026年YTD</t>
        </is>
      </c>
      <c r="F3" s="65" t="inlineStr">
        <is>
          <t>偏差（实际-预算）</t>
        </is>
      </c>
      <c r="G3" s="66" t="inlineStr">
        <is>
          <t>数据分析与说明</t>
        </is>
      </c>
      <c r="H3" s="78" t="n">
        <v>46357</v>
      </c>
      <c r="I3" s="78" t="n">
        <v>46327</v>
      </c>
      <c r="J3" s="78" t="n">
        <v>46296</v>
      </c>
      <c r="K3" s="78" t="n">
        <v>46266</v>
      </c>
      <c r="L3" s="78" t="n">
        <v>46235</v>
      </c>
      <c r="M3" s="78" t="n">
        <v>46204</v>
      </c>
      <c r="N3" s="78" t="n">
        <v>46174</v>
      </c>
      <c r="O3" s="78" t="n">
        <v>46143</v>
      </c>
      <c r="P3" s="78" t="n">
        <v>46113</v>
      </c>
      <c r="Q3" s="78" t="n">
        <v>46082</v>
      </c>
      <c r="R3" s="78" t="n">
        <v>46054</v>
      </c>
      <c r="S3" s="78" t="n">
        <v>46023</v>
      </c>
    </row>
    <row r="4">
      <c r="A4" s="68" t="inlineStr">
        <is>
          <t>13个农业项目</t>
        </is>
      </c>
      <c r="B4" s="29" t="inlineStr">
        <is>
          <t>累计收入（NR）</t>
        </is>
      </c>
      <c r="C4" s="69" t="n">
        <v>2605283.030000001</v>
      </c>
      <c r="D4" s="69" t="n">
        <v>1826342.49</v>
      </c>
      <c r="E4" s="69" t="inlineStr"/>
      <c r="F4" s="69" t="inlineStr"/>
      <c r="G4" s="70" t="inlineStr"/>
      <c r="H4" s="71" t="n">
        <v>0</v>
      </c>
      <c r="I4" s="71" t="n">
        <v>0</v>
      </c>
      <c r="J4" s="71" t="n">
        <v>0</v>
      </c>
      <c r="K4" s="71" t="n">
        <v>0</v>
      </c>
      <c r="L4" s="71" t="n">
        <v>0</v>
      </c>
      <c r="M4" s="71" t="n">
        <v>0</v>
      </c>
      <c r="N4" s="71" t="n">
        <v>0</v>
      </c>
      <c r="O4" s="71" t="n">
        <v>0</v>
      </c>
      <c r="P4" s="71" t="n">
        <v>0</v>
      </c>
      <c r="Q4" s="71" t="n">
        <v>0</v>
      </c>
      <c r="R4" s="71" t="n">
        <v>280358.52</v>
      </c>
      <c r="S4" s="71" t="n">
        <v>191830.73</v>
      </c>
    </row>
    <row r="5">
      <c r="A5" s="28" t="n"/>
      <c r="B5" s="29" t="inlineStr">
        <is>
          <t>人工成本（成本１）</t>
        </is>
      </c>
      <c r="C5" s="69" t="n">
        <v>1980733.77</v>
      </c>
      <c r="D5" s="69" t="n">
        <v>1541295.81</v>
      </c>
      <c r="E5" s="69" t="inlineStr"/>
      <c r="F5" s="69" t="inlineStr"/>
      <c r="G5" s="28" t="n"/>
      <c r="H5" s="71" t="n">
        <v>0</v>
      </c>
      <c r="I5" s="71" t="n">
        <v>0</v>
      </c>
      <c r="J5" s="71" t="n">
        <v>0</v>
      </c>
      <c r="K5" s="71" t="n">
        <v>0</v>
      </c>
      <c r="L5" s="71" t="n">
        <v>0</v>
      </c>
      <c r="M5" s="71" t="n">
        <v>0</v>
      </c>
      <c r="N5" s="71" t="n">
        <v>0</v>
      </c>
      <c r="O5" s="71" t="n">
        <v>0</v>
      </c>
      <c r="P5" s="71" t="n">
        <v>0</v>
      </c>
      <c r="Q5" s="71" t="n">
        <v>0</v>
      </c>
      <c r="R5" s="71" t="n">
        <v>199527.84</v>
      </c>
      <c r="S5" s="71" t="n">
        <v>202480.66</v>
      </c>
    </row>
    <row r="6">
      <c r="A6" s="28" t="n"/>
      <c r="B6" s="29" t="inlineStr">
        <is>
          <t>差旅费（成本３）</t>
        </is>
      </c>
      <c r="C6" s="69" t="n">
        <v>70000</v>
      </c>
      <c r="D6" s="69" t="n">
        <v>5630.59</v>
      </c>
      <c r="E6" s="69" t="inlineStr"/>
      <c r="F6" s="69" t="inlineStr"/>
      <c r="G6" s="28" t="n"/>
      <c r="H6" s="71" t="n">
        <v>0</v>
      </c>
      <c r="I6" s="71" t="n">
        <v>0</v>
      </c>
      <c r="J6" s="71" t="n">
        <v>0</v>
      </c>
      <c r="K6" s="71" t="n">
        <v>0</v>
      </c>
      <c r="L6" s="71" t="n">
        <v>0</v>
      </c>
      <c r="M6" s="71" t="n">
        <v>0</v>
      </c>
      <c r="N6" s="71" t="n">
        <v>0</v>
      </c>
      <c r="O6" s="71" t="n">
        <v>0</v>
      </c>
      <c r="P6" s="71" t="n">
        <v>0</v>
      </c>
      <c r="Q6" s="71" t="n">
        <v>0</v>
      </c>
      <c r="R6" s="71" t="n">
        <v>0</v>
      </c>
      <c r="S6" s="71" t="n">
        <v>0</v>
      </c>
    </row>
    <row r="7">
      <c r="A7" s="28" t="n"/>
      <c r="B7" s="29" t="inlineStr">
        <is>
          <t>其他成本（成本３）</t>
        </is>
      </c>
      <c r="C7" s="69" t="n">
        <v>99774</v>
      </c>
      <c r="D7" s="69" t="n">
        <v>3657.827000000002</v>
      </c>
      <c r="E7" s="69" t="inlineStr"/>
      <c r="F7" s="69" t="inlineStr"/>
      <c r="G7" s="28" t="n"/>
      <c r="H7" s="71" t="n">
        <v>0</v>
      </c>
      <c r="I7" s="71" t="n">
        <v>0</v>
      </c>
      <c r="J7" s="71" t="n">
        <v>0</v>
      </c>
      <c r="K7" s="71" t="n">
        <v>0</v>
      </c>
      <c r="L7" s="71" t="n">
        <v>0</v>
      </c>
      <c r="M7" s="71" t="n">
        <v>0</v>
      </c>
      <c r="N7" s="71" t="n">
        <v>0</v>
      </c>
      <c r="O7" s="71" t="n">
        <v>0</v>
      </c>
      <c r="P7" s="71" t="n">
        <v>0</v>
      </c>
      <c r="Q7" s="71" t="n">
        <v>0</v>
      </c>
      <c r="R7" s="71" t="n">
        <v>-28852.18</v>
      </c>
      <c r="S7" s="71" t="n">
        <v>-744.5799999999999</v>
      </c>
    </row>
    <row r="8">
      <c r="A8" s="28" t="n"/>
      <c r="B8" s="29" t="inlineStr">
        <is>
          <t>累计成本</t>
        </is>
      </c>
      <c r="C8" s="69" t="n">
        <v>63188.4</v>
      </c>
      <c r="D8" s="69" t="n">
        <v>1550584.227</v>
      </c>
      <c r="E8" s="69" t="inlineStr"/>
      <c r="F8" s="69" t="inlineStr"/>
      <c r="G8" s="28" t="n"/>
      <c r="H8" s="71" t="n">
        <v>0</v>
      </c>
      <c r="I8" s="71" t="n">
        <v>0</v>
      </c>
      <c r="J8" s="71" t="n">
        <v>0</v>
      </c>
      <c r="K8" s="71" t="n">
        <v>0</v>
      </c>
      <c r="L8" s="71" t="n">
        <v>0</v>
      </c>
      <c r="M8" s="71" t="n">
        <v>0</v>
      </c>
      <c r="N8" s="71" t="n">
        <v>0</v>
      </c>
      <c r="O8" s="71" t="n">
        <v>0</v>
      </c>
      <c r="P8" s="71" t="n">
        <v>0</v>
      </c>
      <c r="Q8" s="71" t="n">
        <v>0</v>
      </c>
      <c r="R8" s="71" t="n">
        <v>170675.66</v>
      </c>
      <c r="S8" s="71" t="n">
        <v>201736.08</v>
      </c>
    </row>
    <row r="9">
      <c r="A9" s="28" t="n"/>
      <c r="B9" s="29" t="inlineStr">
        <is>
          <t>GP1毛利</t>
        </is>
      </c>
      <c r="C9" s="69" t="n">
        <v>41320.3</v>
      </c>
      <c r="D9" s="69" t="n">
        <v>285046.68</v>
      </c>
      <c r="E9" s="69" t="inlineStr"/>
      <c r="F9" s="69" t="inlineStr"/>
      <c r="G9" s="28" t="n"/>
      <c r="H9" s="71" t="n">
        <v>0</v>
      </c>
      <c r="I9" s="71" t="n">
        <v>0</v>
      </c>
      <c r="J9" s="71" t="n">
        <v>0</v>
      </c>
      <c r="K9" s="71" t="n">
        <v>0</v>
      </c>
      <c r="L9" s="71" t="n">
        <v>0</v>
      </c>
      <c r="M9" s="71" t="n">
        <v>0</v>
      </c>
      <c r="N9" s="71" t="n">
        <v>0</v>
      </c>
      <c r="O9" s="71" t="n">
        <v>0</v>
      </c>
      <c r="P9" s="71" t="n">
        <v>0</v>
      </c>
      <c r="Q9" s="71" t="n">
        <v>0</v>
      </c>
      <c r="R9" s="71" t="n">
        <v>80830.67999999999</v>
      </c>
      <c r="S9" s="71" t="n">
        <v>-10649.93</v>
      </c>
    </row>
    <row r="10">
      <c r="A10" s="28" t="n"/>
      <c r="B10" s="29" t="inlineStr">
        <is>
          <t>GP1毛利率(%)</t>
        </is>
      </c>
      <c r="C10" s="69" t="n">
        <v>0.547493961312651</v>
      </c>
      <c r="D10" s="69" t="n">
        <v>0.7904245671501184</v>
      </c>
      <c r="E10" s="69" t="inlineStr"/>
      <c r="F10" s="69" t="inlineStr"/>
      <c r="G10" s="28" t="n"/>
      <c r="H10" s="71" t="n">
        <v>0</v>
      </c>
      <c r="I10" s="71" t="n">
        <v>0</v>
      </c>
      <c r="J10" s="71" t="n">
        <v>0</v>
      </c>
      <c r="K10" s="71" t="n">
        <v>0</v>
      </c>
      <c r="L10" s="71" t="n">
        <v>0</v>
      </c>
      <c r="M10" s="71" t="n">
        <v>0</v>
      </c>
      <c r="N10" s="71" t="n">
        <v>0</v>
      </c>
      <c r="O10" s="71" t="n">
        <v>0</v>
      </c>
      <c r="P10" s="71" t="n">
        <v>0</v>
      </c>
      <c r="Q10" s="71" t="n">
        <v>0</v>
      </c>
      <c r="R10" s="71" t="n">
        <v>5.817138043440571</v>
      </c>
      <c r="S10" s="71" t="n">
        <v>-0.9638767548579539</v>
      </c>
    </row>
    <row r="11">
      <c r="A11" s="28" t="n"/>
      <c r="B11" s="29" t="inlineStr">
        <is>
          <t>GP3毛利</t>
        </is>
      </c>
      <c r="C11" s="69" t="n">
        <v>12283.3</v>
      </c>
      <c r="D11" s="69" t="n">
        <v>275758.2630000001</v>
      </c>
      <c r="E11" s="69" t="inlineStr"/>
      <c r="F11" s="69" t="inlineStr"/>
      <c r="G11" s="28" t="n"/>
      <c r="H11" s="71" t="n">
        <v>0</v>
      </c>
      <c r="I11" s="71" t="n">
        <v>0</v>
      </c>
      <c r="J11" s="71" t="n">
        <v>0</v>
      </c>
      <c r="K11" s="71" t="n">
        <v>0</v>
      </c>
      <c r="L11" s="71" t="n">
        <v>0</v>
      </c>
      <c r="M11" s="71" t="n">
        <v>0</v>
      </c>
      <c r="N11" s="71" t="n">
        <v>0</v>
      </c>
      <c r="O11" s="71" t="n">
        <v>0</v>
      </c>
      <c r="P11" s="71" t="n">
        <v>0</v>
      </c>
      <c r="Q11" s="71" t="n">
        <v>0</v>
      </c>
      <c r="R11" s="71" t="n">
        <v>109682.86</v>
      </c>
      <c r="S11" s="71" t="n">
        <v>-9905.349999999999</v>
      </c>
    </row>
    <row r="12">
      <c r="A12" s="42" t="n"/>
      <c r="B12" s="29" t="inlineStr">
        <is>
          <t>GP3毛利率(%)</t>
        </is>
      </c>
      <c r="C12" s="69" t="n">
        <v>0.162753720931157</v>
      </c>
      <c r="D12" s="69" t="n">
        <v>0.7404817155553333</v>
      </c>
      <c r="E12" s="69" t="inlineStr"/>
      <c r="F12" s="69" t="inlineStr"/>
      <c r="G12" s="42" t="n"/>
      <c r="H12" s="71" t="n">
        <v>0</v>
      </c>
      <c r="I12" s="71" t="n">
        <v>0</v>
      </c>
      <c r="J12" s="71" t="n">
        <v>0</v>
      </c>
      <c r="K12" s="71" t="n">
        <v>0</v>
      </c>
      <c r="L12" s="71" t="n">
        <v>0</v>
      </c>
      <c r="M12" s="71" t="n">
        <v>0</v>
      </c>
      <c r="N12" s="71" t="n">
        <v>0</v>
      </c>
      <c r="O12" s="71" t="n">
        <v>0</v>
      </c>
      <c r="P12" s="71" t="n">
        <v>0</v>
      </c>
      <c r="Q12" s="71" t="n">
        <v>0</v>
      </c>
      <c r="R12" s="71" t="n">
        <v>5.84394845384686</v>
      </c>
      <c r="S12" s="71" t="n">
        <v>-0.9215391283044605</v>
      </c>
    </row>
  </sheetData>
  <mergeCells count="2">
    <mergeCell ref="A4:A12"/>
    <mergeCell ref="G4:G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s="72" t="inlineStr">
        <is>
          <t>2026年在行农业项目</t>
        </is>
      </c>
    </row>
    <row r="3">
      <c r="A3" s="73" t="inlineStr">
        <is>
          <t>项目名称</t>
        </is>
      </c>
      <c r="B3" s="73" t="inlineStr">
        <is>
          <t>类别</t>
        </is>
      </c>
      <c r="C3" s="74" t="inlineStr">
        <is>
          <t>项目整体毛利目标预算</t>
        </is>
      </c>
      <c r="D3" s="74" t="inlineStr">
        <is>
          <t>项目开始-当前实际累计</t>
        </is>
      </c>
      <c r="E3" s="74" t="inlineStr">
        <is>
          <t>2026年YTD</t>
        </is>
      </c>
      <c r="F3" s="74" t="inlineStr">
        <is>
          <t>偏差（实际-预算）</t>
        </is>
      </c>
      <c r="G3" s="75" t="inlineStr">
        <is>
          <t>数据分析与说明</t>
        </is>
      </c>
      <c r="H3" s="79" t="n">
        <v>46357</v>
      </c>
      <c r="I3" s="79" t="n">
        <v>46327</v>
      </c>
      <c r="J3" s="79" t="n">
        <v>46296</v>
      </c>
      <c r="K3" s="79" t="n">
        <v>46266</v>
      </c>
      <c r="L3" s="79" t="n">
        <v>46235</v>
      </c>
      <c r="M3" s="79" t="n">
        <v>46204</v>
      </c>
      <c r="N3" s="79" t="n">
        <v>46174</v>
      </c>
      <c r="O3" s="79" t="n">
        <v>46143</v>
      </c>
      <c r="P3" s="79" t="n">
        <v>46113</v>
      </c>
      <c r="Q3" s="79" t="n">
        <v>46082</v>
      </c>
      <c r="R3" s="80" t="n">
        <v>46054</v>
      </c>
      <c r="S3" s="80" t="n">
        <v>46023</v>
      </c>
    </row>
    <row r="4">
      <c r="A4" s="68" t="inlineStr">
        <is>
          <t>13个农业项目</t>
        </is>
      </c>
      <c r="B4" s="29" t="inlineStr">
        <is>
          <t>累计收入（NR）</t>
        </is>
      </c>
      <c r="C4" s="69" t="n">
        <v>2935377.370000001</v>
      </c>
      <c r="D4" s="69" t="n">
        <v>2154073.467</v>
      </c>
      <c r="E4" s="69" t="inlineStr"/>
      <c r="F4" s="69" t="inlineStr"/>
      <c r="G4" s="70" t="inlineStr"/>
      <c r="H4" s="71" t="n">
        <v>0</v>
      </c>
      <c r="I4" s="71" t="n">
        <v>0</v>
      </c>
      <c r="J4" s="71" t="n">
        <v>0</v>
      </c>
      <c r="K4" s="71" t="n">
        <v>0</v>
      </c>
      <c r="L4" s="71" t="n">
        <v>0</v>
      </c>
      <c r="M4" s="71" t="n">
        <v>0</v>
      </c>
      <c r="N4" s="71" t="n">
        <v>0</v>
      </c>
      <c r="O4" s="71" t="n">
        <v>0</v>
      </c>
      <c r="P4" s="71" t="n">
        <v>0</v>
      </c>
      <c r="Q4" s="71" t="n">
        <v>0</v>
      </c>
      <c r="R4" s="71" t="n">
        <v>280358.52</v>
      </c>
      <c r="S4" s="71" t="n">
        <v>191830.6</v>
      </c>
    </row>
    <row r="5">
      <c r="A5" s="28" t="n"/>
      <c r="B5" s="29" t="inlineStr">
        <is>
          <t>人工成本（成本１）</t>
        </is>
      </c>
      <c r="C5" s="69" t="n">
        <v>2188732.77</v>
      </c>
      <c r="D5" s="69" t="n">
        <v>1672676.36</v>
      </c>
      <c r="E5" s="69" t="inlineStr"/>
      <c r="F5" s="69" t="inlineStr"/>
      <c r="G5" s="28" t="n"/>
      <c r="H5" s="71" t="n">
        <v>0</v>
      </c>
      <c r="I5" s="71" t="n">
        <v>0</v>
      </c>
      <c r="J5" s="71" t="n">
        <v>0</v>
      </c>
      <c r="K5" s="71" t="n">
        <v>0</v>
      </c>
      <c r="L5" s="71" t="n">
        <v>0</v>
      </c>
      <c r="M5" s="71" t="n">
        <v>0</v>
      </c>
      <c r="N5" s="71" t="n">
        <v>0</v>
      </c>
      <c r="O5" s="71" t="n">
        <v>0</v>
      </c>
      <c r="P5" s="71" t="n">
        <v>0</v>
      </c>
      <c r="Q5" s="71" t="n">
        <v>0</v>
      </c>
      <c r="R5" s="71" t="n">
        <v>199527.84</v>
      </c>
      <c r="S5" s="71" t="n">
        <v>202480.66</v>
      </c>
    </row>
    <row r="6">
      <c r="A6" s="28" t="n"/>
      <c r="B6" s="29" t="inlineStr">
        <is>
          <t>差旅费（成本３）</t>
        </is>
      </c>
      <c r="C6" s="69" t="n">
        <v>87000</v>
      </c>
      <c r="D6" s="69" t="n">
        <v>9748.970000000001</v>
      </c>
      <c r="E6" s="69" t="inlineStr"/>
      <c r="F6" s="69" t="inlineStr"/>
      <c r="G6" s="28" t="n"/>
      <c r="H6" s="71" t="n">
        <v>0</v>
      </c>
      <c r="I6" s="71" t="n">
        <v>0</v>
      </c>
      <c r="J6" s="71" t="n">
        <v>0</v>
      </c>
      <c r="K6" s="71" t="n">
        <v>0</v>
      </c>
      <c r="L6" s="71" t="n">
        <v>0</v>
      </c>
      <c r="M6" s="71" t="n">
        <v>0</v>
      </c>
      <c r="N6" s="71" t="n">
        <v>0</v>
      </c>
      <c r="O6" s="71" t="n">
        <v>0</v>
      </c>
      <c r="P6" s="71" t="n">
        <v>0</v>
      </c>
      <c r="Q6" s="71" t="n">
        <v>0</v>
      </c>
      <c r="R6" s="71" t="n">
        <v>0</v>
      </c>
      <c r="S6" s="71" t="n">
        <v>0</v>
      </c>
    </row>
    <row r="7">
      <c r="A7" s="28" t="n"/>
      <c r="B7" s="29" t="inlineStr">
        <is>
          <t>其他成本（成本３）</t>
        </is>
      </c>
      <c r="C7" s="69" t="n">
        <v>109774</v>
      </c>
      <c r="D7" s="69" t="n">
        <v>9028.776999999998</v>
      </c>
      <c r="E7" s="69" t="inlineStr"/>
      <c r="F7" s="69" t="inlineStr"/>
      <c r="G7" s="28" t="n"/>
      <c r="H7" s="71" t="n">
        <v>0</v>
      </c>
      <c r="I7" s="71" t="n">
        <v>0</v>
      </c>
      <c r="J7" s="71" t="n">
        <v>0</v>
      </c>
      <c r="K7" s="71" t="n">
        <v>0</v>
      </c>
      <c r="L7" s="71" t="n">
        <v>0</v>
      </c>
      <c r="M7" s="71" t="n">
        <v>0</v>
      </c>
      <c r="N7" s="71" t="n">
        <v>0</v>
      </c>
      <c r="O7" s="71" t="n">
        <v>0</v>
      </c>
      <c r="P7" s="71" t="n">
        <v>0</v>
      </c>
      <c r="Q7" s="71" t="n">
        <v>0</v>
      </c>
      <c r="R7" s="71" t="n">
        <v>-28852.18</v>
      </c>
      <c r="S7" s="71" t="n">
        <v>-744.5799999999999</v>
      </c>
    </row>
    <row r="8">
      <c r="A8" s="28" t="n"/>
      <c r="B8" s="29" t="inlineStr">
        <is>
          <t>累计成本</t>
        </is>
      </c>
      <c r="C8" s="69" t="n">
        <v>63188.4</v>
      </c>
      <c r="D8" s="69" t="n">
        <v>1691454.107</v>
      </c>
      <c r="E8" s="69" t="inlineStr"/>
      <c r="F8" s="69" t="inlineStr"/>
      <c r="G8" s="28" t="n"/>
      <c r="H8" s="71" t="n">
        <v>0</v>
      </c>
      <c r="I8" s="71" t="n">
        <v>0</v>
      </c>
      <c r="J8" s="71" t="n">
        <v>0</v>
      </c>
      <c r="K8" s="71" t="n">
        <v>0</v>
      </c>
      <c r="L8" s="71" t="n">
        <v>0</v>
      </c>
      <c r="M8" s="71" t="n">
        <v>0</v>
      </c>
      <c r="N8" s="71" t="n">
        <v>0</v>
      </c>
      <c r="O8" s="71" t="n">
        <v>0</v>
      </c>
      <c r="P8" s="71" t="n">
        <v>0</v>
      </c>
      <c r="Q8" s="71" t="n">
        <v>0</v>
      </c>
      <c r="R8" s="71" t="n">
        <v>170675.66</v>
      </c>
      <c r="S8" s="71" t="n">
        <v>201736.08</v>
      </c>
    </row>
    <row r="9">
      <c r="A9" s="28" t="n"/>
      <c r="B9" s="29" t="inlineStr">
        <is>
          <t>GP1毛利</t>
        </is>
      </c>
      <c r="C9" s="69" t="n">
        <v>41320.3</v>
      </c>
      <c r="D9" s="69" t="n">
        <v>481397.107</v>
      </c>
      <c r="E9" s="69" t="inlineStr"/>
      <c r="F9" s="69" t="inlineStr"/>
      <c r="G9" s="28" t="n"/>
      <c r="H9" s="71" t="n">
        <v>0</v>
      </c>
      <c r="I9" s="71" t="n">
        <v>0</v>
      </c>
      <c r="J9" s="71" t="n">
        <v>0</v>
      </c>
      <c r="K9" s="71" t="n">
        <v>0</v>
      </c>
      <c r="L9" s="71" t="n">
        <v>0</v>
      </c>
      <c r="M9" s="71" t="n">
        <v>0</v>
      </c>
      <c r="N9" s="71" t="n">
        <v>0</v>
      </c>
      <c r="O9" s="71" t="n">
        <v>0</v>
      </c>
      <c r="P9" s="71" t="n">
        <v>0</v>
      </c>
      <c r="Q9" s="71" t="n">
        <v>0</v>
      </c>
      <c r="R9" s="71" t="n">
        <v>80830.67999999999</v>
      </c>
      <c r="S9" s="71" t="n">
        <v>-10650.06</v>
      </c>
    </row>
    <row r="10">
      <c r="A10" s="28" t="n"/>
      <c r="B10" s="29" t="inlineStr">
        <is>
          <t>GP1毛利率(%)</t>
        </is>
      </c>
      <c r="C10" s="69" t="n">
        <v>0.547493961312651</v>
      </c>
      <c r="D10" s="69" t="n">
        <v>1.389545311845547</v>
      </c>
      <c r="E10" s="69" t="inlineStr"/>
      <c r="F10" s="69" t="inlineStr"/>
      <c r="G10" s="28" t="n"/>
      <c r="H10" s="71" t="n">
        <v>0</v>
      </c>
      <c r="I10" s="71" t="n">
        <v>0</v>
      </c>
      <c r="J10" s="71" t="n">
        <v>0</v>
      </c>
      <c r="K10" s="71" t="n">
        <v>0</v>
      </c>
      <c r="L10" s="71" t="n">
        <v>0</v>
      </c>
      <c r="M10" s="71" t="n">
        <v>0</v>
      </c>
      <c r="N10" s="71" t="n">
        <v>0</v>
      </c>
      <c r="O10" s="71" t="n">
        <v>0</v>
      </c>
      <c r="P10" s="71" t="n">
        <v>0</v>
      </c>
      <c r="Q10" s="71" t="n">
        <v>0</v>
      </c>
      <c r="R10" s="71" t="n">
        <v>5.817138043440571</v>
      </c>
      <c r="S10" s="71" t="n">
        <v>0.03612324514204618</v>
      </c>
    </row>
    <row r="11">
      <c r="A11" s="28" t="n"/>
      <c r="B11" s="29" t="inlineStr">
        <is>
          <t>GP3毛利</t>
        </is>
      </c>
      <c r="C11" s="69" t="n">
        <v>12283.3</v>
      </c>
      <c r="D11" s="69" t="n">
        <v>462619.3600000001</v>
      </c>
      <c r="E11" s="69" t="inlineStr"/>
      <c r="F11" s="69" t="inlineStr"/>
      <c r="G11" s="28" t="n"/>
      <c r="H11" s="71" t="n">
        <v>0</v>
      </c>
      <c r="I11" s="71" t="n">
        <v>0</v>
      </c>
      <c r="J11" s="71" t="n">
        <v>0</v>
      </c>
      <c r="K11" s="71" t="n">
        <v>0</v>
      </c>
      <c r="L11" s="71" t="n">
        <v>0</v>
      </c>
      <c r="M11" s="71" t="n">
        <v>0</v>
      </c>
      <c r="N11" s="71" t="n">
        <v>0</v>
      </c>
      <c r="O11" s="71" t="n">
        <v>0</v>
      </c>
      <c r="P11" s="71" t="n">
        <v>0</v>
      </c>
      <c r="Q11" s="71" t="n">
        <v>0</v>
      </c>
      <c r="R11" s="71" t="n">
        <v>109682.86</v>
      </c>
      <c r="S11" s="71" t="n">
        <v>-9905.48</v>
      </c>
    </row>
    <row r="12">
      <c r="A12" s="42" t="n"/>
      <c r="B12" s="29" t="inlineStr">
        <is>
          <t>GP3毛利率(%)</t>
        </is>
      </c>
      <c r="C12" s="69" t="n">
        <v>0.162753720931157</v>
      </c>
      <c r="D12" s="69" t="n">
        <v>1.310647827744356</v>
      </c>
      <c r="E12" s="69" t="inlineStr"/>
      <c r="F12" s="69" t="inlineStr"/>
      <c r="G12" s="42" t="n"/>
      <c r="H12" s="71" t="n">
        <v>0</v>
      </c>
      <c r="I12" s="71" t="n">
        <v>0</v>
      </c>
      <c r="J12" s="71" t="n">
        <v>0</v>
      </c>
      <c r="K12" s="71" t="n">
        <v>0</v>
      </c>
      <c r="L12" s="71" t="n">
        <v>0</v>
      </c>
      <c r="M12" s="71" t="n">
        <v>0</v>
      </c>
      <c r="N12" s="71" t="n">
        <v>0</v>
      </c>
      <c r="O12" s="71" t="n">
        <v>0</v>
      </c>
      <c r="P12" s="71" t="n">
        <v>0</v>
      </c>
      <c r="Q12" s="71" t="n">
        <v>0</v>
      </c>
      <c r="R12" s="71" t="n">
        <v>5.84394845384686</v>
      </c>
      <c r="S12" s="71" t="n">
        <v>0.07846087169553934</v>
      </c>
    </row>
  </sheetData>
  <mergeCells count="2">
    <mergeCell ref="A4:A12"/>
    <mergeCell ref="G4:G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2026-03-24T09:10:28Z</dcterms:created>
  <dcterms:modified xmlns:dcterms="http://purl.org/dc/terms/" xmlns:xsi="http://www.w3.org/2001/XMLSchema-instance" xsi:type="dcterms:W3CDTF">2026-03-24T09:34:10Z</dcterms:modified>
</cp:coreProperties>
</file>