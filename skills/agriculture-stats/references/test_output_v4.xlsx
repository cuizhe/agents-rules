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4">
    <numFmt numFmtId="164" formatCode="_ * #,##0.00_ ;_ * \-#,##0.00_ ;_ * &quot;-&quot;??_ ;_ @_ "/>
    <numFmt numFmtId="165" formatCode="0.0%"/>
    <numFmt numFmtId="166" formatCode="yyyy/m/d;@"/>
    <numFmt numFmtId="167" formatCode="yyyy-mm-dd h:mm:ss"/>
  </numFmts>
  <fonts count="14">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color theme="1"/>
      <sz val="10"/>
    </font>
    <font>
      <name val="微软雅黑"/>
      <charset val="134"/>
      <b val="1"/>
      <color theme="1"/>
      <sz val="12"/>
    </font>
    <font>
      <name val="微软雅黑"/>
      <charset val="134"/>
      <b val="1"/>
      <color rgb="FF000000"/>
      <sz val="9"/>
    </font>
    <font>
      <name val="宋体"/>
      <charset val="134"/>
      <color theme="1"/>
      <sz val="11"/>
      <scheme val="minor"/>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3">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164" fontId="7" fillId="6" borderId="1" applyAlignment="1" pivotButton="0" quotePrefix="0" xfId="0">
      <alignment horizontal="center" vertical="center"/>
    </xf>
    <xf numFmtId="164" fontId="5" fillId="6" borderId="6" applyAlignment="1" pivotButton="0" quotePrefix="0" xfId="0">
      <alignment horizontal="right" vertical="center"/>
    </xf>
    <xf numFmtId="0" fontId="8" fillId="0" borderId="1" applyAlignment="1" pivotButton="0" quotePrefix="0" xfId="0">
      <alignment horizontal="right" vertical="center"/>
    </xf>
    <xf numFmtId="0" fontId="0" fillId="0" borderId="7"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7"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164" fontId="7" fillId="0" borderId="1" applyAlignment="1" pivotButton="0" quotePrefix="0" xfId="0">
      <alignment horizontal="right"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6" applyAlignment="1" pivotButton="0" quotePrefix="0" xfId="0">
      <alignment horizontal="right" vertical="center"/>
    </xf>
    <xf numFmtId="0" fontId="8" fillId="0" borderId="1" applyAlignment="1" pivotButton="0" quotePrefix="0" xfId="0">
      <alignment horizontal="center" vertical="center"/>
    </xf>
    <xf numFmtId="0" fontId="0" fillId="0" borderId="4" pivotButton="0" quotePrefix="0" xfId="0"/>
    <xf numFmtId="164" fontId="3" fillId="6" borderId="10" applyAlignment="1" pivotButton="0" quotePrefix="0" xfId="0">
      <alignment horizontal="right" vertical="center"/>
    </xf>
    <xf numFmtId="164" fontId="3" fillId="6" borderId="6"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164" fontId="5" fillId="6" borderId="10" applyAlignment="1" pivotButton="0" quotePrefix="0" xfId="0">
      <alignment horizontal="right" vertical="center"/>
    </xf>
    <xf numFmtId="0" fontId="0" fillId="0" borderId="9" pivotButton="0" quotePrefix="0" xfId="0"/>
    <xf numFmtId="10" fontId="6" fillId="0" borderId="5" applyAlignment="1" pivotButton="0" quotePrefix="0" xfId="0">
      <alignment horizontal="center" vertical="center" wrapText="1"/>
    </xf>
    <xf numFmtId="10" fontId="5" fillId="0" borderId="1" applyAlignment="1" pivotButton="0" quotePrefix="0" xfId="0">
      <alignment horizontal="center" vertical="center" wrapText="1"/>
    </xf>
    <xf numFmtId="0" fontId="8" fillId="6" borderId="6" applyAlignment="1" pivotButton="0" quotePrefix="0" xfId="0">
      <alignment horizontal="right" vertical="center"/>
    </xf>
    <xf numFmtId="10" fontId="1" fillId="0" borderId="1" applyAlignment="1" pivotButton="0" quotePrefix="0" xfId="0">
      <alignment horizontal="right" vertical="center"/>
    </xf>
    <xf numFmtId="166" fontId="4" fillId="0" borderId="5" applyAlignment="1" pivotButton="0" quotePrefix="0" xfId="0">
      <alignment horizontal="center" vertical="center"/>
    </xf>
    <xf numFmtId="0" fontId="10" fillId="0" borderId="1" pivotButton="0" quotePrefix="0" xfId="0"/>
    <xf numFmtId="0" fontId="11" fillId="0" borderId="0" applyAlignment="1" pivotButton="0" quotePrefix="0" xfId="0">
      <alignment vertical="center"/>
    </xf>
    <xf numFmtId="0" fontId="12"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2" fillId="8" borderId="5" applyAlignment="1" pivotButton="0" quotePrefix="0" xfId="0">
      <alignment horizontal="center" vertical="center" wrapText="1"/>
    </xf>
    <xf numFmtId="49"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0" fontId="13" fillId="0" borderId="7" pivotButton="0" quotePrefix="0" xfId="0"/>
    <xf numFmtId="164" fontId="5" fillId="0" borderId="15" applyAlignment="1" pivotButton="0" quotePrefix="0" xfId="0">
      <alignment horizontal="center" vertical="center"/>
    </xf>
    <xf numFmtId="10" fontId="7" fillId="0" borderId="15" applyAlignment="1" pivotButton="0" quotePrefix="0" xfId="0">
      <alignment horizontal="center" vertical="center"/>
    </xf>
    <xf numFmtId="0" fontId="13" fillId="0" borderId="5" pivotButton="0" quotePrefix="0" xfId="0"/>
    <xf numFmtId="0" fontId="11" fillId="0" borderId="0" applyAlignment="1" pivotButton="0" quotePrefix="0" xfId="0">
      <alignment horizontal="center" vertical="center"/>
    </xf>
    <xf numFmtId="0" fontId="12"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43" t="inlineStr">
        <is>
          <t>P202504000428</t>
        </is>
      </c>
      <c r="B12" s="44" t="inlineStr">
        <is>
          <t>全国畜牧总站-2025年度畜牧业综合信息平台种畜禽运维项目-fp项目</t>
        </is>
      </c>
      <c r="C12" s="45" t="n">
        <v>45748</v>
      </c>
      <c r="D12" s="45" t="n">
        <v>46112</v>
      </c>
      <c r="E12" s="15" t="n"/>
      <c r="F12" s="16" t="inlineStr">
        <is>
          <t xml:space="preserve"> -   </t>
        </is>
      </c>
      <c r="G12" s="17" t="n"/>
      <c r="H12" s="46" t="n"/>
      <c r="I12" s="47" t="n"/>
      <c r="J12" s="47" t="n"/>
      <c r="K12" s="47" t="n"/>
      <c r="L12" s="18" t="n"/>
      <c r="M12" s="18" t="n"/>
      <c r="N12" s="18" t="n"/>
      <c r="O12" s="18" t="n"/>
      <c r="P12" s="15" t="n"/>
      <c r="Q12" s="18" t="inlineStr"/>
      <c r="R12" s="48" t="inlineStr">
        <is>
          <t>累计收入（NR）</t>
        </is>
      </c>
      <c r="S12" s="20" t="n">
        <v>150943.4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49" t="inlineStr">
        <is>
          <t>周期性运维项目，系统每月自动计入收入，4~8月每月投入人力成本1.86万超出预算</t>
        </is>
      </c>
      <c r="AL12" s="49" t="inlineStr"/>
      <c r="AM12" s="49" t="inlineStr">
        <is>
          <t>11月投入0.48万成本降低</t>
        </is>
      </c>
      <c r="AN12" s="16" t="n"/>
      <c r="AO12" s="20" t="n">
        <v>0</v>
      </c>
      <c r="AP12" s="20" t="n">
        <v>0</v>
      </c>
      <c r="AQ12" s="20" t="n">
        <v>0</v>
      </c>
      <c r="AR12" s="20" t="n">
        <v>0</v>
      </c>
      <c r="AS12" s="20" t="n">
        <v>0</v>
      </c>
      <c r="AT12" s="20" t="n">
        <v>0</v>
      </c>
      <c r="AU12" s="20" t="n">
        <v>0</v>
      </c>
      <c r="AV12" s="20" t="n">
        <v>0</v>
      </c>
      <c r="AW12" s="20" t="n">
        <v>0</v>
      </c>
      <c r="AX12" s="20" t="n">
        <v>0</v>
      </c>
      <c r="AY12" s="20" t="n">
        <v>11579.17</v>
      </c>
      <c r="AZ12" s="20" t="n">
        <v>12819.77</v>
      </c>
      <c r="BA12" s="50" t="n">
        <v>112589.72</v>
      </c>
      <c r="BB12" s="21" t="n">
        <v>0</v>
      </c>
      <c r="BC12" s="51" t="n">
        <v>0</v>
      </c>
      <c r="BD12" s="52" t="inlineStr">
        <is>
          <t>2026年已结项</t>
        </is>
      </c>
    </row>
    <row r="13">
      <c r="A13" s="28" t="n"/>
      <c r="B13" s="28" t="n"/>
      <c r="C13" s="28" t="n"/>
      <c r="D13" s="28" t="n"/>
      <c r="E13" s="28" t="n"/>
      <c r="F13" s="28" t="n"/>
      <c r="G13" s="28" t="n"/>
      <c r="H13" s="53" t="n"/>
      <c r="I13" s="53" t="n"/>
      <c r="J13" s="53" t="n"/>
      <c r="K13" s="53" t="n"/>
      <c r="L13" s="28" t="n"/>
      <c r="M13" s="28" t="n"/>
      <c r="N13" s="28" t="n"/>
      <c r="O13" s="28" t="n"/>
      <c r="P13" s="28" t="n"/>
      <c r="Q13" s="28" t="n"/>
      <c r="R13" s="29" t="inlineStr">
        <is>
          <t>人工成本（成本１）</t>
        </is>
      </c>
      <c r="S13" s="20" t="n">
        <v>123201.71</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7039.31</v>
      </c>
      <c r="BA13" s="50" t="n">
        <v>112560.11</v>
      </c>
      <c r="BB13" s="21" t="n">
        <v>0</v>
      </c>
      <c r="BC13" s="51" t="n">
        <v>0</v>
      </c>
      <c r="BD13" s="28" t="n"/>
    </row>
    <row r="14">
      <c r="A14" s="28" t="n"/>
      <c r="B14" s="28" t="n"/>
      <c r="C14" s="28" t="n"/>
      <c r="D14" s="28" t="n"/>
      <c r="E14" s="28" t="n"/>
      <c r="F14" s="28" t="n"/>
      <c r="G14" s="28" t="n"/>
      <c r="H14" s="53" t="n"/>
      <c r="I14" s="53" t="n"/>
      <c r="J14" s="53" t="n"/>
      <c r="K14" s="53"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11909.61</v>
      </c>
      <c r="AY14" s="20" t="n">
        <v>18638.11</v>
      </c>
      <c r="AZ14" s="20" t="n">
        <v>0</v>
      </c>
      <c r="BA14" s="50" t="n">
        <v>0</v>
      </c>
      <c r="BB14" s="21" t="n">
        <v>0</v>
      </c>
      <c r="BC14" s="51" t="n">
        <v>0</v>
      </c>
      <c r="BD14" s="28" t="n"/>
    </row>
    <row r="15">
      <c r="A15" s="28" t="n"/>
      <c r="B15" s="28" t="n"/>
      <c r="C15" s="28" t="n"/>
      <c r="D15" s="28" t="n"/>
      <c r="E15" s="28" t="n"/>
      <c r="F15" s="28" t="n"/>
      <c r="G15" s="28" t="n"/>
      <c r="H15" s="53" t="n"/>
      <c r="I15" s="53" t="n"/>
      <c r="J15" s="53" t="n"/>
      <c r="K15" s="53" t="n"/>
      <c r="L15" s="28" t="n"/>
      <c r="M15" s="28" t="n"/>
      <c r="N15" s="28" t="n"/>
      <c r="O15" s="28" t="n"/>
      <c r="P15" s="28" t="n"/>
      <c r="Q15" s="28" t="n"/>
      <c r="R15" s="29" t="inlineStr">
        <is>
          <t>差旅费（成本３）</t>
        </is>
      </c>
      <c r="S15" s="20" t="n">
        <v>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51" t="n">
        <v>0</v>
      </c>
      <c r="BD15" s="28" t="n"/>
    </row>
    <row r="16">
      <c r="A16" s="28" t="n"/>
      <c r="B16" s="28" t="n"/>
      <c r="C16" s="28" t="n"/>
      <c r="D16" s="28" t="n"/>
      <c r="E16" s="28" t="n"/>
      <c r="F16" s="28" t="n"/>
      <c r="G16" s="28" t="n"/>
      <c r="H16" s="53" t="n"/>
      <c r="I16" s="53" t="n"/>
      <c r="J16" s="53" t="n"/>
      <c r="K16" s="53" t="n"/>
      <c r="L16" s="28" t="n"/>
      <c r="M16" s="28" t="n"/>
      <c r="N16" s="28" t="n"/>
      <c r="O16" s="28" t="n"/>
      <c r="P16" s="28" t="n"/>
      <c r="Q16" s="28" t="n"/>
      <c r="R16" s="29" t="inlineStr">
        <is>
          <t>其他成本（成本３）</t>
        </is>
      </c>
      <c r="S16" s="20" t="n">
        <v>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-12.82</v>
      </c>
      <c r="AZ16" s="20" t="n">
        <v>-24.4</v>
      </c>
      <c r="BA16" s="50" t="n">
        <v>-790.7</v>
      </c>
      <c r="BB16" s="21" t="n">
        <v>0</v>
      </c>
      <c r="BC16" s="51" t="n">
        <v>0</v>
      </c>
      <c r="BD16" s="28" t="n"/>
    </row>
    <row r="17">
      <c r="A17" s="28" t="n"/>
      <c r="B17" s="28" t="n"/>
      <c r="C17" s="28" t="n"/>
      <c r="D17" s="28" t="n"/>
      <c r="E17" s="28" t="n"/>
      <c r="F17" s="28" t="n"/>
      <c r="G17" s="28" t="n"/>
      <c r="H17" s="53" t="n"/>
      <c r="I17" s="53" t="n"/>
      <c r="J17" s="53" t="n"/>
      <c r="K17" s="53"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-12.82</v>
      </c>
      <c r="AZ17" s="30">
        <f>SUM(AZ13:AZ16)</f>
        <v/>
      </c>
      <c r="BA17" s="54" t="n">
        <v>111769.41</v>
      </c>
      <c r="BB17" s="31">
        <f>SUM(BB13:BB16)</f>
        <v/>
      </c>
      <c r="BC17" s="55">
        <f>SUM(BC13:BC16)</f>
        <v/>
      </c>
      <c r="BD17" s="28" t="n"/>
    </row>
    <row r="18">
      <c r="A18" s="28" t="n"/>
      <c r="B18" s="28" t="n"/>
      <c r="C18" s="28" t="n"/>
      <c r="D18" s="28" t="n"/>
      <c r="E18" s="28" t="n"/>
      <c r="F18" s="28" t="n"/>
      <c r="G18" s="28" t="n"/>
      <c r="H18" s="53" t="n"/>
      <c r="I18" s="53" t="n"/>
      <c r="J18" s="53" t="n"/>
      <c r="K18" s="53" t="n"/>
      <c r="L18" s="28" t="n"/>
      <c r="M18" s="28" t="n"/>
      <c r="N18" s="28" t="n"/>
      <c r="O18" s="28" t="n"/>
      <c r="P18" s="28" t="n"/>
      <c r="Q18" s="28" t="n"/>
      <c r="R18" s="2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29.609999999986</v>
      </c>
      <c r="BB18" s="31" t="n">
        <v>0</v>
      </c>
      <c r="BC18" s="51" t="n">
        <v>0</v>
      </c>
      <c r="BD18" s="28" t="n"/>
    </row>
    <row r="19">
      <c r="A19" s="28" t="n"/>
      <c r="B19" s="28" t="n"/>
      <c r="C19" s="28" t="n"/>
      <c r="D19" s="28" t="n"/>
      <c r="E19" s="28" t="n"/>
      <c r="F19" s="28" t="n"/>
      <c r="G19" s="28" t="n"/>
      <c r="H19" s="53" t="n"/>
      <c r="I19" s="53" t="n"/>
      <c r="J19" s="53" t="n"/>
      <c r="K19" s="53"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0.000262990262343543</v>
      </c>
      <c r="BB19" s="39" t="n">
        <v>0</v>
      </c>
      <c r="BC19" s="51" t="n">
        <v>0</v>
      </c>
      <c r="BD19" s="28" t="n"/>
    </row>
    <row r="20">
      <c r="A20" s="28" t="n"/>
      <c r="B20" s="28" t="n"/>
      <c r="C20" s="28" t="n"/>
      <c r="D20" s="28" t="n"/>
      <c r="E20" s="28" t="n"/>
      <c r="F20" s="28" t="n"/>
      <c r="G20" s="28" t="n"/>
      <c r="H20" s="53" t="n"/>
      <c r="I20" s="53" t="n"/>
      <c r="J20" s="53" t="n"/>
      <c r="K20" s="53" t="n"/>
      <c r="L20" s="28" t="n"/>
      <c r="M20" s="28" t="n"/>
      <c r="N20" s="28" t="n"/>
      <c r="O20" s="28" t="n"/>
      <c r="P20" s="28" t="n"/>
      <c r="Q20" s="28" t="n"/>
      <c r="R20" s="29" t="inlineStr">
        <is>
          <t>GP3毛利</t>
        </is>
      </c>
      <c r="S20" s="20">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820.309999999986</v>
      </c>
      <c r="BB20" s="31" t="n">
        <v>0</v>
      </c>
      <c r="BC20" s="51" t="n">
        <v>0</v>
      </c>
      <c r="BD20" s="28" t="n"/>
    </row>
    <row r="21">
      <c r="A21" s="42" t="n"/>
      <c r="B21" s="42" t="n"/>
      <c r="C21" s="42" t="n"/>
      <c r="D21" s="42" t="n"/>
      <c r="E21" s="42" t="n"/>
      <c r="F21" s="42" t="n"/>
      <c r="G21" s="42" t="n"/>
      <c r="H21" s="59" t="n"/>
      <c r="I21" s="59" t="n"/>
      <c r="J21" s="59" t="n"/>
      <c r="K21" s="59"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0.00728583391094663</v>
      </c>
      <c r="BB21" s="39" t="n">
        <v>0</v>
      </c>
      <c r="BC21" s="51" t="n">
        <v>0</v>
      </c>
      <c r="BD21" s="42" t="n"/>
    </row>
    <row r="22">
      <c r="A22" s="43" t="inlineStr">
        <is>
          <t>P202506000290</t>
        </is>
      </c>
      <c r="B22" s="44" t="inlineStr">
        <is>
          <t>中监所-2025年OA办公系统升级改造项目-研究生管理模块-FP项目</t>
        </is>
      </c>
      <c r="C22" s="45" t="n">
        <v>45807</v>
      </c>
      <c r="D22" s="45" t="n">
        <v>46275</v>
      </c>
      <c r="E22" s="15" t="n"/>
      <c r="F22" s="16" t="n">
        <v>0.8100000000000001</v>
      </c>
      <c r="G22" s="17" t="n">
        <v>0</v>
      </c>
      <c r="H22" s="44" t="n"/>
      <c r="I22" s="44" t="n"/>
      <c r="J22" s="18" t="n"/>
      <c r="K22" s="18" t="n"/>
      <c r="L22" s="18" t="n"/>
      <c r="M22" s="18" t="n"/>
      <c r="N22" s="18" t="n"/>
      <c r="O22" s="18" t="n"/>
      <c r="P22" s="15" t="n"/>
      <c r="Q22" s="18" t="inlineStr"/>
      <c r="R22" s="48" t="inlineStr">
        <is>
          <t>累计收入（NR）</t>
        </is>
      </c>
      <c r="S22" s="20" t="n">
        <v>181603.77</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17" t="inlineStr">
        <is>
          <t>固定投入1人，人力成本已超出预算</t>
        </is>
      </c>
      <c r="AL22" s="49" t="inlineStr">
        <is>
          <t>建议项目经理及时变更后续月份成本投入计划</t>
        </is>
      </c>
      <c r="AM22" s="49" t="inlineStr"/>
      <c r="AN22" s="60" t="n"/>
      <c r="AO22" s="20" t="n">
        <v>0</v>
      </c>
      <c r="AP22" s="20" t="n">
        <v>0</v>
      </c>
      <c r="AQ22" s="20" t="n">
        <v>0</v>
      </c>
      <c r="AR22" s="20" t="n">
        <v>0</v>
      </c>
      <c r="AS22" s="20" t="n">
        <v>0</v>
      </c>
      <c r="AT22" s="20" t="n">
        <v>0</v>
      </c>
      <c r="AU22" s="20" t="n">
        <v>0</v>
      </c>
      <c r="AV22" s="20" t="n">
        <v>0</v>
      </c>
      <c r="AW22" s="20" t="n">
        <v>0</v>
      </c>
      <c r="AX22" s="20" t="n">
        <v>0</v>
      </c>
      <c r="AY22" s="20" t="n">
        <v>36407.37</v>
      </c>
      <c r="AZ22" s="20" t="n">
        <v>3848.19</v>
      </c>
      <c r="BA22" s="58" t="n">
        <v>139982.95</v>
      </c>
      <c r="BB22" s="21" t="n">
        <v>0</v>
      </c>
      <c r="BC22" s="51"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人工成本（成本１）</t>
        </is>
      </c>
      <c r="S23" s="20" t="n">
        <v>148783.99</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0.01</v>
      </c>
      <c r="AY23" s="20" t="n">
        <v>17923.23</v>
      </c>
      <c r="AZ23" s="20" t="n">
        <v>0</v>
      </c>
      <c r="BA23" s="58" t="n">
        <v>154415.59</v>
      </c>
      <c r="BB23" s="21" t="n">
        <v>0</v>
      </c>
      <c r="BC23" s="51"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0</v>
      </c>
      <c r="AY24" s="20" t="n">
        <v>0</v>
      </c>
      <c r="AZ24" s="20" t="n">
        <v>0</v>
      </c>
      <c r="BA24" s="58" t="n">
        <v>0</v>
      </c>
      <c r="BB24" s="21" t="n">
        <v>0</v>
      </c>
      <c r="BC24" s="51" t="n">
        <v>0</v>
      </c>
      <c r="BD24" s="27"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8" t="n">
        <v>0</v>
      </c>
      <c r="BB25" s="21" t="n">
        <v>0</v>
      </c>
      <c r="BC25" s="51"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0</v>
      </c>
      <c r="AZ26" s="20" t="n">
        <v>-36.41</v>
      </c>
      <c r="BA26" s="58" t="n">
        <v>-195.24</v>
      </c>
      <c r="BB26" s="21" t="n">
        <v>0</v>
      </c>
      <c r="BC26" s="51"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17923.23</v>
      </c>
      <c r="AZ27" s="30">
        <f>SUM(AZ23:AZ26)</f>
        <v/>
      </c>
      <c r="BA27" s="54" t="n">
        <v>154220.35</v>
      </c>
      <c r="BB27" s="31">
        <f>SUM(BB23:BB26)</f>
        <v/>
      </c>
      <c r="BC27" s="55">
        <f>SUM(BC23:BC26)</f>
        <v/>
      </c>
      <c r="BD27" s="32" t="inlineStr"/>
    </row>
    <row r="28">
      <c r="A28" s="28" t="n"/>
      <c r="B28" s="28" t="n"/>
      <c r="C28" s="28" t="n"/>
      <c r="D28" s="28" t="n"/>
      <c r="E28" s="28" t="n"/>
      <c r="F28" s="28" t="n"/>
      <c r="G28" s="28" t="n"/>
      <c r="H28" s="28" t="n"/>
      <c r="I28" s="28" t="n"/>
      <c r="J28" s="28" t="n"/>
      <c r="K28" s="28"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8" t="n">
        <v>-14432.64</v>
      </c>
      <c r="BB28" s="31" t="n">
        <v>0</v>
      </c>
      <c r="BC28" s="51" t="n">
        <v>0</v>
      </c>
      <c r="BD28" s="27" t="inlineStr"/>
    </row>
    <row r="29">
      <c r="A29" s="28" t="n"/>
      <c r="B29" s="28" t="n"/>
      <c r="C29" s="28" t="n"/>
      <c r="D29" s="28" t="n"/>
      <c r="E29" s="28" t="n"/>
      <c r="F29" s="28" t="n"/>
      <c r="G29" s="28" t="n"/>
      <c r="H29" s="28" t="n"/>
      <c r="I29" s="28" t="n"/>
      <c r="J29" s="28" t="n"/>
      <c r="K29" s="28"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-0.103102842167564</v>
      </c>
      <c r="BB29" s="39" t="n">
        <v>0</v>
      </c>
      <c r="BC29" s="5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-14237.4</v>
      </c>
      <c r="BB30" s="31" t="n">
        <v>0</v>
      </c>
      <c r="BC30" s="51" t="n">
        <v>0</v>
      </c>
      <c r="BD30" s="27" t="inlineStr"/>
    </row>
    <row r="31">
      <c r="A31" s="42" t="n"/>
      <c r="B31" s="42" t="n"/>
      <c r="C31" s="42" t="n"/>
      <c r="D31" s="42" t="n"/>
      <c r="E31" s="42" t="n"/>
      <c r="F31" s="42" t="n"/>
      <c r="G31" s="42" t="n"/>
      <c r="H31" s="42" t="n"/>
      <c r="I31" s="42" t="n"/>
      <c r="J31" s="42" t="n"/>
      <c r="K31" s="42"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-0.101708100879428</v>
      </c>
      <c r="BB31" s="39" t="n">
        <v>0</v>
      </c>
      <c r="BC31" s="51" t="n">
        <v>0</v>
      </c>
      <c r="BD31" s="27" t="inlineStr"/>
    </row>
    <row r="32">
      <c r="A32" s="43" t="inlineStr">
        <is>
          <t>P202507000656</t>
        </is>
      </c>
      <c r="B32" s="44" t="inlineStr">
        <is>
          <t>全国畜牧总站-畜牧核心数据查询APP开发-FP项目</t>
        </is>
      </c>
      <c r="C32" s="45" t="n">
        <v>45839</v>
      </c>
      <c r="D32" s="45" t="n">
        <v>46203</v>
      </c>
      <c r="E32" s="15" t="n"/>
      <c r="F32" s="16" t="inlineStr">
        <is>
          <t xml:space="preserve"> -   </t>
        </is>
      </c>
      <c r="G32" s="18" t="n">
        <v>0</v>
      </c>
      <c r="H32" s="18" t="n"/>
      <c r="I32" s="18" t="n"/>
      <c r="J32" s="18" t="n"/>
      <c r="K32" s="18" t="n"/>
      <c r="L32" s="18" t="n"/>
      <c r="M32" s="18" t="n"/>
      <c r="N32" s="18" t="n"/>
      <c r="O32" s="18" t="n"/>
      <c r="P32" s="15" t="n"/>
      <c r="Q32" s="18" t="inlineStr"/>
      <c r="R32" s="48" t="inlineStr">
        <is>
          <t>累计收入（NR）</t>
        </is>
      </c>
      <c r="S32" s="20" t="n">
        <v>188679.25</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4" t="inlineStr"/>
      <c r="AK32" s="49" t="inlineStr">
        <is>
          <t>项目已于12月中旬上线了并验收回款，后面不再投入。已投入成本超出预算2W，预计全周期GP3%毛利率7.55%</t>
        </is>
      </c>
      <c r="AL32" s="49" t="inlineStr">
        <is>
          <t>后续不再投入人力，随着交付进度提升毛利率</t>
        </is>
      </c>
      <c r="AM32" s="49" t="inlineStr"/>
      <c r="AN32" s="61" t="n"/>
      <c r="AO32" s="20" t="n">
        <v>0</v>
      </c>
      <c r="AP32" s="20" t="n">
        <v>0</v>
      </c>
      <c r="AQ32" s="20" t="n">
        <v>0</v>
      </c>
      <c r="AR32" s="20" t="n">
        <v>0</v>
      </c>
      <c r="AS32" s="20" t="n">
        <v>0</v>
      </c>
      <c r="AT32" s="20" t="n">
        <v>0</v>
      </c>
      <c r="AU32" s="20" t="n">
        <v>0</v>
      </c>
      <c r="AV32" s="20" t="n">
        <v>0</v>
      </c>
      <c r="AW32" s="20" t="n">
        <v>0</v>
      </c>
      <c r="AX32" s="20" t="n">
        <v>9609.059999999999</v>
      </c>
      <c r="AY32" s="20" t="n">
        <v>8055.28</v>
      </c>
      <c r="AZ32" s="20" t="n">
        <v>7201.51</v>
      </c>
      <c r="BA32" s="50" t="n">
        <v>127263.98</v>
      </c>
      <c r="BB32" s="21" t="n">
        <v>0</v>
      </c>
      <c r="BC32" s="62"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154705.8</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v>
      </c>
      <c r="AY33" s="20" t="n">
        <v>0</v>
      </c>
      <c r="AZ33" s="20" t="n">
        <v>0</v>
      </c>
      <c r="BA33" s="50" t="n">
        <v>174002.79</v>
      </c>
      <c r="BB33" s="21" t="n">
        <v>0</v>
      </c>
      <c r="BC33" s="62"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0" t="n">
        <v>0</v>
      </c>
      <c r="BB34" s="21" t="n">
        <v>0</v>
      </c>
      <c r="BC34" s="62"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0" t="n">
        <v>0</v>
      </c>
      <c r="BB35" s="21" t="n">
        <v>0</v>
      </c>
      <c r="BC35" s="62"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-35.13</v>
      </c>
      <c r="AY36" s="20" t="n">
        <v>-44.74</v>
      </c>
      <c r="AZ36" s="20" t="n">
        <v>-52.8</v>
      </c>
      <c r="BA36" s="50" t="n">
        <v>374.87</v>
      </c>
      <c r="BB36" s="21" t="n">
        <v>0</v>
      </c>
      <c r="BC36" s="62"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-44.74</v>
      </c>
      <c r="AZ37" s="30">
        <f>SUM(AZ33:AZ36)</f>
        <v/>
      </c>
      <c r="BA37" s="54" t="n">
        <v>174377.66</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3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6" t="n">
        <v>-46738.81</v>
      </c>
      <c r="BB38" s="31" t="n">
        <v>0</v>
      </c>
      <c r="BC38" s="62"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63">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-0.367258748311973</v>
      </c>
      <c r="BB39" s="39" t="n">
        <v>0</v>
      </c>
      <c r="BC39" s="62"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3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-47113.68</v>
      </c>
      <c r="BB40" s="31" t="n">
        <v>0</v>
      </c>
      <c r="BC40" s="62"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63">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-0.370204357902369</v>
      </c>
      <c r="BB41" s="39" t="n">
        <v>0</v>
      </c>
      <c r="BC41" s="62" t="n">
        <v>0</v>
      </c>
      <c r="BD41" s="27" t="inlineStr"/>
    </row>
    <row r="42">
      <c r="A42" s="43" t="inlineStr">
        <is>
          <t>P202508000162</t>
        </is>
      </c>
      <c r="B42" s="44" t="inlineStr">
        <is>
          <t>农业农村部信息中心-农业信息采集系统2025年度运行维护服务项目-FP运维</t>
        </is>
      </c>
      <c r="C42" s="45" t="n">
        <v>45870</v>
      </c>
      <c r="D42" s="45" t="n">
        <v>46234</v>
      </c>
      <c r="E42" s="15" t="n"/>
      <c r="F42" s="16" t="n">
        <v>5</v>
      </c>
      <c r="G42" s="18" t="n">
        <v>5</v>
      </c>
      <c r="H42" s="18" t="n"/>
      <c r="I42" s="18" t="n"/>
      <c r="J42" s="18" t="n"/>
      <c r="K42" s="18" t="n"/>
      <c r="L42" s="18" t="n"/>
      <c r="M42" s="18" t="n"/>
      <c r="N42" s="18" t="n"/>
      <c r="O42" s="18" t="n"/>
      <c r="P42" s="15" t="n"/>
      <c r="Q42" s="18" t="inlineStr"/>
      <c r="R42" s="48" t="inlineStr">
        <is>
          <t>累计收入（NR）</t>
        </is>
      </c>
      <c r="S42" s="20" t="n">
        <v>1000000</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c r="AL42" s="49" t="inlineStr"/>
      <c r="AM42" s="49" t="inlineStr"/>
      <c r="AN42" s="16" t="n"/>
      <c r="AO42" s="20" t="n">
        <v>0</v>
      </c>
      <c r="AP42" s="20" t="n">
        <v>0</v>
      </c>
      <c r="AQ42" s="20" t="n">
        <v>0</v>
      </c>
      <c r="AR42" s="20" t="n">
        <v>0</v>
      </c>
      <c r="AS42" s="20" t="n">
        <v>0</v>
      </c>
      <c r="AT42" s="20" t="n">
        <v>0</v>
      </c>
      <c r="AU42" s="20" t="n">
        <v>0</v>
      </c>
      <c r="AV42" s="20" t="n">
        <v>0</v>
      </c>
      <c r="AW42" s="20" t="n">
        <v>0</v>
      </c>
      <c r="AX42" s="20" t="n">
        <v>84931</v>
      </c>
      <c r="AY42" s="20" t="n">
        <v>76712</v>
      </c>
      <c r="AZ42" s="20" t="n">
        <v>84932</v>
      </c>
      <c r="BA42" s="50" t="n">
        <v>411660</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783494.65</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87203.78999999999</v>
      </c>
      <c r="AY43" s="20" t="n">
        <v>87203.78999999999</v>
      </c>
      <c r="AZ43" s="20" t="n">
        <v>66585.86</v>
      </c>
      <c r="BA43" s="50" t="n">
        <v>331483.93</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25000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35000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-334.25</v>
      </c>
      <c r="AY46" s="20" t="n">
        <v>-419.18</v>
      </c>
      <c r="AZ46" s="20" t="n">
        <v>-495.89</v>
      </c>
      <c r="BA46" s="50" t="n">
        <v>-3142.47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86784.61</v>
      </c>
      <c r="AZ47" s="30">
        <f>SUM(AZ43:AZ46)</f>
        <v/>
      </c>
      <c r="BA47" s="54" t="n">
        <v>328341.46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2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80176.07000000001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36">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0.194762838264587</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83318.53999999999</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36">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0.202396492250887</v>
      </c>
      <c r="BB51" s="39" t="n">
        <v>0</v>
      </c>
      <c r="BC51" s="62" t="n">
        <v>0</v>
      </c>
      <c r="BD51" s="27" t="inlineStr"/>
    </row>
    <row r="52">
      <c r="A52" s="43" t="inlineStr">
        <is>
          <t>P202509000658</t>
        </is>
      </c>
      <c r="B52" s="44" t="inlineStr">
        <is>
          <t>全国畜牧总站-2025年农生物育种大数据与知识产权支撑体系建设联合实施4-FP项目（有分包）</t>
        </is>
      </c>
      <c r="C52" s="45" t="n">
        <v>45809</v>
      </c>
      <c r="D52" s="45" t="n">
        <v>46173</v>
      </c>
      <c r="E52" s="15" t="n"/>
      <c r="F52" s="16" t="n">
        <v>0.75</v>
      </c>
      <c r="G52" s="18" t="n">
        <v>0.5</v>
      </c>
      <c r="H52" s="18" t="n"/>
      <c r="I52" s="18" t="n"/>
      <c r="J52" s="18" t="n"/>
      <c r="K52" s="18" t="n"/>
      <c r="L52" s="18" t="n"/>
      <c r="M52" s="18" t="n"/>
      <c r="N52" s="18" t="n"/>
      <c r="O52" s="18" t="n"/>
      <c r="P52" s="15" t="n"/>
      <c r="Q52" s="18" t="inlineStr"/>
      <c r="R52" s="48" t="inlineStr">
        <is>
          <t>累计收入（NR）</t>
        </is>
      </c>
      <c r="S52" s="20" t="n">
        <v>435000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is>
          <t>农业科研项目，12月成本13.76万，超出当月NR 2.9万，导致亏损</t>
        </is>
      </c>
      <c r="AL52" s="44" t="inlineStr">
        <is>
          <t>d</t>
        </is>
      </c>
      <c r="AM52" s="49" t="inlineStr"/>
      <c r="AN52" s="16" t="n"/>
      <c r="AO52" s="20" t="n">
        <v>0</v>
      </c>
      <c r="AP52" s="20" t="n">
        <v>0</v>
      </c>
      <c r="AQ52" s="20" t="n">
        <v>0</v>
      </c>
      <c r="AR52" s="20" t="n">
        <v>0</v>
      </c>
      <c r="AS52" s="20" t="n">
        <v>0</v>
      </c>
      <c r="AT52" s="20" t="n">
        <v>0</v>
      </c>
      <c r="AU52" s="20" t="n">
        <v>0</v>
      </c>
      <c r="AV52" s="20" t="n">
        <v>0</v>
      </c>
      <c r="AW52" s="20" t="n">
        <v>0</v>
      </c>
      <c r="AX52" s="20" t="n">
        <v>0</v>
      </c>
      <c r="AY52" s="20" t="n">
        <v>0</v>
      </c>
      <c r="AZ52" s="20" t="n">
        <v>0</v>
      </c>
      <c r="BA52" s="50" t="n">
        <v>435000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354384.65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0</v>
      </c>
      <c r="AY53" s="20" t="n">
        <v>28405.83</v>
      </c>
      <c r="AZ53" s="20" t="n">
        <v>0</v>
      </c>
      <c r="BA53" s="50" t="n">
        <v>317303.07</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13000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t="n">
        <v>0</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0</v>
      </c>
      <c r="AY56" s="20" t="n">
        <v>-28405.83</v>
      </c>
      <c r="AZ56" s="20" t="n">
        <v>0</v>
      </c>
      <c r="BA56" s="50" t="n">
        <v>0</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0</v>
      </c>
      <c r="AZ57" s="30">
        <f>SUM(AZ53:AZ56)</f>
        <v/>
      </c>
      <c r="BA57" s="54" t="n">
        <v>317303.07</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117696.93</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0.270567655172414</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117696.93</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0.270567655172414</v>
      </c>
      <c r="BB61" s="39" t="n">
        <v>0</v>
      </c>
      <c r="BC61" s="62" t="n">
        <v>0</v>
      </c>
      <c r="BD61" s="27" t="inlineStr"/>
    </row>
    <row r="62">
      <c r="A62" s="43" t="inlineStr">
        <is>
          <t>P202511000193</t>
        </is>
      </c>
      <c r="B62" s="44" t="inlineStr">
        <is>
          <t>中国兽医药品监察所-2025-2026年OA办公系统运行维护服务-FP项目</t>
        </is>
      </c>
      <c r="C62" s="45" t="n">
        <v>45962</v>
      </c>
      <c r="D62" s="45" t="n">
        <v>46271</v>
      </c>
      <c r="E62" s="15" t="n"/>
      <c r="F62" s="16" t="n">
        <v>0.19</v>
      </c>
      <c r="G62" s="18" t="n">
        <v>1</v>
      </c>
      <c r="H62" s="18" t="n"/>
      <c r="I62" s="18" t="n"/>
      <c r="J62" s="18" t="n"/>
      <c r="K62" s="18" t="n"/>
      <c r="L62" s="18" t="n"/>
      <c r="M62" s="18" t="n"/>
      <c r="N62" s="18" t="n"/>
      <c r="O62" s="18" t="n"/>
      <c r="P62" s="15" t="n"/>
      <c r="Q62" s="18" t="inlineStr"/>
      <c r="R62" s="48" t="inlineStr">
        <is>
          <t>累计收入（NR）</t>
        </is>
      </c>
      <c r="S62" s="20" t="n">
        <v>80188.67999999999</v>
      </c>
      <c r="T62" s="20">
        <f>SUM(AO62:BC62)</f>
        <v/>
      </c>
      <c r="U62" s="21">
        <f>SUM(BA62:BC62)</f>
        <v/>
      </c>
      <c r="V62" s="20">
        <f>SUM(AO62:AZ62)</f>
        <v/>
      </c>
      <c r="W62" s="20">
        <f>SUM(AP62:AZ62)</f>
        <v/>
      </c>
      <c r="X62" s="20" t="n">
        <v>0</v>
      </c>
      <c r="Y62" s="20" t="n">
        <v>0</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农业运维项目，收入由系统每月自动计入，成本视实际投入情况填报</t>
        </is>
      </c>
      <c r="AL62" s="49" t="inlineStr"/>
      <c r="AM62" s="49" t="inlineStr"/>
      <c r="AN62" s="16" t="n"/>
      <c r="AO62" s="20" t="n">
        <v>0</v>
      </c>
      <c r="AP62" s="20" t="n">
        <v>0</v>
      </c>
      <c r="AQ62" s="20" t="n">
        <v>0</v>
      </c>
      <c r="AR62" s="20" t="n">
        <v>0</v>
      </c>
      <c r="AS62" s="20" t="n">
        <v>0</v>
      </c>
      <c r="AT62" s="20" t="n">
        <v>0</v>
      </c>
      <c r="AU62" s="20" t="n">
        <v>0</v>
      </c>
      <c r="AV62" s="20" t="n">
        <v>0</v>
      </c>
      <c r="AW62" s="20" t="n">
        <v>0</v>
      </c>
      <c r="AX62" s="20" t="n">
        <v>8018.87</v>
      </c>
      <c r="AY62" s="20" t="n">
        <v>7242.89</v>
      </c>
      <c r="AZ62" s="20" t="n">
        <v>8018.87</v>
      </c>
      <c r="BA62" s="50" t="n">
        <v>15477.62</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64941.27</v>
      </c>
      <c r="T63" s="20">
        <f>SUM(AO63:BC63)</f>
        <v/>
      </c>
      <c r="U63" s="21">
        <f>SUM(BA63:BC63)</f>
        <v/>
      </c>
      <c r="V63" s="20">
        <f>SUM(AO63:AZ63)</f>
        <v/>
      </c>
      <c r="W63" s="20">
        <f>SUM(AP63:AZ63)</f>
        <v/>
      </c>
      <c r="X63" s="20" t="n">
        <v>0</v>
      </c>
      <c r="Y63" s="20" t="n">
        <v>0</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22059.36</v>
      </c>
      <c r="AY63" s="20" t="n">
        <v>4136.15</v>
      </c>
      <c r="AZ63" s="20" t="n">
        <v>22059.37</v>
      </c>
      <c r="BA63" s="50" t="n">
        <v>0</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0</v>
      </c>
      <c r="T65" s="20">
        <f>SUM(AO65:BC65)</f>
        <v/>
      </c>
      <c r="U65" s="21">
        <f>SUM(BA65:BC65)</f>
        <v/>
      </c>
      <c r="V65" s="20">
        <f>SUM(AO65:AZ65)</f>
        <v/>
      </c>
      <c r="W65" s="20">
        <f>SUM(AP65:AZ65)</f>
        <v/>
      </c>
      <c r="X65" s="20" t="n">
        <v>0</v>
      </c>
      <c r="Y65" s="20" t="n">
        <v>0</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t="n">
        <v>0</v>
      </c>
      <c r="Y66" s="20" t="n">
        <v>0</v>
      </c>
      <c r="Z66" s="20">
        <f>SUM(AS66:AZ66)</f>
        <v/>
      </c>
      <c r="AA66" s="20">
        <f>SUM(AT66:AZ66)</f>
        <v/>
      </c>
      <c r="AB66" s="20">
        <f>SUM(AU66:AZ66)</f>
        <v/>
      </c>
      <c r="AC66" s="20">
        <f>SUM(AV66:AZ66)</f>
        <v/>
      </c>
      <c r="AD66" s="20">
        <f>SUM(AW66:AZ66)</f>
        <v/>
      </c>
      <c r="AE66" s="20">
        <f>SUM(AX66:AZ66)</f>
        <v/>
      </c>
      <c r="AF66" s="20">
        <f>SUM(AY66:AZ66)</f>
        <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0</v>
      </c>
      <c r="AZ66" s="20" t="n">
        <v>-16.3</v>
      </c>
      <c r="BA66" s="50" t="n">
        <v>-56.65</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4136.15</v>
      </c>
      <c r="AZ67" s="30">
        <f>SUM(AZ63:AZ66)</f>
        <v/>
      </c>
      <c r="BA67" s="54" t="n">
        <v>-56.65</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t="n">
        <v>0</v>
      </c>
      <c r="Y68" s="20" t="n">
        <v>0</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15477.62</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t="n">
        <v>0</v>
      </c>
      <c r="Y69" s="36" t="n">
        <v>0</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1</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t="n">
        <v>0</v>
      </c>
      <c r="Y70" s="20" t="n">
        <v>0</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15534.27</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t="n">
        <v>0</v>
      </c>
      <c r="Y71" s="36" t="n">
        <v>0</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1.00366012345567</v>
      </c>
      <c r="BB71" s="39" t="n">
        <v>0</v>
      </c>
      <c r="BC71" s="62" t="n">
        <v>0</v>
      </c>
      <c r="BD71" s="27" t="inlineStr"/>
    </row>
    <row r="72">
      <c r="A72" s="43" t="inlineStr">
        <is>
          <t>P202512000483</t>
        </is>
      </c>
      <c r="B72" s="44" t="inlineStr">
        <is>
          <t>审计署审计干部培训中心（审计宣传中心）-信息报送系统2026年度运维服务合同-FP项目</t>
        </is>
      </c>
      <c r="C72" s="45" t="n">
        <v>46023</v>
      </c>
      <c r="D72" s="45" t="n">
        <v>46387</v>
      </c>
      <c r="E72" s="15" t="n"/>
      <c r="F72" s="16" t="inlineStr">
        <is>
          <t xml:space="preserve"> -   </t>
        </is>
      </c>
      <c r="G72" s="18" t="n">
        <v>0</v>
      </c>
      <c r="H72" s="18" t="n"/>
      <c r="I72" s="18" t="n"/>
      <c r="J72" s="18" t="n"/>
      <c r="K72" s="18" t="n"/>
      <c r="L72" s="18" t="n"/>
      <c r="M72" s="18" t="n"/>
      <c r="N72" s="18" t="n"/>
      <c r="O72" s="18" t="n"/>
      <c r="P72" s="15" t="n"/>
      <c r="Q72" s="18" t="inlineStr"/>
      <c r="R72" s="48" t="inlineStr">
        <is>
          <t>累计收入（NR）</t>
        </is>
      </c>
      <c r="S72" s="20" t="n">
        <v>66037.74000000001</v>
      </c>
      <c r="T72" s="20" t="n">
        <v>0</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c r="AL72" s="49" t="inlineStr"/>
      <c r="AM72" s="49" t="inlineStr"/>
      <c r="AN72" s="16" t="n"/>
      <c r="AO72" s="20" t="n">
        <v>0</v>
      </c>
      <c r="AP72" s="20" t="n">
        <v>0</v>
      </c>
      <c r="AQ72" s="20" t="n">
        <v>0</v>
      </c>
      <c r="AR72" s="20" t="n">
        <v>0</v>
      </c>
      <c r="AS72" s="20" t="n">
        <v>0</v>
      </c>
      <c r="AT72" s="20" t="n">
        <v>0</v>
      </c>
      <c r="AU72" s="20" t="n">
        <v>0</v>
      </c>
      <c r="AV72" s="20" t="n">
        <v>0</v>
      </c>
      <c r="AW72" s="20" t="n">
        <v>0</v>
      </c>
      <c r="AX72" s="20" t="n">
        <v>5608.65</v>
      </c>
      <c r="AY72" s="20" t="n">
        <v>5065.89</v>
      </c>
      <c r="AZ72" s="20" t="n">
        <v>5608.72</v>
      </c>
      <c r="BA72" s="50" t="n">
        <v>-297.88</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47233.8</v>
      </c>
      <c r="T73" s="20" t="n">
        <v>0</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0</v>
      </c>
      <c r="AY73" s="20" t="n">
        <v>0.01</v>
      </c>
      <c r="AZ73" s="20" t="n">
        <v>4659.53</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8000</v>
      </c>
      <c r="T75" s="20" t="n">
        <v>0</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t="n">
        <v>0</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-23.34</v>
      </c>
      <c r="AY76" s="20" t="n">
        <v>-28.95</v>
      </c>
      <c r="AZ76" s="20" t="n">
        <v>-34.01</v>
      </c>
      <c r="BA76" s="50" t="n">
        <v>-39.62</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-28.94</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t="n">
        <v>0</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31">
        <f>BA72-BA73</f>
        <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t="n">
        <v>0</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39">
        <f>BA78/BA72</f>
        <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t="n">
        <v>0</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31">
        <f>BA72-BA73-BA75-BA76</f>
        <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t="n">
        <v>0</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39">
        <f>BA80/BA72</f>
        <v/>
      </c>
      <c r="BB81" s="39" t="n">
        <v>0</v>
      </c>
      <c r="BC81" s="62" t="n">
        <v>0</v>
      </c>
      <c r="BD81" s="27" t="inlineStr"/>
    </row>
    <row r="82">
      <c r="A82" s="43" t="inlineStr">
        <is>
          <t>P202511000622</t>
        </is>
      </c>
      <c r="B82" s="44" t="inlineStr">
        <is>
          <t>甘肃省畜牧技术推广总站-甘肃省畜牧业统计监测系统项目2026年度运维-FP项目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75471.7</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is>
          <t>农业运维项目，收入由系统每月自动计入，成本视实际投入情况填报</t>
        </is>
      </c>
      <c r="AL82" s="49" t="inlineStr"/>
      <c r="AM82" s="49" t="inlineStr"/>
      <c r="AN82" s="16" t="n"/>
      <c r="AO82" s="20" t="n">
        <v>0</v>
      </c>
      <c r="AP82" s="20" t="n">
        <v>0</v>
      </c>
      <c r="AQ82" s="20" t="n">
        <v>0</v>
      </c>
      <c r="AR82" s="20" t="n">
        <v>0</v>
      </c>
      <c r="AS82" s="20" t="n">
        <v>0</v>
      </c>
      <c r="AT82" s="20" t="n">
        <v>0</v>
      </c>
      <c r="AU82" s="20" t="n">
        <v>0</v>
      </c>
      <c r="AV82" s="20" t="n">
        <v>0</v>
      </c>
      <c r="AW82" s="20" t="n">
        <v>0</v>
      </c>
      <c r="AX82" s="20" t="n">
        <v>6409.89</v>
      </c>
      <c r="AY82" s="20" t="n">
        <v>5789.59</v>
      </c>
      <c r="AZ82" s="20" t="n">
        <v>6409.96</v>
      </c>
      <c r="BA82" s="50" t="n">
        <v>15477.62</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34151.4</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v>
      </c>
      <c r="AZ83" s="20" t="n">
        <v>19659.83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29037</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-56.86</v>
      </c>
      <c r="AY86" s="20" t="n">
        <v>5032.3</v>
      </c>
      <c r="AZ86" s="20" t="n">
        <v>-69.06</v>
      </c>
      <c r="BA86" s="50" t="n">
        <v>-56.65</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-63.27</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56" t="n">
        <v>15477.62</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57" t="n">
        <v>1</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58" t="n">
        <v>15534.27</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57" t="n">
        <v>1.00366012345567</v>
      </c>
      <c r="BB91" s="39" t="n">
        <v>0</v>
      </c>
      <c r="BC91" s="62" t="n">
        <v>0</v>
      </c>
      <c r="BD91" s="27" t="inlineStr"/>
    </row>
    <row r="92">
      <c r="A92" s="43" t="inlineStr">
        <is>
          <t>P202601001368</t>
        </is>
      </c>
      <c r="B92" s="44" t="inlineStr">
        <is>
          <t>全国畜牧总站-2026年畜牧核心数据查询APP（牧数查）项目-FP项目</t>
        </is>
      </c>
      <c r="C92" s="45" t="n">
        <v>46023</v>
      </c>
      <c r="D92" s="45" t="n">
        <v>46387</v>
      </c>
      <c r="E92" s="15" t="n"/>
      <c r="F92" s="16" t="n">
        <v>2</v>
      </c>
      <c r="G92" s="18" t="n">
        <v>2</v>
      </c>
      <c r="H92" s="18" t="n"/>
      <c r="I92" s="18" t="n"/>
      <c r="J92" s="18" t="n"/>
      <c r="K92" s="18" t="n"/>
      <c r="L92" s="18" t="n"/>
      <c r="M92" s="18" t="n"/>
      <c r="N92" s="18" t="n"/>
      <c r="O92" s="18" t="n"/>
      <c r="P92" s="15" t="n"/>
      <c r="Q92" s="18" t="inlineStr"/>
      <c r="R92" s="48" t="inlineStr">
        <is>
          <t>累计收入（NR）</t>
        </is>
      </c>
      <c r="S92" s="20" t="n">
        <v>75471.7</v>
      </c>
      <c r="T92" s="20" t="n">
        <v>0</v>
      </c>
      <c r="U92" s="21" t="n">
        <v>0</v>
      </c>
      <c r="V92" s="20">
        <f>SUM(AO92:AZ92)</f>
        <v/>
      </c>
      <c r="W92" s="20">
        <f>SUM(AP92:AZ92)</f>
        <v/>
      </c>
      <c r="X92" s="20" t="n">
        <v>0</v>
      </c>
      <c r="Y92" s="20" t="n">
        <v>0</v>
      </c>
      <c r="Z92" s="20" t="n">
        <v>0</v>
      </c>
      <c r="AA92" s="20" t="n">
        <v>0</v>
      </c>
      <c r="AB92" s="20" t="n">
        <v>0</v>
      </c>
      <c r="AC92" s="20" t="n">
        <v>0</v>
      </c>
      <c r="AD92" s="20" t="n">
        <v>0</v>
      </c>
      <c r="AE92" s="20" t="n">
        <v>0</v>
      </c>
      <c r="AF92" s="20">
        <f>SUM(AY92:AZ92)</f>
        <v/>
      </c>
      <c r="AG92" s="20">
        <f>SUM(AZ92:AZ92)</f>
        <v/>
      </c>
      <c r="AH92" s="22" t="n">
        <v>0</v>
      </c>
      <c r="AI92" s="22" t="n">
        <v>0</v>
      </c>
      <c r="AJ92" s="44" t="inlineStr"/>
      <c r="AK92" s="49" t="inlineStr"/>
      <c r="AL92" s="49" t="inlineStr"/>
      <c r="AM92" s="49" t="inlineStr"/>
      <c r="AN92" s="16" t="n"/>
      <c r="AO92" s="20" t="n">
        <v>0</v>
      </c>
      <c r="AP92" s="20" t="n">
        <v>0</v>
      </c>
      <c r="AQ92" s="20" t="n">
        <v>0</v>
      </c>
      <c r="AR92" s="20" t="n">
        <v>0</v>
      </c>
      <c r="AS92" s="20" t="n">
        <v>0</v>
      </c>
      <c r="AT92" s="20" t="n">
        <v>0</v>
      </c>
      <c r="AU92" s="20" t="n">
        <v>0</v>
      </c>
      <c r="AV92" s="20" t="n">
        <v>0</v>
      </c>
      <c r="AW92" s="20" t="n">
        <v>0</v>
      </c>
      <c r="AX92" s="20" t="n">
        <v>65515.05</v>
      </c>
      <c r="AY92" s="20" t="n">
        <v>62945.83</v>
      </c>
      <c r="AZ92" s="20" t="n">
        <v>62991.71</v>
      </c>
      <c r="BA92" s="50" t="n">
        <v>0</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t="n">
        <v>0</v>
      </c>
      <c r="V93" s="20">
        <f>SUM(AO93:AZ93)</f>
        <v/>
      </c>
      <c r="W93" s="20">
        <f>SUM(AP93:AZ93)</f>
        <v/>
      </c>
      <c r="X93" s="20" t="n">
        <v>0</v>
      </c>
      <c r="Y93" s="20" t="n">
        <v>0</v>
      </c>
      <c r="Z93" s="20" t="n">
        <v>0</v>
      </c>
      <c r="AA93" s="20" t="n">
        <v>0</v>
      </c>
      <c r="AB93" s="20" t="n">
        <v>0</v>
      </c>
      <c r="AC93" s="20" t="n">
        <v>0</v>
      </c>
      <c r="AD93" s="20" t="n">
        <v>0</v>
      </c>
      <c r="AE93" s="20" t="n">
        <v>0</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61858.83</v>
      </c>
      <c r="AY93" s="20" t="n">
        <v>61858.83</v>
      </c>
      <c r="AZ93" s="20" t="n">
        <v>61858.83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t="n">
        <v>0</v>
      </c>
      <c r="V95" s="20">
        <f>SUM(AO95:AZ95)</f>
        <v/>
      </c>
      <c r="W95" s="20">
        <f>SUM(AP95:AZ95)</f>
        <v/>
      </c>
      <c r="X95" s="20" t="n">
        <v>0</v>
      </c>
      <c r="Y95" s="20" t="n">
        <v>0</v>
      </c>
      <c r="Z95" s="20" t="n">
        <v>0</v>
      </c>
      <c r="AA95" s="20" t="n">
        <v>0</v>
      </c>
      <c r="AB95" s="20" t="n">
        <v>0</v>
      </c>
      <c r="AC95" s="20" t="n">
        <v>0</v>
      </c>
      <c r="AD95" s="20" t="n">
        <v>0</v>
      </c>
      <c r="AE95" s="20" t="n">
        <v>0</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t="n">
        <v>0</v>
      </c>
      <c r="V96" s="20">
        <f>SUM(AO96:AZ96)</f>
        <v/>
      </c>
      <c r="W96" s="20">
        <f>SUM(AP96:AZ96)</f>
        <v/>
      </c>
      <c r="X96" s="20" t="n">
        <v>0</v>
      </c>
      <c r="Y96" s="20" t="n">
        <v>0</v>
      </c>
      <c r="Z96" s="20" t="n">
        <v>0</v>
      </c>
      <c r="AA96" s="20" t="n">
        <v>0</v>
      </c>
      <c r="AB96" s="20" t="n">
        <v>0</v>
      </c>
      <c r="AC96" s="20" t="n">
        <v>0</v>
      </c>
      <c r="AD96" s="20" t="n">
        <v>0</v>
      </c>
      <c r="AE96" s="20" t="n">
        <v>0</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204.48</v>
      </c>
      <c r="AY96" s="20" t="n">
        <v>134.51</v>
      </c>
      <c r="AZ96" s="20" t="n">
        <v>67.28</v>
      </c>
      <c r="BA96" s="50" t="n">
        <v>0</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t="n">
        <v>0</v>
      </c>
      <c r="U97" s="31" t="n">
        <v>0</v>
      </c>
      <c r="V97" s="30">
        <f>SUM(V93:V96)</f>
        <v/>
      </c>
      <c r="W97" s="30">
        <f>SUM(W93:W96)</f>
        <v/>
      </c>
      <c r="X97" s="30" t="n">
        <v>0</v>
      </c>
      <c r="Y97" s="30" t="n">
        <v>0</v>
      </c>
      <c r="Z97" s="30" t="n">
        <v>0</v>
      </c>
      <c r="AA97" s="30" t="n">
        <v>0</v>
      </c>
      <c r="AB97" s="30" t="n">
        <v>0</v>
      </c>
      <c r="AC97" s="30" t="n">
        <v>0</v>
      </c>
      <c r="AD97" s="30" t="n">
        <v>0</v>
      </c>
      <c r="AE97" s="30" t="n">
        <v>0</v>
      </c>
      <c r="AF97" s="30">
        <f>SUM(AF93:AF96)</f>
        <v/>
      </c>
      <c r="AG97" s="30">
        <f>SUM(AG93:AG96)</f>
        <v/>
      </c>
      <c r="AH97" s="30" t="n">
        <v>0</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61993.34</v>
      </c>
      <c r="AZ97" s="30">
        <f>SUM(AZ93:AZ96)</f>
        <v/>
      </c>
      <c r="BA97" s="54" t="n">
        <v>0</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t="n">
        <v>0</v>
      </c>
      <c r="AA98" s="20" t="n">
        <v>0</v>
      </c>
      <c r="AB98" s="20" t="n">
        <v>0</v>
      </c>
      <c r="AC98" s="20" t="n">
        <v>0</v>
      </c>
      <c r="AD98" s="20" t="n">
        <v>0</v>
      </c>
      <c r="AE98" s="20" t="n">
        <v>0</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0</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t="n">
        <v>0</v>
      </c>
      <c r="AA99" s="36" t="n">
        <v>0</v>
      </c>
      <c r="AB99" s="36" t="n">
        <v>0</v>
      </c>
      <c r="AC99" s="36" t="n">
        <v>0</v>
      </c>
      <c r="AD99" s="36" t="n">
        <v>0</v>
      </c>
      <c r="AE99" s="36" t="n">
        <v>0</v>
      </c>
      <c r="AF99" s="36">
        <f>AF98/AF92</f>
        <v/>
      </c>
      <c r="AG99" s="36">
        <f>AG98/AG92</f>
        <v/>
      </c>
      <c r="AH99" s="38" t="n">
        <v>-0.547493961312651</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0</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t="n">
        <v>0</v>
      </c>
      <c r="AA100" s="20" t="n">
        <v>0</v>
      </c>
      <c r="AB100" s="20" t="n">
        <v>0</v>
      </c>
      <c r="AC100" s="20" t="n">
        <v>0</v>
      </c>
      <c r="AD100" s="20" t="n">
        <v>0</v>
      </c>
      <c r="AE100" s="20" t="n">
        <v>0</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0</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t="n">
        <v>0</v>
      </c>
      <c r="AA101" s="36" t="n">
        <v>0</v>
      </c>
      <c r="AB101" s="36" t="n">
        <v>0</v>
      </c>
      <c r="AC101" s="36" t="n">
        <v>0</v>
      </c>
      <c r="AD101" s="36" t="n">
        <v>0</v>
      </c>
      <c r="AE101" s="36" t="n">
        <v>0</v>
      </c>
      <c r="AF101" s="36">
        <f>AF100/AF92</f>
        <v/>
      </c>
      <c r="AG101" s="36">
        <f>AG100/AG92</f>
        <v/>
      </c>
      <c r="AH101" s="38" t="n">
        <v>-0.162753720931157</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0</v>
      </c>
      <c r="BB101" s="39" t="n">
        <v>0</v>
      </c>
      <c r="BC101" s="62" t="n">
        <v>0</v>
      </c>
      <c r="BD101" s="27" t="inlineStr"/>
    </row>
    <row r="102">
      <c r="A102" s="43" t="inlineStr">
        <is>
          <t>P202603000431</t>
        </is>
      </c>
      <c r="B102" s="44" t="inlineStr">
        <is>
          <t>全国畜牧总站-畜牧业综合信息平台种畜禽子系统2026年度运维-FP项目</t>
        </is>
      </c>
      <c r="C102" s="45" t="n">
        <v>46082</v>
      </c>
      <c r="D102" s="45" t="n">
        <v>46477</v>
      </c>
      <c r="E102" s="15" t="n"/>
      <c r="F102" s="16" t="n"/>
      <c r="G102" s="18" t="n">
        <v>0</v>
      </c>
      <c r="H102" s="18" t="n"/>
      <c r="I102" s="18" t="n"/>
      <c r="J102" s="18" t="n"/>
      <c r="K102" s="18" t="n"/>
      <c r="L102" s="18" t="n"/>
      <c r="M102" s="18" t="n"/>
      <c r="N102" s="18" t="n"/>
      <c r="O102" s="18" t="n"/>
      <c r="P102" s="15" t="n"/>
      <c r="Q102" s="18" t="inlineStr"/>
      <c r="R102" s="48" t="inlineStr">
        <is>
          <t>累计收入（NR）</t>
        </is>
      </c>
      <c r="S102" s="20" t="n">
        <v>150943.4</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10681.51</v>
      </c>
      <c r="AY102" s="20" t="n">
        <v>0</v>
      </c>
      <c r="AZ102" s="20" t="n">
        <v>0</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123705</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0</v>
      </c>
      <c r="AY103" s="20" t="n">
        <v>0</v>
      </c>
      <c r="AZ103" s="20" t="n">
        <v>0</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0</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20.87</v>
      </c>
      <c r="AY106" s="20" t="n">
        <v>0</v>
      </c>
      <c r="AZ106" s="20" t="n">
        <v>0</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0</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t>
        </is>
      </c>
      <c r="B112" s="43" t="inlineStr">
        <is>
          <t>农业项目群</t>
        </is>
      </c>
      <c r="C112" s="64" t="n">
        <v>46023</v>
      </c>
      <c r="D112" s="64" t="n">
        <v>46387</v>
      </c>
      <c r="E112" s="15" t="n"/>
      <c r="F112" s="15" t="n"/>
      <c r="G112" s="18" t="n"/>
      <c r="H112" s="18" t="n"/>
      <c r="I112" s="18" t="n"/>
      <c r="J112" s="18" t="n"/>
      <c r="K112" s="18" t="n"/>
      <c r="L112" s="18" t="n"/>
      <c r="M112" s="18" t="n"/>
      <c r="N112" s="18" t="n"/>
      <c r="O112" s="18" t="n"/>
      <c r="P112" s="15" t="n"/>
      <c r="Q112" s="18" t="inlineStr"/>
      <c r="R112" s="48" t="inlineStr">
        <is>
          <t>累计收入（NR）</t>
        </is>
      </c>
      <c r="S112" s="20" t="n">
        <v>0</v>
      </c>
      <c r="T112" s="20" t="n">
        <v>0</v>
      </c>
      <c r="U112" s="21" t="n">
        <v>0</v>
      </c>
      <c r="V112" s="20" t="n">
        <v>0</v>
      </c>
      <c r="W112" s="20" t="n">
        <v>0</v>
      </c>
      <c r="X112" s="20" t="n">
        <v>0</v>
      </c>
      <c r="Y112" s="20" t="n">
        <v>0</v>
      </c>
      <c r="Z112" s="20" t="n">
        <v>0</v>
      </c>
      <c r="AA112" s="20" t="n">
        <v>0</v>
      </c>
      <c r="AB112" s="20" t="n">
        <v>0</v>
      </c>
      <c r="AC112" s="20" t="n">
        <v>0</v>
      </c>
      <c r="AD112" s="20" t="n">
        <v>0</v>
      </c>
      <c r="AE112" s="20" t="n">
        <v>0</v>
      </c>
      <c r="AF112" s="20" t="n">
        <v>0</v>
      </c>
      <c r="AG112" s="20" t="n">
        <v>0</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0</v>
      </c>
      <c r="AY112" s="65"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0</v>
      </c>
      <c r="T113" s="20" t="n">
        <v>0</v>
      </c>
      <c r="U113" s="21" t="n">
        <v>0</v>
      </c>
      <c r="V113" s="20" t="n">
        <v>0</v>
      </c>
      <c r="W113" s="20" t="n">
        <v>0</v>
      </c>
      <c r="X113" s="20" t="n">
        <v>0</v>
      </c>
      <c r="Y113" s="20" t="n">
        <v>0</v>
      </c>
      <c r="Z113" s="20" t="n">
        <v>0</v>
      </c>
      <c r="AA113" s="20" t="n">
        <v>0</v>
      </c>
      <c r="AB113" s="20" t="n">
        <v>0</v>
      </c>
      <c r="AC113" s="20" t="n">
        <v>0</v>
      </c>
      <c r="AD113" s="20" t="n">
        <v>0</v>
      </c>
      <c r="AE113" s="20" t="n">
        <v>0</v>
      </c>
      <c r="AF113" s="20" t="n">
        <v>0</v>
      </c>
      <c r="AG113" s="20" t="n">
        <v>0</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65"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65"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t="n">
        <v>0</v>
      </c>
      <c r="W115" s="20" t="n">
        <v>0</v>
      </c>
      <c r="X115" s="20" t="n">
        <v>0</v>
      </c>
      <c r="Y115" s="20" t="n">
        <v>0</v>
      </c>
      <c r="Z115" s="20" t="n">
        <v>0</v>
      </c>
      <c r="AA115" s="20" t="n">
        <v>0</v>
      </c>
      <c r="AB115" s="20" t="n">
        <v>0</v>
      </c>
      <c r="AC115" s="20" t="n">
        <v>0</v>
      </c>
      <c r="AD115" s="20" t="n">
        <v>0</v>
      </c>
      <c r="AE115" s="20" t="n">
        <v>0</v>
      </c>
      <c r="AF115" s="20" t="n">
        <v>0</v>
      </c>
      <c r="AG115" s="20" t="n">
        <v>0</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65"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t="n">
        <v>0</v>
      </c>
      <c r="W116" s="20" t="n">
        <v>0</v>
      </c>
      <c r="X116" s="20" t="n">
        <v>0</v>
      </c>
      <c r="Y116" s="20" t="n">
        <v>0</v>
      </c>
      <c r="Z116" s="20" t="n">
        <v>0</v>
      </c>
      <c r="AA116" s="20" t="n">
        <v>0</v>
      </c>
      <c r="AB116" s="20" t="n">
        <v>0</v>
      </c>
      <c r="AC116" s="20" t="n">
        <v>0</v>
      </c>
      <c r="AD116" s="20" t="n">
        <v>0</v>
      </c>
      <c r="AE116" s="20" t="n">
        <v>0</v>
      </c>
      <c r="AF116" s="20" t="n">
        <v>0</v>
      </c>
      <c r="AG116" s="20" t="n">
        <v>0</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0</v>
      </c>
      <c r="AY116" s="65"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t="n">
        <v>0</v>
      </c>
      <c r="W117" s="30" t="n">
        <v>0</v>
      </c>
      <c r="X117" s="30" t="n">
        <v>0</v>
      </c>
      <c r="Y117" s="30" t="n">
        <v>0</v>
      </c>
      <c r="Z117" s="30" t="n">
        <v>0</v>
      </c>
      <c r="AA117" s="30" t="n">
        <v>0</v>
      </c>
      <c r="AB117" s="30" t="n">
        <v>0</v>
      </c>
      <c r="AC117" s="30" t="n">
        <v>0</v>
      </c>
      <c r="AD117" s="30" t="n">
        <v>0</v>
      </c>
      <c r="AE117" s="30" t="n">
        <v>0</v>
      </c>
      <c r="AF117" s="30" t="n">
        <v>0</v>
      </c>
      <c r="AG117" s="30" t="n">
        <v>0</v>
      </c>
      <c r="AH117" s="30" t="n">
        <v>0</v>
      </c>
      <c r="AI117" s="30" t="n">
        <v>0</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65" t="n">
        <v>0</v>
      </c>
      <c r="AZ117" s="30" t="n">
        <v>0</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t="n">
        <v>0</v>
      </c>
      <c r="AG118" s="20" t="n">
        <v>-13249.87</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65">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t="n">
        <v>0</v>
      </c>
      <c r="AG119" s="36" t="n">
        <v>-2.06707530156194</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65">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t="n">
        <v>0</v>
      </c>
      <c r="AG120" s="20" t="n">
        <v>-13180.81</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65">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t="n">
        <v>0</v>
      </c>
      <c r="AG121" s="36" t="n">
        <v>-2.05630144337874</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65">
        <f>AY120/AY112</f>
        <v/>
      </c>
      <c r="AZ121" s="36">
        <f>AZ120/AZ112</f>
        <v/>
      </c>
      <c r="BA121" s="57" t="n">
        <v>0</v>
      </c>
      <c r="BB121" s="39" t="n">
        <v>0</v>
      </c>
      <c r="BC121" s="62" t="n">
        <v>0</v>
      </c>
      <c r="BD121" s="27" t="inlineStr"/>
    </row>
  </sheetData>
  <mergeCells count="265">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Q112:Q121"/>
    <mergeCell ref="H92:H101"/>
    <mergeCell ref="J92:J101"/>
    <mergeCell ref="AJ22:AJ31"/>
    <mergeCell ref="AL22:AL31"/>
    <mergeCell ref="E52:E61"/>
    <mergeCell ref="B62:B7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L112:L12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F52:F61"/>
    <mergeCell ref="A32:A41"/>
    <mergeCell ref="D42:D51"/>
    <mergeCell ref="A112:A12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M52:M6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B112:B121"/>
    <mergeCell ref="AL92:AL101"/>
    <mergeCell ref="I42:I51"/>
    <mergeCell ref="D112:D121"/>
    <mergeCell ref="P32:P41"/>
    <mergeCell ref="K42:K51"/>
    <mergeCell ref="J22:J31"/>
    <mergeCell ref="L22:L31"/>
    <mergeCell ref="J62:J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3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12" t="inlineStr">
        <is>
          <t>P202212000030</t>
        </is>
      </c>
      <c r="B12" s="13" t="inlineStr">
        <is>
          <t>2022年安徽省农业科学院畜牧兽医研究所种猪遗传评估系统软件及育种分析服务</t>
        </is>
      </c>
      <c r="C12" s="14" t="n">
        <v>44903</v>
      </c>
      <c r="D12" s="14" t="n">
        <v>46034</v>
      </c>
      <c r="E12" s="15" t="n"/>
      <c r="F12" s="16" t="inlineStr">
        <is>
          <t xml:space="preserve"> -   </t>
        </is>
      </c>
      <c r="G12" s="17" t="n"/>
      <c r="H12" s="18" t="n"/>
      <c r="I12" s="18" t="n"/>
      <c r="J12" s="18" t="n"/>
      <c r="K12" s="18" t="n"/>
      <c r="L12" s="18" t="n"/>
      <c r="M12" s="18" t="n"/>
      <c r="N12" s="18" t="n"/>
      <c r="O12" s="18" t="n"/>
      <c r="P12" s="15" t="n"/>
      <c r="Q12" s="18" t="inlineStr"/>
      <c r="R12" s="19" t="inlineStr">
        <is>
          <t>累计收入（NR）</t>
        </is>
      </c>
      <c r="S12" s="20" t="n">
        <v>330094.34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13" t="inlineStr">
        <is>
          <t>当前测算毛利率高于预算，原因是实际投入人力成本低于预算</t>
        </is>
      </c>
      <c r="AL12" s="24" t="inlineStr"/>
      <c r="AM12" s="24" t="inlineStr"/>
      <c r="AN12" s="16" t="n"/>
      <c r="AO12" s="20" t="n">
        <v>0</v>
      </c>
      <c r="AP12" s="20" t="n">
        <v>0</v>
      </c>
      <c r="AQ12" s="20" t="n">
        <v>0</v>
      </c>
      <c r="AR12" s="20" t="n">
        <v>0</v>
      </c>
      <c r="AS12" s="20" t="n">
        <v>0</v>
      </c>
      <c r="AT12" s="20" t="n">
        <v>0</v>
      </c>
      <c r="AU12" s="20" t="n">
        <v>0</v>
      </c>
      <c r="AV12" s="20" t="n">
        <v>0</v>
      </c>
      <c r="AW12" s="20" t="n">
        <v>0</v>
      </c>
      <c r="AX12" s="20" t="n">
        <v>0</v>
      </c>
      <c r="AY12" s="20" t="n">
        <v>0</v>
      </c>
      <c r="AZ12" s="20" t="n">
        <v>-0.13</v>
      </c>
      <c r="BA12" s="50" t="n">
        <v>75260.57000000001</v>
      </c>
      <c r="BB12" s="21" t="n">
        <v>47129.727</v>
      </c>
      <c r="BC12" s="26" t="n">
        <v>205340.81</v>
      </c>
      <c r="BD12" s="52" t="inlineStr">
        <is>
          <t>2026年已结项</t>
        </is>
      </c>
    </row>
    <row r="13">
      <c r="A13" s="28" t="n"/>
      <c r="B13" s="28" t="n"/>
      <c r="C13" s="28" t="n"/>
      <c r="D13" s="28" t="n"/>
      <c r="E13" s="28" t="n"/>
      <c r="F13" s="28" t="n"/>
      <c r="G13" s="28" t="n"/>
      <c r="H13" s="28" t="n"/>
      <c r="I13" s="28" t="n"/>
      <c r="J13" s="28" t="n"/>
      <c r="K13" s="28" t="n"/>
      <c r="L13" s="28" t="n"/>
      <c r="M13" s="28" t="n"/>
      <c r="N13" s="28" t="n"/>
      <c r="O13" s="28" t="n"/>
      <c r="P13" s="28" t="n"/>
      <c r="Q13" s="28" t="n"/>
      <c r="R13" s="19" t="inlineStr">
        <is>
          <t>人工成本（成本１）</t>
        </is>
      </c>
      <c r="S13" s="20" t="n">
        <v>207999</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0</v>
      </c>
      <c r="BA13" s="50" t="n">
        <v>48896.58</v>
      </c>
      <c r="BB13" s="21" t="n">
        <v>1331.99</v>
      </c>
      <c r="BC13" s="26" t="n">
        <v>81151.98</v>
      </c>
      <c r="BD13" s="28" t="n"/>
    </row>
    <row r="14">
      <c r="A14" s="28" t="n"/>
      <c r="B14" s="28" t="n"/>
      <c r="C14" s="28" t="n"/>
      <c r="D14" s="28" t="n"/>
      <c r="E14" s="28" t="n"/>
      <c r="F14" s="28" t="n"/>
      <c r="G14" s="28" t="n"/>
      <c r="H14" s="28" t="n"/>
      <c r="I14" s="28" t="n"/>
      <c r="J14" s="28" t="n"/>
      <c r="K14" s="28"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0</v>
      </c>
      <c r="AY14" s="20" t="n">
        <v>0</v>
      </c>
      <c r="AZ14" s="20" t="n">
        <v>0</v>
      </c>
      <c r="BA14" s="50" t="n">
        <v>0</v>
      </c>
      <c r="BB14" s="21" t="n">
        <v>0</v>
      </c>
      <c r="BC14" s="26" t="n">
        <v>0</v>
      </c>
      <c r="BD14" s="28" t="n"/>
    </row>
    <row r="15">
      <c r="A15" s="28" t="n"/>
      <c r="B15" s="28" t="n"/>
      <c r="C15" s="28" t="n"/>
      <c r="D15" s="28" t="n"/>
      <c r="E15" s="28" t="n"/>
      <c r="F15" s="28" t="n"/>
      <c r="G15" s="28" t="n"/>
      <c r="H15" s="28" t="n"/>
      <c r="I15" s="28" t="n"/>
      <c r="J15" s="28" t="n"/>
      <c r="K15" s="28" t="n"/>
      <c r="L15" s="28" t="n"/>
      <c r="M15" s="28" t="n"/>
      <c r="N15" s="28" t="n"/>
      <c r="O15" s="28" t="n"/>
      <c r="P15" s="28" t="n"/>
      <c r="Q15" s="28" t="n"/>
      <c r="R15" s="19" t="inlineStr">
        <is>
          <t>差旅费（成本３）</t>
        </is>
      </c>
      <c r="S15" s="20" t="n">
        <v>17000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26" t="n">
        <v>4118.38</v>
      </c>
      <c r="BD15" s="28" t="n"/>
    </row>
    <row r="16">
      <c r="A16" s="28" t="n"/>
      <c r="B16" s="28" t="n"/>
      <c r="C16" s="28" t="n"/>
      <c r="D16" s="28" t="n"/>
      <c r="E16" s="28" t="n"/>
      <c r="F16" s="28" t="n"/>
      <c r="G16" s="28" t="n"/>
      <c r="H16" s="28" t="n"/>
      <c r="I16" s="28" t="n"/>
      <c r="J16" s="28" t="n"/>
      <c r="K16" s="28" t="n"/>
      <c r="L16" s="28" t="n"/>
      <c r="M16" s="28" t="n"/>
      <c r="N16" s="28" t="n"/>
      <c r="O16" s="28" t="n"/>
      <c r="P16" s="28" t="n"/>
      <c r="Q16" s="28" t="n"/>
      <c r="R16" s="19" t="inlineStr">
        <is>
          <t>其他成本（成本３）</t>
        </is>
      </c>
      <c r="S16" s="20" t="n">
        <v>10000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0</v>
      </c>
      <c r="AZ16" s="20" t="n">
        <v>0</v>
      </c>
      <c r="BA16" s="50" t="n">
        <v>-322.66</v>
      </c>
      <c r="BB16" s="21" t="n">
        <v>10.03</v>
      </c>
      <c r="BC16" s="26" t="n">
        <v>5683.58</v>
      </c>
      <c r="BD16" s="28" t="n"/>
    </row>
    <row r="17">
      <c r="A17" s="28" t="n"/>
      <c r="B17" s="28" t="n"/>
      <c r="C17" s="28" t="n"/>
      <c r="D17" s="28" t="n"/>
      <c r="E17" s="28" t="n"/>
      <c r="F17" s="28" t="n"/>
      <c r="G17" s="28" t="n"/>
      <c r="H17" s="28" t="n"/>
      <c r="I17" s="28" t="n"/>
      <c r="J17" s="28" t="n"/>
      <c r="K17" s="28"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0</v>
      </c>
      <c r="AZ17" s="30">
        <f>SUM(AZ13:AZ16)</f>
        <v/>
      </c>
      <c r="BA17" s="54" t="n">
        <v>48573.92</v>
      </c>
      <c r="BB17" s="31">
        <f>SUM(BB13:BB16)</f>
        <v/>
      </c>
      <c r="BC17" s="31">
        <f>SUM(BC13:BC16)</f>
        <v/>
      </c>
      <c r="BD17" s="28" t="n"/>
    </row>
    <row r="18">
      <c r="A18" s="28" t="n"/>
      <c r="B18" s="28" t="n"/>
      <c r="C18" s="28" t="n"/>
      <c r="D18" s="28" t="n"/>
      <c r="E18" s="28" t="n"/>
      <c r="F18" s="28" t="n"/>
      <c r="G18" s="28" t="n"/>
      <c r="H18" s="28" t="n"/>
      <c r="I18" s="28" t="n"/>
      <c r="J18" s="28" t="n"/>
      <c r="K18" s="28" t="n"/>
      <c r="L18" s="28" t="n"/>
      <c r="M18" s="28" t="n"/>
      <c r="N18" s="28" t="n"/>
      <c r="O18" s="28" t="n"/>
      <c r="P18" s="28" t="n"/>
      <c r="Q18" s="28" t="n"/>
      <c r="R18" s="1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26363.99</v>
      </c>
      <c r="BB18" s="31" t="n">
        <v>45797.737</v>
      </c>
      <c r="BC18" s="34">
        <f>BC12-BC13</f>
        <v/>
      </c>
      <c r="BD18" s="28" t="n"/>
    </row>
    <row r="19">
      <c r="A19" s="28" t="n"/>
      <c r="B19" s="28" t="n"/>
      <c r="C19" s="28" t="n"/>
      <c r="D19" s="28" t="n"/>
      <c r="E19" s="28" t="n"/>
      <c r="F19" s="28" t="n"/>
      <c r="G19" s="28" t="n"/>
      <c r="H19" s="28" t="n"/>
      <c r="I19" s="28" t="n"/>
      <c r="J19" s="28" t="n"/>
      <c r="K19" s="28"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0.350302821251553</v>
      </c>
      <c r="BB19" s="39" t="n">
        <v>0.971737795128752</v>
      </c>
      <c r="BC19" s="40">
        <f>BC18/BC12</f>
        <v/>
      </c>
      <c r="BD19" s="28" t="n"/>
    </row>
    <row r="20">
      <c r="A20" s="28" t="n"/>
      <c r="B20" s="28" t="n"/>
      <c r="C20" s="28" t="n"/>
      <c r="D20" s="28" t="n"/>
      <c r="E20" s="28" t="n"/>
      <c r="F20" s="28" t="n"/>
      <c r="G20" s="28" t="n"/>
      <c r="H20" s="28" t="n"/>
      <c r="I20" s="28" t="n"/>
      <c r="J20" s="28" t="n"/>
      <c r="K20" s="28" t="n"/>
      <c r="L20" s="28" t="n"/>
      <c r="M20" s="28" t="n"/>
      <c r="N20" s="28" t="n"/>
      <c r="O20" s="28" t="n"/>
      <c r="P20" s="28" t="n"/>
      <c r="Q20" s="28" t="n"/>
      <c r="R20" s="19" t="inlineStr">
        <is>
          <t>GP3毛利</t>
        </is>
      </c>
      <c r="S20" s="41">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26686.65</v>
      </c>
      <c r="BB20" s="31" t="n">
        <v>45787.707</v>
      </c>
      <c r="BC20" s="34">
        <f>BC12-BC13-BC15-BC16</f>
        <v/>
      </c>
      <c r="BD20" s="28" t="n"/>
    </row>
    <row r="21">
      <c r="A21" s="42" t="n"/>
      <c r="B21" s="42" t="n"/>
      <c r="C21" s="42" t="n"/>
      <c r="D21" s="42" t="n"/>
      <c r="E21" s="42" t="n"/>
      <c r="F21" s="42" t="n"/>
      <c r="G21" s="42" t="n"/>
      <c r="H21" s="42" t="n"/>
      <c r="I21" s="42" t="n"/>
      <c r="J21" s="42" t="n"/>
      <c r="K21" s="42"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0.354590059575685</v>
      </c>
      <c r="BB21" s="39" t="n">
        <v>0.971524978279632</v>
      </c>
      <c r="BC21" s="40">
        <f>BC20/BC12</f>
        <v/>
      </c>
      <c r="BD21" s="42" t="n"/>
    </row>
    <row r="22">
      <c r="A22" s="43" t="inlineStr">
        <is>
          <t>P202504000428</t>
        </is>
      </c>
      <c r="B22" s="44" t="inlineStr">
        <is>
          <t>全国畜牧总站-2025年度畜牧业综合信息平台种畜禽运维项目-fp项目</t>
        </is>
      </c>
      <c r="C22" s="45" t="n">
        <v>45748</v>
      </c>
      <c r="D22" s="45" t="n">
        <v>46112</v>
      </c>
      <c r="E22" s="15" t="n"/>
      <c r="F22" s="16" t="inlineStr">
        <is>
          <t xml:space="preserve"> -   </t>
        </is>
      </c>
      <c r="G22" s="17" t="n"/>
      <c r="H22" s="46" t="n"/>
      <c r="I22" s="47" t="n"/>
      <c r="J22" s="47" t="n"/>
      <c r="K22" s="47" t="n"/>
      <c r="L22" s="18" t="n"/>
      <c r="M22" s="18" t="n"/>
      <c r="N22" s="18" t="n"/>
      <c r="O22" s="18" t="n"/>
      <c r="P22" s="15" t="n"/>
      <c r="Q22" s="18" t="inlineStr"/>
      <c r="R22" s="48" t="inlineStr">
        <is>
          <t>累计收入（NR）</t>
        </is>
      </c>
      <c r="S22" s="20" t="n">
        <v>150943.4</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49" t="inlineStr">
        <is>
          <t>周期性运维项目，系统每月自动计入收入，4~8月每月投入人力成本1.86万超出预算</t>
        </is>
      </c>
      <c r="AL22" s="49" t="inlineStr"/>
      <c r="AM22" s="49" t="inlineStr">
        <is>
          <t>11月投入0.48万成本降低</t>
        </is>
      </c>
      <c r="AN22" s="16" t="n"/>
      <c r="AO22" s="20" t="n">
        <v>0</v>
      </c>
      <c r="AP22" s="20" t="n">
        <v>0</v>
      </c>
      <c r="AQ22" s="20" t="n">
        <v>0</v>
      </c>
      <c r="AR22" s="20" t="n">
        <v>0</v>
      </c>
      <c r="AS22" s="20" t="n">
        <v>0</v>
      </c>
      <c r="AT22" s="20" t="n">
        <v>0</v>
      </c>
      <c r="AU22" s="20" t="n">
        <v>0</v>
      </c>
      <c r="AV22" s="20" t="n">
        <v>0</v>
      </c>
      <c r="AW22" s="20" t="n">
        <v>0</v>
      </c>
      <c r="AX22" s="20" t="n">
        <v>0</v>
      </c>
      <c r="AY22" s="20" t="n">
        <v>11579.17</v>
      </c>
      <c r="AZ22" s="20" t="n">
        <v>12819.77</v>
      </c>
      <c r="BA22" s="50" t="n">
        <v>112589.72</v>
      </c>
      <c r="BB22" s="21" t="n">
        <v>0</v>
      </c>
      <c r="BC22" s="51" t="n">
        <v>0</v>
      </c>
      <c r="BD22" s="52" t="inlineStr">
        <is>
          <t>2026年已结项</t>
        </is>
      </c>
    </row>
    <row r="23">
      <c r="A23" s="28" t="n"/>
      <c r="B23" s="28" t="n"/>
      <c r="C23" s="28" t="n"/>
      <c r="D23" s="28" t="n"/>
      <c r="E23" s="28" t="n"/>
      <c r="F23" s="28" t="n"/>
      <c r="G23" s="28" t="n"/>
      <c r="H23" s="53" t="n"/>
      <c r="I23" s="53" t="n"/>
      <c r="J23" s="53" t="n"/>
      <c r="K23" s="53" t="n"/>
      <c r="L23" s="28" t="n"/>
      <c r="M23" s="28" t="n"/>
      <c r="N23" s="28" t="n"/>
      <c r="O23" s="28" t="n"/>
      <c r="P23" s="28" t="n"/>
      <c r="Q23" s="28" t="n"/>
      <c r="R23" s="29" t="inlineStr">
        <is>
          <t>人工成本（成本１）</t>
        </is>
      </c>
      <c r="S23" s="20" t="n">
        <v>123201.71</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v>
      </c>
      <c r="AY23" s="20" t="n">
        <v>0</v>
      </c>
      <c r="AZ23" s="20" t="n">
        <v>7039.31</v>
      </c>
      <c r="BA23" s="50" t="n">
        <v>112560.11</v>
      </c>
      <c r="BB23" s="21" t="n">
        <v>0</v>
      </c>
      <c r="BC23" s="51" t="n">
        <v>0</v>
      </c>
      <c r="BD23" s="28" t="n"/>
    </row>
    <row r="24">
      <c r="A24" s="28" t="n"/>
      <c r="B24" s="28" t="n"/>
      <c r="C24" s="28" t="n"/>
      <c r="D24" s="28" t="n"/>
      <c r="E24" s="28" t="n"/>
      <c r="F24" s="28" t="n"/>
      <c r="G24" s="28" t="n"/>
      <c r="H24" s="53" t="n"/>
      <c r="I24" s="53" t="n"/>
      <c r="J24" s="53" t="n"/>
      <c r="K24" s="53"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11909.61</v>
      </c>
      <c r="AY24" s="20" t="n">
        <v>18638.11</v>
      </c>
      <c r="AZ24" s="20" t="n">
        <v>0</v>
      </c>
      <c r="BA24" s="50" t="n">
        <v>0</v>
      </c>
      <c r="BB24" s="21" t="n">
        <v>0</v>
      </c>
      <c r="BC24" s="51" t="n">
        <v>0</v>
      </c>
      <c r="BD24" s="28" t="n"/>
    </row>
    <row r="25">
      <c r="A25" s="28" t="n"/>
      <c r="B25" s="28" t="n"/>
      <c r="C25" s="28" t="n"/>
      <c r="D25" s="28" t="n"/>
      <c r="E25" s="28" t="n"/>
      <c r="F25" s="28" t="n"/>
      <c r="G25" s="28" t="n"/>
      <c r="H25" s="53" t="n"/>
      <c r="I25" s="53" t="n"/>
      <c r="J25" s="53" t="n"/>
      <c r="K25" s="53"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0" t="n">
        <v>0</v>
      </c>
      <c r="BB25" s="21" t="n">
        <v>0</v>
      </c>
      <c r="BC25" s="51" t="n">
        <v>0</v>
      </c>
      <c r="BD25" s="28" t="n"/>
    </row>
    <row r="26">
      <c r="A26" s="28" t="n"/>
      <c r="B26" s="28" t="n"/>
      <c r="C26" s="28" t="n"/>
      <c r="D26" s="28" t="n"/>
      <c r="E26" s="28" t="n"/>
      <c r="F26" s="28" t="n"/>
      <c r="G26" s="28" t="n"/>
      <c r="H26" s="53" t="n"/>
      <c r="I26" s="53" t="n"/>
      <c r="J26" s="53" t="n"/>
      <c r="K26" s="53"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-12.82</v>
      </c>
      <c r="AZ26" s="20" t="n">
        <v>-24.4</v>
      </c>
      <c r="BA26" s="50" t="n">
        <v>-790.7</v>
      </c>
      <c r="BB26" s="21" t="n">
        <v>0</v>
      </c>
      <c r="BC26" s="51" t="n">
        <v>0</v>
      </c>
      <c r="BD26" s="28" t="n"/>
    </row>
    <row r="27">
      <c r="A27" s="28" t="n"/>
      <c r="B27" s="28" t="n"/>
      <c r="C27" s="28" t="n"/>
      <c r="D27" s="28" t="n"/>
      <c r="E27" s="28" t="n"/>
      <c r="F27" s="28" t="n"/>
      <c r="G27" s="28" t="n"/>
      <c r="H27" s="53" t="n"/>
      <c r="I27" s="53" t="n"/>
      <c r="J27" s="53" t="n"/>
      <c r="K27" s="53"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-12.82</v>
      </c>
      <c r="AZ27" s="30">
        <f>SUM(AZ23:AZ26)</f>
        <v/>
      </c>
      <c r="BA27" s="54" t="n">
        <v>111769.41</v>
      </c>
      <c r="BB27" s="31">
        <f>SUM(BB23:BB26)</f>
        <v/>
      </c>
      <c r="BC27" s="55">
        <f>SUM(BC23:BC26)</f>
        <v/>
      </c>
      <c r="BD27" s="28" t="n"/>
    </row>
    <row r="28">
      <c r="A28" s="28" t="n"/>
      <c r="B28" s="28" t="n"/>
      <c r="C28" s="28" t="n"/>
      <c r="D28" s="28" t="n"/>
      <c r="E28" s="28" t="n"/>
      <c r="F28" s="28" t="n"/>
      <c r="G28" s="28" t="n"/>
      <c r="H28" s="53" t="n"/>
      <c r="I28" s="53" t="n"/>
      <c r="J28" s="53" t="n"/>
      <c r="K28" s="53"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6" t="n">
        <v>29.609999999986</v>
      </c>
      <c r="BB28" s="31" t="n">
        <v>0</v>
      </c>
      <c r="BC28" s="51" t="n">
        <v>0</v>
      </c>
      <c r="BD28" s="28" t="n"/>
    </row>
    <row r="29">
      <c r="A29" s="28" t="n"/>
      <c r="B29" s="28" t="n"/>
      <c r="C29" s="28" t="n"/>
      <c r="D29" s="28" t="n"/>
      <c r="E29" s="28" t="n"/>
      <c r="F29" s="28" t="n"/>
      <c r="G29" s="28" t="n"/>
      <c r="H29" s="53" t="n"/>
      <c r="I29" s="53" t="n"/>
      <c r="J29" s="53" t="n"/>
      <c r="K29" s="53"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0.000262990262343543</v>
      </c>
      <c r="BB29" s="39" t="n">
        <v>0</v>
      </c>
      <c r="BC29" s="51" t="n">
        <v>0</v>
      </c>
      <c r="BD29" s="28" t="n"/>
    </row>
    <row r="30">
      <c r="A30" s="28" t="n"/>
      <c r="B30" s="28" t="n"/>
      <c r="C30" s="28" t="n"/>
      <c r="D30" s="28" t="n"/>
      <c r="E30" s="28" t="n"/>
      <c r="F30" s="28" t="n"/>
      <c r="G30" s="28" t="n"/>
      <c r="H30" s="53" t="n"/>
      <c r="I30" s="53" t="n"/>
      <c r="J30" s="53" t="n"/>
      <c r="K30" s="53"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820.309999999986</v>
      </c>
      <c r="BB30" s="31" t="n">
        <v>0</v>
      </c>
      <c r="BC30" s="51" t="n">
        <v>0</v>
      </c>
      <c r="BD30" s="28" t="n"/>
    </row>
    <row r="31">
      <c r="A31" s="42" t="n"/>
      <c r="B31" s="42" t="n"/>
      <c r="C31" s="42" t="n"/>
      <c r="D31" s="42" t="n"/>
      <c r="E31" s="42" t="n"/>
      <c r="F31" s="42" t="n"/>
      <c r="G31" s="42" t="n"/>
      <c r="H31" s="59" t="n"/>
      <c r="I31" s="59" t="n"/>
      <c r="J31" s="59" t="n"/>
      <c r="K31" s="59"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0.00728583391094663</v>
      </c>
      <c r="BB31" s="39" t="n">
        <v>0</v>
      </c>
      <c r="BC31" s="51" t="n">
        <v>0</v>
      </c>
      <c r="BD31" s="42" t="n"/>
    </row>
    <row r="32">
      <c r="A32" s="43" t="inlineStr">
        <is>
          <t>P202506000290</t>
        </is>
      </c>
      <c r="B32" s="44" t="inlineStr">
        <is>
          <t>中监所-2025年OA办公系统升级改造项目-研究生管理模块-FP项目</t>
        </is>
      </c>
      <c r="C32" s="45" t="n">
        <v>45807</v>
      </c>
      <c r="D32" s="45" t="n">
        <v>46275</v>
      </c>
      <c r="E32" s="15" t="n"/>
      <c r="F32" s="16" t="n">
        <v>0.8100000000000001</v>
      </c>
      <c r="G32" s="17" t="n">
        <v>0</v>
      </c>
      <c r="H32" s="44" t="n"/>
      <c r="I32" s="44" t="n"/>
      <c r="J32" s="18" t="n"/>
      <c r="K32" s="18" t="n"/>
      <c r="L32" s="18" t="n"/>
      <c r="M32" s="18" t="n"/>
      <c r="N32" s="18" t="n"/>
      <c r="O32" s="18" t="n"/>
      <c r="P32" s="15" t="n"/>
      <c r="Q32" s="18" t="inlineStr"/>
      <c r="R32" s="48" t="inlineStr">
        <is>
          <t>累计收入（NR）</t>
        </is>
      </c>
      <c r="S32" s="20" t="n">
        <v>181603.77</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9" t="inlineStr"/>
      <c r="AK32" s="17" t="inlineStr">
        <is>
          <t>固定投入1人，人力成本已超出预算</t>
        </is>
      </c>
      <c r="AL32" s="49" t="inlineStr">
        <is>
          <t>建议项目经理及时变更后续月份成本投入计划</t>
        </is>
      </c>
      <c r="AM32" s="49" t="inlineStr"/>
      <c r="AN32" s="60" t="n"/>
      <c r="AO32" s="20" t="n">
        <v>0</v>
      </c>
      <c r="AP32" s="20" t="n">
        <v>0</v>
      </c>
      <c r="AQ32" s="20" t="n">
        <v>0</v>
      </c>
      <c r="AR32" s="20" t="n">
        <v>0</v>
      </c>
      <c r="AS32" s="20" t="n">
        <v>0</v>
      </c>
      <c r="AT32" s="20" t="n">
        <v>0</v>
      </c>
      <c r="AU32" s="20" t="n">
        <v>0</v>
      </c>
      <c r="AV32" s="20" t="n">
        <v>0</v>
      </c>
      <c r="AW32" s="20" t="n">
        <v>0</v>
      </c>
      <c r="AX32" s="20" t="n">
        <v>0</v>
      </c>
      <c r="AY32" s="20" t="n">
        <v>36407.37</v>
      </c>
      <c r="AZ32" s="20" t="n">
        <v>3848.19</v>
      </c>
      <c r="BA32" s="58" t="n">
        <v>139982.95</v>
      </c>
      <c r="BB32" s="21" t="n">
        <v>0</v>
      </c>
      <c r="BC32" s="5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148783.99</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0.01</v>
      </c>
      <c r="AY33" s="20" t="n">
        <v>17923.23</v>
      </c>
      <c r="AZ33" s="20" t="n">
        <v>0</v>
      </c>
      <c r="BA33" s="58" t="n">
        <v>154415.59</v>
      </c>
      <c r="BB33" s="21" t="n">
        <v>0</v>
      </c>
      <c r="BC33" s="51"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8" t="n">
        <v>0</v>
      </c>
      <c r="BB34" s="21" t="n">
        <v>0</v>
      </c>
      <c r="BC34" s="5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8" t="n">
        <v>0</v>
      </c>
      <c r="BB35" s="21" t="n">
        <v>0</v>
      </c>
      <c r="BC35" s="5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0</v>
      </c>
      <c r="AY36" s="20" t="n">
        <v>0</v>
      </c>
      <c r="AZ36" s="20" t="n">
        <v>-36.41</v>
      </c>
      <c r="BA36" s="58" t="n">
        <v>-195.24</v>
      </c>
      <c r="BB36" s="21" t="n">
        <v>0</v>
      </c>
      <c r="BC36" s="51"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17923.23</v>
      </c>
      <c r="AZ37" s="30">
        <f>SUM(AZ33:AZ36)</f>
        <v/>
      </c>
      <c r="BA37" s="54" t="n">
        <v>154220.35</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2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8" t="n">
        <v>-14432.64</v>
      </c>
      <c r="BB38" s="31" t="n">
        <v>0</v>
      </c>
      <c r="BC38" s="5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36">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-0.103102842167564</v>
      </c>
      <c r="BB39" s="39" t="n">
        <v>0</v>
      </c>
      <c r="BC39" s="5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-14237.4</v>
      </c>
      <c r="BB40" s="31" t="n">
        <v>0</v>
      </c>
      <c r="BC40" s="51"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36">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-0.101708100879428</v>
      </c>
      <c r="BB41" s="39" t="n">
        <v>0</v>
      </c>
      <c r="BC41" s="51" t="n">
        <v>0</v>
      </c>
      <c r="BD41" s="27" t="inlineStr"/>
    </row>
    <row r="42">
      <c r="A42" s="43" t="inlineStr">
        <is>
          <t>P202507000656</t>
        </is>
      </c>
      <c r="B42" s="44" t="inlineStr">
        <is>
          <t>全国畜牧总站-畜牧核心数据查询APP开发-FP项目</t>
        </is>
      </c>
      <c r="C42" s="45" t="n">
        <v>45839</v>
      </c>
      <c r="D42" s="45" t="n">
        <v>46203</v>
      </c>
      <c r="E42" s="15" t="n"/>
      <c r="F42" s="16" t="inlineStr">
        <is>
          <t xml:space="preserve"> -   </t>
        </is>
      </c>
      <c r="G42" s="18" t="n">
        <v>0</v>
      </c>
      <c r="H42" s="18" t="n"/>
      <c r="I42" s="18" t="n"/>
      <c r="J42" s="18" t="n"/>
      <c r="K42" s="18" t="n"/>
      <c r="L42" s="18" t="n"/>
      <c r="M42" s="18" t="n"/>
      <c r="N42" s="18" t="n"/>
      <c r="O42" s="18" t="n"/>
      <c r="P42" s="15" t="n"/>
      <c r="Q42" s="18" t="inlineStr"/>
      <c r="R42" s="48" t="inlineStr">
        <is>
          <t>累计收入（NR）</t>
        </is>
      </c>
      <c r="S42" s="20" t="n">
        <v>188679.25</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is>
          <t>项目已于12月中旬上线了并验收回款，后面不再投入。已投入成本超出预算2W，预计全周期GP3%毛利率7.55%</t>
        </is>
      </c>
      <c r="AL42" s="49" t="inlineStr">
        <is>
          <t>后续不再投入人力，随着交付进度提升毛利率</t>
        </is>
      </c>
      <c r="AM42" s="49" t="inlineStr"/>
      <c r="AN42" s="61" t="n"/>
      <c r="AO42" s="20" t="n">
        <v>0</v>
      </c>
      <c r="AP42" s="20" t="n">
        <v>0</v>
      </c>
      <c r="AQ42" s="20" t="n">
        <v>0</v>
      </c>
      <c r="AR42" s="20" t="n">
        <v>0</v>
      </c>
      <c r="AS42" s="20" t="n">
        <v>0</v>
      </c>
      <c r="AT42" s="20" t="n">
        <v>0</v>
      </c>
      <c r="AU42" s="20" t="n">
        <v>0</v>
      </c>
      <c r="AV42" s="20" t="n">
        <v>0</v>
      </c>
      <c r="AW42" s="20" t="n">
        <v>0</v>
      </c>
      <c r="AX42" s="20" t="n">
        <v>9609.059999999999</v>
      </c>
      <c r="AY42" s="20" t="n">
        <v>8055.28</v>
      </c>
      <c r="AZ42" s="20" t="n">
        <v>7201.51</v>
      </c>
      <c r="BA42" s="50" t="n">
        <v>127263.98</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154705.8</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0</v>
      </c>
      <c r="AY43" s="20" t="n">
        <v>0</v>
      </c>
      <c r="AZ43" s="20" t="n">
        <v>0</v>
      </c>
      <c r="BA43" s="50" t="n">
        <v>174002.79</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-35.13</v>
      </c>
      <c r="AY46" s="20" t="n">
        <v>-44.74</v>
      </c>
      <c r="AZ46" s="20" t="n">
        <v>-52.8</v>
      </c>
      <c r="BA46" s="50" t="n">
        <v>374.87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-44.74</v>
      </c>
      <c r="AZ47" s="30">
        <f>SUM(AZ43:AZ46)</f>
        <v/>
      </c>
      <c r="BA47" s="54" t="n">
        <v>174377.66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3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-46738.81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63">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-0.367258748311973</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3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-47113.68</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63">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-0.370204357902369</v>
      </c>
      <c r="BB51" s="39" t="n">
        <v>0</v>
      </c>
      <c r="BC51" s="62" t="n">
        <v>0</v>
      </c>
      <c r="BD51" s="27" t="inlineStr"/>
    </row>
    <row r="52">
      <c r="A52" s="43" t="inlineStr">
        <is>
          <t>P202508000162</t>
        </is>
      </c>
      <c r="B52" s="44" t="inlineStr">
        <is>
          <t>农业农村部信息中心-农业信息采集系统2025年度运行维护服务项目-FP运维</t>
        </is>
      </c>
      <c r="C52" s="45" t="n">
        <v>45870</v>
      </c>
      <c r="D52" s="45" t="n">
        <v>46234</v>
      </c>
      <c r="E52" s="15" t="n"/>
      <c r="F52" s="16" t="n">
        <v>5</v>
      </c>
      <c r="G52" s="18" t="n">
        <v>5</v>
      </c>
      <c r="H52" s="18" t="n"/>
      <c r="I52" s="18" t="n"/>
      <c r="J52" s="18" t="n"/>
      <c r="K52" s="18" t="n"/>
      <c r="L52" s="18" t="n"/>
      <c r="M52" s="18" t="n"/>
      <c r="N52" s="18" t="n"/>
      <c r="O52" s="18" t="n"/>
      <c r="P52" s="15" t="n"/>
      <c r="Q52" s="18" t="inlineStr"/>
      <c r="R52" s="48" t="inlineStr">
        <is>
          <t>累计收入（NR）</t>
        </is>
      </c>
      <c r="S52" s="20" t="n">
        <v>1000000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c r="AL52" s="49" t="inlineStr"/>
      <c r="AM52" s="49" t="inlineStr"/>
      <c r="AN52" s="16" t="n"/>
      <c r="AO52" s="20" t="n">
        <v>0</v>
      </c>
      <c r="AP52" s="20" t="n">
        <v>0</v>
      </c>
      <c r="AQ52" s="20" t="n">
        <v>0</v>
      </c>
      <c r="AR52" s="20" t="n">
        <v>0</v>
      </c>
      <c r="AS52" s="20" t="n">
        <v>0</v>
      </c>
      <c r="AT52" s="20" t="n">
        <v>0</v>
      </c>
      <c r="AU52" s="20" t="n">
        <v>0</v>
      </c>
      <c r="AV52" s="20" t="n">
        <v>0</v>
      </c>
      <c r="AW52" s="20" t="n">
        <v>0</v>
      </c>
      <c r="AX52" s="20" t="n">
        <v>84931</v>
      </c>
      <c r="AY52" s="20" t="n">
        <v>76712</v>
      </c>
      <c r="AZ52" s="20" t="n">
        <v>84932</v>
      </c>
      <c r="BA52" s="50" t="n">
        <v>411660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783494.65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87203.78999999999</v>
      </c>
      <c r="AY53" s="20" t="n">
        <v>87203.78999999999</v>
      </c>
      <c r="AZ53" s="20" t="n">
        <v>66585.86</v>
      </c>
      <c r="BA53" s="50" t="n">
        <v>331483.93</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25000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35000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f>SUM(AY56:AZ56)</f>
        <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-334.25</v>
      </c>
      <c r="AY56" s="20" t="n">
        <v>-419.18</v>
      </c>
      <c r="AZ56" s="20" t="n">
        <v>-495.89</v>
      </c>
      <c r="BA56" s="50" t="n">
        <v>-3142.47</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86784.61</v>
      </c>
      <c r="AZ57" s="30">
        <f>SUM(AZ53:AZ56)</f>
        <v/>
      </c>
      <c r="BA57" s="54" t="n">
        <v>328341.46</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80176.07000000001</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0.194762838264587</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83318.53999999999</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0.202396492250887</v>
      </c>
      <c r="BB61" s="39" t="n">
        <v>0</v>
      </c>
      <c r="BC61" s="62" t="n">
        <v>0</v>
      </c>
      <c r="BD61" s="27" t="inlineStr"/>
    </row>
    <row r="62">
      <c r="A62" s="43" t="inlineStr">
        <is>
          <t>P202509000658</t>
        </is>
      </c>
      <c r="B62" s="44" t="inlineStr">
        <is>
          <t>全国畜牧总站-2025年农生物育种大数据与知识产权支撑体系建设联合实施4-FP项目（有分包）</t>
        </is>
      </c>
      <c r="C62" s="45" t="n">
        <v>45809</v>
      </c>
      <c r="D62" s="45" t="n">
        <v>46173</v>
      </c>
      <c r="E62" s="15" t="n"/>
      <c r="F62" s="16" t="n">
        <v>0.75</v>
      </c>
      <c r="G62" s="18" t="n">
        <v>0.5</v>
      </c>
      <c r="H62" s="18" t="n"/>
      <c r="I62" s="18" t="n"/>
      <c r="J62" s="18" t="n"/>
      <c r="K62" s="18" t="n"/>
      <c r="L62" s="18" t="n"/>
      <c r="M62" s="18" t="n"/>
      <c r="N62" s="18" t="n"/>
      <c r="O62" s="18" t="n"/>
      <c r="P62" s="15" t="n"/>
      <c r="Q62" s="18" t="inlineStr"/>
      <c r="R62" s="48" t="inlineStr">
        <is>
          <t>累计收入（NR）</t>
        </is>
      </c>
      <c r="S62" s="20" t="n">
        <v>435000</v>
      </c>
      <c r="T62" s="20">
        <f>SUM(AO62:BC62)</f>
        <v/>
      </c>
      <c r="U62" s="21">
        <f>SUM(BA62:BC62)</f>
        <v/>
      </c>
      <c r="V62" s="20">
        <f>SUM(AO62:AZ62)</f>
        <v/>
      </c>
      <c r="W62" s="20">
        <f>SUM(AP62:AZ62)</f>
        <v/>
      </c>
      <c r="X62" s="20">
        <f>SUM(AQ62:AZ62)</f>
        <v/>
      </c>
      <c r="Y62" s="20">
        <f>SUM(AR62:AZ62)</f>
        <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农业科研项目，12月成本13.76万，超出当月NR 2.9万，导致亏损</t>
        </is>
      </c>
      <c r="AL62" s="44" t="inlineStr">
        <is>
          <t>d</t>
        </is>
      </c>
      <c r="AM62" s="49" t="inlineStr"/>
      <c r="AN62" s="16" t="n"/>
      <c r="AO62" s="20" t="n">
        <v>0</v>
      </c>
      <c r="AP62" s="20" t="n">
        <v>0</v>
      </c>
      <c r="AQ62" s="20" t="n">
        <v>0</v>
      </c>
      <c r="AR62" s="20" t="n">
        <v>0</v>
      </c>
      <c r="AS62" s="20" t="n">
        <v>0</v>
      </c>
      <c r="AT62" s="20" t="n">
        <v>0</v>
      </c>
      <c r="AU62" s="20" t="n">
        <v>0</v>
      </c>
      <c r="AV62" s="20" t="n">
        <v>0</v>
      </c>
      <c r="AW62" s="20" t="n">
        <v>0</v>
      </c>
      <c r="AX62" s="20" t="n">
        <v>0</v>
      </c>
      <c r="AY62" s="20" t="n">
        <v>0</v>
      </c>
      <c r="AZ62" s="20" t="n">
        <v>0</v>
      </c>
      <c r="BA62" s="50" t="n">
        <v>435000</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354384.65</v>
      </c>
      <c r="T63" s="20">
        <f>SUM(AO63:BC63)</f>
        <v/>
      </c>
      <c r="U63" s="21">
        <f>SUM(BA63:BC63)</f>
        <v/>
      </c>
      <c r="V63" s="20">
        <f>SUM(AO63:AZ63)</f>
        <v/>
      </c>
      <c r="W63" s="20">
        <f>SUM(AP63:AZ63)</f>
        <v/>
      </c>
      <c r="X63" s="20">
        <f>SUM(AQ63:AZ63)</f>
        <v/>
      </c>
      <c r="Y63" s="20">
        <f>SUM(AR63:AZ63)</f>
        <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0</v>
      </c>
      <c r="AY63" s="20" t="n">
        <v>28405.83</v>
      </c>
      <c r="AZ63" s="20" t="n">
        <v>0</v>
      </c>
      <c r="BA63" s="50" t="n">
        <v>317303.07</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13000</v>
      </c>
      <c r="T65" s="20">
        <f>SUM(AO65:BC65)</f>
        <v/>
      </c>
      <c r="U65" s="21">
        <f>SUM(BA65:BC65)</f>
        <v/>
      </c>
      <c r="V65" s="20">
        <f>SUM(AO65:AZ65)</f>
        <v/>
      </c>
      <c r="W65" s="20">
        <f>SUM(AP65:AZ65)</f>
        <v/>
      </c>
      <c r="X65" s="20">
        <f>SUM(AQ65:AZ65)</f>
        <v/>
      </c>
      <c r="Y65" s="20">
        <f>SUM(AR65:AZ65)</f>
        <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f>SUM(AQ66:AZ66)</f>
        <v/>
      </c>
      <c r="Y66" s="20">
        <f>SUM(AR66:AZ66)</f>
        <v/>
      </c>
      <c r="Z66" s="20">
        <f>SUM(AS66:AZ66)</f>
        <v/>
      </c>
      <c r="AA66" s="20">
        <f>SUM(AT66:AZ66)</f>
        <v/>
      </c>
      <c r="AB66" s="20">
        <f>SUM(AU66:AZ66)</f>
        <v/>
      </c>
      <c r="AC66" s="20">
        <f>SUM(AV66:AZ66)</f>
        <v/>
      </c>
      <c r="AD66" s="20">
        <f>SUM(AW66:AZ66)</f>
        <v/>
      </c>
      <c r="AE66" s="20">
        <f>SUM(AX66:AZ66)</f>
        <v/>
      </c>
      <c r="AF66" s="20" t="n">
        <v>0</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-28405.83</v>
      </c>
      <c r="AZ66" s="20" t="n">
        <v>0</v>
      </c>
      <c r="BA66" s="50" t="n">
        <v>0</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0</v>
      </c>
      <c r="AZ67" s="30">
        <f>SUM(AZ63:AZ66)</f>
        <v/>
      </c>
      <c r="BA67" s="54" t="n">
        <v>317303.07</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f>X62-X63</f>
        <v/>
      </c>
      <c r="Y68" s="20">
        <f>Y62-Y63</f>
        <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117696.93</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f>X68/X62</f>
        <v/>
      </c>
      <c r="Y69" s="36">
        <f>Y68/Y62</f>
        <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0.270567655172414</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f>X62-X63-X65-X66</f>
        <v/>
      </c>
      <c r="Y70" s="20">
        <f>Y62-Y63-Y65-Y66</f>
        <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117696.93</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f>X70/X62</f>
        <v/>
      </c>
      <c r="Y71" s="36">
        <f>Y70/Y62</f>
        <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0.270567655172414</v>
      </c>
      <c r="BB71" s="39" t="n">
        <v>0</v>
      </c>
      <c r="BC71" s="62" t="n">
        <v>0</v>
      </c>
      <c r="BD71" s="27" t="inlineStr"/>
    </row>
    <row r="72">
      <c r="A72" s="43" t="inlineStr">
        <is>
          <t>P202511000193</t>
        </is>
      </c>
      <c r="B72" s="44" t="inlineStr">
        <is>
          <t>中国兽医药品监察所-2025-2026年OA办公系统运行维护服务-FP项目</t>
        </is>
      </c>
      <c r="C72" s="45" t="n">
        <v>45962</v>
      </c>
      <c r="D72" s="45" t="n">
        <v>46271</v>
      </c>
      <c r="E72" s="15" t="n"/>
      <c r="F72" s="16" t="n">
        <v>0.19</v>
      </c>
      <c r="G72" s="18" t="n">
        <v>1</v>
      </c>
      <c r="H72" s="18" t="n"/>
      <c r="I72" s="18" t="n"/>
      <c r="J72" s="18" t="n"/>
      <c r="K72" s="18" t="n"/>
      <c r="L72" s="18" t="n"/>
      <c r="M72" s="18" t="n"/>
      <c r="N72" s="18" t="n"/>
      <c r="O72" s="18" t="n"/>
      <c r="P72" s="15" t="n"/>
      <c r="Q72" s="18" t="inlineStr"/>
      <c r="R72" s="48" t="inlineStr">
        <is>
          <t>累计收入（NR）</t>
        </is>
      </c>
      <c r="S72" s="20" t="n">
        <v>80188.67999999999</v>
      </c>
      <c r="T72" s="20">
        <f>SUM(AO72:BC72)</f>
        <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is>
          <t>农业运维项目，收入由系统每月自动计入，成本视实际投入情况填报</t>
        </is>
      </c>
      <c r="AL72" s="49" t="inlineStr"/>
      <c r="AM72" s="49" t="inlineStr"/>
      <c r="AN72" s="16" t="n"/>
      <c r="AO72" s="20" t="n">
        <v>0</v>
      </c>
      <c r="AP72" s="20" t="n">
        <v>0</v>
      </c>
      <c r="AQ72" s="20" t="n">
        <v>0</v>
      </c>
      <c r="AR72" s="20" t="n">
        <v>0</v>
      </c>
      <c r="AS72" s="20" t="n">
        <v>0</v>
      </c>
      <c r="AT72" s="20" t="n">
        <v>0</v>
      </c>
      <c r="AU72" s="20" t="n">
        <v>0</v>
      </c>
      <c r="AV72" s="20" t="n">
        <v>0</v>
      </c>
      <c r="AW72" s="20" t="n">
        <v>0</v>
      </c>
      <c r="AX72" s="20" t="n">
        <v>8018.87</v>
      </c>
      <c r="AY72" s="20" t="n">
        <v>7242.89</v>
      </c>
      <c r="AZ72" s="20" t="n">
        <v>8018.87</v>
      </c>
      <c r="BA72" s="50" t="n">
        <v>15477.62</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64941.27</v>
      </c>
      <c r="T73" s="20">
        <f>SUM(AO73:BC73)</f>
        <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22059.36</v>
      </c>
      <c r="AY73" s="20" t="n">
        <v>4136.15</v>
      </c>
      <c r="AZ73" s="20" t="n">
        <v>22059.37</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0</v>
      </c>
      <c r="T75" s="20">
        <f>SUM(AO75:BC75)</f>
        <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f>SUM(AO76:BC76)</f>
        <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0</v>
      </c>
      <c r="AY76" s="20" t="n">
        <v>0</v>
      </c>
      <c r="AZ76" s="20" t="n">
        <v>-16.3</v>
      </c>
      <c r="BA76" s="50" t="n">
        <v>-56.65</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4136.15</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f>T72-T73</f>
        <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56" t="n">
        <v>15477.62</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f>T78/T72</f>
        <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57" t="n">
        <v>1</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f>T72-T73-T75-T76</f>
        <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58" t="n">
        <v>15534.27</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f>T80/T72</f>
        <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57" t="n">
        <v>1.00366012345567</v>
      </c>
      <c r="BB81" s="39" t="n">
        <v>0</v>
      </c>
      <c r="BC81" s="62" t="n">
        <v>0</v>
      </c>
      <c r="BD81" s="27" t="inlineStr"/>
    </row>
    <row r="82">
      <c r="A82" s="43" t="inlineStr">
        <is>
          <t>P202512000483</t>
        </is>
      </c>
      <c r="B82" s="44" t="inlineStr">
        <is>
          <t>审计署审计干部培训中心（审计宣传中心）-信息报送系统2026年度运维服务合同-FP项目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66037.74000000001</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c r="AL82" s="49" t="inlineStr"/>
      <c r="AM82" s="49" t="inlineStr"/>
      <c r="AN82" s="16" t="n"/>
      <c r="AO82" s="20" t="n">
        <v>0</v>
      </c>
      <c r="AP82" s="20" t="n">
        <v>0</v>
      </c>
      <c r="AQ82" s="20" t="n">
        <v>0</v>
      </c>
      <c r="AR82" s="20" t="n">
        <v>0</v>
      </c>
      <c r="AS82" s="20" t="n">
        <v>0</v>
      </c>
      <c r="AT82" s="20" t="n">
        <v>0</v>
      </c>
      <c r="AU82" s="20" t="n">
        <v>0</v>
      </c>
      <c r="AV82" s="20" t="n">
        <v>0</v>
      </c>
      <c r="AW82" s="20" t="n">
        <v>0</v>
      </c>
      <c r="AX82" s="20" t="n">
        <v>5608.65</v>
      </c>
      <c r="AY82" s="20" t="n">
        <v>5065.89</v>
      </c>
      <c r="AZ82" s="20" t="n">
        <v>5608.72</v>
      </c>
      <c r="BA82" s="50" t="n">
        <v>-297.88</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47233.8</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0.01</v>
      </c>
      <c r="AZ83" s="20" t="n">
        <v>4659.53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8000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0</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-23.34</v>
      </c>
      <c r="AY86" s="20" t="n">
        <v>-28.95</v>
      </c>
      <c r="AZ86" s="20" t="n">
        <v>-34.01</v>
      </c>
      <c r="BA86" s="50" t="n">
        <v>-39.62</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-28.94</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31">
        <f>BA82-BA83</f>
        <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39">
        <f>BA88/BA82</f>
        <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31">
        <f>BA82-BA83-BA85-BA86</f>
        <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39">
        <f>BA90/BA82</f>
        <v/>
      </c>
      <c r="BB91" s="39" t="n">
        <v>0</v>
      </c>
      <c r="BC91" s="62" t="n">
        <v>0</v>
      </c>
      <c r="BD91" s="27" t="inlineStr"/>
    </row>
    <row r="92">
      <c r="A92" s="43" t="inlineStr">
        <is>
          <t>P202511000622</t>
        </is>
      </c>
      <c r="B92" s="44" t="inlineStr">
        <is>
          <t>甘肃省畜牧技术推广总站-甘肃省畜牧业统计监测系统项目2026年度运维-FP项目</t>
        </is>
      </c>
      <c r="C92" s="45" t="n">
        <v>46023</v>
      </c>
      <c r="D92" s="45" t="n">
        <v>46387</v>
      </c>
      <c r="E92" s="15" t="n"/>
      <c r="F92" s="16" t="inlineStr">
        <is>
          <t xml:space="preserve"> -   </t>
        </is>
      </c>
      <c r="G92" s="18" t="n">
        <v>0</v>
      </c>
      <c r="H92" s="18" t="n"/>
      <c r="I92" s="18" t="n"/>
      <c r="J92" s="18" t="n"/>
      <c r="K92" s="18" t="n"/>
      <c r="L92" s="18" t="n"/>
      <c r="M92" s="18" t="n"/>
      <c r="N92" s="18" t="n"/>
      <c r="O92" s="18" t="n"/>
      <c r="P92" s="15" t="n"/>
      <c r="Q92" s="18" t="inlineStr"/>
      <c r="R92" s="48" t="inlineStr">
        <is>
          <t>累计收入（NR）</t>
        </is>
      </c>
      <c r="S92" s="20" t="n">
        <v>75471.7</v>
      </c>
      <c r="T92" s="20" t="n">
        <v>0</v>
      </c>
      <c r="U92" s="21">
        <f>SUM(BA92:BC92)</f>
        <v/>
      </c>
      <c r="V92" s="20">
        <f>SUM(AO92:AZ92)</f>
        <v/>
      </c>
      <c r="W92" s="20">
        <f>SUM(AP92:AZ92)</f>
        <v/>
      </c>
      <c r="X92" s="20" t="n">
        <v>0</v>
      </c>
      <c r="Y92" s="20" t="n">
        <v>0</v>
      </c>
      <c r="Z92" s="20">
        <f>SUM(AS92:AZ92)</f>
        <v/>
      </c>
      <c r="AA92" s="20">
        <f>SUM(AT92:AZ92)</f>
        <v/>
      </c>
      <c r="AB92" s="20">
        <f>SUM(AU92:AZ92)</f>
        <v/>
      </c>
      <c r="AC92" s="20">
        <f>SUM(AV92:AZ92)</f>
        <v/>
      </c>
      <c r="AD92" s="20">
        <f>SUM(AW92:AZ92)</f>
        <v/>
      </c>
      <c r="AE92" s="20">
        <f>SUM(AX92:AZ92)</f>
        <v/>
      </c>
      <c r="AF92" s="20">
        <f>SUM(AY92:AZ92)</f>
        <v/>
      </c>
      <c r="AG92" s="20">
        <f>SUM(AZ92:AZ92)</f>
        <v/>
      </c>
      <c r="AH92" s="22" t="n">
        <v>0</v>
      </c>
      <c r="AI92" s="22" t="n">
        <v>0</v>
      </c>
      <c r="AJ92" s="44" t="inlineStr"/>
      <c r="AK92" s="49" t="inlineStr">
        <is>
          <t>农业运维项目，收入由系统每月自动计入，成本视实际投入情况填报</t>
        </is>
      </c>
      <c r="AL92" s="49" t="inlineStr"/>
      <c r="AM92" s="49" t="inlineStr"/>
      <c r="AN92" s="16" t="n"/>
      <c r="AO92" s="20" t="n">
        <v>0</v>
      </c>
      <c r="AP92" s="20" t="n">
        <v>0</v>
      </c>
      <c r="AQ92" s="20" t="n">
        <v>0</v>
      </c>
      <c r="AR92" s="20" t="n">
        <v>0</v>
      </c>
      <c r="AS92" s="20" t="n">
        <v>0</v>
      </c>
      <c r="AT92" s="20" t="n">
        <v>0</v>
      </c>
      <c r="AU92" s="20" t="n">
        <v>0</v>
      </c>
      <c r="AV92" s="20" t="n">
        <v>0</v>
      </c>
      <c r="AW92" s="20" t="n">
        <v>0</v>
      </c>
      <c r="AX92" s="20" t="n">
        <v>6409.89</v>
      </c>
      <c r="AY92" s="20" t="n">
        <v>5789.59</v>
      </c>
      <c r="AZ92" s="20" t="n">
        <v>6409.96</v>
      </c>
      <c r="BA92" s="50" t="n">
        <v>15477.62</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f>SUM(BA93:BC93)</f>
        <v/>
      </c>
      <c r="V93" s="20">
        <f>SUM(AO93:AZ93)</f>
        <v/>
      </c>
      <c r="W93" s="20">
        <f>SUM(AP93:AZ93)</f>
        <v/>
      </c>
      <c r="X93" s="20" t="n">
        <v>0</v>
      </c>
      <c r="Y93" s="20" t="n">
        <v>0</v>
      </c>
      <c r="Z93" s="20">
        <f>SUM(AS93:AZ93)</f>
        <v/>
      </c>
      <c r="AA93" s="20">
        <f>SUM(AT93:AZ93)</f>
        <v/>
      </c>
      <c r="AB93" s="20">
        <f>SUM(AU93:AZ93)</f>
        <v/>
      </c>
      <c r="AC93" s="20">
        <f>SUM(AV93:AZ93)</f>
        <v/>
      </c>
      <c r="AD93" s="20">
        <f>SUM(AW93:AZ93)</f>
        <v/>
      </c>
      <c r="AE93" s="20">
        <f>SUM(AX93:AZ93)</f>
        <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0</v>
      </c>
      <c r="AY93" s="20" t="n">
        <v>0</v>
      </c>
      <c r="AZ93" s="20" t="n">
        <v>19659.83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f>SUM(BA95:BC95)</f>
        <v/>
      </c>
      <c r="V95" s="20">
        <f>SUM(AO95:AZ95)</f>
        <v/>
      </c>
      <c r="W95" s="20">
        <f>SUM(AP95:AZ95)</f>
        <v/>
      </c>
      <c r="X95" s="20" t="n">
        <v>0</v>
      </c>
      <c r="Y95" s="20" t="n">
        <v>0</v>
      </c>
      <c r="Z95" s="20">
        <f>SUM(AS95:AZ95)</f>
        <v/>
      </c>
      <c r="AA95" s="20">
        <f>SUM(AT95:AZ95)</f>
        <v/>
      </c>
      <c r="AB95" s="20">
        <f>SUM(AU95:AZ95)</f>
        <v/>
      </c>
      <c r="AC95" s="20">
        <f>SUM(AV95:AZ95)</f>
        <v/>
      </c>
      <c r="AD95" s="20">
        <f>SUM(AW95:AZ95)</f>
        <v/>
      </c>
      <c r="AE95" s="20">
        <f>SUM(AX95:AZ95)</f>
        <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f>SUM(BA96:BC96)</f>
        <v/>
      </c>
      <c r="V96" s="20">
        <f>SUM(AO96:AZ96)</f>
        <v/>
      </c>
      <c r="W96" s="20">
        <f>SUM(AP96:AZ96)</f>
        <v/>
      </c>
      <c r="X96" s="20" t="n">
        <v>0</v>
      </c>
      <c r="Y96" s="20" t="n">
        <v>0</v>
      </c>
      <c r="Z96" s="20">
        <f>SUM(AS96:AZ96)</f>
        <v/>
      </c>
      <c r="AA96" s="20">
        <f>SUM(AT96:AZ96)</f>
        <v/>
      </c>
      <c r="AB96" s="20">
        <f>SUM(AU96:AZ96)</f>
        <v/>
      </c>
      <c r="AC96" s="20">
        <f>SUM(AV96:AZ96)</f>
        <v/>
      </c>
      <c r="AD96" s="20">
        <f>SUM(AW96:AZ96)</f>
        <v/>
      </c>
      <c r="AE96" s="20">
        <f>SUM(AX96:AZ96)</f>
        <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-56.86</v>
      </c>
      <c r="AY96" s="20" t="n">
        <v>5032.3</v>
      </c>
      <c r="AZ96" s="20" t="n">
        <v>-69.06</v>
      </c>
      <c r="BA96" s="50" t="n">
        <v>-56.65</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f>SUM(T93:T96)</f>
        <v/>
      </c>
      <c r="U97" s="31">
        <f>SUM(U93:U96)</f>
        <v/>
      </c>
      <c r="V97" s="30">
        <f>SUM(V93:V96)</f>
        <v/>
      </c>
      <c r="W97" s="30">
        <f>SUM(W93:W96)</f>
        <v/>
      </c>
      <c r="X97" s="30">
        <f>SUM(X93:X96)</f>
        <v/>
      </c>
      <c r="Y97" s="30">
        <f>SUM(Y93:Y96)</f>
        <v/>
      </c>
      <c r="Z97" s="30">
        <f>SUM(Z93:Z96)</f>
        <v/>
      </c>
      <c r="AA97" s="30">
        <f>SUM(AA93:AA96)</f>
        <v/>
      </c>
      <c r="AB97" s="30">
        <f>SUM(AB93:AB96)</f>
        <v/>
      </c>
      <c r="AC97" s="30">
        <f>SUM(AC93:AC96)</f>
        <v/>
      </c>
      <c r="AD97" s="30">
        <f>SUM(AD93:AD96)</f>
        <v/>
      </c>
      <c r="AE97" s="30">
        <f>SUM(AE93:AE96)</f>
        <v/>
      </c>
      <c r="AF97" s="30">
        <f>SUM(AF93:AF96)</f>
        <v/>
      </c>
      <c r="AG97" s="30">
        <f>SUM(AG93:AG96)</f>
        <v/>
      </c>
      <c r="AH97" s="30">
        <f>SUM(AH93:AH96)</f>
        <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-63.27</v>
      </c>
      <c r="AZ97" s="30">
        <f>SUM(AZ93:AZ96)</f>
        <v/>
      </c>
      <c r="BA97" s="54" t="n">
        <v>-56.65</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f>Z92-Z93</f>
        <v/>
      </c>
      <c r="AA98" s="20">
        <f>AA92-AA93</f>
        <v/>
      </c>
      <c r="AB98" s="20">
        <f>AB92-AB93</f>
        <v/>
      </c>
      <c r="AC98" s="20">
        <f>AC92-AC93</f>
        <v/>
      </c>
      <c r="AD98" s="20">
        <f>AD92-AD93</f>
        <v/>
      </c>
      <c r="AE98" s="20">
        <f>AE92-AE93</f>
        <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15477.62</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f>Z98/Z92</f>
        <v/>
      </c>
      <c r="AA99" s="36">
        <f>AA98/AA92</f>
        <v/>
      </c>
      <c r="AB99" s="36">
        <f>AB98/AB92</f>
        <v/>
      </c>
      <c r="AC99" s="36">
        <f>AC98/AC92</f>
        <v/>
      </c>
      <c r="AD99" s="36">
        <f>AD98/AD92</f>
        <v/>
      </c>
      <c r="AE99" s="36">
        <f>AE98/AE92</f>
        <v/>
      </c>
      <c r="AF99" s="36">
        <f>AF98/AF92</f>
        <v/>
      </c>
      <c r="AG99" s="36">
        <f>AG98/AG92</f>
        <v/>
      </c>
      <c r="AH99" s="38">
        <f>T99-S99</f>
        <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1</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f>Z92-Z93-Z95-Z96</f>
        <v/>
      </c>
      <c r="AA100" s="20">
        <f>AA92-AA93-AA95-AA96</f>
        <v/>
      </c>
      <c r="AB100" s="20">
        <f>AB92-AB93-AB95-AB96</f>
        <v/>
      </c>
      <c r="AC100" s="20">
        <f>AC92-AC93-AC95-AC96</f>
        <v/>
      </c>
      <c r="AD100" s="20">
        <f>AD92-AD93-AD95-AD96</f>
        <v/>
      </c>
      <c r="AE100" s="20">
        <f>AE92-AE93-AE95-AE96</f>
        <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15534.27</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f>Z100/Z92</f>
        <v/>
      </c>
      <c r="AA101" s="36">
        <f>AA100/AA92</f>
        <v/>
      </c>
      <c r="AB101" s="36">
        <f>AB100/AB92</f>
        <v/>
      </c>
      <c r="AC101" s="36">
        <f>AC100/AC92</f>
        <v/>
      </c>
      <c r="AD101" s="36">
        <f>AD100/AD92</f>
        <v/>
      </c>
      <c r="AE101" s="36">
        <f>AE100/AE92</f>
        <v/>
      </c>
      <c r="AF101" s="36">
        <f>AF100/AF92</f>
        <v/>
      </c>
      <c r="AG101" s="36">
        <f>AG100/AG92</f>
        <v/>
      </c>
      <c r="AH101" s="38">
        <f>T101-S101</f>
        <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1.00366012345567</v>
      </c>
      <c r="BB101" s="39" t="n">
        <v>0</v>
      </c>
      <c r="BC101" s="62" t="n">
        <v>0</v>
      </c>
      <c r="BD101" s="27" t="inlineStr"/>
    </row>
    <row r="102">
      <c r="A102" s="43" t="inlineStr">
        <is>
          <t>P202601001368</t>
        </is>
      </c>
      <c r="B102" s="44" t="inlineStr">
        <is>
          <t>全国畜牧总站-2026年畜牧核心数据查询APP（牧数查）项目-FP项目</t>
        </is>
      </c>
      <c r="C102" s="45" t="n">
        <v>46023</v>
      </c>
      <c r="D102" s="45" t="n">
        <v>46387</v>
      </c>
      <c r="E102" s="15" t="n"/>
      <c r="F102" s="16" t="n">
        <v>2</v>
      </c>
      <c r="G102" s="18" t="n">
        <v>2</v>
      </c>
      <c r="H102" s="18" t="n"/>
      <c r="I102" s="18" t="n"/>
      <c r="J102" s="18" t="n"/>
      <c r="K102" s="18" t="n"/>
      <c r="L102" s="18" t="n"/>
      <c r="M102" s="18" t="n"/>
      <c r="N102" s="18" t="n"/>
      <c r="O102" s="18" t="n"/>
      <c r="P102" s="15" t="n"/>
      <c r="Q102" s="18" t="inlineStr"/>
      <c r="R102" s="48" t="inlineStr">
        <is>
          <t>累计收入（NR）</t>
        </is>
      </c>
      <c r="S102" s="20" t="n">
        <v>75471.7</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65515.05</v>
      </c>
      <c r="AY102" s="20" t="n">
        <v>62945.83</v>
      </c>
      <c r="AZ102" s="20" t="n">
        <v>62991.71</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34151.4</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61858.83</v>
      </c>
      <c r="AY103" s="20" t="n">
        <v>61858.83</v>
      </c>
      <c r="AZ103" s="20" t="n">
        <v>61858.83</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29037</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204.48</v>
      </c>
      <c r="AY106" s="20" t="n">
        <v>134.51</v>
      </c>
      <c r="AZ106" s="20" t="n">
        <v>67.28</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61993.34</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P202603000431</t>
        </is>
      </c>
      <c r="B112" s="44" t="inlineStr">
        <is>
          <t>全国畜牧总站-畜牧业综合信息平台种畜禽子系统2026年度运维-FP项目</t>
        </is>
      </c>
      <c r="C112" s="45" t="n">
        <v>46082</v>
      </c>
      <c r="D112" s="45" t="n">
        <v>46477</v>
      </c>
      <c r="E112" s="15" t="n"/>
      <c r="F112" s="16" t="n"/>
      <c r="G112" s="18" t="n">
        <v>0</v>
      </c>
      <c r="H112" s="18" t="n"/>
      <c r="I112" s="18" t="n"/>
      <c r="J112" s="18" t="n"/>
      <c r="K112" s="18" t="n"/>
      <c r="L112" s="18" t="n"/>
      <c r="M112" s="18" t="n"/>
      <c r="N112" s="18" t="n"/>
      <c r="O112" s="18" t="n"/>
      <c r="P112" s="15" t="n"/>
      <c r="Q112" s="18" t="inlineStr"/>
      <c r="R112" s="48" t="inlineStr">
        <is>
          <t>累计收入（NR）</t>
        </is>
      </c>
      <c r="S112" s="20" t="n">
        <v>150943.4</v>
      </c>
      <c r="T112" s="20" t="n">
        <v>0</v>
      </c>
      <c r="U112" s="21" t="n">
        <v>0</v>
      </c>
      <c r="V112" s="20">
        <f>SUM(AO112:AZ112)</f>
        <v/>
      </c>
      <c r="W112" s="20">
        <f>SUM(AP112:AZ112)</f>
        <v/>
      </c>
      <c r="X112" s="20" t="n">
        <v>0</v>
      </c>
      <c r="Y112" s="20" t="n">
        <v>0</v>
      </c>
      <c r="Z112" s="20" t="n">
        <v>0</v>
      </c>
      <c r="AA112" s="20" t="n">
        <v>0</v>
      </c>
      <c r="AB112" s="20" t="n">
        <v>0</v>
      </c>
      <c r="AC112" s="20" t="n">
        <v>0</v>
      </c>
      <c r="AD112" s="20" t="n">
        <v>0</v>
      </c>
      <c r="AE112" s="20" t="n">
        <v>0</v>
      </c>
      <c r="AF112" s="20">
        <f>SUM(AY112:AZ112)</f>
        <v/>
      </c>
      <c r="AG112" s="20">
        <f>SUM(AZ112:AZ112)</f>
        <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10681.51</v>
      </c>
      <c r="AY112" s="20"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123705</v>
      </c>
      <c r="T113" s="20" t="n">
        <v>0</v>
      </c>
      <c r="U113" s="21" t="n">
        <v>0</v>
      </c>
      <c r="V113" s="20">
        <f>SUM(AO113:AZ113)</f>
        <v/>
      </c>
      <c r="W113" s="20">
        <f>SUM(AP113:AZ113)</f>
        <v/>
      </c>
      <c r="X113" s="20" t="n">
        <v>0</v>
      </c>
      <c r="Y113" s="20" t="n">
        <v>0</v>
      </c>
      <c r="Z113" s="20" t="n">
        <v>0</v>
      </c>
      <c r="AA113" s="20" t="n">
        <v>0</v>
      </c>
      <c r="AB113" s="20" t="n">
        <v>0</v>
      </c>
      <c r="AC113" s="20" t="n">
        <v>0</v>
      </c>
      <c r="AD113" s="20" t="n">
        <v>0</v>
      </c>
      <c r="AE113" s="20" t="n">
        <v>0</v>
      </c>
      <c r="AF113" s="20">
        <f>SUM(AY113:AZ113)</f>
        <v/>
      </c>
      <c r="AG113" s="20">
        <f>SUM(AZ113:AZ113)</f>
        <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20"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20"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f>SUM(AO115:AZ115)</f>
        <v/>
      </c>
      <c r="W115" s="20">
        <f>SUM(AP115:AZ115)</f>
        <v/>
      </c>
      <c r="X115" s="20" t="n">
        <v>0</v>
      </c>
      <c r="Y115" s="20" t="n">
        <v>0</v>
      </c>
      <c r="Z115" s="20" t="n">
        <v>0</v>
      </c>
      <c r="AA115" s="20" t="n">
        <v>0</v>
      </c>
      <c r="AB115" s="20" t="n">
        <v>0</v>
      </c>
      <c r="AC115" s="20" t="n">
        <v>0</v>
      </c>
      <c r="AD115" s="20" t="n">
        <v>0</v>
      </c>
      <c r="AE115" s="20" t="n">
        <v>0</v>
      </c>
      <c r="AF115" s="20">
        <f>SUM(AY115:AZ115)</f>
        <v/>
      </c>
      <c r="AG115" s="20">
        <f>SUM(AZ115:AZ115)</f>
        <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20"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f>SUM(AO116:AZ116)</f>
        <v/>
      </c>
      <c r="W116" s="20">
        <f>SUM(AP116:AZ116)</f>
        <v/>
      </c>
      <c r="X116" s="20" t="n">
        <v>0</v>
      </c>
      <c r="Y116" s="20" t="n">
        <v>0</v>
      </c>
      <c r="Z116" s="20" t="n">
        <v>0</v>
      </c>
      <c r="AA116" s="20" t="n">
        <v>0</v>
      </c>
      <c r="AB116" s="20" t="n">
        <v>0</v>
      </c>
      <c r="AC116" s="20" t="n">
        <v>0</v>
      </c>
      <c r="AD116" s="20" t="n">
        <v>0</v>
      </c>
      <c r="AE116" s="20" t="n">
        <v>0</v>
      </c>
      <c r="AF116" s="20">
        <f>SUM(AY116:AZ116)</f>
        <v/>
      </c>
      <c r="AG116" s="20">
        <f>SUM(AZ116:AZ116)</f>
        <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20.87</v>
      </c>
      <c r="AY116" s="20"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f>SUM(V113:V116)</f>
        <v/>
      </c>
      <c r="W117" s="30">
        <f>SUM(W113:W116)</f>
        <v/>
      </c>
      <c r="X117" s="30" t="n">
        <v>0</v>
      </c>
      <c r="Y117" s="30" t="n">
        <v>0</v>
      </c>
      <c r="Z117" s="30" t="n">
        <v>0</v>
      </c>
      <c r="AA117" s="30" t="n">
        <v>0</v>
      </c>
      <c r="AB117" s="30" t="n">
        <v>0</v>
      </c>
      <c r="AC117" s="30" t="n">
        <v>0</v>
      </c>
      <c r="AD117" s="30" t="n">
        <v>0</v>
      </c>
      <c r="AE117" s="30" t="n">
        <v>0</v>
      </c>
      <c r="AF117" s="30">
        <f>SUM(AF113:AF116)</f>
        <v/>
      </c>
      <c r="AG117" s="30">
        <f>SUM(AG113:AG116)</f>
        <v/>
      </c>
      <c r="AH117" s="30" t="n">
        <v>0</v>
      </c>
      <c r="AI117" s="30">
        <f>SUM(AI113:AI116)</f>
        <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30" t="n">
        <v>0</v>
      </c>
      <c r="AZ117" s="30">
        <f>SUM(AZ113:AZ116)</f>
        <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f>AF112-AF113</f>
        <v/>
      </c>
      <c r="AG118" s="20">
        <f>AG112-AG113</f>
        <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20">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f>AF118/AF112</f>
        <v/>
      </c>
      <c r="AG119" s="36">
        <f>AG118/AG112</f>
        <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36">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f>AF112-AF113-AF115-AF116</f>
        <v/>
      </c>
      <c r="AG120" s="20">
        <f>AG112-AG113-AG115-AG116</f>
        <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20">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f>AF120/AF112</f>
        <v/>
      </c>
      <c r="AG121" s="36">
        <f>AG120/AG112</f>
        <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36">
        <f>AY120/AY112</f>
        <v/>
      </c>
      <c r="AZ121" s="36">
        <f>AZ120/AZ112</f>
        <v/>
      </c>
      <c r="BA121" s="57" t="n">
        <v>0</v>
      </c>
      <c r="BB121" s="39" t="n">
        <v>0</v>
      </c>
      <c r="BC121" s="62" t="n">
        <v>0</v>
      </c>
      <c r="BD121" s="27" t="inlineStr"/>
    </row>
    <row r="122">
      <c r="A122" s="43" t="inlineStr">
        <is>
          <t>/</t>
        </is>
      </c>
      <c r="B122" s="43" t="inlineStr">
        <is>
          <t>农业项目群</t>
        </is>
      </c>
      <c r="C122" s="64" t="n">
        <v>46023</v>
      </c>
      <c r="D122" s="64" t="n">
        <v>46387</v>
      </c>
      <c r="E122" s="15" t="n"/>
      <c r="F122" s="15" t="n"/>
      <c r="G122" s="18" t="n"/>
      <c r="H122" s="18" t="n"/>
      <c r="I122" s="18" t="n"/>
      <c r="J122" s="18" t="n"/>
      <c r="K122" s="18" t="n"/>
      <c r="L122" s="18" t="n"/>
      <c r="M122" s="18" t="n"/>
      <c r="N122" s="18" t="n"/>
      <c r="O122" s="18" t="n"/>
      <c r="P122" s="15" t="n"/>
      <c r="Q122" s="18" t="inlineStr"/>
      <c r="R122" s="48" t="inlineStr">
        <is>
          <t>累计收入（NR）</t>
        </is>
      </c>
      <c r="S122" s="20" t="n">
        <v>0</v>
      </c>
      <c r="T122" s="20" t="n">
        <v>0</v>
      </c>
      <c r="U122" s="21" t="n">
        <v>0</v>
      </c>
      <c r="V122" s="20" t="n">
        <v>0</v>
      </c>
      <c r="W122" s="20" t="n">
        <v>0</v>
      </c>
      <c r="X122" s="20" t="n">
        <v>0</v>
      </c>
      <c r="Y122" s="20" t="n">
        <v>0</v>
      </c>
      <c r="Z122" s="20" t="n">
        <v>0</v>
      </c>
      <c r="AA122" s="20" t="n">
        <v>0</v>
      </c>
      <c r="AB122" s="20" t="n">
        <v>0</v>
      </c>
      <c r="AC122" s="20" t="n">
        <v>0</v>
      </c>
      <c r="AD122" s="20" t="n">
        <v>0</v>
      </c>
      <c r="AE122" s="20" t="n">
        <v>0</v>
      </c>
      <c r="AF122" s="20" t="n">
        <v>0</v>
      </c>
      <c r="AG122" s="20" t="n">
        <v>0</v>
      </c>
      <c r="AH122" s="22" t="n">
        <v>0</v>
      </c>
      <c r="AI122" s="22" t="n">
        <v>0</v>
      </c>
      <c r="AJ122" s="44" t="inlineStr"/>
      <c r="AK122" s="49" t="inlineStr"/>
      <c r="AL122" s="49" t="inlineStr"/>
      <c r="AM122" s="49" t="inlineStr"/>
      <c r="AN122" s="16" t="n"/>
      <c r="AO122" s="20" t="n">
        <v>0</v>
      </c>
      <c r="AP122" s="20" t="n">
        <v>0</v>
      </c>
      <c r="AQ122" s="20" t="n">
        <v>0</v>
      </c>
      <c r="AR122" s="20" t="n">
        <v>0</v>
      </c>
      <c r="AS122" s="20" t="n">
        <v>0</v>
      </c>
      <c r="AT122" s="20" t="n">
        <v>0</v>
      </c>
      <c r="AU122" s="20" t="n">
        <v>0</v>
      </c>
      <c r="AV122" s="20" t="n">
        <v>0</v>
      </c>
      <c r="AW122" s="20" t="n">
        <v>0</v>
      </c>
      <c r="AX122" s="20" t="n">
        <v>0</v>
      </c>
      <c r="AY122" s="65" t="n">
        <v>0</v>
      </c>
      <c r="AZ122" s="20" t="n">
        <v>0</v>
      </c>
      <c r="BA122" s="50" t="n">
        <v>0</v>
      </c>
      <c r="BB122" s="21" t="n">
        <v>0</v>
      </c>
      <c r="BC122" s="62" t="n">
        <v>0</v>
      </c>
      <c r="BD122" s="27" t="inlineStr"/>
    </row>
    <row r="123">
      <c r="A123" s="28" t="n"/>
      <c r="B123" s="28" t="n"/>
      <c r="C123" s="28" t="n"/>
      <c r="D123" s="28" t="n"/>
      <c r="E123" s="28" t="n"/>
      <c r="F123" s="28" t="n"/>
      <c r="G123" s="28" t="n"/>
      <c r="H123" s="28" t="n"/>
      <c r="I123" s="28" t="n"/>
      <c r="J123" s="28" t="n"/>
      <c r="K123" s="28" t="n"/>
      <c r="L123" s="28" t="n"/>
      <c r="M123" s="28" t="n"/>
      <c r="N123" s="28" t="n"/>
      <c r="O123" s="28" t="n"/>
      <c r="P123" s="28" t="n"/>
      <c r="Q123" s="28" t="n"/>
      <c r="R123" s="29" t="inlineStr">
        <is>
          <t>人工成本（成本１）</t>
        </is>
      </c>
      <c r="S123" s="20" t="n">
        <v>0</v>
      </c>
      <c r="T123" s="20" t="n">
        <v>0</v>
      </c>
      <c r="U123" s="21" t="n">
        <v>0</v>
      </c>
      <c r="V123" s="20" t="n">
        <v>0</v>
      </c>
      <c r="W123" s="20" t="n">
        <v>0</v>
      </c>
      <c r="X123" s="20" t="n">
        <v>0</v>
      </c>
      <c r="Y123" s="20" t="n">
        <v>0</v>
      </c>
      <c r="Z123" s="20" t="n">
        <v>0</v>
      </c>
      <c r="AA123" s="20" t="n">
        <v>0</v>
      </c>
      <c r="AB123" s="20" t="n">
        <v>0</v>
      </c>
      <c r="AC123" s="20" t="n">
        <v>0</v>
      </c>
      <c r="AD123" s="20" t="n">
        <v>0</v>
      </c>
      <c r="AE123" s="20" t="n">
        <v>0</v>
      </c>
      <c r="AF123" s="20" t="n">
        <v>0</v>
      </c>
      <c r="AG123" s="20" t="n">
        <v>0</v>
      </c>
      <c r="AH123" s="22" t="n">
        <v>0</v>
      </c>
      <c r="AI123" s="22" t="n">
        <v>0</v>
      </c>
      <c r="AJ123" s="28" t="n"/>
      <c r="AK123" s="28" t="n"/>
      <c r="AL123" s="28" t="n"/>
      <c r="AM123" s="28" t="n"/>
      <c r="AN123" s="28" t="n"/>
      <c r="AO123" s="20" t="n">
        <v>0</v>
      </c>
      <c r="AP123" s="20" t="n">
        <v>0</v>
      </c>
      <c r="AQ123" s="20" t="n">
        <v>0</v>
      </c>
      <c r="AR123" s="20" t="n">
        <v>0</v>
      </c>
      <c r="AS123" s="20" t="n">
        <v>0</v>
      </c>
      <c r="AT123" s="20" t="n">
        <v>0</v>
      </c>
      <c r="AU123" s="20" t="n">
        <v>0</v>
      </c>
      <c r="AV123" s="20" t="n">
        <v>0</v>
      </c>
      <c r="AW123" s="20" t="n">
        <v>0</v>
      </c>
      <c r="AX123" s="20" t="n">
        <v>0</v>
      </c>
      <c r="AY123" s="65" t="n">
        <v>0</v>
      </c>
      <c r="AZ123" s="20" t="n">
        <v>0</v>
      </c>
      <c r="BA123" s="50" t="n">
        <v>0</v>
      </c>
      <c r="BB123" s="21" t="n">
        <v>0</v>
      </c>
      <c r="BC123" s="62" t="n">
        <v>0</v>
      </c>
      <c r="BD123" s="27" t="inlineStr"/>
    </row>
    <row r="124">
      <c r="A124" s="28" t="n"/>
      <c r="B124" s="28" t="n"/>
      <c r="C124" s="28" t="n"/>
      <c r="D124" s="28" t="n"/>
      <c r="E124" s="28" t="n"/>
      <c r="F124" s="28" t="n"/>
      <c r="G124" s="28" t="n"/>
      <c r="H124" s="28" t="n"/>
      <c r="I124" s="28" t="n"/>
      <c r="J124" s="28" t="n"/>
      <c r="K124" s="28" t="n"/>
      <c r="L124" s="28" t="n"/>
      <c r="M124" s="28" t="n"/>
      <c r="N124" s="28" t="n"/>
      <c r="O124" s="28" t="n"/>
      <c r="P124" s="28" t="n"/>
      <c r="Q124" s="28" t="n"/>
      <c r="R124" s="29" t="inlineStr">
        <is>
          <t>闲置成本（成本2）</t>
        </is>
      </c>
      <c r="S124" s="20" t="n">
        <v>0</v>
      </c>
      <c r="T124" s="20" t="n">
        <v>0</v>
      </c>
      <c r="U124" s="21" t="n">
        <v>0</v>
      </c>
      <c r="V124" s="20" t="n">
        <v>0</v>
      </c>
      <c r="W124" s="20" t="n">
        <v>0</v>
      </c>
      <c r="X124" s="20" t="n">
        <v>0</v>
      </c>
      <c r="Y124" s="20" t="n">
        <v>0</v>
      </c>
      <c r="Z124" s="20" t="n">
        <v>0</v>
      </c>
      <c r="AA124" s="20" t="n">
        <v>0</v>
      </c>
      <c r="AB124" s="20" t="n">
        <v>0</v>
      </c>
      <c r="AC124" s="20" t="n">
        <v>0</v>
      </c>
      <c r="AD124" s="20" t="n">
        <v>0</v>
      </c>
      <c r="AE124" s="20" t="n">
        <v>0</v>
      </c>
      <c r="AF124" s="20" t="n">
        <v>0</v>
      </c>
      <c r="AG124" s="20" t="n">
        <v>0</v>
      </c>
      <c r="AH124" s="22" t="n">
        <v>0</v>
      </c>
      <c r="AI124" s="22" t="n">
        <v>0</v>
      </c>
      <c r="AJ124" s="28" t="n"/>
      <c r="AK124" s="28" t="n"/>
      <c r="AL124" s="28" t="n"/>
      <c r="AM124" s="28" t="n"/>
      <c r="AN124" s="28" t="n"/>
      <c r="AO124" s="20" t="n">
        <v>0</v>
      </c>
      <c r="AP124" s="20" t="n">
        <v>0</v>
      </c>
      <c r="AQ124" s="20" t="n">
        <v>0</v>
      </c>
      <c r="AR124" s="20" t="n">
        <v>0</v>
      </c>
      <c r="AS124" s="20" t="n">
        <v>0</v>
      </c>
      <c r="AT124" s="20" t="n">
        <v>0</v>
      </c>
      <c r="AU124" s="20" t="n">
        <v>0</v>
      </c>
      <c r="AV124" s="20" t="n">
        <v>0</v>
      </c>
      <c r="AW124" s="20" t="n">
        <v>0</v>
      </c>
      <c r="AX124" s="20" t="n">
        <v>0</v>
      </c>
      <c r="AY124" s="65" t="n">
        <v>0</v>
      </c>
      <c r="AZ124" s="20" t="n">
        <v>0</v>
      </c>
      <c r="BA124" s="50" t="n">
        <v>0</v>
      </c>
      <c r="BB124" s="21" t="n">
        <v>0</v>
      </c>
      <c r="BC124" s="62" t="n">
        <v>0</v>
      </c>
      <c r="BD124" s="27" t="inlineStr"/>
    </row>
    <row r="125">
      <c r="A125" s="28" t="n"/>
      <c r="B125" s="28" t="n"/>
      <c r="C125" s="28" t="n"/>
      <c r="D125" s="28" t="n"/>
      <c r="E125" s="28" t="n"/>
      <c r="F125" s="28" t="n"/>
      <c r="G125" s="28" t="n"/>
      <c r="H125" s="28" t="n"/>
      <c r="I125" s="28" t="n"/>
      <c r="J125" s="28" t="n"/>
      <c r="K125" s="28" t="n"/>
      <c r="L125" s="28" t="n"/>
      <c r="M125" s="28" t="n"/>
      <c r="N125" s="28" t="n"/>
      <c r="O125" s="28" t="n"/>
      <c r="P125" s="28" t="n"/>
      <c r="Q125" s="28" t="n"/>
      <c r="R125" s="29" t="inlineStr">
        <is>
          <t>差旅费（成本３）</t>
        </is>
      </c>
      <c r="S125" s="20" t="n">
        <v>0</v>
      </c>
      <c r="T125" s="20" t="n">
        <v>0</v>
      </c>
      <c r="U125" s="21" t="n">
        <v>0</v>
      </c>
      <c r="V125" s="20" t="n">
        <v>0</v>
      </c>
      <c r="W125" s="20" t="n">
        <v>0</v>
      </c>
      <c r="X125" s="20" t="n">
        <v>0</v>
      </c>
      <c r="Y125" s="20" t="n">
        <v>0</v>
      </c>
      <c r="Z125" s="20" t="n">
        <v>0</v>
      </c>
      <c r="AA125" s="20" t="n">
        <v>0</v>
      </c>
      <c r="AB125" s="20" t="n">
        <v>0</v>
      </c>
      <c r="AC125" s="20" t="n">
        <v>0</v>
      </c>
      <c r="AD125" s="20" t="n">
        <v>0</v>
      </c>
      <c r="AE125" s="20" t="n">
        <v>0</v>
      </c>
      <c r="AF125" s="20" t="n">
        <v>0</v>
      </c>
      <c r="AG125" s="20" t="n">
        <v>0</v>
      </c>
      <c r="AH125" s="22" t="n">
        <v>0</v>
      </c>
      <c r="AI125" s="22" t="n">
        <v>0</v>
      </c>
      <c r="AJ125" s="28" t="n"/>
      <c r="AK125" s="28" t="n"/>
      <c r="AL125" s="28" t="n"/>
      <c r="AM125" s="28" t="n"/>
      <c r="AN125" s="28" t="n"/>
      <c r="AO125" s="20" t="n">
        <v>0</v>
      </c>
      <c r="AP125" s="20" t="n">
        <v>0</v>
      </c>
      <c r="AQ125" s="20" t="n">
        <v>0</v>
      </c>
      <c r="AR125" s="20" t="n">
        <v>0</v>
      </c>
      <c r="AS125" s="20" t="n">
        <v>0</v>
      </c>
      <c r="AT125" s="20" t="n">
        <v>0</v>
      </c>
      <c r="AU125" s="20" t="n">
        <v>0</v>
      </c>
      <c r="AV125" s="20" t="n">
        <v>0</v>
      </c>
      <c r="AW125" s="20" t="n">
        <v>0</v>
      </c>
      <c r="AX125" s="20" t="n">
        <v>0</v>
      </c>
      <c r="AY125" s="65" t="n">
        <v>0</v>
      </c>
      <c r="AZ125" s="20" t="n">
        <v>0</v>
      </c>
      <c r="BA125" s="50" t="n">
        <v>0</v>
      </c>
      <c r="BB125" s="21" t="n">
        <v>0</v>
      </c>
      <c r="BC125" s="62" t="n">
        <v>0</v>
      </c>
      <c r="BD125" s="27" t="inlineStr"/>
    </row>
    <row r="126">
      <c r="A126" s="28" t="n"/>
      <c r="B126" s="28" t="n"/>
      <c r="C126" s="28" t="n"/>
      <c r="D126" s="28" t="n"/>
      <c r="E126" s="28" t="n"/>
      <c r="F126" s="28" t="n"/>
      <c r="G126" s="28" t="n"/>
      <c r="H126" s="28" t="n"/>
      <c r="I126" s="28" t="n"/>
      <c r="J126" s="28" t="n"/>
      <c r="K126" s="28" t="n"/>
      <c r="L126" s="28" t="n"/>
      <c r="M126" s="28" t="n"/>
      <c r="N126" s="28" t="n"/>
      <c r="O126" s="28" t="n"/>
      <c r="P126" s="28" t="n"/>
      <c r="Q126" s="28" t="n"/>
      <c r="R126" s="29" t="inlineStr">
        <is>
          <t>其他成本（成本３）</t>
        </is>
      </c>
      <c r="S126" s="20" t="n">
        <v>0</v>
      </c>
      <c r="T126" s="20" t="n">
        <v>0</v>
      </c>
      <c r="U126" s="21" t="n">
        <v>0</v>
      </c>
      <c r="V126" s="20" t="n">
        <v>0</v>
      </c>
      <c r="W126" s="20" t="n">
        <v>0</v>
      </c>
      <c r="X126" s="20" t="n">
        <v>0</v>
      </c>
      <c r="Y126" s="20" t="n">
        <v>0</v>
      </c>
      <c r="Z126" s="20" t="n">
        <v>0</v>
      </c>
      <c r="AA126" s="20" t="n">
        <v>0</v>
      </c>
      <c r="AB126" s="20" t="n">
        <v>0</v>
      </c>
      <c r="AC126" s="20" t="n">
        <v>0</v>
      </c>
      <c r="AD126" s="20" t="n">
        <v>0</v>
      </c>
      <c r="AE126" s="20" t="n">
        <v>0</v>
      </c>
      <c r="AF126" s="20" t="n">
        <v>0</v>
      </c>
      <c r="AG126" s="20" t="n">
        <v>0</v>
      </c>
      <c r="AH126" s="22" t="n">
        <v>0</v>
      </c>
      <c r="AI126" s="22" t="n">
        <v>0</v>
      </c>
      <c r="AJ126" s="28" t="n"/>
      <c r="AK126" s="28" t="n"/>
      <c r="AL126" s="28" t="n"/>
      <c r="AM126" s="28" t="n"/>
      <c r="AN126" s="28" t="n"/>
      <c r="AO126" s="20" t="n">
        <v>0</v>
      </c>
      <c r="AP126" s="20" t="n">
        <v>0</v>
      </c>
      <c r="AQ126" s="20" t="n">
        <v>0</v>
      </c>
      <c r="AR126" s="20" t="n">
        <v>0</v>
      </c>
      <c r="AS126" s="20" t="n">
        <v>0</v>
      </c>
      <c r="AT126" s="20" t="n">
        <v>0</v>
      </c>
      <c r="AU126" s="20" t="n">
        <v>0</v>
      </c>
      <c r="AV126" s="20" t="n">
        <v>0</v>
      </c>
      <c r="AW126" s="20" t="n">
        <v>0</v>
      </c>
      <c r="AX126" s="20" t="n">
        <v>0</v>
      </c>
      <c r="AY126" s="65" t="n">
        <v>0</v>
      </c>
      <c r="AZ126" s="20" t="n">
        <v>0</v>
      </c>
      <c r="BA126" s="50" t="n">
        <v>0</v>
      </c>
      <c r="BB126" s="21" t="n">
        <v>0</v>
      </c>
      <c r="BC126" s="62" t="n">
        <v>0</v>
      </c>
      <c r="BD126" s="27" t="inlineStr"/>
    </row>
    <row r="127">
      <c r="A127" s="28" t="n"/>
      <c r="B127" s="28" t="n"/>
      <c r="C127" s="28" t="n"/>
      <c r="D127" s="28" t="n"/>
      <c r="E127" s="28" t="n"/>
      <c r="F127" s="28" t="n"/>
      <c r="G127" s="28" t="n"/>
      <c r="H127" s="28" t="n"/>
      <c r="I127" s="28" t="n"/>
      <c r="J127" s="28" t="n"/>
      <c r="K127" s="28" t="n"/>
      <c r="L127" s="28" t="n"/>
      <c r="M127" s="28" t="n"/>
      <c r="N127" s="28" t="n"/>
      <c r="O127" s="28" t="n"/>
      <c r="P127" s="28" t="n"/>
      <c r="Q127" s="28" t="n"/>
      <c r="R127" s="29" t="inlineStr">
        <is>
          <t>累计成本</t>
        </is>
      </c>
      <c r="S127" s="30">
        <f>SUM(S123:S126)</f>
        <v/>
      </c>
      <c r="T127" s="30" t="n">
        <v>0</v>
      </c>
      <c r="U127" s="31" t="n">
        <v>0</v>
      </c>
      <c r="V127" s="30" t="n">
        <v>0</v>
      </c>
      <c r="W127" s="30" t="n">
        <v>0</v>
      </c>
      <c r="X127" s="30" t="n">
        <v>0</v>
      </c>
      <c r="Y127" s="30" t="n">
        <v>0</v>
      </c>
      <c r="Z127" s="30" t="n">
        <v>0</v>
      </c>
      <c r="AA127" s="30" t="n">
        <v>0</v>
      </c>
      <c r="AB127" s="30" t="n">
        <v>0</v>
      </c>
      <c r="AC127" s="30" t="n">
        <v>0</v>
      </c>
      <c r="AD127" s="30" t="n">
        <v>0</v>
      </c>
      <c r="AE127" s="30" t="n">
        <v>0</v>
      </c>
      <c r="AF127" s="30" t="n">
        <v>0</v>
      </c>
      <c r="AG127" s="30" t="n">
        <v>0</v>
      </c>
      <c r="AH127" s="30" t="n">
        <v>0</v>
      </c>
      <c r="AI127" s="30" t="n">
        <v>0</v>
      </c>
      <c r="AJ127" s="28" t="n"/>
      <c r="AK127" s="28" t="n"/>
      <c r="AL127" s="28" t="n"/>
      <c r="AM127" s="28" t="n"/>
      <c r="AN127" s="28" t="n"/>
      <c r="AO127" s="30">
        <f>SUM(AO123:AO126)</f>
        <v/>
      </c>
      <c r="AP127" s="30">
        <f>SUM(AP123:AP126)</f>
        <v/>
      </c>
      <c r="AQ127" s="30">
        <f>SUM(AQ123:AQ126)</f>
        <v/>
      </c>
      <c r="AR127" s="30">
        <f>SUM(AR123:AR126)</f>
        <v/>
      </c>
      <c r="AS127" s="30">
        <f>SUM(AS123:AS126)</f>
        <v/>
      </c>
      <c r="AT127" s="30">
        <f>SUM(AT123:AT126)</f>
        <v/>
      </c>
      <c r="AU127" s="30">
        <f>SUM(AU123:AU126)</f>
        <v/>
      </c>
      <c r="AV127" s="30">
        <f>SUM(AV123:AV126)</f>
        <v/>
      </c>
      <c r="AW127" s="30">
        <f>SUM(AW123:AW126)</f>
        <v/>
      </c>
      <c r="AX127" s="30">
        <f>SUM(AX123:AX126)</f>
        <v/>
      </c>
      <c r="AY127" s="65" t="n">
        <v>0</v>
      </c>
      <c r="AZ127" s="30" t="n">
        <v>0</v>
      </c>
      <c r="BA127" s="54" t="n">
        <v>0</v>
      </c>
      <c r="BB127" s="31">
        <f>SUM(BB123:BB126)</f>
        <v/>
      </c>
      <c r="BC127" s="55">
        <f>SUM(BC123:BC126)</f>
        <v/>
      </c>
      <c r="BD127" s="32" t="inlineStr"/>
    </row>
    <row r="128">
      <c r="A128" s="28" t="n"/>
      <c r="B128" s="28" t="n"/>
      <c r="C128" s="28" t="n"/>
      <c r="D128" s="28" t="n"/>
      <c r="E128" s="28" t="n"/>
      <c r="F128" s="28" t="n"/>
      <c r="G128" s="28" t="n"/>
      <c r="H128" s="28" t="n"/>
      <c r="I128" s="28" t="n"/>
      <c r="J128" s="28" t="n"/>
      <c r="K128" s="28" t="n"/>
      <c r="L128" s="28" t="n"/>
      <c r="M128" s="28" t="n"/>
      <c r="N128" s="28" t="n"/>
      <c r="O128" s="28" t="n"/>
      <c r="P128" s="28" t="n"/>
      <c r="Q128" s="28" t="n"/>
      <c r="R128" s="29" t="inlineStr">
        <is>
          <t>GP1毛利</t>
        </is>
      </c>
      <c r="S128" s="20">
        <f>S122-S123</f>
        <v/>
      </c>
      <c r="T128" s="20" t="n">
        <v>0</v>
      </c>
      <c r="U128" s="21">
        <f>U122-U123</f>
        <v/>
      </c>
      <c r="V128" s="20">
        <f>V122-V123</f>
        <v/>
      </c>
      <c r="W128" s="20">
        <f>W122-W123</f>
        <v/>
      </c>
      <c r="X128" s="20" t="n">
        <v>0</v>
      </c>
      <c r="Y128" s="20" t="n">
        <v>0</v>
      </c>
      <c r="Z128" s="20" t="n">
        <v>0</v>
      </c>
      <c r="AA128" s="20" t="n">
        <v>0</v>
      </c>
      <c r="AB128" s="20" t="n">
        <v>0</v>
      </c>
      <c r="AC128" s="20" t="n">
        <v>0</v>
      </c>
      <c r="AD128" s="20" t="n">
        <v>0</v>
      </c>
      <c r="AE128" s="20" t="n">
        <v>0</v>
      </c>
      <c r="AF128" s="20" t="n">
        <v>0</v>
      </c>
      <c r="AG128" s="20" t="n">
        <v>-13249.87</v>
      </c>
      <c r="AH128" s="33" t="n">
        <v>0</v>
      </c>
      <c r="AI128" s="33" t="n">
        <v>0</v>
      </c>
      <c r="AJ128" s="28" t="n"/>
      <c r="AK128" s="28" t="n"/>
      <c r="AL128" s="28" t="n"/>
      <c r="AM128" s="28" t="n"/>
      <c r="AN128" s="28" t="n"/>
      <c r="AO128" s="20">
        <f>AO122-AO123</f>
        <v/>
      </c>
      <c r="AP128" s="20">
        <f>AP122-AP123</f>
        <v/>
      </c>
      <c r="AQ128" s="20">
        <f>AQ122-AQ123</f>
        <v/>
      </c>
      <c r="AR128" s="20">
        <f>AR122-AR123</f>
        <v/>
      </c>
      <c r="AS128" s="20">
        <f>AS122-AS123</f>
        <v/>
      </c>
      <c r="AT128" s="20">
        <f>AT122-AT123</f>
        <v/>
      </c>
      <c r="AU128" s="20">
        <f>AU122-AU123</f>
        <v/>
      </c>
      <c r="AV128" s="20">
        <f>AV122-AV123</f>
        <v/>
      </c>
      <c r="AW128" s="20">
        <f>AW122-AW123</f>
        <v/>
      </c>
      <c r="AX128" s="20">
        <f>AX122-AX123</f>
        <v/>
      </c>
      <c r="AY128" s="65">
        <f>AY122-AY123</f>
        <v/>
      </c>
      <c r="AZ128" s="20">
        <f>AZ122-AZ123</f>
        <v/>
      </c>
      <c r="BA128" s="56" t="n">
        <v>0</v>
      </c>
      <c r="BB128" s="31" t="n">
        <v>0</v>
      </c>
      <c r="BC128" s="62" t="n">
        <v>0</v>
      </c>
      <c r="BD128" s="27" t="inlineStr"/>
    </row>
    <row r="129">
      <c r="A129" s="28" t="n"/>
      <c r="B129" s="28" t="n"/>
      <c r="C129" s="28" t="n"/>
      <c r="D129" s="28" t="n"/>
      <c r="E129" s="28" t="n"/>
      <c r="F129" s="28" t="n"/>
      <c r="G129" s="28" t="n"/>
      <c r="H129" s="28" t="n"/>
      <c r="I129" s="28" t="n"/>
      <c r="J129" s="28" t="n"/>
      <c r="K129" s="28" t="n"/>
      <c r="L129" s="28" t="n"/>
      <c r="M129" s="28" t="n"/>
      <c r="N129" s="28" t="n"/>
      <c r="O129" s="28" t="n"/>
      <c r="P129" s="28" t="n"/>
      <c r="Q129" s="28" t="n"/>
      <c r="R129" s="35" t="inlineStr">
        <is>
          <t>GP1毛利率(%)</t>
        </is>
      </c>
      <c r="S129" s="36">
        <f>S128/S122</f>
        <v/>
      </c>
      <c r="T129" s="36" t="n">
        <v>0</v>
      </c>
      <c r="U129" s="37">
        <f>U128/U122</f>
        <v/>
      </c>
      <c r="V129" s="36">
        <f>V128/V122</f>
        <v/>
      </c>
      <c r="W129" s="36">
        <f>W128/W122</f>
        <v/>
      </c>
      <c r="X129" s="36" t="n">
        <v>0</v>
      </c>
      <c r="Y129" s="36" t="n">
        <v>0</v>
      </c>
      <c r="Z129" s="36" t="n">
        <v>0</v>
      </c>
      <c r="AA129" s="36" t="n">
        <v>0</v>
      </c>
      <c r="AB129" s="36" t="n">
        <v>0</v>
      </c>
      <c r="AC129" s="36" t="n">
        <v>0</v>
      </c>
      <c r="AD129" s="36" t="n">
        <v>0</v>
      </c>
      <c r="AE129" s="36" t="n">
        <v>0</v>
      </c>
      <c r="AF129" s="36" t="n">
        <v>0</v>
      </c>
      <c r="AG129" s="36" t="n">
        <v>-2.06707530156194</v>
      </c>
      <c r="AH129" s="38" t="n">
        <v>-0.547493961312651</v>
      </c>
      <c r="AI129" s="38">
        <f>AF129-S129</f>
        <v/>
      </c>
      <c r="AJ129" s="28" t="n"/>
      <c r="AK129" s="28" t="n"/>
      <c r="AL129" s="28" t="n"/>
      <c r="AM129" s="28" t="n"/>
      <c r="AN129" s="28" t="n"/>
      <c r="AO129" s="36">
        <f>AO128/AO122</f>
        <v/>
      </c>
      <c r="AP129" s="36">
        <f>AP128/AP122</f>
        <v/>
      </c>
      <c r="AQ129" s="36">
        <f>AQ128/AQ122</f>
        <v/>
      </c>
      <c r="AR129" s="36">
        <f>AR128/AR122</f>
        <v/>
      </c>
      <c r="AS129" s="36">
        <f>AS128/AS122</f>
        <v/>
      </c>
      <c r="AT129" s="36">
        <f>AT128/AT122</f>
        <v/>
      </c>
      <c r="AU129" s="36">
        <f>AU128/AU122</f>
        <v/>
      </c>
      <c r="AV129" s="36">
        <f>AV128/AV122</f>
        <v/>
      </c>
      <c r="AW129" s="36">
        <f>AW128/AW122</f>
        <v/>
      </c>
      <c r="AX129" s="36">
        <f>AX128/AX122</f>
        <v/>
      </c>
      <c r="AY129" s="65">
        <f>AY128/AY122</f>
        <v/>
      </c>
      <c r="AZ129" s="36">
        <f>AZ128/AZ122</f>
        <v/>
      </c>
      <c r="BA129" s="57" t="n">
        <v>0</v>
      </c>
      <c r="BB129" s="39" t="n">
        <v>0</v>
      </c>
      <c r="BC129" s="62" t="n">
        <v>0</v>
      </c>
      <c r="BD129" s="27" t="inlineStr"/>
    </row>
    <row r="130">
      <c r="A130" s="28" t="n"/>
      <c r="B130" s="28" t="n"/>
      <c r="C130" s="28" t="n"/>
      <c r="D130" s="28" t="n"/>
      <c r="E130" s="28" t="n"/>
      <c r="F130" s="28" t="n"/>
      <c r="G130" s="28" t="n"/>
      <c r="H130" s="28" t="n"/>
      <c r="I130" s="28" t="n"/>
      <c r="J130" s="28" t="n"/>
      <c r="K130" s="28" t="n"/>
      <c r="L130" s="28" t="n"/>
      <c r="M130" s="28" t="n"/>
      <c r="N130" s="28" t="n"/>
      <c r="O130" s="28" t="n"/>
      <c r="P130" s="28" t="n"/>
      <c r="Q130" s="28" t="n"/>
      <c r="R130" s="29" t="inlineStr">
        <is>
          <t>GP3毛利</t>
        </is>
      </c>
      <c r="S130" s="20">
        <f>S122-S123-S125-S126</f>
        <v/>
      </c>
      <c r="T130" s="20" t="n">
        <v>0</v>
      </c>
      <c r="U130" s="21">
        <f>U122-U123-U125-U126</f>
        <v/>
      </c>
      <c r="V130" s="20">
        <f>V122-V123-V125-V126</f>
        <v/>
      </c>
      <c r="W130" s="20">
        <f>W122-W123-W125-W126</f>
        <v/>
      </c>
      <c r="X130" s="20" t="n">
        <v>0</v>
      </c>
      <c r="Y130" s="20" t="n">
        <v>0</v>
      </c>
      <c r="Z130" s="20" t="n">
        <v>0</v>
      </c>
      <c r="AA130" s="20" t="n">
        <v>0</v>
      </c>
      <c r="AB130" s="20" t="n">
        <v>0</v>
      </c>
      <c r="AC130" s="20" t="n">
        <v>0</v>
      </c>
      <c r="AD130" s="20" t="n">
        <v>0</v>
      </c>
      <c r="AE130" s="20" t="n">
        <v>0</v>
      </c>
      <c r="AF130" s="20" t="n">
        <v>0</v>
      </c>
      <c r="AG130" s="20" t="n">
        <v>-13180.81</v>
      </c>
      <c r="AH130" s="38" t="n">
        <v>0</v>
      </c>
      <c r="AI130" s="38" t="n">
        <v>0</v>
      </c>
      <c r="AJ130" s="28" t="n"/>
      <c r="AK130" s="28" t="n"/>
      <c r="AL130" s="28" t="n"/>
      <c r="AM130" s="28" t="n"/>
      <c r="AN130" s="28" t="n"/>
      <c r="AO130" s="20">
        <f>AO122-AO123-AO125-AO126</f>
        <v/>
      </c>
      <c r="AP130" s="20">
        <f>AP122-AP123-AP125-AP126</f>
        <v/>
      </c>
      <c r="AQ130" s="20">
        <f>AQ122-AQ123-AQ125-AQ126</f>
        <v/>
      </c>
      <c r="AR130" s="20">
        <f>AR122-AR123-AR125-AR126</f>
        <v/>
      </c>
      <c r="AS130" s="20">
        <f>AS122-AS123-AS125-AS126</f>
        <v/>
      </c>
      <c r="AT130" s="20">
        <f>AT122-AT123-AT125-AT126</f>
        <v/>
      </c>
      <c r="AU130" s="20">
        <f>AU122-AU123-AU125-AU126</f>
        <v/>
      </c>
      <c r="AV130" s="20">
        <f>AV122-AV123-AV125-AV126</f>
        <v/>
      </c>
      <c r="AW130" s="20">
        <f>AW122-AW123-AW125-AW126</f>
        <v/>
      </c>
      <c r="AX130" s="20">
        <f>AX122-AX123-AX125-AX126</f>
        <v/>
      </c>
      <c r="AY130" s="65">
        <f>AY122-AY123-AY125-AY126</f>
        <v/>
      </c>
      <c r="AZ130" s="20">
        <f>AZ122-AZ123-AZ125-AZ126</f>
        <v/>
      </c>
      <c r="BA130" s="58" t="n">
        <v>0</v>
      </c>
      <c r="BB130" s="31" t="n">
        <v>0</v>
      </c>
      <c r="BC130" s="62" t="n">
        <v>0</v>
      </c>
      <c r="BD130" s="27" t="inlineStr"/>
    </row>
    <row r="131">
      <c r="A131" s="42" t="n"/>
      <c r="B131" s="42" t="n"/>
      <c r="C131" s="42" t="n"/>
      <c r="D131" s="42" t="n"/>
      <c r="E131" s="42" t="n"/>
      <c r="F131" s="42" t="n"/>
      <c r="G131" s="42" t="n"/>
      <c r="H131" s="42" t="n"/>
      <c r="I131" s="42" t="n"/>
      <c r="J131" s="42" t="n"/>
      <c r="K131" s="42" t="n"/>
      <c r="L131" s="42" t="n"/>
      <c r="M131" s="42" t="n"/>
      <c r="N131" s="42" t="n"/>
      <c r="O131" s="42" t="n"/>
      <c r="P131" s="42" t="n"/>
      <c r="Q131" s="42" t="n"/>
      <c r="R131" s="35" t="inlineStr">
        <is>
          <t>GP3毛利率(%)</t>
        </is>
      </c>
      <c r="S131" s="36">
        <f>S130/S122</f>
        <v/>
      </c>
      <c r="T131" s="36" t="n">
        <v>0</v>
      </c>
      <c r="U131" s="37">
        <f>U130/U122</f>
        <v/>
      </c>
      <c r="V131" s="36">
        <f>V130/V122</f>
        <v/>
      </c>
      <c r="W131" s="36">
        <f>W130/W122</f>
        <v/>
      </c>
      <c r="X131" s="36" t="n">
        <v>0</v>
      </c>
      <c r="Y131" s="36" t="n">
        <v>0</v>
      </c>
      <c r="Z131" s="36" t="n">
        <v>0</v>
      </c>
      <c r="AA131" s="36" t="n">
        <v>0</v>
      </c>
      <c r="AB131" s="36" t="n">
        <v>0</v>
      </c>
      <c r="AC131" s="36" t="n">
        <v>0</v>
      </c>
      <c r="AD131" s="36" t="n">
        <v>0</v>
      </c>
      <c r="AE131" s="36" t="n">
        <v>0</v>
      </c>
      <c r="AF131" s="36" t="n">
        <v>0</v>
      </c>
      <c r="AG131" s="36" t="n">
        <v>-2.05630144337874</v>
      </c>
      <c r="AH131" s="38" t="n">
        <v>-0.162753720931157</v>
      </c>
      <c r="AI131" s="38">
        <f>AF131-S131</f>
        <v/>
      </c>
      <c r="AJ131" s="42" t="n"/>
      <c r="AK131" s="42" t="n"/>
      <c r="AL131" s="42" t="n"/>
      <c r="AM131" s="42" t="n"/>
      <c r="AN131" s="42" t="n"/>
      <c r="AO131" s="36">
        <f>AO130/AO122</f>
        <v/>
      </c>
      <c r="AP131" s="36">
        <f>AP130/AP122</f>
        <v/>
      </c>
      <c r="AQ131" s="36">
        <f>AQ130/AQ122</f>
        <v/>
      </c>
      <c r="AR131" s="36">
        <f>AR130/AR122</f>
        <v/>
      </c>
      <c r="AS131" s="36">
        <f>AS130/AS122</f>
        <v/>
      </c>
      <c r="AT131" s="36">
        <f>AT130/AT122</f>
        <v/>
      </c>
      <c r="AU131" s="36">
        <f>AU130/AU122</f>
        <v/>
      </c>
      <c r="AV131" s="36">
        <f>AV130/AV122</f>
        <v/>
      </c>
      <c r="AW131" s="36">
        <f>AW130/AW122</f>
        <v/>
      </c>
      <c r="AX131" s="36">
        <f>AX130/AX122</f>
        <v/>
      </c>
      <c r="AY131" s="65">
        <f>AY130/AY122</f>
        <v/>
      </c>
      <c r="AZ131" s="36">
        <f>AZ130/AZ122</f>
        <v/>
      </c>
      <c r="BA131" s="57" t="n">
        <v>0</v>
      </c>
      <c r="BB131" s="39" t="n">
        <v>0</v>
      </c>
      <c r="BC131" s="62" t="n">
        <v>0</v>
      </c>
      <c r="BD131" s="27" t="inlineStr"/>
    </row>
  </sheetData>
  <mergeCells count="288">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Q122:Q131"/>
    <mergeCell ref="I62:I71"/>
    <mergeCell ref="I122:I131"/>
    <mergeCell ref="B2:B11"/>
    <mergeCell ref="N52:N61"/>
    <mergeCell ref="K122:K13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F122:F131"/>
    <mergeCell ref="Q112:Q121"/>
    <mergeCell ref="H92:H101"/>
    <mergeCell ref="J92:J101"/>
    <mergeCell ref="AJ22:AJ31"/>
    <mergeCell ref="AL22:AL31"/>
    <mergeCell ref="E52:E61"/>
    <mergeCell ref="B62:B71"/>
    <mergeCell ref="BD22:BD31"/>
    <mergeCell ref="G52:G61"/>
    <mergeCell ref="B122:B13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N122:N131"/>
    <mergeCell ref="L112:L121"/>
    <mergeCell ref="Q42:Q51"/>
    <mergeCell ref="D2:D11"/>
    <mergeCell ref="AM22:AM31"/>
    <mergeCell ref="AK102:AK111"/>
    <mergeCell ref="F12:F21"/>
    <mergeCell ref="AM102:AM111"/>
    <mergeCell ref="AK12:AK21"/>
    <mergeCell ref="M2:M11"/>
    <mergeCell ref="AK92:AK101"/>
    <mergeCell ref="AN122:AN13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A122:A131"/>
    <mergeCell ref="F52:F61"/>
    <mergeCell ref="C122:C131"/>
    <mergeCell ref="A32:A41"/>
    <mergeCell ref="D42:D51"/>
    <mergeCell ref="A112:A121"/>
    <mergeCell ref="M122:M131"/>
    <mergeCell ref="E62:E71"/>
    <mergeCell ref="O122:O13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H122:H131"/>
    <mergeCell ref="M52:M61"/>
    <mergeCell ref="J122:J13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AK122:AK131"/>
    <mergeCell ref="P22:P31"/>
    <mergeCell ref="N62:N71"/>
    <mergeCell ref="L102:L111"/>
    <mergeCell ref="N102:N111"/>
    <mergeCell ref="L12:L21"/>
    <mergeCell ref="E82:E91"/>
    <mergeCell ref="N12:N21"/>
    <mergeCell ref="G82:G91"/>
    <mergeCell ref="N72:N81"/>
    <mergeCell ref="AJ122:AJ131"/>
    <mergeCell ref="Q82:Q91"/>
    <mergeCell ref="L122:L131"/>
    <mergeCell ref="K12:K21"/>
    <mergeCell ref="AM82:AM91"/>
    <mergeCell ref="D32:D41"/>
    <mergeCell ref="F32:F41"/>
    <mergeCell ref="C52:C61"/>
    <mergeCell ref="P122:P13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E122:E131"/>
    <mergeCell ref="L82:L91"/>
    <mergeCell ref="B12:B21"/>
    <mergeCell ref="G122:G131"/>
    <mergeCell ref="B52:B61"/>
    <mergeCell ref="AJ52:AJ61"/>
    <mergeCell ref="AM122:AM13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2:D131"/>
    <mergeCell ref="D12:D21"/>
    <mergeCell ref="AL12:AL21"/>
    <mergeCell ref="D72:D81"/>
    <mergeCell ref="AN12:AN21"/>
    <mergeCell ref="AJ92:AJ101"/>
    <mergeCell ref="B112:B121"/>
    <mergeCell ref="AL92:AL101"/>
    <mergeCell ref="I42:I51"/>
    <mergeCell ref="D112:D121"/>
    <mergeCell ref="P32:P41"/>
    <mergeCell ref="K42:K51"/>
    <mergeCell ref="AL122:AL131"/>
    <mergeCell ref="J22:J31"/>
    <mergeCell ref="L22:L31"/>
    <mergeCell ref="J62:J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66" t="inlineStr">
        <is>
          <t>2026年4月在行农业项目</t>
        </is>
      </c>
    </row>
    <row r="3">
      <c r="A3" s="67" t="inlineStr">
        <is>
          <t>项目名称</t>
        </is>
      </c>
      <c r="B3" s="67" t="inlineStr">
        <is>
          <t>类别</t>
        </is>
      </c>
      <c r="C3" s="68" t="inlineStr">
        <is>
          <t>项目整体毛利目标预算</t>
        </is>
      </c>
      <c r="D3" s="68" t="inlineStr">
        <is>
          <t>项目开始-当前实际累计</t>
        </is>
      </c>
      <c r="E3" s="68" t="inlineStr">
        <is>
          <t>2026年YTD</t>
        </is>
      </c>
      <c r="F3" s="68" t="inlineStr">
        <is>
          <t>偏差（实际-预算）</t>
        </is>
      </c>
      <c r="G3" s="69" t="inlineStr">
        <is>
          <t>数据分析与说明</t>
        </is>
      </c>
      <c r="H3" s="70" t="n">
        <v>46357</v>
      </c>
      <c r="I3" s="70" t="n">
        <v>46327</v>
      </c>
      <c r="J3" s="70" t="n">
        <v>46296</v>
      </c>
      <c r="K3" s="70" t="n">
        <v>46266</v>
      </c>
      <c r="L3" s="70" t="n">
        <v>46235</v>
      </c>
      <c r="M3" s="70" t="n">
        <v>46204</v>
      </c>
      <c r="N3" s="70" t="n">
        <v>46174</v>
      </c>
      <c r="O3" s="70" t="n">
        <v>46143</v>
      </c>
      <c r="P3" s="70" t="n">
        <v>46113</v>
      </c>
      <c r="Q3" s="70" t="n">
        <v>46082</v>
      </c>
      <c r="R3" s="70" t="n">
        <v>46054</v>
      </c>
      <c r="S3" s="70" t="n">
        <v>46023</v>
      </c>
    </row>
    <row r="4">
      <c r="A4" s="71" t="inlineStr">
        <is>
          <t>15个农业项目</t>
        </is>
      </c>
      <c r="B4" s="29" t="inlineStr">
        <is>
          <t>累计收入（NR）</t>
        </is>
      </c>
      <c r="C4" s="72" t="n">
        <v>2756226.430000001</v>
      </c>
      <c r="D4" s="72" t="n">
        <v>1951339.88</v>
      </c>
      <c r="E4" s="72" t="n"/>
      <c r="F4" s="72" t="n"/>
      <c r="G4" s="73" t="n"/>
      <c r="H4" s="74" t="n">
        <v>0</v>
      </c>
      <c r="I4" s="74" t="n">
        <v>0</v>
      </c>
      <c r="J4" s="74" t="n">
        <v>0</v>
      </c>
      <c r="K4" s="74" t="n">
        <v>0</v>
      </c>
      <c r="L4" s="74" t="n">
        <v>0</v>
      </c>
      <c r="M4" s="74" t="n">
        <v>0</v>
      </c>
      <c r="N4" s="74" t="n">
        <v>0</v>
      </c>
      <c r="O4" s="74" t="n">
        <v>0</v>
      </c>
      <c r="P4" s="74" t="n">
        <v>0</v>
      </c>
      <c r="Q4" s="74" t="n">
        <v>213212.49</v>
      </c>
      <c r="R4" s="74" t="n">
        <v>280358.52</v>
      </c>
      <c r="S4" s="74" t="n">
        <v>191830.73</v>
      </c>
    </row>
    <row r="5">
      <c r="A5" s="75" t="inlineStr">
        <is>
          <t>15个农业项目</t>
        </is>
      </c>
      <c r="B5" s="29" t="inlineStr">
        <is>
          <t>人工成本（成本１）</t>
        </is>
      </c>
      <c r="C5" s="72" t="n">
        <v>2104438.77</v>
      </c>
      <c r="D5" s="72" t="n">
        <v>1664065.57</v>
      </c>
      <c r="E5" s="72" t="n"/>
      <c r="F5" s="72" t="n"/>
      <c r="G5" s="75" t="n"/>
      <c r="H5" s="74" t="n">
        <v>0</v>
      </c>
      <c r="I5" s="74" t="n">
        <v>0</v>
      </c>
      <c r="J5" s="74" t="n">
        <v>0</v>
      </c>
      <c r="K5" s="74" t="n">
        <v>0</v>
      </c>
      <c r="L5" s="74" t="n">
        <v>0</v>
      </c>
      <c r="M5" s="74" t="n">
        <v>0</v>
      </c>
      <c r="N5" s="74" t="n">
        <v>0</v>
      </c>
      <c r="O5" s="74" t="n">
        <v>0</v>
      </c>
      <c r="P5" s="74" t="n">
        <v>0</v>
      </c>
      <c r="Q5" s="74" t="n">
        <v>184628.59</v>
      </c>
      <c r="R5" s="74" t="n">
        <v>199527.84</v>
      </c>
      <c r="S5" s="74" t="n">
        <v>202480.66</v>
      </c>
    </row>
    <row r="6">
      <c r="A6" s="75" t="inlineStr">
        <is>
          <t>15个农业项目</t>
        </is>
      </c>
      <c r="B6" s="29" t="inlineStr">
        <is>
          <t>闲置成本（成本2）</t>
        </is>
      </c>
      <c r="C6" s="72" t="n">
        <v>0</v>
      </c>
      <c r="D6" s="72" t="n">
        <v>0</v>
      </c>
      <c r="E6" s="72" t="n"/>
      <c r="F6" s="72" t="n"/>
      <c r="G6" s="75" t="n"/>
      <c r="H6" s="74" t="n">
        <v>0</v>
      </c>
      <c r="I6" s="74" t="n">
        <v>0</v>
      </c>
      <c r="J6" s="74" t="n">
        <v>0</v>
      </c>
      <c r="K6" s="74" t="n">
        <v>0</v>
      </c>
      <c r="L6" s="74" t="n">
        <v>0</v>
      </c>
      <c r="M6" s="74" t="n">
        <v>0</v>
      </c>
      <c r="N6" s="74" t="n">
        <v>0</v>
      </c>
      <c r="O6" s="74" t="n">
        <v>0</v>
      </c>
      <c r="P6" s="74" t="n">
        <v>0</v>
      </c>
      <c r="Q6" s="74" t="n">
        <v>11909.61</v>
      </c>
      <c r="R6" s="74" t="n">
        <v>18638.11</v>
      </c>
      <c r="S6" s="74" t="n">
        <v>0</v>
      </c>
    </row>
    <row r="7">
      <c r="A7" s="75" t="inlineStr">
        <is>
          <t>15个农业项目</t>
        </is>
      </c>
      <c r="B7" s="29" t="inlineStr">
        <is>
          <t>差旅费（成本３）</t>
        </is>
      </c>
      <c r="C7" s="72" t="n">
        <v>70000</v>
      </c>
      <c r="D7" s="72" t="n">
        <v>5630.59</v>
      </c>
      <c r="E7" s="72" t="n"/>
      <c r="F7" s="72" t="n"/>
      <c r="G7" s="75" t="n"/>
      <c r="H7" s="74" t="n">
        <v>0</v>
      </c>
      <c r="I7" s="74" t="n">
        <v>0</v>
      </c>
      <c r="J7" s="74" t="n">
        <v>0</v>
      </c>
      <c r="K7" s="74" t="n">
        <v>0</v>
      </c>
      <c r="L7" s="74" t="n">
        <v>0</v>
      </c>
      <c r="M7" s="74" t="n">
        <v>0</v>
      </c>
      <c r="N7" s="74" t="n">
        <v>0</v>
      </c>
      <c r="O7" s="74" t="n">
        <v>0</v>
      </c>
      <c r="P7" s="74" t="n">
        <v>0</v>
      </c>
      <c r="Q7" s="74" t="n">
        <v>0</v>
      </c>
      <c r="R7" s="74" t="n">
        <v>0</v>
      </c>
      <c r="S7" s="74" t="n">
        <v>0</v>
      </c>
    </row>
    <row r="8">
      <c r="A8" s="75" t="inlineStr">
        <is>
          <t>15个农业项目</t>
        </is>
      </c>
      <c r="B8" s="29" t="inlineStr">
        <is>
          <t>其他成本（成本３）</t>
        </is>
      </c>
      <c r="C8" s="72" t="n">
        <v>99774</v>
      </c>
      <c r="D8" s="72" t="n">
        <v>23102.477</v>
      </c>
      <c r="E8" s="72" t="n"/>
      <c r="F8" s="72" t="n"/>
      <c r="G8" s="75" t="n"/>
      <c r="H8" s="74" t="n">
        <v>0</v>
      </c>
      <c r="I8" s="74" t="n">
        <v>0</v>
      </c>
      <c r="J8" s="74" t="n">
        <v>0</v>
      </c>
      <c r="K8" s="74" t="n">
        <v>0</v>
      </c>
      <c r="L8" s="74" t="n">
        <v>0</v>
      </c>
      <c r="M8" s="74" t="n">
        <v>0</v>
      </c>
      <c r="N8" s="74" t="n">
        <v>0</v>
      </c>
      <c r="O8" s="74" t="n">
        <v>0</v>
      </c>
      <c r="P8" s="74" t="n">
        <v>0</v>
      </c>
      <c r="Q8" s="74" t="n">
        <v>19589.8</v>
      </c>
      <c r="R8" s="74" t="n">
        <v>-23756.61</v>
      </c>
      <c r="S8" s="74" t="n">
        <v>-744.5799999999999</v>
      </c>
    </row>
    <row r="9">
      <c r="A9" s="75" t="inlineStr">
        <is>
          <t>15个农业项目</t>
        </is>
      </c>
      <c r="B9" s="29" t="inlineStr">
        <is>
          <t>累计成本</t>
        </is>
      </c>
      <c r="C9" s="72" t="n">
        <v>0</v>
      </c>
      <c r="D9" s="72" t="n">
        <v>1692798.637</v>
      </c>
      <c r="E9" s="72" t="n"/>
      <c r="F9" s="72" t="n"/>
      <c r="G9" s="75" t="n"/>
      <c r="H9" s="74" t="n">
        <v>0</v>
      </c>
      <c r="I9" s="74" t="n">
        <v>0</v>
      </c>
      <c r="J9" s="74" t="n">
        <v>0</v>
      </c>
      <c r="K9" s="74" t="n">
        <v>0</v>
      </c>
      <c r="L9" s="74" t="n">
        <v>0</v>
      </c>
      <c r="M9" s="74" t="n">
        <v>0</v>
      </c>
      <c r="N9" s="74" t="n">
        <v>0</v>
      </c>
      <c r="O9" s="74" t="n">
        <v>0</v>
      </c>
      <c r="P9" s="74" t="n">
        <v>0</v>
      </c>
      <c r="Q9" s="74" t="n">
        <v>216128</v>
      </c>
      <c r="R9" s="74" t="n">
        <v>170675.66</v>
      </c>
      <c r="S9" s="74" t="n">
        <v>201736.08</v>
      </c>
    </row>
    <row r="10">
      <c r="A10" s="75" t="inlineStr">
        <is>
          <t>15个农业项目</t>
        </is>
      </c>
      <c r="B10" s="29" t="inlineStr">
        <is>
          <t>GP1毛利</t>
        </is>
      </c>
      <c r="C10" s="76" t="n">
        <v>0</v>
      </c>
      <c r="D10" s="76" t="n">
        <v>287274.3100000001</v>
      </c>
      <c r="E10" s="76" t="n"/>
      <c r="F10" s="76" t="n"/>
      <c r="G10" s="75" t="n"/>
      <c r="H10" s="76" t="n">
        <v>0</v>
      </c>
      <c r="I10" s="76" t="n">
        <v>0</v>
      </c>
      <c r="J10" s="76" t="n">
        <v>0</v>
      </c>
      <c r="K10" s="76" t="n">
        <v>0</v>
      </c>
      <c r="L10" s="76" t="n">
        <v>0</v>
      </c>
      <c r="M10" s="76" t="n">
        <v>0</v>
      </c>
      <c r="N10" s="76" t="n">
        <v>0</v>
      </c>
      <c r="O10" s="76" t="n">
        <v>0</v>
      </c>
      <c r="P10" s="76" t="n">
        <v>0</v>
      </c>
      <c r="Q10" s="76" t="n">
        <v>28583.90000000001</v>
      </c>
      <c r="R10" s="76" t="n">
        <v>80830.67999999999</v>
      </c>
      <c r="S10" s="76" t="n">
        <v>-10649.93</v>
      </c>
    </row>
    <row r="11">
      <c r="A11" s="75" t="inlineStr">
        <is>
          <t>15个农业项目</t>
        </is>
      </c>
      <c r="B11" s="29" t="inlineStr">
        <is>
          <t>GP1毛利率(%)</t>
        </is>
      </c>
      <c r="C11" s="77" t="n">
        <v>0</v>
      </c>
      <c r="D11" s="77" t="n">
        <v>0.4555468833726958</v>
      </c>
      <c r="E11" s="77" t="n"/>
      <c r="F11" s="76" t="n"/>
      <c r="G11" s="75" t="n"/>
      <c r="H11" s="77" t="n">
        <v>0</v>
      </c>
      <c r="I11" s="77" t="n">
        <v>0</v>
      </c>
      <c r="J11" s="77" t="n">
        <v>0</v>
      </c>
      <c r="K11" s="77" t="n">
        <v>0</v>
      </c>
      <c r="L11" s="77" t="n">
        <v>0</v>
      </c>
      <c r="M11" s="77" t="n">
        <v>0</v>
      </c>
      <c r="N11" s="77" t="n">
        <v>0</v>
      </c>
      <c r="O11" s="77" t="n">
        <v>0</v>
      </c>
      <c r="P11" s="77" t="n">
        <v>0</v>
      </c>
      <c r="Q11" s="77" t="n">
        <v>2.676175954467057</v>
      </c>
      <c r="R11" s="77" t="n">
        <v>5.817138043440571</v>
      </c>
      <c r="S11" s="77" t="n">
        <v>-0.9638767548579539</v>
      </c>
    </row>
    <row r="12">
      <c r="A12" s="75" t="inlineStr">
        <is>
          <t>15个农业项目</t>
        </is>
      </c>
      <c r="B12" s="29" t="inlineStr">
        <is>
          <t>GP3毛利</t>
        </is>
      </c>
      <c r="C12" s="76" t="n">
        <v>0</v>
      </c>
      <c r="D12" s="76" t="n">
        <v>258541.243</v>
      </c>
      <c r="E12" s="76" t="n"/>
      <c r="F12" s="76" t="n"/>
      <c r="G12" s="75" t="n"/>
      <c r="H12" s="76" t="n">
        <v>0</v>
      </c>
      <c r="I12" s="76" t="n">
        <v>0</v>
      </c>
      <c r="J12" s="76" t="n">
        <v>0</v>
      </c>
      <c r="K12" s="76" t="n">
        <v>0</v>
      </c>
      <c r="L12" s="76" t="n">
        <v>0</v>
      </c>
      <c r="M12" s="76" t="n">
        <v>0</v>
      </c>
      <c r="N12" s="76" t="n">
        <v>0</v>
      </c>
      <c r="O12" s="76" t="n">
        <v>0</v>
      </c>
      <c r="P12" s="76" t="n">
        <v>0</v>
      </c>
      <c r="Q12" s="76" t="n">
        <v>8994.100000000009</v>
      </c>
      <c r="R12" s="76" t="n">
        <v>104587.29</v>
      </c>
      <c r="S12" s="76" t="n">
        <v>-9905.349999999999</v>
      </c>
    </row>
    <row r="13">
      <c r="A13" s="78" t="inlineStr">
        <is>
          <t>15个农业项目</t>
        </is>
      </c>
      <c r="B13" s="29" t="inlineStr">
        <is>
          <t>GP3毛利率(%)</t>
        </is>
      </c>
      <c r="C13" s="77" t="n">
        <v>0</v>
      </c>
      <c r="D13" s="77" t="n">
        <v>0.3567877655157388</v>
      </c>
      <c r="E13" s="77" t="n"/>
      <c r="F13" s="76" t="n"/>
      <c r="G13" s="78" t="n"/>
      <c r="H13" s="77" t="n">
        <v>0</v>
      </c>
      <c r="I13" s="77" t="n">
        <v>0</v>
      </c>
      <c r="J13" s="77" t="n">
        <v>0</v>
      </c>
      <c r="K13" s="77" t="n">
        <v>0</v>
      </c>
      <c r="L13" s="77" t="n">
        <v>0</v>
      </c>
      <c r="M13" s="77" t="n">
        <v>0</v>
      </c>
      <c r="N13" s="77" t="n">
        <v>0</v>
      </c>
      <c r="O13" s="77" t="n">
        <v>0</v>
      </c>
      <c r="P13" s="77" t="n">
        <v>0</v>
      </c>
      <c r="Q13" s="77" t="n">
        <v>1.808685799919935</v>
      </c>
      <c r="R13" s="77" t="n">
        <v>4.963822227291955</v>
      </c>
      <c r="S13" s="77" t="n">
        <v>-0.9215391283044605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79" t="inlineStr">
        <is>
          <t>2026年在行农业项目</t>
        </is>
      </c>
    </row>
    <row r="3">
      <c r="A3" s="80" t="inlineStr">
        <is>
          <t>项目名称</t>
        </is>
      </c>
      <c r="B3" s="80" t="inlineStr">
        <is>
          <t>类别</t>
        </is>
      </c>
      <c r="C3" s="81" t="inlineStr">
        <is>
          <t>项目整体毛利目标预算</t>
        </is>
      </c>
      <c r="D3" s="81" t="inlineStr">
        <is>
          <t>项目开始-当前实际累计</t>
        </is>
      </c>
      <c r="E3" s="81" t="inlineStr">
        <is>
          <t>2026年YTD</t>
        </is>
      </c>
      <c r="F3" s="81" t="inlineStr">
        <is>
          <t>偏差（实际-预算）</t>
        </is>
      </c>
      <c r="G3" s="82" t="inlineStr">
        <is>
          <t>数据分析与说明</t>
        </is>
      </c>
      <c r="H3" s="70" t="n">
        <v>46357</v>
      </c>
      <c r="I3" s="70" t="n">
        <v>46327</v>
      </c>
      <c r="J3" s="70" t="n">
        <v>46296</v>
      </c>
      <c r="K3" s="70" t="n">
        <v>46266</v>
      </c>
      <c r="L3" s="70" t="n">
        <v>46235</v>
      </c>
      <c r="M3" s="70" t="n">
        <v>46204</v>
      </c>
      <c r="N3" s="70" t="n">
        <v>46174</v>
      </c>
      <c r="O3" s="70" t="n">
        <v>46143</v>
      </c>
      <c r="P3" s="70" t="n">
        <v>46113</v>
      </c>
      <c r="Q3" s="70" t="n">
        <v>46082</v>
      </c>
      <c r="R3" s="70" t="n">
        <v>46054</v>
      </c>
      <c r="S3" s="70" t="n">
        <v>46023</v>
      </c>
    </row>
    <row r="4">
      <c r="A4" s="71" t="inlineStr">
        <is>
          <t>15个农业项目</t>
        </is>
      </c>
      <c r="B4" s="29" t="inlineStr">
        <is>
          <t>累计收入（NR）</t>
        </is>
      </c>
      <c r="C4" s="72" t="n">
        <v>3086320.77</v>
      </c>
      <c r="D4" s="72" t="n">
        <v>2279070.857</v>
      </c>
      <c r="E4" s="72" t="n"/>
      <c r="F4" s="72" t="n"/>
      <c r="G4" s="73" t="n"/>
      <c r="H4" s="74" t="n">
        <v>0</v>
      </c>
      <c r="I4" s="74" t="n">
        <v>0</v>
      </c>
      <c r="J4" s="74" t="n">
        <v>0</v>
      </c>
      <c r="K4" s="74" t="n">
        <v>0</v>
      </c>
      <c r="L4" s="74" t="n">
        <v>0</v>
      </c>
      <c r="M4" s="74" t="n">
        <v>0</v>
      </c>
      <c r="N4" s="74" t="n">
        <v>0</v>
      </c>
      <c r="O4" s="74" t="n">
        <v>0</v>
      </c>
      <c r="P4" s="74" t="n">
        <v>0</v>
      </c>
      <c r="Q4" s="74" t="n">
        <v>213212.49</v>
      </c>
      <c r="R4" s="74" t="n">
        <v>280358.52</v>
      </c>
      <c r="S4" s="74" t="n">
        <v>191830.6</v>
      </c>
    </row>
    <row r="5">
      <c r="A5" s="75" t="inlineStr">
        <is>
          <t>15个农业项目</t>
        </is>
      </c>
      <c r="B5" s="29" t="inlineStr">
        <is>
          <t>人工成本（成本１）</t>
        </is>
      </c>
      <c r="C5" s="72" t="n">
        <v>2312437.77</v>
      </c>
      <c r="D5" s="72" t="n">
        <v>1795446.12</v>
      </c>
      <c r="E5" s="72" t="n"/>
      <c r="F5" s="72" t="n"/>
      <c r="G5" s="75" t="n"/>
      <c r="H5" s="74" t="n">
        <v>0</v>
      </c>
      <c r="I5" s="74" t="n">
        <v>0</v>
      </c>
      <c r="J5" s="74" t="n">
        <v>0</v>
      </c>
      <c r="K5" s="74" t="n">
        <v>0</v>
      </c>
      <c r="L5" s="74" t="n">
        <v>0</v>
      </c>
      <c r="M5" s="74" t="n">
        <v>0</v>
      </c>
      <c r="N5" s="74" t="n">
        <v>0</v>
      </c>
      <c r="O5" s="74" t="n">
        <v>0</v>
      </c>
      <c r="P5" s="74" t="n">
        <v>0</v>
      </c>
      <c r="Q5" s="74" t="n">
        <v>184628.59</v>
      </c>
      <c r="R5" s="74" t="n">
        <v>199527.84</v>
      </c>
      <c r="S5" s="74" t="n">
        <v>202480.66</v>
      </c>
    </row>
    <row r="6">
      <c r="A6" s="75" t="inlineStr">
        <is>
          <t>15个农业项目</t>
        </is>
      </c>
      <c r="B6" s="29" t="inlineStr">
        <is>
          <t>闲置成本（成本2）</t>
        </is>
      </c>
      <c r="C6" s="72" t="n">
        <v>0</v>
      </c>
      <c r="D6" s="72" t="n">
        <v>0</v>
      </c>
      <c r="E6" s="72" t="n"/>
      <c r="F6" s="72" t="n"/>
      <c r="G6" s="75" t="n"/>
      <c r="H6" s="74" t="n">
        <v>0</v>
      </c>
      <c r="I6" s="74" t="n">
        <v>0</v>
      </c>
      <c r="J6" s="74" t="n">
        <v>0</v>
      </c>
      <c r="K6" s="74" t="n">
        <v>0</v>
      </c>
      <c r="L6" s="74" t="n">
        <v>0</v>
      </c>
      <c r="M6" s="74" t="n">
        <v>0</v>
      </c>
      <c r="N6" s="74" t="n">
        <v>0</v>
      </c>
      <c r="O6" s="74" t="n">
        <v>0</v>
      </c>
      <c r="P6" s="74" t="n">
        <v>0</v>
      </c>
      <c r="Q6" s="74" t="n">
        <v>11909.61</v>
      </c>
      <c r="R6" s="74" t="n">
        <v>18638.11</v>
      </c>
      <c r="S6" s="74" t="n">
        <v>0</v>
      </c>
    </row>
    <row r="7">
      <c r="A7" s="75" t="inlineStr">
        <is>
          <t>15个农业项目</t>
        </is>
      </c>
      <c r="B7" s="29" t="inlineStr">
        <is>
          <t>差旅费（成本３）</t>
        </is>
      </c>
      <c r="C7" s="72" t="n">
        <v>87000</v>
      </c>
      <c r="D7" s="72" t="n">
        <v>9748.970000000001</v>
      </c>
      <c r="E7" s="72" t="n"/>
      <c r="F7" s="72" t="n"/>
      <c r="G7" s="75" t="n"/>
      <c r="H7" s="74" t="n">
        <v>0</v>
      </c>
      <c r="I7" s="74" t="n">
        <v>0</v>
      </c>
      <c r="J7" s="74" t="n">
        <v>0</v>
      </c>
      <c r="K7" s="74" t="n">
        <v>0</v>
      </c>
      <c r="L7" s="74" t="n">
        <v>0</v>
      </c>
      <c r="M7" s="74" t="n">
        <v>0</v>
      </c>
      <c r="N7" s="74" t="n">
        <v>0</v>
      </c>
      <c r="O7" s="74" t="n">
        <v>0</v>
      </c>
      <c r="P7" s="74" t="n">
        <v>0</v>
      </c>
      <c r="Q7" s="74" t="n">
        <v>0</v>
      </c>
      <c r="R7" s="74" t="n">
        <v>0</v>
      </c>
      <c r="S7" s="74" t="n">
        <v>0</v>
      </c>
    </row>
    <row r="8">
      <c r="A8" s="75" t="inlineStr">
        <is>
          <t>15个农业项目</t>
        </is>
      </c>
      <c r="B8" s="29" t="inlineStr">
        <is>
          <t>其他成本（成本３）</t>
        </is>
      </c>
      <c r="C8" s="72" t="n">
        <v>109774</v>
      </c>
      <c r="D8" s="72" t="n">
        <v>28473.42699999999</v>
      </c>
      <c r="E8" s="72" t="n"/>
      <c r="F8" s="72" t="n"/>
      <c r="G8" s="75" t="n"/>
      <c r="H8" s="74" t="n">
        <v>0</v>
      </c>
      <c r="I8" s="74" t="n">
        <v>0</v>
      </c>
      <c r="J8" s="74" t="n">
        <v>0</v>
      </c>
      <c r="K8" s="74" t="n">
        <v>0</v>
      </c>
      <c r="L8" s="74" t="n">
        <v>0</v>
      </c>
      <c r="M8" s="74" t="n">
        <v>0</v>
      </c>
      <c r="N8" s="74" t="n">
        <v>0</v>
      </c>
      <c r="O8" s="74" t="n">
        <v>0</v>
      </c>
      <c r="P8" s="74" t="n">
        <v>0</v>
      </c>
      <c r="Q8" s="74" t="n">
        <v>19589.8</v>
      </c>
      <c r="R8" s="74" t="n">
        <v>-23756.61</v>
      </c>
      <c r="S8" s="74" t="n">
        <v>-744.5799999999999</v>
      </c>
    </row>
    <row r="9">
      <c r="A9" s="75" t="inlineStr">
        <is>
          <t>15个农业项目</t>
        </is>
      </c>
      <c r="B9" s="29" t="inlineStr">
        <is>
          <t>累计成本</t>
        </is>
      </c>
      <c r="C9" s="72" t="n">
        <v>0</v>
      </c>
      <c r="D9" s="72" t="n">
        <v>1833668.517</v>
      </c>
      <c r="E9" s="72" t="n"/>
      <c r="F9" s="72" t="n"/>
      <c r="G9" s="75" t="n"/>
      <c r="H9" s="74" t="n">
        <v>0</v>
      </c>
      <c r="I9" s="74" t="n">
        <v>0</v>
      </c>
      <c r="J9" s="74" t="n">
        <v>0</v>
      </c>
      <c r="K9" s="74" t="n">
        <v>0</v>
      </c>
      <c r="L9" s="74" t="n">
        <v>0</v>
      </c>
      <c r="M9" s="74" t="n">
        <v>0</v>
      </c>
      <c r="N9" s="74" t="n">
        <v>0</v>
      </c>
      <c r="O9" s="74" t="n">
        <v>0</v>
      </c>
      <c r="P9" s="74" t="n">
        <v>0</v>
      </c>
      <c r="Q9" s="74" t="n">
        <v>216128</v>
      </c>
      <c r="R9" s="74" t="n">
        <v>170675.66</v>
      </c>
      <c r="S9" s="74" t="n">
        <v>201736.08</v>
      </c>
    </row>
    <row r="10">
      <c r="A10" s="75" t="inlineStr">
        <is>
          <t>15个农业项目</t>
        </is>
      </c>
      <c r="B10" s="29" t="inlineStr">
        <is>
          <t>GP1毛利</t>
        </is>
      </c>
      <c r="C10" s="76" t="n">
        <v>0</v>
      </c>
      <c r="D10" s="76" t="n">
        <v>483624.737</v>
      </c>
      <c r="E10" s="76" t="n"/>
      <c r="F10" s="76" t="n"/>
      <c r="G10" s="75" t="n"/>
      <c r="H10" s="76" t="n">
        <v>0</v>
      </c>
      <c r="I10" s="76" t="n">
        <v>0</v>
      </c>
      <c r="J10" s="76" t="n">
        <v>0</v>
      </c>
      <c r="K10" s="76" t="n">
        <v>0</v>
      </c>
      <c r="L10" s="76" t="n">
        <v>0</v>
      </c>
      <c r="M10" s="76" t="n">
        <v>0</v>
      </c>
      <c r="N10" s="76" t="n">
        <v>0</v>
      </c>
      <c r="O10" s="76" t="n">
        <v>0</v>
      </c>
      <c r="P10" s="76" t="n">
        <v>0</v>
      </c>
      <c r="Q10" s="76" t="n">
        <v>28583.90000000001</v>
      </c>
      <c r="R10" s="76" t="n">
        <v>80830.67999999999</v>
      </c>
      <c r="S10" s="76" t="n">
        <v>-10650.06</v>
      </c>
    </row>
    <row r="11">
      <c r="A11" s="75" t="inlineStr">
        <is>
          <t>15个农业项目</t>
        </is>
      </c>
      <c r="B11" s="29" t="inlineStr">
        <is>
          <t>GP1毛利率(%)</t>
        </is>
      </c>
      <c r="C11" s="77" t="n">
        <v>0</v>
      </c>
      <c r="D11" s="77" t="n">
        <v>1.054667628068124</v>
      </c>
      <c r="E11" s="77" t="n"/>
      <c r="F11" s="76" t="n"/>
      <c r="G11" s="75" t="n"/>
      <c r="H11" s="77" t="n">
        <v>0</v>
      </c>
      <c r="I11" s="77" t="n">
        <v>0</v>
      </c>
      <c r="J11" s="77" t="n">
        <v>0</v>
      </c>
      <c r="K11" s="77" t="n">
        <v>0</v>
      </c>
      <c r="L11" s="77" t="n">
        <v>0</v>
      </c>
      <c r="M11" s="77" t="n">
        <v>0</v>
      </c>
      <c r="N11" s="77" t="n">
        <v>0</v>
      </c>
      <c r="O11" s="77" t="n">
        <v>0</v>
      </c>
      <c r="P11" s="77" t="n">
        <v>0</v>
      </c>
      <c r="Q11" s="77" t="n">
        <v>2.676175954467057</v>
      </c>
      <c r="R11" s="77" t="n">
        <v>5.817138043440571</v>
      </c>
      <c r="S11" s="77" t="n">
        <v>0.03612324514204618</v>
      </c>
    </row>
    <row r="12">
      <c r="A12" s="75" t="inlineStr">
        <is>
          <t>15个农业项目</t>
        </is>
      </c>
      <c r="B12" s="29" t="inlineStr">
        <is>
          <t>GP3毛利</t>
        </is>
      </c>
      <c r="C12" s="76" t="n">
        <v>0</v>
      </c>
      <c r="D12" s="76" t="n">
        <v>445402.3400000001</v>
      </c>
      <c r="E12" s="76" t="n"/>
      <c r="F12" s="76" t="n"/>
      <c r="G12" s="75" t="n"/>
      <c r="H12" s="76" t="n">
        <v>0</v>
      </c>
      <c r="I12" s="76" t="n">
        <v>0</v>
      </c>
      <c r="J12" s="76" t="n">
        <v>0</v>
      </c>
      <c r="K12" s="76" t="n">
        <v>0</v>
      </c>
      <c r="L12" s="76" t="n">
        <v>0</v>
      </c>
      <c r="M12" s="76" t="n">
        <v>0</v>
      </c>
      <c r="N12" s="76" t="n">
        <v>0</v>
      </c>
      <c r="O12" s="76" t="n">
        <v>0</v>
      </c>
      <c r="P12" s="76" t="n">
        <v>0</v>
      </c>
      <c r="Q12" s="76" t="n">
        <v>8994.100000000009</v>
      </c>
      <c r="R12" s="76" t="n">
        <v>104587.29</v>
      </c>
      <c r="S12" s="76" t="n">
        <v>-9905.48</v>
      </c>
    </row>
    <row r="13">
      <c r="A13" s="78" t="inlineStr">
        <is>
          <t>15个农业项目</t>
        </is>
      </c>
      <c r="B13" s="29" t="inlineStr">
        <is>
          <t>GP3毛利率(%)</t>
        </is>
      </c>
      <c r="C13" s="77" t="n">
        <v>0</v>
      </c>
      <c r="D13" s="77" t="n">
        <v>0.9269538777047617</v>
      </c>
      <c r="E13" s="77" t="n"/>
      <c r="F13" s="76" t="n"/>
      <c r="G13" s="78" t="n"/>
      <c r="H13" s="77" t="n">
        <v>0</v>
      </c>
      <c r="I13" s="77" t="n">
        <v>0</v>
      </c>
      <c r="J13" s="77" t="n">
        <v>0</v>
      </c>
      <c r="K13" s="77" t="n">
        <v>0</v>
      </c>
      <c r="L13" s="77" t="n">
        <v>0</v>
      </c>
      <c r="M13" s="77" t="n">
        <v>0</v>
      </c>
      <c r="N13" s="77" t="n">
        <v>0</v>
      </c>
      <c r="O13" s="77" t="n">
        <v>0</v>
      </c>
      <c r="P13" s="77" t="n">
        <v>0</v>
      </c>
      <c r="Q13" s="77" t="n">
        <v>1.808685799919935</v>
      </c>
      <c r="R13" s="77" t="n">
        <v>4.963822227291955</v>
      </c>
      <c r="S13" s="77" t="n">
        <v>0.07846087169553934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2026-04-17T03:16:51Z</dcterms:created>
  <dcterms:modified xmlns:dcterms="http://purl.org/dc/terms/" xmlns:xsi="http://www.w3.org/2001/XMLSchema-instance" xsi:type="dcterms:W3CDTF">2026-04-17T03:16:58Z</dcterms:modified>
</cp:coreProperties>
</file>