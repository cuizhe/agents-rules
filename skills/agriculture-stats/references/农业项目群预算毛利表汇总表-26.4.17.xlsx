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70" windowHeight="12975" activeTab="2"/>
  </bookViews>
  <sheets>
    <sheet name="当月汇总毛利率" sheetId="1" r:id="rId1"/>
    <sheet name="2026年汇总毛利率" sheetId="2" r:id="rId2"/>
    <sheet name="当月项目明细数据" sheetId="3" r:id="rId3"/>
    <sheet name="2026年项目明细数据" sheetId="4" r:id="rId4"/>
  </sheets>
  <definedNames>
    <definedName name="_xlnm._FilterDatabase" localSheetId="2" hidden="1">当月项目明细数据!$A$1:$BD$111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<sst xmlns="http://schemas.openxmlformats.org/spreadsheetml/2006/main" count="731" uniqueCount="98">
  <si>
    <t>2026年4月在行农业项目</t>
  </si>
  <si>
    <t>项目名称</t>
  </si>
  <si>
    <t>类别</t>
  </si>
  <si>
    <t>项目整体毛利目标预算</t>
  </si>
  <si>
    <t>项目开始-当前实际累计</t>
  </si>
  <si>
    <t>2026年YTD</t>
  </si>
  <si>
    <t>偏差（实际-预算）</t>
  </si>
  <si>
    <t>数据分析与说明</t>
  </si>
  <si>
    <t>14个农业项目</t>
  </si>
  <si>
    <t>累计收入（NR）</t>
  </si>
  <si>
    <t>人工成本（成本１）</t>
  </si>
  <si>
    <t>闲置成本（成本2）</t>
  </si>
  <si>
    <t>差旅费（成本３）</t>
  </si>
  <si>
    <t>其他成本（成本３）</t>
  </si>
  <si>
    <t>累计成本</t>
  </si>
  <si>
    <t>GP1毛利</t>
  </si>
  <si>
    <t>GP1毛利率(%)</t>
  </si>
  <si>
    <t>GP3毛利</t>
  </si>
  <si>
    <t>GP3毛利率(%)</t>
  </si>
  <si>
    <t>2026年在行农业项目</t>
  </si>
  <si>
    <t>项目编码</t>
  </si>
  <si>
    <t>项目开始时间</t>
  </si>
  <si>
    <t>项目结束时间</t>
  </si>
  <si>
    <t>1月项目人数</t>
  </si>
  <si>
    <t>2月项目人数</t>
  </si>
  <si>
    <t>3月项目人数</t>
  </si>
  <si>
    <t>4月项目人数</t>
  </si>
  <si>
    <t>5月项目人数</t>
  </si>
  <si>
    <t>6月项目人数</t>
  </si>
  <si>
    <t>7月项目人数</t>
  </si>
  <si>
    <t>8月项目人数</t>
  </si>
  <si>
    <t>9月项目人数</t>
  </si>
  <si>
    <t>10月项目人数</t>
  </si>
  <si>
    <t>11月项目人数</t>
  </si>
  <si>
    <t>12月项目人数</t>
  </si>
  <si>
    <t>结算方式</t>
  </si>
  <si>
    <t>项目开始-25年实际累计</t>
  </si>
  <si>
    <t>26年YTD实际累计12月</t>
  </si>
  <si>
    <t>26年YTD实际累计11月</t>
  </si>
  <si>
    <t>26年YTD实际累计10月</t>
  </si>
  <si>
    <t>26年YTD实际累计9月</t>
  </si>
  <si>
    <t>26年YTD实际累计8月</t>
  </si>
  <si>
    <t>26年YTD实际累计7月</t>
  </si>
  <si>
    <t>26年YTD实际累计6月</t>
  </si>
  <si>
    <t>26年YTD实际累计5月</t>
  </si>
  <si>
    <t>26年YTD实际累计4月</t>
  </si>
  <si>
    <t>26年YTD实际累计3月</t>
  </si>
  <si>
    <t>26年YTD实际累计2月</t>
  </si>
  <si>
    <t>26年YTD实际累计1月</t>
  </si>
  <si>
    <t>项目周期偏差（实际-预估）</t>
  </si>
  <si>
    <t>YTD当年偏差（实际-预估）</t>
  </si>
  <si>
    <t>项目周期偏差原因分析（截止25年底毛利偏差原因）</t>
  </si>
  <si>
    <t>YTD当年偏差原因分析</t>
  </si>
  <si>
    <t>改进措施</t>
  </si>
  <si>
    <t>进展</t>
  </si>
  <si>
    <t>真实经营数据</t>
  </si>
  <si>
    <t>2025年</t>
  </si>
  <si>
    <t>2024年</t>
  </si>
  <si>
    <t>2023年</t>
  </si>
  <si>
    <t>备注</t>
  </si>
  <si>
    <t>P202212000496</t>
  </si>
  <si>
    <t>东部地区畜禽遗传资源基因库建设项目仪器设备采购-软件</t>
  </si>
  <si>
    <t xml:space="preserve"> -   </t>
  </si>
  <si>
    <t/>
  </si>
  <si>
    <t>项目全周期毛利率达标；
农业老项目，24年已交付完，当前在运维期，25年8~12月为报剩余产出填报工时与进度；
25年7月成本为农业采集运维项目部分运维人力成本，该项目于6.底结项，续期合同7月才开始招标故7月无法立项。</t>
  </si>
  <si>
    <t>P202504000428</t>
  </si>
  <si>
    <t>全国畜牧总站-2025年度畜牧业综合信息平台种畜禽运维项目-fp项目</t>
  </si>
  <si>
    <t>周期性运维项目，系统每月自动计入收入，4~8月每月投入人力成本1.86万超出预算</t>
  </si>
  <si>
    <t>11月投入0.48万成本降低</t>
  </si>
  <si>
    <t>2026年已结项</t>
  </si>
  <si>
    <t>P202506000290</t>
  </si>
  <si>
    <t>中监所-2025年OA办公系统升级改造项目-研究生管理模块-FP项目</t>
  </si>
  <si>
    <t>固定投入1人，人力成本已超出预算</t>
  </si>
  <si>
    <t>建议项目经理及时变更后续月份成本投入计划</t>
  </si>
  <si>
    <t>P202507000656</t>
  </si>
  <si>
    <t>全国畜牧总站-畜牧核心数据查询APP开发-FP项目</t>
  </si>
  <si>
    <t>项目已于12月中旬上线了并验收回款，后面不再投入。已投入成本超出预算2W，预计全周期GP3%毛利率7.55%</t>
  </si>
  <si>
    <t>后续不再投入人力，随着交付进度提升毛利率</t>
  </si>
  <si>
    <t>P202508000162</t>
  </si>
  <si>
    <t>农业农村部信息中心-农业信息采集系统2025年度运行维护服务项目-FP运维</t>
  </si>
  <si>
    <t>P202509000658</t>
  </si>
  <si>
    <t>全国畜牧总站-2025年农生物育种大数据与知识产权支撑体系建设联合实施4-FP项目（有分包）</t>
  </si>
  <si>
    <t>农业科研项目，12月成本13.76万，超出当月NR 2.9万，导致亏损</t>
  </si>
  <si>
    <t>d</t>
  </si>
  <si>
    <t>P202511000193</t>
  </si>
  <si>
    <t>中国兽医药品监察所-2025-2026年OA办公系统运行维护服务-FP项目</t>
  </si>
  <si>
    <t>农业运维项目，收入由系统每月自动计入，成本视实际投入情况填报</t>
  </si>
  <si>
    <t>P202512000483</t>
  </si>
  <si>
    <t>审计署审计干部培训中心（审计宣传中心）-信息报送系统2026年度运维服务合同-FP项目</t>
  </si>
  <si>
    <t>P202511000622</t>
  </si>
  <si>
    <t>甘肃省畜牧技术推广总站-甘肃省畜牧业统计监测系统项目2026年度运维-FP项目</t>
  </si>
  <si>
    <t>P202601001368</t>
  </si>
  <si>
    <t>全国畜牧总站-2026年畜牧核心数据查询APP（牧数查）项目-FP项目</t>
  </si>
  <si>
    <t>P202603000431</t>
  </si>
  <si>
    <t>全国畜牧总站-畜牧业综合信息平台种畜禽子系统2026年度运维-FP项目</t>
  </si>
  <si>
    <t>P202212000030</t>
  </si>
  <si>
    <t>2022年安徽省农业科学院畜牧兽医研究所种猪遗传评估系统软件及育种分析服务</t>
  </si>
  <si>
    <t>当前测算毛利率高于预算，原因是实际投入人力成本低于预算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</si>
</sst>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30">
    <font>
      <sz val="11"/>
      <color theme="1"/>
      <name val="宋体"/>
      <charset val="134"/>
      <scheme val="minor"/>
    </font>
    <font>
      <b/>
      <sz val="9"/>
      <name val="微软雅黑"/>
      <charset val="134"/>
    </font>
    <font>
      <sz val="9"/>
      <name val="微软雅黑"/>
      <charset val="134"/>
    </font>
    <font>
      <sz val="9"/>
      <color rgb="FF000000"/>
      <name val="微软雅黑"/>
      <charset val="134"/>
    </font>
    <font>
      <sz val="9"/>
      <color theme="1"/>
      <name val="微软雅黑"/>
      <charset val="134"/>
    </font>
    <font>
      <sz val="9"/>
      <color rgb="FFFF0000"/>
      <name val="微软雅黑"/>
      <charset val="134"/>
    </font>
    <font>
      <b/>
      <sz val="9"/>
      <color rgb="FFFF0000"/>
      <name val="微软雅黑"/>
      <charset val="134"/>
    </font>
    <font>
      <b/>
      <sz val="9"/>
      <color theme="1"/>
      <name val="微软雅黑"/>
      <charset val="134"/>
    </font>
    <font>
      <sz val="11"/>
      <color theme="1"/>
      <name val="微软雅黑"/>
      <charset val="134"/>
    </font>
    <font>
      <b/>
      <sz val="12"/>
      <color theme="1"/>
      <name val="微软雅黑"/>
      <charset val="134"/>
    </font>
    <font>
      <b/>
      <sz val="9"/>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4" tint="0.599993896298105"/>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462874233222"/>
        <bgColor indexed="64"/>
      </patternFill>
    </fill>
    <fill>
      <patternFill patternType="solid">
        <fgColor theme="0" tint="-0.25"/>
        <bgColor indexed="64"/>
      </patternFill>
    </fill>
    <fill>
      <patternFill patternType="solid">
        <fgColor rgb="FFBDD7EE"/>
        <bgColor indexed="64"/>
      </patternFill>
    </fill>
    <fill>
      <patternFill patternType="solid">
        <fgColor rgb="FFFFC000"/>
        <bgColor indexed="64"/>
      </patternFill>
    </fill>
    <fill>
      <patternFill patternType="solid">
        <fgColor theme="8"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style="thin">
        <color auto="1"/>
      </right>
      <top style="medium">
        <color auto="1"/>
      </top>
      <bottom style="thin">
        <color auto="1"/>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style="thin">
        <color rgb="FF000000"/>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10" borderId="14">
      <alignment vertical="center"/>
    </xf>
    <xf numFmtId="0" fontId="13" fillId="0" borderId="0">
      <alignment vertical="center"/>
    </xf>
    <xf numFmtId="0" fontId="14" fillId="0" borderId="0">
      <alignment vertical="center"/>
    </xf>
    <xf numFmtId="0" fontId="15" fillId="0" borderId="0">
      <alignment vertical="center"/>
    </xf>
    <xf numFmtId="0" fontId="16" fillId="0" borderId="15">
      <alignment vertical="center"/>
    </xf>
    <xf numFmtId="0" fontId="17" fillId="0" borderId="15">
      <alignment vertical="center"/>
    </xf>
    <xf numFmtId="0" fontId="18" fillId="0" borderId="16">
      <alignment vertical="center"/>
    </xf>
    <xf numFmtId="0" fontId="18" fillId="0" borderId="0">
      <alignment vertical="center"/>
    </xf>
    <xf numFmtId="0" fontId="19" fillId="11" borderId="17">
      <alignment vertical="center"/>
    </xf>
    <xf numFmtId="0" fontId="20" fillId="12" borderId="18">
      <alignment vertical="center"/>
    </xf>
    <xf numFmtId="0" fontId="21" fillId="12" borderId="17">
      <alignment vertical="center"/>
    </xf>
    <xf numFmtId="0" fontId="22" fillId="13" borderId="19">
      <alignment vertical="center"/>
    </xf>
    <xf numFmtId="0" fontId="23" fillId="0" borderId="20">
      <alignment vertical="center"/>
    </xf>
    <xf numFmtId="0" fontId="24" fillId="0" borderId="21">
      <alignment vertical="center"/>
    </xf>
    <xf numFmtId="0" fontId="25" fillId="14" borderId="0">
      <alignment vertical="center"/>
    </xf>
    <xf numFmtId="0" fontId="26" fillId="15" borderId="0">
      <alignment vertical="center"/>
    </xf>
    <xf numFmtId="0" fontId="27" fillId="16" borderId="0">
      <alignment vertical="center"/>
    </xf>
    <xf numFmtId="0" fontId="28" fillId="17" borderId="0">
      <alignment vertical="center"/>
    </xf>
    <xf numFmtId="0" fontId="29" fillId="18" borderId="0">
      <alignment vertical="center"/>
    </xf>
    <xf numFmtId="0" fontId="29" fillId="2" borderId="0">
      <alignment vertical="center"/>
    </xf>
    <xf numFmtId="0" fontId="28" fillId="19" borderId="0">
      <alignment vertical="center"/>
    </xf>
    <xf numFmtId="0" fontId="28" fillId="20" borderId="0">
      <alignment vertical="center"/>
    </xf>
    <xf numFmtId="0" fontId="29" fillId="21" borderId="0">
      <alignment vertical="center"/>
    </xf>
    <xf numFmtId="0" fontId="29" fillId="22" borderId="0">
      <alignment vertical="center"/>
    </xf>
    <xf numFmtId="0" fontId="28" fillId="23" borderId="0">
      <alignment vertical="center"/>
    </xf>
    <xf numFmtId="0" fontId="28" fillId="24" borderId="0">
      <alignment vertical="center"/>
    </xf>
    <xf numFmtId="0" fontId="29" fillId="25" borderId="0">
      <alignment vertical="center"/>
    </xf>
    <xf numFmtId="0" fontId="29" fillId="26" borderId="0">
      <alignment vertical="center"/>
    </xf>
    <xf numFmtId="0" fontId="28" fillId="27" borderId="0">
      <alignment vertical="center"/>
    </xf>
    <xf numFmtId="0" fontId="28" fillId="28" borderId="0">
      <alignment vertical="center"/>
    </xf>
    <xf numFmtId="0" fontId="29" fillId="29" borderId="0">
      <alignment vertical="center"/>
    </xf>
    <xf numFmtId="0" fontId="29" fillId="30" borderId="0">
      <alignment vertical="center"/>
    </xf>
    <xf numFmtId="0" fontId="28" fillId="31" borderId="0">
      <alignment vertical="center"/>
    </xf>
    <xf numFmtId="0" fontId="28" fillId="32" borderId="0">
      <alignment vertical="center"/>
    </xf>
    <xf numFmtId="0" fontId="29" fillId="33" borderId="0">
      <alignment vertical="center"/>
    </xf>
    <xf numFmtId="0" fontId="29" fillId="34" borderId="0">
      <alignment vertical="center"/>
    </xf>
    <xf numFmtId="0" fontId="28" fillId="35" borderId="0">
      <alignment vertical="center"/>
    </xf>
    <xf numFmtId="0" fontId="28" fillId="36" borderId="0">
      <alignment vertical="center"/>
    </xf>
    <xf numFmtId="0" fontId="29" fillId="37" borderId="0">
      <alignment vertical="center"/>
    </xf>
    <xf numFmtId="0" fontId="29" fillId="38" borderId="0">
      <alignment vertical="center"/>
    </xf>
    <xf numFmtId="0" fontId="28" fillId="39" borderId="0">
      <alignment vertical="center"/>
    </xf>
  </cellStyleXfs>
  <cellXfs count="78">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left" vertical="center" wrapText="1"/>
    </xf>
    <xf numFmtId="14" fontId="3" fillId="0" borderId="1" xfId="0" applyNumberFormat="1" applyFont="1" applyBorder="1" applyAlignment="1">
      <alignment horizontal="center" vertical="center" wrapText="1"/>
    </xf>
    <xf numFmtId="43"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0" borderId="2" xfId="0" applyFont="1" applyBorder="1" applyAlignment="1">
      <alignment horizontal="left" vertical="center" wrapText="1"/>
    </xf>
    <xf numFmtId="0" fontId="3" fillId="0" borderId="2" xfId="0" applyFont="1" applyBorder="1" applyAlignment="1">
      <alignment horizontal="center" vertical="center" wrapText="1"/>
    </xf>
    <xf numFmtId="0" fontId="0" fillId="0" borderId="3" xfId="0" applyBorder="1"/>
    <xf numFmtId="0" fontId="0" fillId="0" borderId="2" xfId="0" applyBorder="1"/>
    <xf numFmtId="0" fontId="3" fillId="0" borderId="2" xfId="0" applyFont="1" applyBorder="1" applyAlignment="1">
      <alignment horizontal="center" vertical="center"/>
    </xf>
    <xf numFmtId="0" fontId="3" fillId="0" borderId="2" xfId="0" applyFont="1" applyBorder="1" applyAlignment="1">
      <alignment horizontal="left" vertical="center" wrapText="1"/>
    </xf>
    <xf numFmtId="14" fontId="3" fillId="0" borderId="2" xfId="0" applyNumberFormat="1" applyFont="1" applyBorder="1" applyAlignment="1">
      <alignment horizontal="center" vertical="center"/>
    </xf>
    <xf numFmtId="14" fontId="2" fillId="0" borderId="4" xfId="0" applyNumberFormat="1" applyFont="1" applyBorder="1" applyAlignment="1">
      <alignment horizontal="left" vertical="center" wrapText="1"/>
    </xf>
    <xf numFmtId="0" fontId="0" fillId="0" borderId="5" xfId="0" applyBorder="1"/>
    <xf numFmtId="0" fontId="0" fillId="0" borderId="4" xfId="0" applyBorder="1"/>
    <xf numFmtId="14" fontId="2" fillId="0" borderId="4" xfId="0" applyNumberFormat="1" applyFont="1" applyBorder="1" applyAlignment="1">
      <alignment horizontal="center" vertical="center" wrapTex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5" borderId="1" xfId="0" applyFont="1" applyFill="1" applyBorder="1" applyAlignment="1">
      <alignment horizontal="center" vertical="center"/>
    </xf>
    <xf numFmtId="0" fontId="3" fillId="0" borderId="1" xfId="0" applyFont="1" applyBorder="1" applyAlignment="1">
      <alignment horizontal="center" vertical="center"/>
    </xf>
    <xf numFmtId="43" fontId="4" fillId="0" borderId="1" xfId="0" applyNumberFormat="1" applyFont="1" applyBorder="1" applyAlignment="1">
      <alignment horizontal="right" vertical="center"/>
    </xf>
    <xf numFmtId="43" fontId="4" fillId="6" borderId="1" xfId="0" applyNumberFormat="1" applyFont="1" applyFill="1" applyBorder="1" applyAlignment="1">
      <alignment horizontal="right" vertical="center"/>
    </xf>
    <xf numFmtId="0" fontId="2" fillId="0" borderId="1" xfId="0" applyFont="1" applyBorder="1" applyAlignment="1">
      <alignment horizontal="center" vertical="center"/>
    </xf>
    <xf numFmtId="43" fontId="2" fillId="0" borderId="1" xfId="0" applyNumberFormat="1" applyFont="1" applyBorder="1" applyAlignment="1">
      <alignment horizontal="right" vertical="center"/>
    </xf>
    <xf numFmtId="43" fontId="2" fillId="6" borderId="1" xfId="0" applyNumberFormat="1" applyFont="1" applyFill="1" applyBorder="1" applyAlignment="1">
      <alignment horizontal="right" vertical="center"/>
    </xf>
    <xf numFmtId="0" fontId="6" fillId="0" borderId="1" xfId="0" applyFont="1" applyBorder="1" applyAlignment="1">
      <alignment horizontal="center" vertical="center"/>
    </xf>
    <xf numFmtId="10" fontId="7" fillId="0" borderId="1" xfId="0" applyNumberFormat="1" applyFont="1" applyBorder="1" applyAlignment="1">
      <alignment horizontal="center" vertical="center"/>
    </xf>
    <xf numFmtId="10" fontId="7" fillId="6" borderId="1" xfId="0" applyNumberFormat="1" applyFont="1" applyFill="1" applyBorder="1" applyAlignment="1">
      <alignment horizontal="center" vertical="center"/>
    </xf>
    <xf numFmtId="0" fontId="2" fillId="0" borderId="2" xfId="0" applyFont="1" applyBorder="1" applyAlignment="1">
      <alignment horizontal="center" vertical="center"/>
    </xf>
    <xf numFmtId="10" fontId="1" fillId="0" borderId="1" xfId="0" applyNumberFormat="1" applyFont="1" applyBorder="1" applyAlignment="1">
      <alignment horizontal="right" vertical="center"/>
    </xf>
    <xf numFmtId="0" fontId="1" fillId="2" borderId="1"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7" xfId="0" applyFont="1" applyFill="1" applyBorder="1" applyAlignment="1">
      <alignment horizontal="center" vertical="center"/>
    </xf>
    <xf numFmtId="0" fontId="6" fillId="3" borderId="5" xfId="0" applyFont="1" applyFill="1" applyBorder="1" applyAlignment="1">
      <alignment horizontal="center" vertical="center"/>
    </xf>
    <xf numFmtId="9" fontId="4" fillId="0" borderId="1" xfId="0" applyNumberFormat="1" applyFont="1" applyBorder="1" applyAlignment="1">
      <alignment horizontal="center" vertical="center"/>
    </xf>
    <xf numFmtId="0" fontId="4" fillId="0" borderId="2" xfId="0" applyFont="1" applyBorder="1" applyAlignment="1">
      <alignment horizontal="center" vertical="center" wrapText="1"/>
    </xf>
    <xf numFmtId="43" fontId="4" fillId="0" borderId="1" xfId="0" applyNumberFormat="1" applyFont="1" applyBorder="1" applyAlignment="1">
      <alignment horizontal="center"/>
    </xf>
    <xf numFmtId="9" fontId="4" fillId="0" borderId="1" xfId="0" applyNumberFormat="1" applyFont="1" applyBorder="1" applyAlignment="1">
      <alignment horizontal="center"/>
    </xf>
    <xf numFmtId="176" fontId="4" fillId="0" borderId="1" xfId="0" applyNumberFormat="1" applyFont="1" applyBorder="1" applyAlignment="1">
      <alignment horizontal="center"/>
    </xf>
    <xf numFmtId="0" fontId="4" fillId="0" borderId="2" xfId="0" applyFont="1" applyBorder="1" applyAlignment="1">
      <alignment horizontal="left" vertical="center" wrapText="1"/>
    </xf>
    <xf numFmtId="10" fontId="5" fillId="0" borderId="2" xfId="0" applyNumberFormat="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6" borderId="1" xfId="0" applyFont="1" applyFill="1" applyBorder="1" applyAlignment="1">
      <alignment horizontal="center" vertical="center"/>
    </xf>
    <xf numFmtId="43" fontId="7" fillId="6" borderId="1" xfId="0" applyNumberFormat="1" applyFont="1" applyFill="1" applyBorder="1" applyAlignment="1">
      <alignment horizontal="center" vertical="center"/>
    </xf>
    <xf numFmtId="43" fontId="4" fillId="6" borderId="8" xfId="0" applyNumberFormat="1" applyFont="1" applyFill="1" applyBorder="1" applyAlignment="1">
      <alignment horizontal="right" vertical="center"/>
    </xf>
    <xf numFmtId="0" fontId="8" fillId="0" borderId="1" xfId="0" applyFont="1" applyBorder="1" applyAlignment="1">
      <alignment horizontal="right" vertical="center"/>
    </xf>
    <xf numFmtId="0" fontId="8" fillId="0" borderId="3" xfId="0" applyFont="1" applyBorder="1" applyAlignment="1">
      <alignment horizontal="center" vertical="center"/>
    </xf>
    <xf numFmtId="43" fontId="4" fillId="6" borderId="9" xfId="0" applyNumberFormat="1" applyFont="1" applyFill="1" applyBorder="1" applyAlignment="1">
      <alignment horizontal="right" vertical="center"/>
    </xf>
    <xf numFmtId="10" fontId="1" fillId="6" borderId="1" xfId="0" applyNumberFormat="1" applyFont="1" applyFill="1" applyBorder="1" applyAlignment="1">
      <alignment horizontal="right" vertical="center"/>
    </xf>
    <xf numFmtId="10" fontId="7" fillId="6" borderId="9" xfId="0" applyNumberFormat="1" applyFont="1" applyFill="1" applyBorder="1" applyAlignment="1">
      <alignment horizontal="center" vertical="center"/>
    </xf>
    <xf numFmtId="43" fontId="3" fillId="6" borderId="10" xfId="0" applyNumberFormat="1" applyFont="1" applyFill="1" applyBorder="1" applyAlignment="1">
      <alignment horizontal="center" vertical="center"/>
    </xf>
    <xf numFmtId="0" fontId="8" fillId="0" borderId="1" xfId="0" applyFont="1" applyBorder="1" applyAlignment="1">
      <alignment horizontal="center" vertical="center"/>
    </xf>
    <xf numFmtId="43" fontId="2" fillId="6" borderId="10" xfId="0" applyNumberFormat="1" applyFont="1" applyFill="1" applyBorder="1" applyAlignment="1">
      <alignment horizontal="right" vertical="center"/>
    </xf>
    <xf numFmtId="43" fontId="4" fillId="6" borderId="11" xfId="0" applyNumberFormat="1" applyFont="1" applyFill="1" applyBorder="1" applyAlignment="1">
      <alignment horizontal="right" vertical="center"/>
    </xf>
    <xf numFmtId="10" fontId="7" fillId="6" borderId="10" xfId="0" applyNumberFormat="1" applyFont="1" applyFill="1" applyBorder="1" applyAlignment="1">
      <alignment horizontal="center" vertical="center"/>
    </xf>
    <xf numFmtId="0" fontId="4" fillId="6" borderId="8" xfId="0" applyFont="1" applyFill="1" applyBorder="1" applyAlignment="1">
      <alignment horizontal="right" vertical="center"/>
    </xf>
    <xf numFmtId="43" fontId="2" fillId="6" borderId="8" xfId="0" applyNumberFormat="1" applyFont="1" applyFill="1" applyBorder="1" applyAlignment="1">
      <alignment horizontal="right" vertical="center"/>
    </xf>
    <xf numFmtId="43" fontId="4" fillId="6" borderId="10" xfId="0" applyNumberFormat="1" applyFont="1" applyFill="1" applyBorder="1" applyAlignment="1">
      <alignment horizontal="right" vertical="center"/>
    </xf>
    <xf numFmtId="0" fontId="8" fillId="6" borderId="8" xfId="0" applyFont="1" applyFill="1" applyBorder="1" applyAlignment="1">
      <alignment horizontal="right" vertical="center"/>
    </xf>
    <xf numFmtId="0" fontId="9" fillId="0" borderId="0" xfId="0" applyFont="1" applyAlignment="1">
      <alignment horizontal="center" vertical="center"/>
    </xf>
    <xf numFmtId="0" fontId="10"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0" fillId="8" borderId="1" xfId="0" applyFont="1" applyFill="1" applyBorder="1" applyAlignment="1">
      <alignment horizontal="center" vertical="center" wrapText="1"/>
    </xf>
    <xf numFmtId="49" fontId="7" fillId="9" borderId="12" xfId="0" applyNumberFormat="1" applyFont="1" applyFill="1" applyBorder="1" applyAlignment="1">
      <alignment horizontal="center" vertical="center"/>
    </xf>
    <xf numFmtId="0" fontId="1" fillId="0" borderId="1" xfId="0" applyFont="1" applyBorder="1" applyAlignment="1">
      <alignment horizontal="center" vertical="center" wrapText="1"/>
    </xf>
    <xf numFmtId="43" fontId="2" fillId="0" borderId="13" xfId="0" applyNumberFormat="1" applyFont="1" applyBorder="1" applyAlignment="1">
      <alignment horizontal="center" vertical="center"/>
    </xf>
    <xf numFmtId="0" fontId="3" fillId="0" borderId="1" xfId="0" applyFont="1" applyBorder="1" applyAlignment="1">
      <alignment vertical="center" wrapText="1"/>
    </xf>
    <xf numFmtId="43" fontId="2" fillId="0" borderId="13" xfId="0" applyNumberFormat="1" applyFont="1" applyBorder="1" applyAlignment="1">
      <alignment horizontal="right" vertical="center"/>
    </xf>
    <xf numFmtId="43" fontId="4" fillId="0" borderId="13" xfId="0" applyNumberFormat="1" applyFont="1" applyBorder="1" applyAlignment="1">
      <alignment horizontal="center" vertical="center"/>
    </xf>
    <xf numFmtId="10" fontId="7" fillId="0" borderId="13" xfId="0" applyNumberFormat="1" applyFont="1" applyBorder="1" applyAlignment="1">
      <alignment horizontal="center" vertical="center"/>
    </xf>
    <xf numFmtId="0" fontId="9" fillId="0" borderId="0" xfId="0" applyFont="1" applyAlignment="1">
      <alignment vertical="center"/>
    </xf>
    <xf numFmtId="0" fontId="10" fillId="7" borderId="2" xfId="0" applyFont="1" applyFill="1" applyBorder="1" applyAlignment="1">
      <alignment horizontal="center" vertical="center" wrapText="1"/>
    </xf>
    <xf numFmtId="0" fontId="6" fillId="7" borderId="2" xfId="0" applyFont="1" applyFill="1" applyBorder="1" applyAlignment="1">
      <alignment horizontal="center" vertical="center" wrapText="1"/>
    </xf>
    <xf numFmtId="0" fontId="10" fillId="8" borderId="2"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FF000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
  <sheetViews>
    <sheetView workbookViewId="0">
      <selection activeCell="D13" sqref="D13"/>
    </sheetView>
  </sheetViews>
  <sheetFormatPr defaultColWidth="9" defaultRowHeight="13.5"/>
  <cols>
    <col min="2" max="2" width="15.8053097345133" customWidth="1"/>
    <col min="3" max="3" width="20.7079646017699" customWidth="1"/>
    <col min="4" max="4" width="17.3982300884956" customWidth="1"/>
    <col min="5" max="5" width="13.9469026548673" customWidth="1"/>
    <col min="6" max="6" width="17.2654867256637" customWidth="1"/>
    <col min="8" max="8" width="11.8230088495575" customWidth="1"/>
    <col min="9" max="9" width="11.7610619469027" customWidth="1"/>
    <col min="10" max="10" width="10.4955752212389" customWidth="1"/>
    <col min="17" max="17" width="12.8141592920354" customWidth="1"/>
    <col min="18" max="18" width="13.8141592920354" customWidth="1"/>
    <col min="19" max="19" width="12.6814159292035" customWidth="1"/>
  </cols>
  <sheetData>
    <row r="1" ht="16.85" customHeight="1" spans="1:1">
      <c r="A1" s="74" t="s">
        <v>0</v>
      </c>
    </row>
    <row r="3" ht="24.75" customHeight="1" spans="1:19">
      <c r="A3" s="75" t="s">
        <v>1</v>
      </c>
      <c r="B3" s="75" t="s">
        <v>2</v>
      </c>
      <c r="C3" s="76" t="s">
        <v>3</v>
      </c>
      <c r="D3" s="76" t="s">
        <v>4</v>
      </c>
      <c r="E3" s="76" t="s">
        <v>5</v>
      </c>
      <c r="F3" s="76" t="s">
        <v>6</v>
      </c>
      <c r="G3" s="77" t="s">
        <v>7</v>
      </c>
      <c r="H3" s="67">
        <v>202612</v>
      </c>
      <c r="I3" s="67">
        <v>202611</v>
      </c>
      <c r="J3" s="67">
        <v>202610</v>
      </c>
      <c r="K3" s="67">
        <v>202609</v>
      </c>
      <c r="L3" s="67">
        <v>202608</v>
      </c>
      <c r="M3" s="67">
        <v>202607</v>
      </c>
      <c r="N3" s="67">
        <v>202606</v>
      </c>
      <c r="O3" s="67">
        <v>202605</v>
      </c>
      <c r="P3" s="67">
        <v>202604</v>
      </c>
      <c r="Q3" s="67">
        <v>202603</v>
      </c>
      <c r="R3" s="67">
        <v>202602</v>
      </c>
      <c r="S3" s="67">
        <v>202601</v>
      </c>
    </row>
    <row r="4" spans="1:19">
      <c r="A4" s="68" t="s">
        <v>8</v>
      </c>
      <c r="B4" s="26" t="s">
        <v>9</v>
      </c>
      <c r="C4" s="69">
        <v>2756226.43</v>
      </c>
      <c r="D4" s="69">
        <v>2216366.37</v>
      </c>
      <c r="E4" s="69">
        <f>SUM(H4:S4)</f>
        <v>698221.69</v>
      </c>
      <c r="F4" s="69">
        <f t="shared" ref="F4:F13" si="0">D4-C4</f>
        <v>-539860.060000001</v>
      </c>
      <c r="G4" s="70"/>
      <c r="H4" s="71">
        <v>0</v>
      </c>
      <c r="I4" s="71">
        <v>0</v>
      </c>
      <c r="J4" s="71">
        <v>0</v>
      </c>
      <c r="K4" s="71">
        <v>0</v>
      </c>
      <c r="L4" s="71">
        <v>0</v>
      </c>
      <c r="M4" s="71">
        <v>0</v>
      </c>
      <c r="N4" s="71">
        <v>0</v>
      </c>
      <c r="O4" s="71">
        <v>0</v>
      </c>
      <c r="P4" s="71">
        <v>0</v>
      </c>
      <c r="Q4" s="71">
        <v>226032.44</v>
      </c>
      <c r="R4" s="71">
        <v>280358.52</v>
      </c>
      <c r="S4" s="71">
        <v>191830.73</v>
      </c>
    </row>
    <row r="5" spans="1:19">
      <c r="A5" s="10"/>
      <c r="B5" s="26" t="s">
        <v>10</v>
      </c>
      <c r="C5" s="69">
        <v>2104438.77</v>
      </c>
      <c r="D5" s="69">
        <v>1883627.39</v>
      </c>
      <c r="E5" s="69">
        <f>SUM(H5:S5)</f>
        <v>596303.05</v>
      </c>
      <c r="F5" s="69">
        <f t="shared" si="0"/>
        <v>-220811.38</v>
      </c>
      <c r="G5" s="10"/>
      <c r="H5" s="71">
        <v>0</v>
      </c>
      <c r="I5" s="71">
        <v>0</v>
      </c>
      <c r="J5" s="71">
        <v>0</v>
      </c>
      <c r="K5" s="71">
        <v>0</v>
      </c>
      <c r="L5" s="71">
        <v>0</v>
      </c>
      <c r="M5" s="71">
        <v>0</v>
      </c>
      <c r="N5" s="71">
        <v>0</v>
      </c>
      <c r="O5" s="71">
        <v>0</v>
      </c>
      <c r="P5" s="71">
        <v>0</v>
      </c>
      <c r="Q5" s="71">
        <v>194294.55</v>
      </c>
      <c r="R5" s="71">
        <v>199527.84</v>
      </c>
      <c r="S5" s="71">
        <v>202480.66</v>
      </c>
    </row>
    <row r="6" spans="1:19">
      <c r="A6" s="10"/>
      <c r="B6" s="26" t="s">
        <v>11</v>
      </c>
      <c r="C6" s="69">
        <v>0</v>
      </c>
      <c r="D6" s="69">
        <v>30547.72</v>
      </c>
      <c r="E6" s="69">
        <f>SUM(H6:S6)</f>
        <v>30547.72</v>
      </c>
      <c r="F6" s="69">
        <f t="shared" si="0"/>
        <v>30547.72</v>
      </c>
      <c r="G6" s="10"/>
      <c r="H6" s="71">
        <v>0</v>
      </c>
      <c r="I6" s="71">
        <v>0</v>
      </c>
      <c r="J6" s="71">
        <v>0</v>
      </c>
      <c r="K6" s="71">
        <v>0</v>
      </c>
      <c r="L6" s="71">
        <v>0</v>
      </c>
      <c r="M6" s="71">
        <v>0</v>
      </c>
      <c r="N6" s="71">
        <v>0</v>
      </c>
      <c r="O6" s="71">
        <v>0</v>
      </c>
      <c r="P6" s="71">
        <v>0</v>
      </c>
      <c r="Q6" s="71">
        <v>11909.61</v>
      </c>
      <c r="R6" s="71">
        <v>18638.11</v>
      </c>
      <c r="S6" s="71">
        <v>0</v>
      </c>
    </row>
    <row r="7" spans="1:19">
      <c r="A7" s="10"/>
      <c r="B7" s="26" t="s">
        <v>12</v>
      </c>
      <c r="C7" s="69">
        <v>70000</v>
      </c>
      <c r="D7" s="69">
        <v>5630.59</v>
      </c>
      <c r="E7" s="69">
        <f>SUM(H7:S7)</f>
        <v>0</v>
      </c>
      <c r="F7" s="69">
        <f t="shared" si="0"/>
        <v>-64369.41</v>
      </c>
      <c r="G7" s="10"/>
      <c r="H7" s="71">
        <v>0</v>
      </c>
      <c r="I7" s="71">
        <v>0</v>
      </c>
      <c r="J7" s="71">
        <v>0</v>
      </c>
      <c r="K7" s="71">
        <v>0</v>
      </c>
      <c r="L7" s="71">
        <v>0</v>
      </c>
      <c r="M7" s="71">
        <v>0</v>
      </c>
      <c r="N7" s="71">
        <v>0</v>
      </c>
      <c r="O7" s="71">
        <v>0</v>
      </c>
      <c r="P7" s="71">
        <v>0</v>
      </c>
      <c r="Q7" s="71">
        <v>0</v>
      </c>
      <c r="R7" s="71">
        <v>0</v>
      </c>
      <c r="S7" s="71">
        <v>0</v>
      </c>
    </row>
    <row r="8" spans="1:19">
      <c r="A8" s="10"/>
      <c r="B8" s="26" t="s">
        <v>13</v>
      </c>
      <c r="C8" s="69">
        <v>99774</v>
      </c>
      <c r="D8" s="69">
        <v>28253.427</v>
      </c>
      <c r="E8" s="69">
        <f>SUM(H8:S8)</f>
        <v>-4911.39</v>
      </c>
      <c r="F8" s="69">
        <f t="shared" si="0"/>
        <v>-71520.573</v>
      </c>
      <c r="G8" s="10"/>
      <c r="H8" s="71">
        <v>0</v>
      </c>
      <c r="I8" s="71">
        <v>0</v>
      </c>
      <c r="J8" s="71">
        <v>0</v>
      </c>
      <c r="K8" s="71">
        <v>0</v>
      </c>
      <c r="L8" s="71">
        <v>0</v>
      </c>
      <c r="M8" s="71">
        <v>0</v>
      </c>
      <c r="N8" s="71">
        <v>0</v>
      </c>
      <c r="O8" s="71">
        <v>0</v>
      </c>
      <c r="P8" s="71">
        <v>0</v>
      </c>
      <c r="Q8" s="71">
        <v>19589.8</v>
      </c>
      <c r="R8" s="71">
        <v>-23756.61</v>
      </c>
      <c r="S8" s="71">
        <v>-744.58</v>
      </c>
    </row>
    <row r="9" spans="1:19">
      <c r="A9" s="10"/>
      <c r="B9" s="26" t="s">
        <v>14</v>
      </c>
      <c r="C9" s="69">
        <f>SUM(C5:C8)</f>
        <v>2274212.77</v>
      </c>
      <c r="D9" s="69">
        <f>SUM(D5:D8)</f>
        <v>1948059.127</v>
      </c>
      <c r="E9" s="69">
        <f>SUM(E5:E8)</f>
        <v>621939.38</v>
      </c>
      <c r="F9" s="69">
        <f t="shared" si="0"/>
        <v>-326153.643</v>
      </c>
      <c r="G9" s="10"/>
      <c r="H9" s="71">
        <f t="shared" ref="H9:S9" si="1">SUM(H5:H8)</f>
        <v>0</v>
      </c>
      <c r="I9" s="71">
        <f t="shared" si="1"/>
        <v>0</v>
      </c>
      <c r="J9" s="71">
        <f t="shared" si="1"/>
        <v>0</v>
      </c>
      <c r="K9" s="71">
        <f t="shared" si="1"/>
        <v>0</v>
      </c>
      <c r="L9" s="71">
        <f t="shared" si="1"/>
        <v>0</v>
      </c>
      <c r="M9" s="71">
        <f t="shared" si="1"/>
        <v>0</v>
      </c>
      <c r="N9" s="71">
        <f t="shared" si="1"/>
        <v>0</v>
      </c>
      <c r="O9" s="71">
        <f t="shared" si="1"/>
        <v>0</v>
      </c>
      <c r="P9" s="71">
        <f t="shared" si="1"/>
        <v>0</v>
      </c>
      <c r="Q9" s="71">
        <f t="shared" si="1"/>
        <v>225793.96</v>
      </c>
      <c r="R9" s="71">
        <f t="shared" si="1"/>
        <v>194409.34</v>
      </c>
      <c r="S9" s="71">
        <f t="shared" si="1"/>
        <v>201736.08</v>
      </c>
    </row>
    <row r="10" spans="1:19">
      <c r="A10" s="10"/>
      <c r="B10" s="26" t="s">
        <v>15</v>
      </c>
      <c r="C10" s="72">
        <f>C4-C5</f>
        <v>651787.660000001</v>
      </c>
      <c r="D10" s="72">
        <f>D4-D5</f>
        <v>332738.98</v>
      </c>
      <c r="E10" s="72">
        <f>E4-E5</f>
        <v>101918.64</v>
      </c>
      <c r="F10" s="72">
        <f t="shared" si="0"/>
        <v>-319048.680000001</v>
      </c>
      <c r="G10" s="10"/>
      <c r="H10" s="72">
        <f t="shared" ref="H10:S10" si="2">H4-H5</f>
        <v>0</v>
      </c>
      <c r="I10" s="72">
        <f t="shared" si="2"/>
        <v>0</v>
      </c>
      <c r="J10" s="72">
        <f t="shared" si="2"/>
        <v>0</v>
      </c>
      <c r="K10" s="72">
        <f t="shared" si="2"/>
        <v>0</v>
      </c>
      <c r="L10" s="72">
        <f t="shared" si="2"/>
        <v>0</v>
      </c>
      <c r="M10" s="72">
        <f t="shared" si="2"/>
        <v>0</v>
      </c>
      <c r="N10" s="72">
        <f t="shared" si="2"/>
        <v>0</v>
      </c>
      <c r="O10" s="72">
        <f t="shared" si="2"/>
        <v>0</v>
      </c>
      <c r="P10" s="72">
        <f t="shared" si="2"/>
        <v>0</v>
      </c>
      <c r="Q10" s="72">
        <f t="shared" si="2"/>
        <v>31737.89</v>
      </c>
      <c r="R10" s="72">
        <f t="shared" si="2"/>
        <v>80830.68</v>
      </c>
      <c r="S10" s="72">
        <f t="shared" si="2"/>
        <v>-10649.93</v>
      </c>
    </row>
    <row r="11" spans="1:19">
      <c r="A11" s="10"/>
      <c r="B11" s="26" t="s">
        <v>16</v>
      </c>
      <c r="C11" s="73">
        <f>C10/C4</f>
        <v>0.236478270763843</v>
      </c>
      <c r="D11" s="73">
        <f>D10/D4</f>
        <v>0.150128148713969</v>
      </c>
      <c r="E11" s="73">
        <f>E10/E4</f>
        <v>0.1459688827484</v>
      </c>
      <c r="F11" s="72">
        <f t="shared" si="0"/>
        <v>-0.0863501220498739</v>
      </c>
      <c r="G11" s="10"/>
      <c r="H11" s="73" t="e">
        <f t="shared" ref="H11:S11" si="3">H10/H4</f>
        <v>#DIV/0!</v>
      </c>
      <c r="I11" s="73" t="e">
        <f t="shared" si="3"/>
        <v>#DIV/0!</v>
      </c>
      <c r="J11" s="73" t="e">
        <f t="shared" si="3"/>
        <v>#DIV/0!</v>
      </c>
      <c r="K11" s="73" t="e">
        <f t="shared" si="3"/>
        <v>#DIV/0!</v>
      </c>
      <c r="L11" s="73" t="e">
        <f t="shared" si="3"/>
        <v>#DIV/0!</v>
      </c>
      <c r="M11" s="73" t="e">
        <f t="shared" si="3"/>
        <v>#DIV/0!</v>
      </c>
      <c r="N11" s="73" t="e">
        <f t="shared" si="3"/>
        <v>#DIV/0!</v>
      </c>
      <c r="O11" s="73" t="e">
        <f t="shared" si="3"/>
        <v>#DIV/0!</v>
      </c>
      <c r="P11" s="73" t="e">
        <f t="shared" si="3"/>
        <v>#DIV/0!</v>
      </c>
      <c r="Q11" s="73">
        <f t="shared" si="3"/>
        <v>0.140412986737656</v>
      </c>
      <c r="R11" s="73">
        <f t="shared" si="3"/>
        <v>0.288311837286058</v>
      </c>
      <c r="S11" s="73">
        <f t="shared" si="3"/>
        <v>-0.055517330304691</v>
      </c>
    </row>
    <row r="12" spans="1:19">
      <c r="A12" s="10"/>
      <c r="B12" s="26" t="s">
        <v>17</v>
      </c>
      <c r="C12" s="72">
        <f>C4-C9</f>
        <v>482013.660000001</v>
      </c>
      <c r="D12" s="72">
        <f>D4-D9</f>
        <v>268307.243</v>
      </c>
      <c r="E12" s="72">
        <f>E4-E9</f>
        <v>76282.3100000001</v>
      </c>
      <c r="F12" s="72">
        <f t="shared" si="0"/>
        <v>-213706.417000001</v>
      </c>
      <c r="G12" s="10"/>
      <c r="H12" s="72">
        <f t="shared" ref="H12:S12" si="4">H4-H9</f>
        <v>0</v>
      </c>
      <c r="I12" s="72">
        <f t="shared" si="4"/>
        <v>0</v>
      </c>
      <c r="J12" s="72">
        <f t="shared" si="4"/>
        <v>0</v>
      </c>
      <c r="K12" s="72">
        <f t="shared" si="4"/>
        <v>0</v>
      </c>
      <c r="L12" s="72">
        <f t="shared" si="4"/>
        <v>0</v>
      </c>
      <c r="M12" s="72">
        <f t="shared" si="4"/>
        <v>0</v>
      </c>
      <c r="N12" s="72">
        <f t="shared" si="4"/>
        <v>0</v>
      </c>
      <c r="O12" s="72">
        <f t="shared" si="4"/>
        <v>0</v>
      </c>
      <c r="P12" s="72">
        <f t="shared" si="4"/>
        <v>0</v>
      </c>
      <c r="Q12" s="72">
        <f t="shared" si="4"/>
        <v>238.48000000004</v>
      </c>
      <c r="R12" s="72">
        <f t="shared" si="4"/>
        <v>85949.18</v>
      </c>
      <c r="S12" s="72">
        <f t="shared" si="4"/>
        <v>-9905.35000000001</v>
      </c>
    </row>
    <row r="13" spans="1:19">
      <c r="A13" s="11"/>
      <c r="B13" s="26" t="s">
        <v>18</v>
      </c>
      <c r="C13" s="73">
        <f>C12/C4</f>
        <v>0.174881734952379</v>
      </c>
      <c r="D13" s="73">
        <f>D12/D4</f>
        <v>0.12105726139492</v>
      </c>
      <c r="E13" s="73">
        <f>E12/E4</f>
        <v>0.10925227774004</v>
      </c>
      <c r="F13" s="72">
        <f t="shared" si="0"/>
        <v>-0.0538244735574585</v>
      </c>
      <c r="G13" s="11"/>
      <c r="H13" s="73" t="e">
        <f t="shared" ref="H13:S13" si="5">H12/H4</f>
        <v>#DIV/0!</v>
      </c>
      <c r="I13" s="73" t="e">
        <f t="shared" si="5"/>
        <v>#DIV/0!</v>
      </c>
      <c r="J13" s="73" t="e">
        <f t="shared" si="5"/>
        <v>#DIV/0!</v>
      </c>
      <c r="K13" s="73" t="e">
        <f t="shared" si="5"/>
        <v>#DIV/0!</v>
      </c>
      <c r="L13" s="73" t="e">
        <f t="shared" si="5"/>
        <v>#DIV/0!</v>
      </c>
      <c r="M13" s="73" t="e">
        <f t="shared" si="5"/>
        <v>#DIV/0!</v>
      </c>
      <c r="N13" s="73" t="e">
        <f t="shared" si="5"/>
        <v>#DIV/0!</v>
      </c>
      <c r="O13" s="73" t="e">
        <f t="shared" si="5"/>
        <v>#DIV/0!</v>
      </c>
      <c r="P13" s="73" t="e">
        <f t="shared" si="5"/>
        <v>#DIV/0!</v>
      </c>
      <c r="Q13" s="73">
        <f t="shared" si="5"/>
        <v>0.00105506979440668</v>
      </c>
      <c r="R13" s="73">
        <f t="shared" si="5"/>
        <v>0.306568817669604</v>
      </c>
      <c r="S13" s="73">
        <f t="shared" si="5"/>
        <v>-0.0516358875348074</v>
      </c>
    </row>
  </sheetData>
  <mergeCells count="2">
    <mergeCell ref="A4:A13"/>
    <mergeCell ref="G4:G13"/>
  </mergeCells>
  <conditionalFormatting sqref="F10:F13">
    <cfRule type="cellIs" dxfId="0" priority="1" operator="lessThan">
      <formula>0</formula>
    </cfRule>
  </conditionalFormatting>
  <conditionalFormatting sqref="C10:E13">
    <cfRule type="cellIs" dxfId="0" priority="16" operator="lessThan">
      <formula>0</formula>
    </cfRule>
  </conditionalFormatting>
  <conditionalFormatting sqref="H10:S13">
    <cfRule type="cellIs" dxfId="0" priority="4" operator="lessThan">
      <formula>0</formula>
    </cfRule>
  </conditionalFormatting>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3"/>
  <sheetViews>
    <sheetView workbookViewId="0">
      <selection activeCell="D3" sqref="D3"/>
    </sheetView>
  </sheetViews>
  <sheetFormatPr defaultColWidth="9" defaultRowHeight="13.5"/>
  <cols>
    <col min="2" max="2" width="14.8141592920354" customWidth="1"/>
    <col min="3" max="3" width="15.4070796460177" customWidth="1"/>
    <col min="4" max="4" width="11.1592920353982" customWidth="1"/>
    <col min="5" max="5" width="15.6017699115044" customWidth="1"/>
    <col min="6" max="6" width="15.141592920354" customWidth="1"/>
    <col min="17" max="17" width="13.283185840708" customWidth="1"/>
    <col min="18" max="18" width="11.9557522123894" customWidth="1"/>
    <col min="19" max="19" width="15.0088495575221" customWidth="1"/>
  </cols>
  <sheetData>
    <row r="1" ht="16.85" customHeight="1" spans="1:1">
      <c r="A1" s="63" t="s">
        <v>19</v>
      </c>
    </row>
    <row r="3" ht="37.15" customHeight="1" spans="1:19">
      <c r="A3" s="64" t="s">
        <v>1</v>
      </c>
      <c r="B3" s="64" t="s">
        <v>2</v>
      </c>
      <c r="C3" s="65" t="s">
        <v>3</v>
      </c>
      <c r="D3" s="65" t="s">
        <v>4</v>
      </c>
      <c r="E3" s="65" t="s">
        <v>5</v>
      </c>
      <c r="F3" s="65" t="s">
        <v>6</v>
      </c>
      <c r="G3" s="66" t="s">
        <v>7</v>
      </c>
      <c r="H3" s="67">
        <v>202612</v>
      </c>
      <c r="I3" s="67">
        <v>202611</v>
      </c>
      <c r="J3" s="67">
        <v>202610</v>
      </c>
      <c r="K3" s="67">
        <v>202609</v>
      </c>
      <c r="L3" s="67">
        <v>202608</v>
      </c>
      <c r="M3" s="67">
        <v>202607</v>
      </c>
      <c r="N3" s="67">
        <v>202606</v>
      </c>
      <c r="O3" s="67">
        <v>202605</v>
      </c>
      <c r="P3" s="67">
        <v>202604</v>
      </c>
      <c r="Q3" s="67">
        <v>202603</v>
      </c>
      <c r="R3" s="67">
        <v>202602</v>
      </c>
      <c r="S3" s="67">
        <v>202601</v>
      </c>
    </row>
    <row r="4" spans="1:19">
      <c r="A4" s="68" t="s">
        <v>8</v>
      </c>
      <c r="B4" s="26" t="s">
        <v>9</v>
      </c>
      <c r="C4" s="69">
        <v>3086320.77</v>
      </c>
      <c r="D4" s="69">
        <v>2544097.347</v>
      </c>
      <c r="E4" s="69">
        <f>SUM(H4:S4)</f>
        <v>698221.56</v>
      </c>
      <c r="F4" s="69">
        <f t="shared" ref="F4:F13" si="0">D4-C4</f>
        <v>-542223.423</v>
      </c>
      <c r="G4" s="70"/>
      <c r="H4" s="71">
        <v>0</v>
      </c>
      <c r="I4" s="71">
        <v>0</v>
      </c>
      <c r="J4" s="71">
        <v>0</v>
      </c>
      <c r="K4" s="71">
        <v>0</v>
      </c>
      <c r="L4" s="71">
        <v>0</v>
      </c>
      <c r="M4" s="71">
        <v>0</v>
      </c>
      <c r="N4" s="71">
        <v>0</v>
      </c>
      <c r="O4" s="71">
        <v>0</v>
      </c>
      <c r="P4" s="71">
        <v>0</v>
      </c>
      <c r="Q4" s="71">
        <v>226032.44</v>
      </c>
      <c r="R4" s="71">
        <v>280358.52</v>
      </c>
      <c r="S4" s="71">
        <v>191830.6</v>
      </c>
    </row>
    <row r="5" spans="1:19">
      <c r="A5" s="10"/>
      <c r="B5" s="26" t="s">
        <v>10</v>
      </c>
      <c r="C5" s="69">
        <v>2312437.77</v>
      </c>
      <c r="D5" s="69">
        <v>2015007.94</v>
      </c>
      <c r="E5" s="69">
        <f>SUM(H5:S5)</f>
        <v>596303.05</v>
      </c>
      <c r="F5" s="69">
        <f t="shared" si="0"/>
        <v>-297429.83</v>
      </c>
      <c r="G5" s="10"/>
      <c r="H5" s="71">
        <v>0</v>
      </c>
      <c r="I5" s="71">
        <v>0</v>
      </c>
      <c r="J5" s="71">
        <v>0</v>
      </c>
      <c r="K5" s="71">
        <v>0</v>
      </c>
      <c r="L5" s="71">
        <v>0</v>
      </c>
      <c r="M5" s="71">
        <v>0</v>
      </c>
      <c r="N5" s="71">
        <v>0</v>
      </c>
      <c r="O5" s="71">
        <v>0</v>
      </c>
      <c r="P5" s="71">
        <v>0</v>
      </c>
      <c r="Q5" s="71">
        <v>194294.55</v>
      </c>
      <c r="R5" s="71">
        <v>199527.84</v>
      </c>
      <c r="S5" s="71">
        <v>202480.66</v>
      </c>
    </row>
    <row r="6" spans="1:19">
      <c r="A6" s="10"/>
      <c r="B6" s="26" t="s">
        <v>11</v>
      </c>
      <c r="C6" s="69">
        <v>0</v>
      </c>
      <c r="D6" s="69">
        <v>30547.72</v>
      </c>
      <c r="E6" s="69">
        <f>SUM(H6:S6)</f>
        <v>30547.72</v>
      </c>
      <c r="F6" s="69">
        <f t="shared" si="0"/>
        <v>30547.72</v>
      </c>
      <c r="G6" s="10"/>
      <c r="H6" s="71">
        <v>0</v>
      </c>
      <c r="I6" s="71">
        <v>0</v>
      </c>
      <c r="J6" s="71">
        <v>0</v>
      </c>
      <c r="K6" s="71">
        <v>0</v>
      </c>
      <c r="L6" s="71">
        <v>0</v>
      </c>
      <c r="M6" s="71">
        <v>0</v>
      </c>
      <c r="N6" s="71">
        <v>0</v>
      </c>
      <c r="O6" s="71">
        <v>0</v>
      </c>
      <c r="P6" s="71">
        <v>0</v>
      </c>
      <c r="Q6" s="71">
        <v>11909.61</v>
      </c>
      <c r="R6" s="71">
        <v>18638.11</v>
      </c>
      <c r="S6" s="71">
        <v>0</v>
      </c>
    </row>
    <row r="7" spans="1:19">
      <c r="A7" s="10"/>
      <c r="B7" s="26" t="s">
        <v>12</v>
      </c>
      <c r="C7" s="69">
        <v>87000</v>
      </c>
      <c r="D7" s="69">
        <v>9748.97</v>
      </c>
      <c r="E7" s="69">
        <f>SUM(H7:S7)</f>
        <v>0</v>
      </c>
      <c r="F7" s="69">
        <f t="shared" si="0"/>
        <v>-77251.03</v>
      </c>
      <c r="G7" s="10"/>
      <c r="H7" s="71">
        <v>0</v>
      </c>
      <c r="I7" s="71">
        <v>0</v>
      </c>
      <c r="J7" s="71">
        <v>0</v>
      </c>
      <c r="K7" s="71">
        <v>0</v>
      </c>
      <c r="L7" s="71">
        <v>0</v>
      </c>
      <c r="M7" s="71">
        <v>0</v>
      </c>
      <c r="N7" s="71">
        <v>0</v>
      </c>
      <c r="O7" s="71">
        <v>0</v>
      </c>
      <c r="P7" s="71">
        <v>0</v>
      </c>
      <c r="Q7" s="71">
        <v>0</v>
      </c>
      <c r="R7" s="71">
        <v>0</v>
      </c>
      <c r="S7" s="71">
        <v>0</v>
      </c>
    </row>
    <row r="8" spans="1:19">
      <c r="A8" s="10"/>
      <c r="B8" s="26" t="s">
        <v>13</v>
      </c>
      <c r="C8" s="69">
        <v>109774</v>
      </c>
      <c r="D8" s="69">
        <v>33624.377</v>
      </c>
      <c r="E8" s="69">
        <f>SUM(H8:S8)</f>
        <v>-4911.39</v>
      </c>
      <c r="F8" s="69">
        <f t="shared" si="0"/>
        <v>-76149.623</v>
      </c>
      <c r="G8" s="10"/>
      <c r="H8" s="71">
        <v>0</v>
      </c>
      <c r="I8" s="71">
        <v>0</v>
      </c>
      <c r="J8" s="71">
        <v>0</v>
      </c>
      <c r="K8" s="71">
        <v>0</v>
      </c>
      <c r="L8" s="71">
        <v>0</v>
      </c>
      <c r="M8" s="71">
        <v>0</v>
      </c>
      <c r="N8" s="71">
        <v>0</v>
      </c>
      <c r="O8" s="71">
        <v>0</v>
      </c>
      <c r="P8" s="71">
        <v>0</v>
      </c>
      <c r="Q8" s="71">
        <v>19589.8</v>
      </c>
      <c r="R8" s="71">
        <v>-23756.61</v>
      </c>
      <c r="S8" s="71">
        <v>-744.58</v>
      </c>
    </row>
    <row r="9" spans="1:19">
      <c r="A9" s="10"/>
      <c r="B9" s="26" t="s">
        <v>14</v>
      </c>
      <c r="C9" s="69">
        <f>SUM(C5:C8)</f>
        <v>2509211.77</v>
      </c>
      <c r="D9" s="69">
        <f>SUM(D5:D8)</f>
        <v>2088929.007</v>
      </c>
      <c r="E9" s="69">
        <f>SUM(E5:E8)</f>
        <v>621939.38</v>
      </c>
      <c r="F9" s="69">
        <f t="shared" si="0"/>
        <v>-420282.763</v>
      </c>
      <c r="G9" s="10"/>
      <c r="H9" s="71">
        <f t="shared" ref="H9:S9" si="1">SUM(H5:H8)</f>
        <v>0</v>
      </c>
      <c r="I9" s="71">
        <f t="shared" si="1"/>
        <v>0</v>
      </c>
      <c r="J9" s="71">
        <f t="shared" si="1"/>
        <v>0</v>
      </c>
      <c r="K9" s="71">
        <f t="shared" si="1"/>
        <v>0</v>
      </c>
      <c r="L9" s="71">
        <f t="shared" si="1"/>
        <v>0</v>
      </c>
      <c r="M9" s="71">
        <f t="shared" si="1"/>
        <v>0</v>
      </c>
      <c r="N9" s="71">
        <f t="shared" si="1"/>
        <v>0</v>
      </c>
      <c r="O9" s="71">
        <f t="shared" si="1"/>
        <v>0</v>
      </c>
      <c r="P9" s="71">
        <f t="shared" si="1"/>
        <v>0</v>
      </c>
      <c r="Q9" s="71">
        <f t="shared" si="1"/>
        <v>225793.96</v>
      </c>
      <c r="R9" s="71">
        <f t="shared" si="1"/>
        <v>194409.34</v>
      </c>
      <c r="S9" s="71">
        <f t="shared" si="1"/>
        <v>201736.08</v>
      </c>
    </row>
    <row r="10" spans="1:19">
      <c r="A10" s="10"/>
      <c r="B10" s="26" t="s">
        <v>15</v>
      </c>
      <c r="C10" s="72">
        <f>C4-C5</f>
        <v>773883</v>
      </c>
      <c r="D10" s="72">
        <f>D4-D5</f>
        <v>529089.407</v>
      </c>
      <c r="E10" s="72">
        <f>E4-E5</f>
        <v>101918.51</v>
      </c>
      <c r="F10" s="72">
        <f t="shared" si="0"/>
        <v>-244793.593</v>
      </c>
      <c r="G10" s="10"/>
      <c r="H10" s="72">
        <f t="shared" ref="H10:S10" si="2">H4-H5</f>
        <v>0</v>
      </c>
      <c r="I10" s="72">
        <f t="shared" si="2"/>
        <v>0</v>
      </c>
      <c r="J10" s="72">
        <f t="shared" si="2"/>
        <v>0</v>
      </c>
      <c r="K10" s="72">
        <f t="shared" si="2"/>
        <v>0</v>
      </c>
      <c r="L10" s="72">
        <f t="shared" si="2"/>
        <v>0</v>
      </c>
      <c r="M10" s="72">
        <f t="shared" si="2"/>
        <v>0</v>
      </c>
      <c r="N10" s="72">
        <f t="shared" si="2"/>
        <v>0</v>
      </c>
      <c r="O10" s="72">
        <f t="shared" si="2"/>
        <v>0</v>
      </c>
      <c r="P10" s="72">
        <f t="shared" si="2"/>
        <v>0</v>
      </c>
      <c r="Q10" s="72">
        <f t="shared" si="2"/>
        <v>31737.89</v>
      </c>
      <c r="R10" s="72">
        <f t="shared" si="2"/>
        <v>80830.68</v>
      </c>
      <c r="S10" s="72">
        <f t="shared" si="2"/>
        <v>-10650.06</v>
      </c>
    </row>
    <row r="11" spans="1:19">
      <c r="A11" s="10"/>
      <c r="B11" s="26" t="s">
        <v>16</v>
      </c>
      <c r="C11" s="73">
        <f>C10/C5</f>
        <v>0.334661113929133</v>
      </c>
      <c r="D11" s="73">
        <f>D10/D5</f>
        <v>0.262574353429099</v>
      </c>
      <c r="E11" s="73">
        <f>E10/E5</f>
        <v>0.170917304548417</v>
      </c>
      <c r="F11" s="72">
        <f t="shared" si="0"/>
        <v>-0.0720867605000342</v>
      </c>
      <c r="G11" s="10"/>
      <c r="H11" s="73" t="e">
        <f t="shared" ref="H11:S11" si="3">H10/H4</f>
        <v>#DIV/0!</v>
      </c>
      <c r="I11" s="73" t="e">
        <f t="shared" si="3"/>
        <v>#DIV/0!</v>
      </c>
      <c r="J11" s="73" t="e">
        <f t="shared" si="3"/>
        <v>#DIV/0!</v>
      </c>
      <c r="K11" s="73" t="e">
        <f t="shared" si="3"/>
        <v>#DIV/0!</v>
      </c>
      <c r="L11" s="73" t="e">
        <f t="shared" si="3"/>
        <v>#DIV/0!</v>
      </c>
      <c r="M11" s="73" t="e">
        <f t="shared" si="3"/>
        <v>#DIV/0!</v>
      </c>
      <c r="N11" s="73" t="e">
        <f t="shared" si="3"/>
        <v>#DIV/0!</v>
      </c>
      <c r="O11" s="73" t="e">
        <f t="shared" si="3"/>
        <v>#DIV/0!</v>
      </c>
      <c r="P11" s="73" t="e">
        <f t="shared" si="3"/>
        <v>#DIV/0!</v>
      </c>
      <c r="Q11" s="73">
        <f t="shared" si="3"/>
        <v>0.140412986737656</v>
      </c>
      <c r="R11" s="73">
        <f t="shared" si="3"/>
        <v>0.288311837286058</v>
      </c>
      <c r="S11" s="73">
        <f t="shared" si="3"/>
        <v>-0.0555180456089904</v>
      </c>
    </row>
    <row r="12" spans="1:19">
      <c r="A12" s="10"/>
      <c r="B12" s="26" t="s">
        <v>17</v>
      </c>
      <c r="C12" s="72">
        <f>C4-C9</f>
        <v>577109</v>
      </c>
      <c r="D12" s="72">
        <f>D4-D9</f>
        <v>455168.34</v>
      </c>
      <c r="E12" s="72">
        <f>E4-E9</f>
        <v>76282.1800000001</v>
      </c>
      <c r="F12" s="72">
        <f t="shared" si="0"/>
        <v>-121940.66</v>
      </c>
      <c r="G12" s="10"/>
      <c r="H12" s="72">
        <f t="shared" ref="H12:S12" si="4">H4-H9</f>
        <v>0</v>
      </c>
      <c r="I12" s="72">
        <f t="shared" si="4"/>
        <v>0</v>
      </c>
      <c r="J12" s="72">
        <f t="shared" si="4"/>
        <v>0</v>
      </c>
      <c r="K12" s="72">
        <f t="shared" si="4"/>
        <v>0</v>
      </c>
      <c r="L12" s="72">
        <f t="shared" si="4"/>
        <v>0</v>
      </c>
      <c r="M12" s="72">
        <f t="shared" si="4"/>
        <v>0</v>
      </c>
      <c r="N12" s="72">
        <f t="shared" si="4"/>
        <v>0</v>
      </c>
      <c r="O12" s="72">
        <f t="shared" si="4"/>
        <v>0</v>
      </c>
      <c r="P12" s="72">
        <f t="shared" si="4"/>
        <v>0</v>
      </c>
      <c r="Q12" s="72">
        <f t="shared" si="4"/>
        <v>238.48000000004</v>
      </c>
      <c r="R12" s="72">
        <f t="shared" si="4"/>
        <v>85949.18</v>
      </c>
      <c r="S12" s="72">
        <f t="shared" si="4"/>
        <v>-9905.48000000001</v>
      </c>
    </row>
    <row r="13" spans="1:19">
      <c r="A13" s="11"/>
      <c r="B13" s="26" t="s">
        <v>18</v>
      </c>
      <c r="C13" s="73">
        <f>C12/C4</f>
        <v>0.186989312844497</v>
      </c>
      <c r="D13" s="73">
        <f>D12/D4</f>
        <v>0.178911526532872</v>
      </c>
      <c r="E13" s="73">
        <f>E12/E4</f>
        <v>0.10925211189411</v>
      </c>
      <c r="F13" s="72">
        <f t="shared" si="0"/>
        <v>-0.00807778631162523</v>
      </c>
      <c r="G13" s="11"/>
      <c r="H13" s="73" t="e">
        <f t="shared" ref="H13:S13" si="5">H12/H4</f>
        <v>#DIV/0!</v>
      </c>
      <c r="I13" s="73" t="e">
        <f t="shared" si="5"/>
        <v>#DIV/0!</v>
      </c>
      <c r="J13" s="73" t="e">
        <f t="shared" si="5"/>
        <v>#DIV/0!</v>
      </c>
      <c r="K13" s="73" t="e">
        <f t="shared" si="5"/>
        <v>#DIV/0!</v>
      </c>
      <c r="L13" s="73" t="e">
        <f t="shared" si="5"/>
        <v>#DIV/0!</v>
      </c>
      <c r="M13" s="73" t="e">
        <f t="shared" si="5"/>
        <v>#DIV/0!</v>
      </c>
      <c r="N13" s="73" t="e">
        <f t="shared" si="5"/>
        <v>#DIV/0!</v>
      </c>
      <c r="O13" s="73" t="e">
        <f t="shared" si="5"/>
        <v>#DIV/0!</v>
      </c>
      <c r="P13" s="73" t="e">
        <f t="shared" si="5"/>
        <v>#DIV/0!</v>
      </c>
      <c r="Q13" s="73">
        <f t="shared" si="5"/>
        <v>0.00105506979440668</v>
      </c>
      <c r="R13" s="73">
        <f t="shared" si="5"/>
        <v>0.306568817669604</v>
      </c>
      <c r="S13" s="73">
        <f t="shared" si="5"/>
        <v>-0.0516366002087259</v>
      </c>
    </row>
  </sheetData>
  <mergeCells count="2">
    <mergeCell ref="A4:A13"/>
    <mergeCell ref="G4:G13"/>
  </mergeCells>
  <conditionalFormatting sqref="C10:C13">
    <cfRule type="cellIs" dxfId="0" priority="1" operator="lessThan">
      <formula>0</formula>
    </cfRule>
  </conditionalFormatting>
  <conditionalFormatting sqref="D10:D13">
    <cfRule type="cellIs" dxfId="0" priority="2" operator="lessThan">
      <formula>0</formula>
    </cfRule>
  </conditionalFormatting>
  <conditionalFormatting sqref="E10:E13">
    <cfRule type="cellIs" dxfId="0" priority="6" operator="lessThan">
      <formula>0</formula>
    </cfRule>
  </conditionalFormatting>
  <conditionalFormatting sqref="F10:F13">
    <cfRule type="cellIs" dxfId="0" priority="5" operator="lessThan">
      <formula>0</formula>
    </cfRule>
  </conditionalFormatting>
  <conditionalFormatting sqref="H10:S13">
    <cfRule type="cellIs" dxfId="0" priority="18" operator="lessThan">
      <formula>0</formula>
    </cfRule>
  </conditionalFormatting>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11"/>
  <sheetViews>
    <sheetView tabSelected="1" topLeftCell="A30" workbookViewId="0">
      <selection activeCell="G92" sqref="G92:G101"/>
    </sheetView>
  </sheetViews>
  <sheetFormatPr defaultColWidth="9" defaultRowHeight="13.5"/>
  <cols>
    <col min="1" max="1" width="14.4778761061947" customWidth="1"/>
    <col min="2" max="2" width="76.1327433628319" customWidth="1"/>
    <col min="18" max="18" width="13.8141592920354" customWidth="1"/>
    <col min="19" max="19" width="17.3274336283186" customWidth="1"/>
    <col min="20" max="20" width="13.9469026548673" customWidth="1"/>
    <col min="50" max="50" width="9.76991150442478"/>
    <col min="52" max="52" width="10.2920353982301" customWidth="1"/>
    <col min="53" max="53" width="9.76991150442478"/>
  </cols>
  <sheetData>
    <row r="1" ht="61.9" spans="1:56">
      <c r="A1" s="1" t="s">
        <v>20</v>
      </c>
      <c r="B1" s="1" t="s">
        <v>1</v>
      </c>
      <c r="C1" s="1" t="s">
        <v>21</v>
      </c>
      <c r="D1" s="1" t="s">
        <v>22</v>
      </c>
      <c r="E1" s="1" t="s">
        <v>23</v>
      </c>
      <c r="F1" s="2" t="s">
        <v>24</v>
      </c>
      <c r="G1" s="1" t="s">
        <v>25</v>
      </c>
      <c r="H1" s="1" t="s">
        <v>26</v>
      </c>
      <c r="I1" s="1" t="s">
        <v>27</v>
      </c>
      <c r="J1" s="1" t="s">
        <v>28</v>
      </c>
      <c r="K1" s="1" t="s">
        <v>29</v>
      </c>
      <c r="L1" s="1" t="s">
        <v>30</v>
      </c>
      <c r="M1" s="1" t="s">
        <v>31</v>
      </c>
      <c r="N1" s="1" t="s">
        <v>32</v>
      </c>
      <c r="O1" s="1" t="s">
        <v>33</v>
      </c>
      <c r="P1" s="1" t="s">
        <v>34</v>
      </c>
      <c r="Q1" s="1" t="s">
        <v>35</v>
      </c>
      <c r="R1" s="1" t="s">
        <v>2</v>
      </c>
      <c r="S1" s="19" t="s">
        <v>3</v>
      </c>
      <c r="T1" s="20" t="s">
        <v>4</v>
      </c>
      <c r="U1" s="21" t="s">
        <v>36</v>
      </c>
      <c r="V1" s="22" t="s">
        <v>37</v>
      </c>
      <c r="W1" s="22" t="s">
        <v>38</v>
      </c>
      <c r="X1" s="22" t="s">
        <v>39</v>
      </c>
      <c r="Y1" s="22" t="s">
        <v>40</v>
      </c>
      <c r="Z1" s="22" t="s">
        <v>41</v>
      </c>
      <c r="AA1" s="22" t="s">
        <v>42</v>
      </c>
      <c r="AB1" s="22" t="s">
        <v>43</v>
      </c>
      <c r="AC1" s="22" t="s">
        <v>44</v>
      </c>
      <c r="AD1" s="22" t="s">
        <v>45</v>
      </c>
      <c r="AE1" s="22" t="s">
        <v>46</v>
      </c>
      <c r="AF1" s="2" t="s">
        <v>47</v>
      </c>
      <c r="AG1" s="22" t="s">
        <v>48</v>
      </c>
      <c r="AH1" s="34" t="s">
        <v>49</v>
      </c>
      <c r="AI1" s="34" t="s">
        <v>50</v>
      </c>
      <c r="AJ1" s="35" t="s">
        <v>51</v>
      </c>
      <c r="AK1" s="36" t="s">
        <v>52</v>
      </c>
      <c r="AL1" s="36" t="s">
        <v>53</v>
      </c>
      <c r="AM1" s="36" t="s">
        <v>54</v>
      </c>
      <c r="AN1" s="37" t="s">
        <v>55</v>
      </c>
      <c r="AO1" s="22">
        <v>202612</v>
      </c>
      <c r="AP1" s="22">
        <v>202611</v>
      </c>
      <c r="AQ1" s="22">
        <v>202610</v>
      </c>
      <c r="AR1" s="22">
        <v>202609</v>
      </c>
      <c r="AS1" s="22">
        <v>202608</v>
      </c>
      <c r="AT1" s="22">
        <v>202607</v>
      </c>
      <c r="AU1" s="22">
        <v>202606</v>
      </c>
      <c r="AV1" s="22">
        <v>202605</v>
      </c>
      <c r="AW1" s="22">
        <v>202604</v>
      </c>
      <c r="AX1" s="22">
        <v>202603</v>
      </c>
      <c r="AY1" s="22">
        <v>202602</v>
      </c>
      <c r="AZ1" s="22">
        <v>202601</v>
      </c>
      <c r="BA1" s="46" t="s">
        <v>56</v>
      </c>
      <c r="BB1" s="46" t="s">
        <v>57</v>
      </c>
      <c r="BC1" s="46" t="s">
        <v>58</v>
      </c>
      <c r="BD1" s="22" t="s">
        <v>59</v>
      </c>
    </row>
    <row r="2" ht="15" spans="1:56">
      <c r="A2" s="3" t="s">
        <v>60</v>
      </c>
      <c r="B2" s="4" t="s">
        <v>61</v>
      </c>
      <c r="C2" s="5">
        <v>44917</v>
      </c>
      <c r="D2" s="5">
        <v>46326</v>
      </c>
      <c r="E2" s="6"/>
      <c r="F2" s="7" t="s">
        <v>62</v>
      </c>
      <c r="G2" s="8">
        <v>0.727</v>
      </c>
      <c r="H2" s="9"/>
      <c r="I2" s="9"/>
      <c r="J2" s="9"/>
      <c r="K2" s="9"/>
      <c r="L2" s="9"/>
      <c r="M2" s="9"/>
      <c r="N2" s="9"/>
      <c r="O2" s="9"/>
      <c r="P2" s="6"/>
      <c r="Q2" s="9" t="s">
        <v>63</v>
      </c>
      <c r="R2" s="23" t="s">
        <v>9</v>
      </c>
      <c r="S2" s="24">
        <v>351886.79</v>
      </c>
      <c r="T2" s="24">
        <f>SUM(AO2:BC2)</f>
        <v>349989.63</v>
      </c>
      <c r="U2" s="25">
        <f>SUM(BA2:BC2)</f>
        <v>260990.67</v>
      </c>
      <c r="V2" s="24">
        <f>SUM(AO2:AZ2)</f>
        <v>88998.96</v>
      </c>
      <c r="W2" s="24">
        <f>SUM(AP2:AZ2)</f>
        <v>88998.96</v>
      </c>
      <c r="X2" s="24">
        <f>SUM(AQ2:AZ2)</f>
        <v>88998.96</v>
      </c>
      <c r="Y2" s="24">
        <f>SUM(AR2:AZ2)</f>
        <v>88998.96</v>
      </c>
      <c r="Z2" s="24">
        <f>SUM(AS2:AZ2)</f>
        <v>88998.96</v>
      </c>
      <c r="AA2" s="24">
        <f>SUM(AT2:AZ2)</f>
        <v>88998.96</v>
      </c>
      <c r="AB2" s="24">
        <f>SUM(AU2:AZ2)</f>
        <v>88998.96</v>
      </c>
      <c r="AC2" s="24">
        <f>SUM(AV2:AZ2)</f>
        <v>88998.96</v>
      </c>
      <c r="AD2" s="24">
        <f>SUM(AW2:AZ2)</f>
        <v>88998.96</v>
      </c>
      <c r="AE2" s="24">
        <f>SUM(AX2:AZ2)</f>
        <v>88998.96</v>
      </c>
      <c r="AF2" s="24">
        <f>SUM(AY2:AZ2)</f>
        <v>66560.5</v>
      </c>
      <c r="AG2" s="24">
        <f>SUM(AZ2:AZ2)</f>
        <v>0</v>
      </c>
      <c r="AH2" s="38">
        <v>0</v>
      </c>
      <c r="AI2" s="38">
        <v>0</v>
      </c>
      <c r="AJ2" s="39" t="s">
        <v>63</v>
      </c>
      <c r="AK2" s="4" t="s">
        <v>64</v>
      </c>
      <c r="AL2" s="40" t="s">
        <v>63</v>
      </c>
      <c r="AM2" s="40" t="s">
        <v>63</v>
      </c>
      <c r="AN2" s="7"/>
      <c r="AO2" s="24">
        <v>0</v>
      </c>
      <c r="AP2" s="24">
        <v>0</v>
      </c>
      <c r="AQ2" s="24">
        <v>0</v>
      </c>
      <c r="AR2" s="24">
        <v>0</v>
      </c>
      <c r="AS2" s="24">
        <v>0</v>
      </c>
      <c r="AT2" s="24">
        <v>0</v>
      </c>
      <c r="AU2" s="24">
        <v>0</v>
      </c>
      <c r="AV2" s="24">
        <v>0</v>
      </c>
      <c r="AW2" s="24">
        <v>0</v>
      </c>
      <c r="AX2" s="24">
        <v>22438.46</v>
      </c>
      <c r="AY2" s="24">
        <v>66560.5</v>
      </c>
      <c r="AZ2" s="24">
        <v>0</v>
      </c>
      <c r="BA2" s="47">
        <v>32200.04</v>
      </c>
      <c r="BB2" s="25">
        <v>7052.56</v>
      </c>
      <c r="BC2" s="48">
        <v>221738.07</v>
      </c>
      <c r="BD2" s="49" t="s">
        <v>63</v>
      </c>
    </row>
    <row r="3" ht="15" spans="1:56">
      <c r="A3" s="10"/>
      <c r="B3" s="10"/>
      <c r="C3" s="10"/>
      <c r="D3" s="10"/>
      <c r="E3" s="10"/>
      <c r="F3" s="10"/>
      <c r="G3" s="10"/>
      <c r="H3" s="10"/>
      <c r="I3" s="10"/>
      <c r="J3" s="10"/>
      <c r="K3" s="10"/>
      <c r="L3" s="10"/>
      <c r="M3" s="10"/>
      <c r="N3" s="10"/>
      <c r="O3" s="10"/>
      <c r="P3" s="10"/>
      <c r="Q3" s="10"/>
      <c r="R3" s="23" t="s">
        <v>10</v>
      </c>
      <c r="S3" s="24">
        <v>235685.1</v>
      </c>
      <c r="T3" s="24">
        <f>SUM(AO3:BC3)</f>
        <v>231683.38</v>
      </c>
      <c r="U3" s="25">
        <f>SUM(BA3:BC3)</f>
        <v>197558.85</v>
      </c>
      <c r="V3" s="24">
        <f>SUM(AO3:AZ3)</f>
        <v>34124.53</v>
      </c>
      <c r="W3" s="24">
        <f>SUM(AP3:AZ3)</f>
        <v>34124.53</v>
      </c>
      <c r="X3" s="24">
        <f>SUM(AQ3:AZ3)</f>
        <v>34124.53</v>
      </c>
      <c r="Y3" s="24">
        <f>SUM(AR3:AZ3)</f>
        <v>34124.53</v>
      </c>
      <c r="Z3" s="24">
        <f>SUM(AS3:AZ3)</f>
        <v>34124.53</v>
      </c>
      <c r="AA3" s="24">
        <f>SUM(AT3:AZ3)</f>
        <v>34124.53</v>
      </c>
      <c r="AB3" s="24">
        <f>SUM(AU3:AZ3)</f>
        <v>34124.53</v>
      </c>
      <c r="AC3" s="24">
        <f>SUM(AV3:AZ3)</f>
        <v>34124.53</v>
      </c>
      <c r="AD3" s="24">
        <f>SUM(AW3:AZ3)</f>
        <v>34124.53</v>
      </c>
      <c r="AE3" s="24">
        <f>SUM(AX3:AZ3)</f>
        <v>34124.53</v>
      </c>
      <c r="AF3" s="24">
        <f>SUM(AY3:AZ3)</f>
        <v>20617.93</v>
      </c>
      <c r="AG3" s="24">
        <f>SUM(AZ3:AZ3)</f>
        <v>20617.93</v>
      </c>
      <c r="AH3" s="38">
        <v>0</v>
      </c>
      <c r="AI3" s="38">
        <v>0</v>
      </c>
      <c r="AJ3" s="10"/>
      <c r="AK3" s="10"/>
      <c r="AL3" s="10"/>
      <c r="AM3" s="10"/>
      <c r="AN3" s="10"/>
      <c r="AO3" s="24">
        <v>0</v>
      </c>
      <c r="AP3" s="24">
        <v>0</v>
      </c>
      <c r="AQ3" s="24">
        <v>0</v>
      </c>
      <c r="AR3" s="24">
        <v>0</v>
      </c>
      <c r="AS3" s="24">
        <v>0</v>
      </c>
      <c r="AT3" s="24">
        <v>0</v>
      </c>
      <c r="AU3" s="24">
        <v>0</v>
      </c>
      <c r="AV3" s="24">
        <v>0</v>
      </c>
      <c r="AW3" s="24">
        <v>0</v>
      </c>
      <c r="AX3" s="24">
        <v>13506.6</v>
      </c>
      <c r="AY3" s="24">
        <v>0</v>
      </c>
      <c r="AZ3" s="24">
        <v>20617.93</v>
      </c>
      <c r="BA3" s="47">
        <v>91878.26</v>
      </c>
      <c r="BB3" s="25">
        <v>2631.75</v>
      </c>
      <c r="BC3" s="48">
        <v>103048.84</v>
      </c>
      <c r="BD3" s="49" t="s">
        <v>63</v>
      </c>
    </row>
    <row r="4" ht="15" spans="1:56">
      <c r="A4" s="10"/>
      <c r="B4" s="10"/>
      <c r="C4" s="10"/>
      <c r="D4" s="10"/>
      <c r="E4" s="10"/>
      <c r="F4" s="10"/>
      <c r="G4" s="10"/>
      <c r="H4" s="10"/>
      <c r="I4" s="10"/>
      <c r="J4" s="10"/>
      <c r="K4" s="10"/>
      <c r="L4" s="10"/>
      <c r="M4" s="10"/>
      <c r="N4" s="10"/>
      <c r="O4" s="10"/>
      <c r="P4" s="10"/>
      <c r="Q4" s="10"/>
      <c r="R4" s="26" t="s">
        <v>11</v>
      </c>
      <c r="S4" s="24">
        <v>0</v>
      </c>
      <c r="T4" s="24">
        <f>SUM(AO4:BC4)</f>
        <v>0</v>
      </c>
      <c r="U4" s="25">
        <f>SUM(BA4:BC4)</f>
        <v>0</v>
      </c>
      <c r="V4" s="24">
        <v>0</v>
      </c>
      <c r="W4" s="24">
        <v>0</v>
      </c>
      <c r="X4" s="24">
        <v>0</v>
      </c>
      <c r="Y4" s="24">
        <v>0</v>
      </c>
      <c r="Z4" s="24">
        <v>0</v>
      </c>
      <c r="AA4" s="24">
        <v>0</v>
      </c>
      <c r="AB4" s="24">
        <v>0</v>
      </c>
      <c r="AC4" s="24">
        <v>0</v>
      </c>
      <c r="AD4" s="24">
        <v>0</v>
      </c>
      <c r="AE4" s="24">
        <v>0</v>
      </c>
      <c r="AF4" s="24">
        <v>0</v>
      </c>
      <c r="AG4" s="24">
        <v>0</v>
      </c>
      <c r="AH4" s="38">
        <v>0</v>
      </c>
      <c r="AI4" s="38">
        <v>0</v>
      </c>
      <c r="AJ4" s="10"/>
      <c r="AK4" s="10"/>
      <c r="AL4" s="10"/>
      <c r="AM4" s="10"/>
      <c r="AN4" s="10"/>
      <c r="AO4" s="24">
        <v>0</v>
      </c>
      <c r="AP4" s="24">
        <v>0</v>
      </c>
      <c r="AQ4" s="24">
        <v>0</v>
      </c>
      <c r="AR4" s="24">
        <v>0</v>
      </c>
      <c r="AS4" s="24">
        <v>0</v>
      </c>
      <c r="AT4" s="24">
        <v>0</v>
      </c>
      <c r="AU4" s="24">
        <v>0</v>
      </c>
      <c r="AV4" s="24">
        <v>0</v>
      </c>
      <c r="AW4" s="24">
        <v>0</v>
      </c>
      <c r="AX4" s="24">
        <v>0</v>
      </c>
      <c r="AY4" s="24">
        <v>0</v>
      </c>
      <c r="AZ4" s="24">
        <v>0</v>
      </c>
      <c r="BA4" s="47">
        <v>0</v>
      </c>
      <c r="BB4" s="25">
        <v>0</v>
      </c>
      <c r="BC4" s="48">
        <v>0</v>
      </c>
      <c r="BD4" s="49" t="s">
        <v>63</v>
      </c>
    </row>
    <row r="5" ht="15" spans="1:56">
      <c r="A5" s="10"/>
      <c r="B5" s="10"/>
      <c r="C5" s="10"/>
      <c r="D5" s="10"/>
      <c r="E5" s="10"/>
      <c r="F5" s="10"/>
      <c r="G5" s="10"/>
      <c r="H5" s="10"/>
      <c r="I5" s="10"/>
      <c r="J5" s="10"/>
      <c r="K5" s="10"/>
      <c r="L5" s="10"/>
      <c r="M5" s="10"/>
      <c r="N5" s="10"/>
      <c r="O5" s="10"/>
      <c r="P5" s="10"/>
      <c r="Q5" s="10"/>
      <c r="R5" s="23" t="s">
        <v>12</v>
      </c>
      <c r="S5" s="24">
        <v>24000</v>
      </c>
      <c r="T5" s="24">
        <f>SUM(AO5:BC5)</f>
        <v>5630.59</v>
      </c>
      <c r="U5" s="25">
        <f>SUM(BA5:BC5)</f>
        <v>5630.59</v>
      </c>
      <c r="V5" s="24">
        <f>SUM(AO5:AZ5)</f>
        <v>0</v>
      </c>
      <c r="W5" s="24">
        <f>SUM(AP5:AZ5)</f>
        <v>0</v>
      </c>
      <c r="X5" s="24">
        <f>SUM(AQ5:AZ5)</f>
        <v>0</v>
      </c>
      <c r="Y5" s="24">
        <f>SUM(AR5:AZ5)</f>
        <v>0</v>
      </c>
      <c r="Z5" s="24">
        <f>SUM(AS5:AZ5)</f>
        <v>0</v>
      </c>
      <c r="AA5" s="24">
        <f>SUM(AT5:AZ5)</f>
        <v>0</v>
      </c>
      <c r="AB5" s="24">
        <f>SUM(AU5:AZ5)</f>
        <v>0</v>
      </c>
      <c r="AC5" s="24">
        <f>SUM(AV5:AZ5)</f>
        <v>0</v>
      </c>
      <c r="AD5" s="24">
        <f>SUM(AW5:AZ5)</f>
        <v>0</v>
      </c>
      <c r="AE5" s="24">
        <f>SUM(AX5:AZ5)</f>
        <v>0</v>
      </c>
      <c r="AF5" s="24">
        <f>SUM(AY5:AZ5)</f>
        <v>0</v>
      </c>
      <c r="AG5" s="24">
        <f>SUM(AZ5:AZ5)</f>
        <v>0</v>
      </c>
      <c r="AH5" s="38">
        <v>0</v>
      </c>
      <c r="AI5" s="38">
        <v>0</v>
      </c>
      <c r="AJ5" s="10"/>
      <c r="AK5" s="10"/>
      <c r="AL5" s="10"/>
      <c r="AM5" s="10"/>
      <c r="AN5" s="10"/>
      <c r="AO5" s="24">
        <v>0</v>
      </c>
      <c r="AP5" s="24">
        <v>0</v>
      </c>
      <c r="AQ5" s="24">
        <v>0</v>
      </c>
      <c r="AR5" s="24">
        <v>0</v>
      </c>
      <c r="AS5" s="24">
        <v>0</v>
      </c>
      <c r="AT5" s="24">
        <v>0</v>
      </c>
      <c r="AU5" s="24">
        <v>0</v>
      </c>
      <c r="AV5" s="24">
        <v>0</v>
      </c>
      <c r="AW5" s="24">
        <v>0</v>
      </c>
      <c r="AX5" s="24">
        <v>0</v>
      </c>
      <c r="AY5" s="24">
        <v>0</v>
      </c>
      <c r="AZ5" s="24">
        <v>0</v>
      </c>
      <c r="BA5" s="47">
        <v>306.5</v>
      </c>
      <c r="BB5" s="25">
        <v>0</v>
      </c>
      <c r="BC5" s="48">
        <v>5324.09</v>
      </c>
      <c r="BD5" s="49" t="s">
        <v>63</v>
      </c>
    </row>
    <row r="6" ht="15" spans="1:56">
      <c r="A6" s="10"/>
      <c r="B6" s="10"/>
      <c r="C6" s="10"/>
      <c r="D6" s="10"/>
      <c r="E6" s="10"/>
      <c r="F6" s="10"/>
      <c r="G6" s="10"/>
      <c r="H6" s="10"/>
      <c r="I6" s="10"/>
      <c r="J6" s="10"/>
      <c r="K6" s="10"/>
      <c r="L6" s="10"/>
      <c r="M6" s="10"/>
      <c r="N6" s="10"/>
      <c r="O6" s="10"/>
      <c r="P6" s="10"/>
      <c r="Q6" s="10"/>
      <c r="R6" s="23" t="s">
        <v>13</v>
      </c>
      <c r="S6" s="24">
        <v>6700</v>
      </c>
      <c r="T6" s="24">
        <f>SUM(AO6:BC6)</f>
        <v>56790.417</v>
      </c>
      <c r="U6" s="25">
        <f>SUM(BA6:BC6)</f>
        <v>37071.277</v>
      </c>
      <c r="V6" s="24">
        <f>SUM(AO6:AZ6)</f>
        <v>19719.14</v>
      </c>
      <c r="W6" s="24">
        <f>SUM(AP6:AZ6)</f>
        <v>19719.14</v>
      </c>
      <c r="X6" s="24">
        <f>SUM(AQ6:AZ6)</f>
        <v>19719.14</v>
      </c>
      <c r="Y6" s="24">
        <f>SUM(AR6:AZ6)</f>
        <v>19719.14</v>
      </c>
      <c r="Z6" s="24">
        <f>SUM(AS6:AZ6)</f>
        <v>19719.14</v>
      </c>
      <c r="AA6" s="24">
        <f>SUM(AT6:AZ6)</f>
        <v>19719.14</v>
      </c>
      <c r="AB6" s="24">
        <f>SUM(AU6:AZ6)</f>
        <v>19719.14</v>
      </c>
      <c r="AC6" s="24">
        <f>SUM(AV6:AZ6)</f>
        <v>19719.14</v>
      </c>
      <c r="AD6" s="24">
        <f>SUM(AW6:AZ6)</f>
        <v>19719.14</v>
      </c>
      <c r="AE6" s="24">
        <f>SUM(AX6:AZ6)</f>
        <v>19719.14</v>
      </c>
      <c r="AF6" s="24">
        <f>SUM(AY6:AZ6)</f>
        <v>-94.89</v>
      </c>
      <c r="AG6" s="24">
        <f>SUM(AZ6:AZ6)</f>
        <v>-82.99</v>
      </c>
      <c r="AH6" s="38">
        <v>0</v>
      </c>
      <c r="AI6" s="38">
        <v>0</v>
      </c>
      <c r="AJ6" s="10"/>
      <c r="AK6" s="10"/>
      <c r="AL6" s="10"/>
      <c r="AM6" s="10"/>
      <c r="AN6" s="10"/>
      <c r="AO6" s="24">
        <v>0</v>
      </c>
      <c r="AP6" s="24">
        <v>0</v>
      </c>
      <c r="AQ6" s="24">
        <v>0</v>
      </c>
      <c r="AR6" s="24">
        <v>0</v>
      </c>
      <c r="AS6" s="24">
        <v>0</v>
      </c>
      <c r="AT6" s="24">
        <v>0</v>
      </c>
      <c r="AU6" s="24">
        <v>0</v>
      </c>
      <c r="AV6" s="24">
        <v>0</v>
      </c>
      <c r="AW6" s="24">
        <v>0</v>
      </c>
      <c r="AX6" s="24">
        <v>19814.03</v>
      </c>
      <c r="AY6" s="24">
        <v>-11.9</v>
      </c>
      <c r="AZ6" s="24">
        <v>-82.99</v>
      </c>
      <c r="BA6" s="47">
        <v>2153.11</v>
      </c>
      <c r="BB6" s="25">
        <v>336.02</v>
      </c>
      <c r="BC6" s="48">
        <v>34582.147</v>
      </c>
      <c r="BD6" s="49" t="s">
        <v>63</v>
      </c>
    </row>
    <row r="7" ht="15" spans="1:56">
      <c r="A7" s="10"/>
      <c r="B7" s="10"/>
      <c r="C7" s="10"/>
      <c r="D7" s="10"/>
      <c r="E7" s="10"/>
      <c r="F7" s="10"/>
      <c r="G7" s="10"/>
      <c r="H7" s="10"/>
      <c r="I7" s="10"/>
      <c r="J7" s="10"/>
      <c r="K7" s="10"/>
      <c r="L7" s="10"/>
      <c r="M7" s="10"/>
      <c r="N7" s="10"/>
      <c r="O7" s="10"/>
      <c r="P7" s="10"/>
      <c r="Q7" s="10"/>
      <c r="R7" s="26" t="s">
        <v>14</v>
      </c>
      <c r="S7" s="27">
        <f t="shared" ref="S7:AI7" si="0">SUM(S3:S6)</f>
        <v>266385.1</v>
      </c>
      <c r="T7" s="27">
        <f t="shared" si="0"/>
        <v>294104.387</v>
      </c>
      <c r="U7" s="28">
        <f t="shared" si="0"/>
        <v>240260.717</v>
      </c>
      <c r="V7" s="27">
        <f t="shared" si="0"/>
        <v>53843.67</v>
      </c>
      <c r="W7" s="27">
        <f t="shared" si="0"/>
        <v>53843.67</v>
      </c>
      <c r="X7" s="27">
        <f t="shared" si="0"/>
        <v>53843.67</v>
      </c>
      <c r="Y7" s="27">
        <f t="shared" si="0"/>
        <v>53843.67</v>
      </c>
      <c r="Z7" s="27">
        <f t="shared" si="0"/>
        <v>53843.67</v>
      </c>
      <c r="AA7" s="27">
        <f t="shared" si="0"/>
        <v>53843.67</v>
      </c>
      <c r="AB7" s="27">
        <f t="shared" si="0"/>
        <v>53843.67</v>
      </c>
      <c r="AC7" s="27">
        <f t="shared" si="0"/>
        <v>53843.67</v>
      </c>
      <c r="AD7" s="27">
        <f t="shared" si="0"/>
        <v>53843.67</v>
      </c>
      <c r="AE7" s="27">
        <f t="shared" si="0"/>
        <v>53843.67</v>
      </c>
      <c r="AF7" s="27">
        <f t="shared" si="0"/>
        <v>20523.04</v>
      </c>
      <c r="AG7" s="27">
        <f t="shared" si="0"/>
        <v>20534.94</v>
      </c>
      <c r="AH7" s="27">
        <f t="shared" si="0"/>
        <v>0</v>
      </c>
      <c r="AI7" s="27">
        <f t="shared" si="0"/>
        <v>0</v>
      </c>
      <c r="AJ7" s="10"/>
      <c r="AK7" s="10"/>
      <c r="AL7" s="10"/>
      <c r="AM7" s="10"/>
      <c r="AN7" s="10"/>
      <c r="AO7" s="27">
        <f t="shared" ref="AO7:AX7" si="1">SUM(AO3:AO6)</f>
        <v>0</v>
      </c>
      <c r="AP7" s="27">
        <f t="shared" si="1"/>
        <v>0</v>
      </c>
      <c r="AQ7" s="27">
        <f t="shared" si="1"/>
        <v>0</v>
      </c>
      <c r="AR7" s="27">
        <f t="shared" si="1"/>
        <v>0</v>
      </c>
      <c r="AS7" s="27">
        <f t="shared" si="1"/>
        <v>0</v>
      </c>
      <c r="AT7" s="27">
        <f t="shared" si="1"/>
        <v>0</v>
      </c>
      <c r="AU7" s="27">
        <f t="shared" si="1"/>
        <v>0</v>
      </c>
      <c r="AV7" s="27">
        <f t="shared" si="1"/>
        <v>0</v>
      </c>
      <c r="AW7" s="27">
        <f t="shared" si="1"/>
        <v>0</v>
      </c>
      <c r="AX7" s="27">
        <f t="shared" si="1"/>
        <v>33320.63</v>
      </c>
      <c r="AY7" s="27">
        <v>-11.9</v>
      </c>
      <c r="AZ7" s="27">
        <f>SUM(AZ3:AZ6)</f>
        <v>20534.94</v>
      </c>
      <c r="BA7" s="28">
        <f>SUM(BA3:BA6)</f>
        <v>94337.87</v>
      </c>
      <c r="BB7" s="28">
        <f>SUM(BB3:BB6)</f>
        <v>2967.77</v>
      </c>
      <c r="BC7" s="28">
        <f>SUM(BC3:BC6)</f>
        <v>142955.077</v>
      </c>
      <c r="BD7" s="50" t="s">
        <v>63</v>
      </c>
    </row>
    <row r="8" ht="15" spans="1:56">
      <c r="A8" s="10"/>
      <c r="B8" s="10"/>
      <c r="C8" s="10"/>
      <c r="D8" s="10"/>
      <c r="E8" s="10"/>
      <c r="F8" s="10"/>
      <c r="G8" s="10"/>
      <c r="H8" s="10"/>
      <c r="I8" s="10"/>
      <c r="J8" s="10"/>
      <c r="K8" s="10"/>
      <c r="L8" s="10"/>
      <c r="M8" s="10"/>
      <c r="N8" s="10"/>
      <c r="O8" s="10"/>
      <c r="P8" s="10"/>
      <c r="Q8" s="10"/>
      <c r="R8" s="23" t="s">
        <v>15</v>
      </c>
      <c r="S8" s="24">
        <f t="shared" ref="S8:AG8" si="2">S2-S3</f>
        <v>116201.69</v>
      </c>
      <c r="T8" s="24">
        <f t="shared" si="2"/>
        <v>118306.25</v>
      </c>
      <c r="U8" s="25">
        <f t="shared" si="2"/>
        <v>63431.82</v>
      </c>
      <c r="V8" s="24">
        <f t="shared" si="2"/>
        <v>54874.43</v>
      </c>
      <c r="W8" s="24">
        <f t="shared" si="2"/>
        <v>54874.43</v>
      </c>
      <c r="X8" s="24">
        <f t="shared" si="2"/>
        <v>54874.43</v>
      </c>
      <c r="Y8" s="24">
        <f t="shared" si="2"/>
        <v>54874.43</v>
      </c>
      <c r="Z8" s="24">
        <f t="shared" si="2"/>
        <v>54874.43</v>
      </c>
      <c r="AA8" s="24">
        <f t="shared" si="2"/>
        <v>54874.43</v>
      </c>
      <c r="AB8" s="24">
        <f t="shared" si="2"/>
        <v>54874.43</v>
      </c>
      <c r="AC8" s="24">
        <f t="shared" si="2"/>
        <v>54874.43</v>
      </c>
      <c r="AD8" s="24">
        <f t="shared" si="2"/>
        <v>54874.43</v>
      </c>
      <c r="AE8" s="24">
        <f t="shared" si="2"/>
        <v>54874.43</v>
      </c>
      <c r="AF8" s="24">
        <f t="shared" si="2"/>
        <v>45942.57</v>
      </c>
      <c r="AG8" s="24">
        <f t="shared" si="2"/>
        <v>-20617.93</v>
      </c>
      <c r="AH8" s="41">
        <v>0</v>
      </c>
      <c r="AI8" s="41">
        <v>0</v>
      </c>
      <c r="AJ8" s="10"/>
      <c r="AK8" s="10"/>
      <c r="AL8" s="10"/>
      <c r="AM8" s="10"/>
      <c r="AN8" s="10"/>
      <c r="AO8" s="24">
        <f t="shared" ref="AO8:AZ8" si="3">AO2-AO3</f>
        <v>0</v>
      </c>
      <c r="AP8" s="24">
        <f t="shared" si="3"/>
        <v>0</v>
      </c>
      <c r="AQ8" s="24">
        <f t="shared" si="3"/>
        <v>0</v>
      </c>
      <c r="AR8" s="24">
        <f t="shared" si="3"/>
        <v>0</v>
      </c>
      <c r="AS8" s="24">
        <f t="shared" si="3"/>
        <v>0</v>
      </c>
      <c r="AT8" s="24">
        <f t="shared" si="3"/>
        <v>0</v>
      </c>
      <c r="AU8" s="24">
        <f t="shared" si="3"/>
        <v>0</v>
      </c>
      <c r="AV8" s="24">
        <f t="shared" si="3"/>
        <v>0</v>
      </c>
      <c r="AW8" s="24">
        <f t="shared" si="3"/>
        <v>0</v>
      </c>
      <c r="AX8" s="24">
        <f t="shared" si="3"/>
        <v>8931.86</v>
      </c>
      <c r="AY8" s="24">
        <f t="shared" si="3"/>
        <v>66560.5</v>
      </c>
      <c r="AZ8" s="24">
        <f t="shared" si="3"/>
        <v>-20617.93</v>
      </c>
      <c r="BA8" s="47">
        <v>-59678.22</v>
      </c>
      <c r="BB8" s="28">
        <v>4420.81</v>
      </c>
      <c r="BC8" s="51">
        <f>BC2-BC3</f>
        <v>118689.23</v>
      </c>
      <c r="BD8" s="49" t="s">
        <v>63</v>
      </c>
    </row>
    <row r="9" ht="15" spans="1:56">
      <c r="A9" s="10"/>
      <c r="B9" s="10"/>
      <c r="C9" s="10"/>
      <c r="D9" s="10"/>
      <c r="E9" s="10"/>
      <c r="F9" s="10"/>
      <c r="G9" s="10"/>
      <c r="H9" s="10"/>
      <c r="I9" s="10"/>
      <c r="J9" s="10"/>
      <c r="K9" s="10"/>
      <c r="L9" s="10"/>
      <c r="M9" s="10"/>
      <c r="N9" s="10"/>
      <c r="O9" s="10"/>
      <c r="P9" s="10"/>
      <c r="Q9" s="10"/>
      <c r="R9" s="29" t="s">
        <v>16</v>
      </c>
      <c r="S9" s="30">
        <f t="shared" ref="S9:AG9" si="4">S8/S2</f>
        <v>0.33022464412489</v>
      </c>
      <c r="T9" s="30">
        <f t="shared" si="4"/>
        <v>0.33802787242582</v>
      </c>
      <c r="U9" s="31">
        <f t="shared" si="4"/>
        <v>0.243042481173752</v>
      </c>
      <c r="V9" s="30">
        <f t="shared" si="4"/>
        <v>0.616573834121208</v>
      </c>
      <c r="W9" s="30">
        <f t="shared" si="4"/>
        <v>0.616573834121208</v>
      </c>
      <c r="X9" s="30">
        <f t="shared" si="4"/>
        <v>0.616573834121208</v>
      </c>
      <c r="Y9" s="30">
        <f t="shared" si="4"/>
        <v>0.616573834121208</v>
      </c>
      <c r="Z9" s="30">
        <f t="shared" si="4"/>
        <v>0.616573834121208</v>
      </c>
      <c r="AA9" s="30">
        <f t="shared" si="4"/>
        <v>0.616573834121208</v>
      </c>
      <c r="AB9" s="30">
        <f t="shared" si="4"/>
        <v>0.616573834121208</v>
      </c>
      <c r="AC9" s="30">
        <f t="shared" si="4"/>
        <v>0.616573834121208</v>
      </c>
      <c r="AD9" s="30">
        <f t="shared" si="4"/>
        <v>0.616573834121208</v>
      </c>
      <c r="AE9" s="30">
        <f t="shared" si="4"/>
        <v>0.616573834121208</v>
      </c>
      <c r="AF9" s="30">
        <f t="shared" si="4"/>
        <v>0.690237753622644</v>
      </c>
      <c r="AG9" s="30" t="e">
        <f t="shared" si="4"/>
        <v>#DIV/0!</v>
      </c>
      <c r="AH9" s="42">
        <f>T9-S9</f>
        <v>0.00780322830092994</v>
      </c>
      <c r="AI9" s="42">
        <f>AF9-S9</f>
        <v>0.360013109497754</v>
      </c>
      <c r="AJ9" s="10"/>
      <c r="AK9" s="10"/>
      <c r="AL9" s="10"/>
      <c r="AM9" s="10"/>
      <c r="AN9" s="10"/>
      <c r="AO9" s="30" t="e">
        <f t="shared" ref="AO9:AZ9" si="5">AO8/AO2</f>
        <v>#DIV/0!</v>
      </c>
      <c r="AP9" s="30" t="e">
        <f t="shared" si="5"/>
        <v>#DIV/0!</v>
      </c>
      <c r="AQ9" s="30" t="e">
        <f t="shared" si="5"/>
        <v>#DIV/0!</v>
      </c>
      <c r="AR9" s="30" t="e">
        <f t="shared" si="5"/>
        <v>#DIV/0!</v>
      </c>
      <c r="AS9" s="30" t="e">
        <f t="shared" si="5"/>
        <v>#DIV/0!</v>
      </c>
      <c r="AT9" s="30" t="e">
        <f t="shared" si="5"/>
        <v>#DIV/0!</v>
      </c>
      <c r="AU9" s="30" t="e">
        <f t="shared" si="5"/>
        <v>#DIV/0!</v>
      </c>
      <c r="AV9" s="30" t="e">
        <f t="shared" si="5"/>
        <v>#DIV/0!</v>
      </c>
      <c r="AW9" s="30" t="e">
        <f t="shared" si="5"/>
        <v>#DIV/0!</v>
      </c>
      <c r="AX9" s="30">
        <f t="shared" si="5"/>
        <v>0.398060294690456</v>
      </c>
      <c r="AY9" s="30">
        <f t="shared" si="5"/>
        <v>1</v>
      </c>
      <c r="AZ9" s="30" t="e">
        <f t="shared" si="5"/>
        <v>#DIV/0!</v>
      </c>
      <c r="BA9" s="31">
        <v>-1.85335856725644</v>
      </c>
      <c r="BB9" s="52">
        <v>0.626837630590878</v>
      </c>
      <c r="BC9" s="53">
        <f>BC8/BC2</f>
        <v>0.535267714741091</v>
      </c>
      <c r="BD9" s="49" t="s">
        <v>63</v>
      </c>
    </row>
    <row r="10" ht="15" spans="1:56">
      <c r="A10" s="10"/>
      <c r="B10" s="10"/>
      <c r="C10" s="10"/>
      <c r="D10" s="10"/>
      <c r="E10" s="10"/>
      <c r="F10" s="10"/>
      <c r="G10" s="10"/>
      <c r="H10" s="10"/>
      <c r="I10" s="10"/>
      <c r="J10" s="10"/>
      <c r="K10" s="10"/>
      <c r="L10" s="10"/>
      <c r="M10" s="10"/>
      <c r="N10" s="10"/>
      <c r="O10" s="10"/>
      <c r="P10" s="10"/>
      <c r="Q10" s="10"/>
      <c r="R10" s="23" t="s">
        <v>17</v>
      </c>
      <c r="S10" s="24">
        <f t="shared" ref="S10:AG10" si="6">S2-S7</f>
        <v>85501.69</v>
      </c>
      <c r="T10" s="24">
        <f t="shared" si="6"/>
        <v>55885.243</v>
      </c>
      <c r="U10" s="24">
        <f t="shared" si="6"/>
        <v>20729.953</v>
      </c>
      <c r="V10" s="24">
        <f t="shared" si="6"/>
        <v>35155.29</v>
      </c>
      <c r="W10" s="24">
        <f t="shared" si="6"/>
        <v>35155.29</v>
      </c>
      <c r="X10" s="24">
        <f t="shared" si="6"/>
        <v>35155.29</v>
      </c>
      <c r="Y10" s="24">
        <f t="shared" si="6"/>
        <v>35155.29</v>
      </c>
      <c r="Z10" s="24">
        <f t="shared" si="6"/>
        <v>35155.29</v>
      </c>
      <c r="AA10" s="24">
        <f t="shared" si="6"/>
        <v>35155.29</v>
      </c>
      <c r="AB10" s="24">
        <f t="shared" si="6"/>
        <v>35155.29</v>
      </c>
      <c r="AC10" s="24">
        <f t="shared" si="6"/>
        <v>35155.29</v>
      </c>
      <c r="AD10" s="24">
        <f t="shared" si="6"/>
        <v>35155.29</v>
      </c>
      <c r="AE10" s="24">
        <f t="shared" si="6"/>
        <v>35155.29</v>
      </c>
      <c r="AF10" s="24">
        <f t="shared" si="6"/>
        <v>46037.46</v>
      </c>
      <c r="AG10" s="24">
        <f t="shared" si="6"/>
        <v>-20534.94</v>
      </c>
      <c r="AH10" s="42">
        <v>0</v>
      </c>
      <c r="AI10" s="42">
        <v>0</v>
      </c>
      <c r="AJ10" s="10"/>
      <c r="AK10" s="10"/>
      <c r="AL10" s="10"/>
      <c r="AM10" s="10"/>
      <c r="AN10" s="10"/>
      <c r="AO10" s="24">
        <f t="shared" ref="AO10:BC10" si="7">AO2-AO7</f>
        <v>0</v>
      </c>
      <c r="AP10" s="24">
        <f t="shared" si="7"/>
        <v>0</v>
      </c>
      <c r="AQ10" s="24">
        <f t="shared" si="7"/>
        <v>0</v>
      </c>
      <c r="AR10" s="24">
        <f t="shared" si="7"/>
        <v>0</v>
      </c>
      <c r="AS10" s="24">
        <f t="shared" si="7"/>
        <v>0</v>
      </c>
      <c r="AT10" s="24">
        <f t="shared" si="7"/>
        <v>0</v>
      </c>
      <c r="AU10" s="24">
        <f t="shared" si="7"/>
        <v>0</v>
      </c>
      <c r="AV10" s="24">
        <f t="shared" si="7"/>
        <v>0</v>
      </c>
      <c r="AW10" s="24">
        <f t="shared" si="7"/>
        <v>0</v>
      </c>
      <c r="AX10" s="24">
        <f t="shared" si="7"/>
        <v>-10882.17</v>
      </c>
      <c r="AY10" s="24">
        <f t="shared" si="7"/>
        <v>66572.4</v>
      </c>
      <c r="AZ10" s="24">
        <f t="shared" si="7"/>
        <v>-20534.94</v>
      </c>
      <c r="BA10" s="24">
        <f t="shared" si="7"/>
        <v>-62137.83</v>
      </c>
      <c r="BB10" s="24">
        <f t="shared" si="7"/>
        <v>4084.79</v>
      </c>
      <c r="BC10" s="24">
        <f t="shared" si="7"/>
        <v>78782.993</v>
      </c>
      <c r="BD10" s="49" t="s">
        <v>63</v>
      </c>
    </row>
    <row r="11" ht="15" spans="1:56">
      <c r="A11" s="11"/>
      <c r="B11" s="11"/>
      <c r="C11" s="11"/>
      <c r="D11" s="11"/>
      <c r="E11" s="11"/>
      <c r="F11" s="11"/>
      <c r="G11" s="11"/>
      <c r="H11" s="11"/>
      <c r="I11" s="11"/>
      <c r="J11" s="11"/>
      <c r="K11" s="11"/>
      <c r="L11" s="11"/>
      <c r="M11" s="11"/>
      <c r="N11" s="11"/>
      <c r="O11" s="11"/>
      <c r="P11" s="11"/>
      <c r="Q11" s="11"/>
      <c r="R11" s="29" t="s">
        <v>18</v>
      </c>
      <c r="S11" s="30">
        <f t="shared" ref="S11:AG11" si="8">S10/S2</f>
        <v>0.242980675688337</v>
      </c>
      <c r="T11" s="30">
        <f t="shared" si="8"/>
        <v>0.159676853854213</v>
      </c>
      <c r="U11" s="31">
        <f t="shared" si="8"/>
        <v>0.0794279466005434</v>
      </c>
      <c r="V11" s="30">
        <f t="shared" si="8"/>
        <v>0.395007874249317</v>
      </c>
      <c r="W11" s="30">
        <f t="shared" si="8"/>
        <v>0.395007874249317</v>
      </c>
      <c r="X11" s="30">
        <f t="shared" si="8"/>
        <v>0.395007874249317</v>
      </c>
      <c r="Y11" s="30">
        <f t="shared" si="8"/>
        <v>0.395007874249317</v>
      </c>
      <c r="Z11" s="30">
        <f t="shared" si="8"/>
        <v>0.395007874249317</v>
      </c>
      <c r="AA11" s="30">
        <f t="shared" si="8"/>
        <v>0.395007874249317</v>
      </c>
      <c r="AB11" s="30">
        <f t="shared" si="8"/>
        <v>0.395007874249317</v>
      </c>
      <c r="AC11" s="30">
        <f t="shared" si="8"/>
        <v>0.395007874249317</v>
      </c>
      <c r="AD11" s="30">
        <f t="shared" si="8"/>
        <v>0.395007874249317</v>
      </c>
      <c r="AE11" s="30">
        <f t="shared" si="8"/>
        <v>0.395007874249317</v>
      </c>
      <c r="AF11" s="30">
        <f t="shared" si="8"/>
        <v>0.691663373922972</v>
      </c>
      <c r="AG11" s="30" t="e">
        <f t="shared" si="8"/>
        <v>#DIV/0!</v>
      </c>
      <c r="AH11" s="42">
        <f>T11-S11</f>
        <v>-0.0833038218341244</v>
      </c>
      <c r="AI11" s="42">
        <f>AF11-S11</f>
        <v>0.448682698234635</v>
      </c>
      <c r="AJ11" s="11"/>
      <c r="AK11" s="11"/>
      <c r="AL11" s="11"/>
      <c r="AM11" s="11"/>
      <c r="AN11" s="11"/>
      <c r="AO11" s="30" t="e">
        <f t="shared" ref="AO11:AZ11" si="9">AO10/AO2</f>
        <v>#DIV/0!</v>
      </c>
      <c r="AP11" s="30" t="e">
        <f t="shared" si="9"/>
        <v>#DIV/0!</v>
      </c>
      <c r="AQ11" s="30" t="e">
        <f t="shared" si="9"/>
        <v>#DIV/0!</v>
      </c>
      <c r="AR11" s="30" t="e">
        <f t="shared" si="9"/>
        <v>#DIV/0!</v>
      </c>
      <c r="AS11" s="30" t="e">
        <f t="shared" si="9"/>
        <v>#DIV/0!</v>
      </c>
      <c r="AT11" s="30" t="e">
        <f t="shared" si="9"/>
        <v>#DIV/0!</v>
      </c>
      <c r="AU11" s="30" t="e">
        <f t="shared" si="9"/>
        <v>#DIV/0!</v>
      </c>
      <c r="AV11" s="30" t="e">
        <f t="shared" si="9"/>
        <v>#DIV/0!</v>
      </c>
      <c r="AW11" s="30" t="e">
        <f t="shared" si="9"/>
        <v>#DIV/0!</v>
      </c>
      <c r="AX11" s="30">
        <f t="shared" si="9"/>
        <v>-0.484978470001952</v>
      </c>
      <c r="AY11" s="30">
        <f t="shared" si="9"/>
        <v>1.00017878471466</v>
      </c>
      <c r="AZ11" s="30" t="e">
        <f t="shared" si="9"/>
        <v>#DIV/0!</v>
      </c>
      <c r="BA11" s="31">
        <v>-1.92974387609456</v>
      </c>
      <c r="BB11" s="52">
        <v>0.579192520162891</v>
      </c>
      <c r="BC11" s="53">
        <f>BC10/BC2</f>
        <v>0.355297549942597</v>
      </c>
      <c r="BD11" s="49" t="s">
        <v>63</v>
      </c>
    </row>
    <row r="12" spans="1:56">
      <c r="A12" s="12" t="s">
        <v>65</v>
      </c>
      <c r="B12" s="13" t="s">
        <v>66</v>
      </c>
      <c r="C12" s="14">
        <v>45748</v>
      </c>
      <c r="D12" s="14">
        <v>46112</v>
      </c>
      <c r="E12" s="6"/>
      <c r="F12" s="7" t="s">
        <v>62</v>
      </c>
      <c r="G12" s="8"/>
      <c r="H12" s="15"/>
      <c r="I12" s="18"/>
      <c r="J12" s="18"/>
      <c r="K12" s="18"/>
      <c r="L12" s="9"/>
      <c r="M12" s="9"/>
      <c r="N12" s="9"/>
      <c r="O12" s="9"/>
      <c r="P12" s="6"/>
      <c r="Q12" s="9" t="s">
        <v>63</v>
      </c>
      <c r="R12" s="32" t="s">
        <v>9</v>
      </c>
      <c r="S12" s="24">
        <v>150943.4</v>
      </c>
      <c r="T12" s="24">
        <f>SUM(AO12:BC12)</f>
        <v>149808.61</v>
      </c>
      <c r="U12" s="25">
        <f>SUM(BA12:BC12)</f>
        <v>112589.72</v>
      </c>
      <c r="V12" s="24">
        <f>SUM(AO12:AZ12)</f>
        <v>37218.89</v>
      </c>
      <c r="W12" s="24">
        <f>SUM(AP12:AZ12)</f>
        <v>37218.89</v>
      </c>
      <c r="X12" s="24">
        <f>SUM(AQ12:AZ12)</f>
        <v>37218.89</v>
      </c>
      <c r="Y12" s="24">
        <f>SUM(AR12:AZ12)</f>
        <v>37218.89</v>
      </c>
      <c r="Z12" s="24">
        <f>SUM(AS12:AZ12)</f>
        <v>37218.89</v>
      </c>
      <c r="AA12" s="24">
        <f>SUM(AT12:AZ12)</f>
        <v>37218.89</v>
      </c>
      <c r="AB12" s="24">
        <f>SUM(AU12:AZ12)</f>
        <v>37218.89</v>
      </c>
      <c r="AC12" s="24">
        <f>SUM(AV12:AZ12)</f>
        <v>37218.89</v>
      </c>
      <c r="AD12" s="24">
        <f>SUM(AW12:AZ12)</f>
        <v>37218.89</v>
      </c>
      <c r="AE12" s="24">
        <f>SUM(AX12:AZ12)</f>
        <v>37218.89</v>
      </c>
      <c r="AF12" s="24">
        <f>SUM(AY12:AZ12)</f>
        <v>24398.94</v>
      </c>
      <c r="AG12" s="24">
        <f>SUM(AZ12:AZ12)</f>
        <v>12819.77</v>
      </c>
      <c r="AH12" s="38">
        <v>0</v>
      </c>
      <c r="AI12" s="38">
        <v>0</v>
      </c>
      <c r="AJ12" s="43" t="s">
        <v>63</v>
      </c>
      <c r="AK12" s="43" t="s">
        <v>67</v>
      </c>
      <c r="AL12" s="43" t="s">
        <v>63</v>
      </c>
      <c r="AM12" s="43" t="s">
        <v>68</v>
      </c>
      <c r="AN12" s="7"/>
      <c r="AO12" s="24">
        <v>0</v>
      </c>
      <c r="AP12" s="24">
        <v>0</v>
      </c>
      <c r="AQ12" s="24">
        <v>0</v>
      </c>
      <c r="AR12" s="24">
        <v>0</v>
      </c>
      <c r="AS12" s="24">
        <v>0</v>
      </c>
      <c r="AT12" s="24">
        <v>0</v>
      </c>
      <c r="AU12" s="24">
        <v>0</v>
      </c>
      <c r="AV12" s="24">
        <v>0</v>
      </c>
      <c r="AW12" s="24">
        <v>0</v>
      </c>
      <c r="AX12" s="24">
        <v>12819.95</v>
      </c>
      <c r="AY12" s="24">
        <v>11579.17</v>
      </c>
      <c r="AZ12" s="24">
        <v>12819.77</v>
      </c>
      <c r="BA12" s="54">
        <v>112589.72</v>
      </c>
      <c r="BB12" s="25">
        <v>0</v>
      </c>
      <c r="BC12" s="59">
        <v>0</v>
      </c>
      <c r="BD12" s="55" t="s">
        <v>69</v>
      </c>
    </row>
    <row r="13" spans="1:56">
      <c r="A13" s="10"/>
      <c r="B13" s="10"/>
      <c r="C13" s="10"/>
      <c r="D13" s="10"/>
      <c r="E13" s="10"/>
      <c r="F13" s="10"/>
      <c r="G13" s="10"/>
      <c r="H13" s="16"/>
      <c r="I13" s="16"/>
      <c r="J13" s="16"/>
      <c r="K13" s="16"/>
      <c r="L13" s="10"/>
      <c r="M13" s="10"/>
      <c r="N13" s="10"/>
      <c r="O13" s="10"/>
      <c r="P13" s="10"/>
      <c r="Q13" s="10"/>
      <c r="R13" s="26" t="s">
        <v>10</v>
      </c>
      <c r="S13" s="24">
        <v>123201.71</v>
      </c>
      <c r="T13" s="24">
        <f>SUM(AO13:BC13)</f>
        <v>129265.38</v>
      </c>
      <c r="U13" s="25">
        <f>SUM(BA13:BC13)</f>
        <v>112560.11</v>
      </c>
      <c r="V13" s="24">
        <f>SUM(AO13:AZ13)</f>
        <v>16705.27</v>
      </c>
      <c r="W13" s="24">
        <f>SUM(AP13:AZ13)</f>
        <v>16705.27</v>
      </c>
      <c r="X13" s="24">
        <f>SUM(AQ13:AZ13)</f>
        <v>16705.27</v>
      </c>
      <c r="Y13" s="24">
        <f>SUM(AR13:AZ13)</f>
        <v>16705.27</v>
      </c>
      <c r="Z13" s="24">
        <f>SUM(AS13:AZ13)</f>
        <v>16705.27</v>
      </c>
      <c r="AA13" s="24">
        <f>SUM(AT13:AZ13)</f>
        <v>16705.27</v>
      </c>
      <c r="AB13" s="24">
        <f>SUM(AU13:AZ13)</f>
        <v>16705.27</v>
      </c>
      <c r="AC13" s="24">
        <f>SUM(AV13:AZ13)</f>
        <v>16705.27</v>
      </c>
      <c r="AD13" s="24">
        <f>SUM(AW13:AZ13)</f>
        <v>16705.27</v>
      </c>
      <c r="AE13" s="24">
        <f>SUM(AX13:AZ13)</f>
        <v>16705.27</v>
      </c>
      <c r="AF13" s="24">
        <f>SUM(AY13:AZ13)</f>
        <v>7039.31</v>
      </c>
      <c r="AG13" s="24">
        <f>SUM(AZ13:AZ13)</f>
        <v>7039.31</v>
      </c>
      <c r="AH13" s="38">
        <v>0</v>
      </c>
      <c r="AI13" s="38">
        <v>0</v>
      </c>
      <c r="AJ13" s="10"/>
      <c r="AK13" s="10"/>
      <c r="AL13" s="10"/>
      <c r="AM13" s="10"/>
      <c r="AN13" s="10"/>
      <c r="AO13" s="24">
        <v>0</v>
      </c>
      <c r="AP13" s="24">
        <v>0</v>
      </c>
      <c r="AQ13" s="24">
        <v>0</v>
      </c>
      <c r="AR13" s="24">
        <v>0</v>
      </c>
      <c r="AS13" s="24">
        <v>0</v>
      </c>
      <c r="AT13" s="24">
        <v>0</v>
      </c>
      <c r="AU13" s="24">
        <v>0</v>
      </c>
      <c r="AV13" s="24">
        <v>0</v>
      </c>
      <c r="AW13" s="24">
        <v>0</v>
      </c>
      <c r="AX13" s="24">
        <v>9665.96</v>
      </c>
      <c r="AY13" s="24">
        <v>0</v>
      </c>
      <c r="AZ13" s="24">
        <v>7039.31</v>
      </c>
      <c r="BA13" s="54">
        <v>112560.11</v>
      </c>
      <c r="BB13" s="25">
        <v>0</v>
      </c>
      <c r="BC13" s="59">
        <v>0</v>
      </c>
      <c r="BD13" s="10"/>
    </row>
    <row r="14" spans="1:56">
      <c r="A14" s="10"/>
      <c r="B14" s="10"/>
      <c r="C14" s="10"/>
      <c r="D14" s="10"/>
      <c r="E14" s="10"/>
      <c r="F14" s="10"/>
      <c r="G14" s="10"/>
      <c r="H14" s="16"/>
      <c r="I14" s="16"/>
      <c r="J14" s="16"/>
      <c r="K14" s="16"/>
      <c r="L14" s="10"/>
      <c r="M14" s="10"/>
      <c r="N14" s="10"/>
      <c r="O14" s="10"/>
      <c r="P14" s="10"/>
      <c r="Q14" s="10"/>
      <c r="R14" s="26" t="s">
        <v>11</v>
      </c>
      <c r="S14" s="24">
        <v>0</v>
      </c>
      <c r="T14" s="24">
        <f>SUM(AO14:BC14)</f>
        <v>30547.72</v>
      </c>
      <c r="U14" s="25">
        <f>SUM(BA14:BC14)</f>
        <v>0</v>
      </c>
      <c r="V14" s="24">
        <v>0</v>
      </c>
      <c r="W14" s="24">
        <v>0</v>
      </c>
      <c r="X14" s="24">
        <v>0</v>
      </c>
      <c r="Y14" s="24">
        <v>0</v>
      </c>
      <c r="Z14" s="24">
        <v>0</v>
      </c>
      <c r="AA14" s="24">
        <v>0</v>
      </c>
      <c r="AB14" s="24">
        <v>0</v>
      </c>
      <c r="AC14" s="24">
        <v>0</v>
      </c>
      <c r="AD14" s="24">
        <v>0</v>
      </c>
      <c r="AE14" s="24">
        <v>0</v>
      </c>
      <c r="AF14" s="24">
        <v>0</v>
      </c>
      <c r="AG14" s="24">
        <v>0</v>
      </c>
      <c r="AH14" s="38">
        <v>0</v>
      </c>
      <c r="AI14" s="38">
        <v>0</v>
      </c>
      <c r="AJ14" s="10"/>
      <c r="AK14" s="10"/>
      <c r="AL14" s="10"/>
      <c r="AM14" s="10"/>
      <c r="AN14" s="10"/>
      <c r="AO14" s="24">
        <v>0</v>
      </c>
      <c r="AP14" s="24">
        <v>0</v>
      </c>
      <c r="AQ14" s="24">
        <v>0</v>
      </c>
      <c r="AR14" s="24">
        <v>0</v>
      </c>
      <c r="AS14" s="24">
        <v>0</v>
      </c>
      <c r="AT14" s="24">
        <v>0</v>
      </c>
      <c r="AU14" s="24">
        <v>0</v>
      </c>
      <c r="AV14" s="24">
        <v>0</v>
      </c>
      <c r="AW14" s="24">
        <v>0</v>
      </c>
      <c r="AX14" s="24">
        <v>11909.61</v>
      </c>
      <c r="AY14" s="24">
        <v>18638.11</v>
      </c>
      <c r="AZ14" s="24">
        <v>0</v>
      </c>
      <c r="BA14" s="54">
        <v>0</v>
      </c>
      <c r="BB14" s="25">
        <v>0</v>
      </c>
      <c r="BC14" s="59">
        <v>0</v>
      </c>
      <c r="BD14" s="10"/>
    </row>
    <row r="15" spans="1:56">
      <c r="A15" s="10"/>
      <c r="B15" s="10"/>
      <c r="C15" s="10"/>
      <c r="D15" s="10"/>
      <c r="E15" s="10"/>
      <c r="F15" s="10"/>
      <c r="G15" s="10"/>
      <c r="H15" s="16"/>
      <c r="I15" s="16"/>
      <c r="J15" s="16"/>
      <c r="K15" s="16"/>
      <c r="L15" s="10"/>
      <c r="M15" s="10"/>
      <c r="N15" s="10"/>
      <c r="O15" s="10"/>
      <c r="P15" s="10"/>
      <c r="Q15" s="10"/>
      <c r="R15" s="26" t="s">
        <v>12</v>
      </c>
      <c r="S15" s="24">
        <v>0</v>
      </c>
      <c r="T15" s="24">
        <f>SUM(AO15:BC15)</f>
        <v>0</v>
      </c>
      <c r="U15" s="25">
        <f>SUM(BA15:BC15)</f>
        <v>0</v>
      </c>
      <c r="V15" s="24">
        <f>SUM(AO15:AZ15)</f>
        <v>0</v>
      </c>
      <c r="W15" s="24">
        <f>SUM(AP15:AZ15)</f>
        <v>0</v>
      </c>
      <c r="X15" s="24">
        <f>SUM(AQ15:AZ15)</f>
        <v>0</v>
      </c>
      <c r="Y15" s="24">
        <f>SUM(AR15:AZ15)</f>
        <v>0</v>
      </c>
      <c r="Z15" s="24">
        <f>SUM(AS15:AZ15)</f>
        <v>0</v>
      </c>
      <c r="AA15" s="24">
        <f>SUM(AT15:AZ15)</f>
        <v>0</v>
      </c>
      <c r="AB15" s="24">
        <f>SUM(AU15:AZ15)</f>
        <v>0</v>
      </c>
      <c r="AC15" s="24">
        <f>SUM(AV15:AZ15)</f>
        <v>0</v>
      </c>
      <c r="AD15" s="24">
        <f>SUM(AW15:AZ15)</f>
        <v>0</v>
      </c>
      <c r="AE15" s="24">
        <f>SUM(AX15:AZ15)</f>
        <v>0</v>
      </c>
      <c r="AF15" s="24">
        <f>SUM(AY15:AZ15)</f>
        <v>0</v>
      </c>
      <c r="AG15" s="24">
        <f>SUM(AZ15:AZ15)</f>
        <v>0</v>
      </c>
      <c r="AH15" s="38">
        <v>0</v>
      </c>
      <c r="AI15" s="38">
        <v>0</v>
      </c>
      <c r="AJ15" s="10"/>
      <c r="AK15" s="10"/>
      <c r="AL15" s="10"/>
      <c r="AM15" s="10"/>
      <c r="AN15" s="10"/>
      <c r="AO15" s="24">
        <v>0</v>
      </c>
      <c r="AP15" s="24">
        <v>0</v>
      </c>
      <c r="AQ15" s="24">
        <v>0</v>
      </c>
      <c r="AR15" s="24">
        <v>0</v>
      </c>
      <c r="AS15" s="24">
        <v>0</v>
      </c>
      <c r="AT15" s="24">
        <v>0</v>
      </c>
      <c r="AU15" s="24">
        <v>0</v>
      </c>
      <c r="AV15" s="24">
        <v>0</v>
      </c>
      <c r="AW15" s="24">
        <v>0</v>
      </c>
      <c r="AX15" s="24">
        <v>0</v>
      </c>
      <c r="AY15" s="24">
        <v>0</v>
      </c>
      <c r="AZ15" s="24">
        <v>0</v>
      </c>
      <c r="BA15" s="54">
        <v>0</v>
      </c>
      <c r="BB15" s="25">
        <v>0</v>
      </c>
      <c r="BC15" s="59">
        <v>0</v>
      </c>
      <c r="BD15" s="10"/>
    </row>
    <row r="16" spans="1:56">
      <c r="A16" s="10"/>
      <c r="B16" s="10"/>
      <c r="C16" s="10"/>
      <c r="D16" s="10"/>
      <c r="E16" s="10"/>
      <c r="F16" s="10"/>
      <c r="G16" s="10"/>
      <c r="H16" s="16"/>
      <c r="I16" s="16"/>
      <c r="J16" s="16"/>
      <c r="K16" s="16"/>
      <c r="L16" s="10"/>
      <c r="M16" s="10"/>
      <c r="N16" s="10"/>
      <c r="O16" s="10"/>
      <c r="P16" s="10"/>
      <c r="Q16" s="10"/>
      <c r="R16" s="26" t="s">
        <v>13</v>
      </c>
      <c r="S16" s="24">
        <v>0</v>
      </c>
      <c r="T16" s="24">
        <f>SUM(AO16:BC16)</f>
        <v>-827.92</v>
      </c>
      <c r="U16" s="25">
        <f>SUM(BA16:BC16)</f>
        <v>-790.7</v>
      </c>
      <c r="V16" s="24">
        <f>SUM(AO16:AZ16)</f>
        <v>-37.22</v>
      </c>
      <c r="W16" s="24">
        <f>SUM(AP16:AZ16)</f>
        <v>-37.22</v>
      </c>
      <c r="X16" s="24">
        <f>SUM(AQ16:AZ16)</f>
        <v>-37.22</v>
      </c>
      <c r="Y16" s="24">
        <f>SUM(AR16:AZ16)</f>
        <v>-37.22</v>
      </c>
      <c r="Z16" s="24">
        <f>SUM(AS16:AZ16)</f>
        <v>-37.22</v>
      </c>
      <c r="AA16" s="24">
        <f>SUM(AT16:AZ16)</f>
        <v>-37.22</v>
      </c>
      <c r="AB16" s="24">
        <f>SUM(AU16:AZ16)</f>
        <v>-37.22</v>
      </c>
      <c r="AC16" s="24">
        <f>SUM(AV16:AZ16)</f>
        <v>-37.22</v>
      </c>
      <c r="AD16" s="24">
        <f>SUM(AW16:AZ16)</f>
        <v>-37.22</v>
      </c>
      <c r="AE16" s="24">
        <f>SUM(AX16:AZ16)</f>
        <v>-37.22</v>
      </c>
      <c r="AF16" s="24">
        <f>SUM(AY16:AZ16)</f>
        <v>-37.22</v>
      </c>
      <c r="AG16" s="24">
        <f>SUM(AZ16:AZ16)</f>
        <v>-24.4</v>
      </c>
      <c r="AH16" s="38">
        <v>0</v>
      </c>
      <c r="AI16" s="38">
        <v>0</v>
      </c>
      <c r="AJ16" s="10"/>
      <c r="AK16" s="10"/>
      <c r="AL16" s="10"/>
      <c r="AM16" s="10"/>
      <c r="AN16" s="10"/>
      <c r="AO16" s="24">
        <v>0</v>
      </c>
      <c r="AP16" s="24">
        <v>0</v>
      </c>
      <c r="AQ16" s="24">
        <v>0</v>
      </c>
      <c r="AR16" s="24">
        <v>0</v>
      </c>
      <c r="AS16" s="24">
        <v>0</v>
      </c>
      <c r="AT16" s="24">
        <v>0</v>
      </c>
      <c r="AU16" s="24">
        <v>0</v>
      </c>
      <c r="AV16" s="24">
        <v>0</v>
      </c>
      <c r="AW16" s="24">
        <v>0</v>
      </c>
      <c r="AX16" s="24">
        <v>0</v>
      </c>
      <c r="AY16" s="24">
        <v>-12.82</v>
      </c>
      <c r="AZ16" s="24">
        <v>-24.4</v>
      </c>
      <c r="BA16" s="54">
        <v>-790.7</v>
      </c>
      <c r="BB16" s="25">
        <v>0</v>
      </c>
      <c r="BC16" s="59">
        <v>0</v>
      </c>
      <c r="BD16" s="10"/>
    </row>
    <row r="17" spans="1:56">
      <c r="A17" s="10"/>
      <c r="B17" s="10"/>
      <c r="C17" s="10"/>
      <c r="D17" s="10"/>
      <c r="E17" s="10"/>
      <c r="F17" s="10"/>
      <c r="G17" s="10"/>
      <c r="H17" s="16"/>
      <c r="I17" s="16"/>
      <c r="J17" s="16"/>
      <c r="K17" s="16"/>
      <c r="L17" s="10"/>
      <c r="M17" s="10"/>
      <c r="N17" s="10"/>
      <c r="O17" s="10"/>
      <c r="P17" s="10"/>
      <c r="Q17" s="10"/>
      <c r="R17" s="26" t="s">
        <v>14</v>
      </c>
      <c r="S17" s="27">
        <f t="shared" ref="S17:AI17" si="10">SUM(S13:S16)</f>
        <v>123201.71</v>
      </c>
      <c r="T17" s="27">
        <f t="shared" si="10"/>
        <v>158985.18</v>
      </c>
      <c r="U17" s="28">
        <f t="shared" si="10"/>
        <v>111769.41</v>
      </c>
      <c r="V17" s="27">
        <f t="shared" si="10"/>
        <v>16668.05</v>
      </c>
      <c r="W17" s="27">
        <f t="shared" si="10"/>
        <v>16668.05</v>
      </c>
      <c r="X17" s="27">
        <f t="shared" si="10"/>
        <v>16668.05</v>
      </c>
      <c r="Y17" s="27">
        <f t="shared" si="10"/>
        <v>16668.05</v>
      </c>
      <c r="Z17" s="27">
        <f t="shared" si="10"/>
        <v>16668.05</v>
      </c>
      <c r="AA17" s="27">
        <f t="shared" si="10"/>
        <v>16668.05</v>
      </c>
      <c r="AB17" s="27">
        <f t="shared" si="10"/>
        <v>16668.05</v>
      </c>
      <c r="AC17" s="27">
        <f t="shared" si="10"/>
        <v>16668.05</v>
      </c>
      <c r="AD17" s="27">
        <f t="shared" si="10"/>
        <v>16668.05</v>
      </c>
      <c r="AE17" s="27">
        <f t="shared" si="10"/>
        <v>16668.05</v>
      </c>
      <c r="AF17" s="27">
        <f t="shared" si="10"/>
        <v>7002.09</v>
      </c>
      <c r="AG17" s="27">
        <f t="shared" si="10"/>
        <v>7014.91</v>
      </c>
      <c r="AH17" s="27">
        <f t="shared" si="10"/>
        <v>0</v>
      </c>
      <c r="AI17" s="27">
        <f t="shared" si="10"/>
        <v>0</v>
      </c>
      <c r="AJ17" s="10"/>
      <c r="AK17" s="10"/>
      <c r="AL17" s="10"/>
      <c r="AM17" s="10"/>
      <c r="AN17" s="10"/>
      <c r="AO17" s="27">
        <f t="shared" ref="AO17:AX17" si="11">SUM(AO13:AO16)</f>
        <v>0</v>
      </c>
      <c r="AP17" s="27">
        <f t="shared" si="11"/>
        <v>0</v>
      </c>
      <c r="AQ17" s="27">
        <f t="shared" si="11"/>
        <v>0</v>
      </c>
      <c r="AR17" s="27">
        <f t="shared" si="11"/>
        <v>0</v>
      </c>
      <c r="AS17" s="27">
        <f t="shared" si="11"/>
        <v>0</v>
      </c>
      <c r="AT17" s="27">
        <f t="shared" si="11"/>
        <v>0</v>
      </c>
      <c r="AU17" s="27">
        <f t="shared" si="11"/>
        <v>0</v>
      </c>
      <c r="AV17" s="27">
        <f t="shared" si="11"/>
        <v>0</v>
      </c>
      <c r="AW17" s="27">
        <f t="shared" si="11"/>
        <v>0</v>
      </c>
      <c r="AX17" s="27">
        <f t="shared" si="11"/>
        <v>21575.57</v>
      </c>
      <c r="AY17" s="27">
        <v>-12.82</v>
      </c>
      <c r="AZ17" s="27">
        <f>SUM(AZ13:AZ16)</f>
        <v>7014.91</v>
      </c>
      <c r="BA17" s="56">
        <v>111769.41</v>
      </c>
      <c r="BB17" s="28">
        <f>SUM(BB13:BB16)</f>
        <v>0</v>
      </c>
      <c r="BC17" s="60">
        <f>SUM(BC13:BC16)</f>
        <v>0</v>
      </c>
      <c r="BD17" s="10"/>
    </row>
    <row r="18" spans="1:56">
      <c r="A18" s="10"/>
      <c r="B18" s="10"/>
      <c r="C18" s="10"/>
      <c r="D18" s="10"/>
      <c r="E18" s="10"/>
      <c r="F18" s="10"/>
      <c r="G18" s="10"/>
      <c r="H18" s="16"/>
      <c r="I18" s="16"/>
      <c r="J18" s="16"/>
      <c r="K18" s="16"/>
      <c r="L18" s="10"/>
      <c r="M18" s="10"/>
      <c r="N18" s="10"/>
      <c r="O18" s="10"/>
      <c r="P18" s="10"/>
      <c r="Q18" s="10"/>
      <c r="R18" s="26" t="s">
        <v>15</v>
      </c>
      <c r="S18" s="24">
        <f t="shared" ref="S18:AG18" si="12">S12-S13</f>
        <v>27741.69</v>
      </c>
      <c r="T18" s="24">
        <f t="shared" si="12"/>
        <v>20543.23</v>
      </c>
      <c r="U18" s="25">
        <f t="shared" si="12"/>
        <v>29.6100000000006</v>
      </c>
      <c r="V18" s="24">
        <f t="shared" si="12"/>
        <v>20513.62</v>
      </c>
      <c r="W18" s="24">
        <f t="shared" si="12"/>
        <v>20513.62</v>
      </c>
      <c r="X18" s="24">
        <f t="shared" si="12"/>
        <v>20513.62</v>
      </c>
      <c r="Y18" s="24">
        <f t="shared" si="12"/>
        <v>20513.62</v>
      </c>
      <c r="Z18" s="24">
        <f t="shared" si="12"/>
        <v>20513.62</v>
      </c>
      <c r="AA18" s="24">
        <f t="shared" si="12"/>
        <v>20513.62</v>
      </c>
      <c r="AB18" s="24">
        <f t="shared" si="12"/>
        <v>20513.62</v>
      </c>
      <c r="AC18" s="24">
        <f t="shared" si="12"/>
        <v>20513.62</v>
      </c>
      <c r="AD18" s="24">
        <f t="shared" si="12"/>
        <v>20513.62</v>
      </c>
      <c r="AE18" s="24">
        <f t="shared" si="12"/>
        <v>20513.62</v>
      </c>
      <c r="AF18" s="24">
        <f t="shared" si="12"/>
        <v>17359.63</v>
      </c>
      <c r="AG18" s="24">
        <f t="shared" si="12"/>
        <v>5780.46</v>
      </c>
      <c r="AH18" s="41">
        <v>0</v>
      </c>
      <c r="AI18" s="41">
        <v>0</v>
      </c>
      <c r="AJ18" s="10"/>
      <c r="AK18" s="10"/>
      <c r="AL18" s="10"/>
      <c r="AM18" s="10"/>
      <c r="AN18" s="10"/>
      <c r="AO18" s="24">
        <f t="shared" ref="AO18:AZ18" si="13">AO12-AO13</f>
        <v>0</v>
      </c>
      <c r="AP18" s="24">
        <f t="shared" si="13"/>
        <v>0</v>
      </c>
      <c r="AQ18" s="24">
        <f t="shared" si="13"/>
        <v>0</v>
      </c>
      <c r="AR18" s="24">
        <f t="shared" si="13"/>
        <v>0</v>
      </c>
      <c r="AS18" s="24">
        <f t="shared" si="13"/>
        <v>0</v>
      </c>
      <c r="AT18" s="24">
        <f t="shared" si="13"/>
        <v>0</v>
      </c>
      <c r="AU18" s="24">
        <f t="shared" si="13"/>
        <v>0</v>
      </c>
      <c r="AV18" s="24">
        <f t="shared" si="13"/>
        <v>0</v>
      </c>
      <c r="AW18" s="24">
        <f t="shared" si="13"/>
        <v>0</v>
      </c>
      <c r="AX18" s="24">
        <f t="shared" si="13"/>
        <v>3153.99</v>
      </c>
      <c r="AY18" s="24">
        <f t="shared" si="13"/>
        <v>11579.17</v>
      </c>
      <c r="AZ18" s="24">
        <f t="shared" si="13"/>
        <v>5780.46</v>
      </c>
      <c r="BA18" s="57">
        <v>29.609999999986</v>
      </c>
      <c r="BB18" s="28">
        <v>0</v>
      </c>
      <c r="BC18" s="59">
        <v>0</v>
      </c>
      <c r="BD18" s="10"/>
    </row>
    <row r="19" spans="1:56">
      <c r="A19" s="10"/>
      <c r="B19" s="10"/>
      <c r="C19" s="10"/>
      <c r="D19" s="10"/>
      <c r="E19" s="10"/>
      <c r="F19" s="10"/>
      <c r="G19" s="10"/>
      <c r="H19" s="16"/>
      <c r="I19" s="16"/>
      <c r="J19" s="16"/>
      <c r="K19" s="16"/>
      <c r="L19" s="10"/>
      <c r="M19" s="10"/>
      <c r="N19" s="10"/>
      <c r="O19" s="10"/>
      <c r="P19" s="10"/>
      <c r="Q19" s="10"/>
      <c r="R19" s="29" t="s">
        <v>16</v>
      </c>
      <c r="S19" s="30">
        <f t="shared" ref="S19:AG19" si="14">S18/S12</f>
        <v>0.183788691655283</v>
      </c>
      <c r="T19" s="30">
        <f t="shared" si="14"/>
        <v>0.137129835194386</v>
      </c>
      <c r="U19" s="31">
        <f t="shared" si="14"/>
        <v>0.000262990262343672</v>
      </c>
      <c r="V19" s="30">
        <f t="shared" si="14"/>
        <v>0.55116152039999</v>
      </c>
      <c r="W19" s="30">
        <f t="shared" si="14"/>
        <v>0.55116152039999</v>
      </c>
      <c r="X19" s="30">
        <f t="shared" si="14"/>
        <v>0.55116152039999</v>
      </c>
      <c r="Y19" s="30">
        <f t="shared" si="14"/>
        <v>0.55116152039999</v>
      </c>
      <c r="Z19" s="30">
        <f t="shared" si="14"/>
        <v>0.55116152039999</v>
      </c>
      <c r="AA19" s="30">
        <f t="shared" si="14"/>
        <v>0.55116152039999</v>
      </c>
      <c r="AB19" s="30">
        <f t="shared" si="14"/>
        <v>0.55116152039999</v>
      </c>
      <c r="AC19" s="30">
        <f t="shared" si="14"/>
        <v>0.55116152039999</v>
      </c>
      <c r="AD19" s="30">
        <f t="shared" si="14"/>
        <v>0.55116152039999</v>
      </c>
      <c r="AE19" s="30">
        <f t="shared" si="14"/>
        <v>0.55116152039999</v>
      </c>
      <c r="AF19" s="30">
        <f t="shared" si="14"/>
        <v>0.711491154943616</v>
      </c>
      <c r="AG19" s="30">
        <f t="shared" si="14"/>
        <v>0.450902005262185</v>
      </c>
      <c r="AH19" s="42">
        <f>T19-S19</f>
        <v>-0.0466588564608971</v>
      </c>
      <c r="AI19" s="42">
        <f>AF19-S19</f>
        <v>0.527702463288334</v>
      </c>
      <c r="AJ19" s="10"/>
      <c r="AK19" s="10"/>
      <c r="AL19" s="10"/>
      <c r="AM19" s="10"/>
      <c r="AN19" s="10"/>
      <c r="AO19" s="30" t="e">
        <f t="shared" ref="AO19:AZ19" si="15">AO18/AO12</f>
        <v>#DIV/0!</v>
      </c>
      <c r="AP19" s="30" t="e">
        <f t="shared" si="15"/>
        <v>#DIV/0!</v>
      </c>
      <c r="AQ19" s="30" t="e">
        <f t="shared" si="15"/>
        <v>#DIV/0!</v>
      </c>
      <c r="AR19" s="30" t="e">
        <f t="shared" si="15"/>
        <v>#DIV/0!</v>
      </c>
      <c r="AS19" s="30" t="e">
        <f t="shared" si="15"/>
        <v>#DIV/0!</v>
      </c>
      <c r="AT19" s="30" t="e">
        <f t="shared" si="15"/>
        <v>#DIV/0!</v>
      </c>
      <c r="AU19" s="30" t="e">
        <f t="shared" si="15"/>
        <v>#DIV/0!</v>
      </c>
      <c r="AV19" s="30" t="e">
        <f t="shared" si="15"/>
        <v>#DIV/0!</v>
      </c>
      <c r="AW19" s="30" t="e">
        <f t="shared" si="15"/>
        <v>#DIV/0!</v>
      </c>
      <c r="AX19" s="30">
        <f t="shared" si="15"/>
        <v>0.246022020366694</v>
      </c>
      <c r="AY19" s="30">
        <f t="shared" si="15"/>
        <v>1</v>
      </c>
      <c r="AZ19" s="30">
        <f t="shared" si="15"/>
        <v>0.450902005262185</v>
      </c>
      <c r="BA19" s="58">
        <v>0.000262990262343543</v>
      </c>
      <c r="BB19" s="52">
        <v>0</v>
      </c>
      <c r="BC19" s="59">
        <v>0</v>
      </c>
      <c r="BD19" s="10"/>
    </row>
    <row r="20" spans="1:56">
      <c r="A20" s="10"/>
      <c r="B20" s="10"/>
      <c r="C20" s="10"/>
      <c r="D20" s="10"/>
      <c r="E20" s="10"/>
      <c r="F20" s="10"/>
      <c r="G20" s="10"/>
      <c r="H20" s="16"/>
      <c r="I20" s="16"/>
      <c r="J20" s="16"/>
      <c r="K20" s="16"/>
      <c r="L20" s="10"/>
      <c r="M20" s="10"/>
      <c r="N20" s="10"/>
      <c r="O20" s="10"/>
      <c r="P20" s="10"/>
      <c r="Q20" s="10"/>
      <c r="R20" s="26" t="s">
        <v>17</v>
      </c>
      <c r="S20" s="24">
        <f t="shared" ref="S20:AG20" si="16">S12-S17</f>
        <v>27741.69</v>
      </c>
      <c r="T20" s="24">
        <f t="shared" si="16"/>
        <v>-9176.57000000001</v>
      </c>
      <c r="U20" s="24">
        <f t="shared" si="16"/>
        <v>820.309999999998</v>
      </c>
      <c r="V20" s="24">
        <f t="shared" si="16"/>
        <v>20550.84</v>
      </c>
      <c r="W20" s="24">
        <f t="shared" si="16"/>
        <v>20550.84</v>
      </c>
      <c r="X20" s="24">
        <f t="shared" si="16"/>
        <v>20550.84</v>
      </c>
      <c r="Y20" s="24">
        <f t="shared" si="16"/>
        <v>20550.84</v>
      </c>
      <c r="Z20" s="24">
        <f t="shared" si="16"/>
        <v>20550.84</v>
      </c>
      <c r="AA20" s="24">
        <f t="shared" si="16"/>
        <v>20550.84</v>
      </c>
      <c r="AB20" s="24">
        <f t="shared" si="16"/>
        <v>20550.84</v>
      </c>
      <c r="AC20" s="24">
        <f t="shared" si="16"/>
        <v>20550.84</v>
      </c>
      <c r="AD20" s="24">
        <f t="shared" si="16"/>
        <v>20550.84</v>
      </c>
      <c r="AE20" s="24">
        <f t="shared" si="16"/>
        <v>20550.84</v>
      </c>
      <c r="AF20" s="24">
        <f t="shared" si="16"/>
        <v>17396.85</v>
      </c>
      <c r="AG20" s="24">
        <f t="shared" si="16"/>
        <v>5804.86</v>
      </c>
      <c r="AH20" s="42">
        <v>0</v>
      </c>
      <c r="AI20" s="42">
        <v>0</v>
      </c>
      <c r="AJ20" s="10"/>
      <c r="AK20" s="10"/>
      <c r="AL20" s="10"/>
      <c r="AM20" s="10"/>
      <c r="AN20" s="10"/>
      <c r="AO20" s="24">
        <f t="shared" ref="AO20:BC20" si="17">AO12-AO17</f>
        <v>0</v>
      </c>
      <c r="AP20" s="24">
        <f t="shared" si="17"/>
        <v>0</v>
      </c>
      <c r="AQ20" s="24">
        <f t="shared" si="17"/>
        <v>0</v>
      </c>
      <c r="AR20" s="24">
        <f t="shared" si="17"/>
        <v>0</v>
      </c>
      <c r="AS20" s="24">
        <f t="shared" si="17"/>
        <v>0</v>
      </c>
      <c r="AT20" s="24">
        <f t="shared" si="17"/>
        <v>0</v>
      </c>
      <c r="AU20" s="24">
        <f t="shared" si="17"/>
        <v>0</v>
      </c>
      <c r="AV20" s="24">
        <f t="shared" si="17"/>
        <v>0</v>
      </c>
      <c r="AW20" s="24">
        <f t="shared" si="17"/>
        <v>0</v>
      </c>
      <c r="AX20" s="24">
        <f t="shared" si="17"/>
        <v>-8755.62</v>
      </c>
      <c r="AY20" s="24">
        <f t="shared" si="17"/>
        <v>11591.99</v>
      </c>
      <c r="AZ20" s="24">
        <f t="shared" si="17"/>
        <v>5804.86</v>
      </c>
      <c r="BA20" s="24">
        <f t="shared" si="17"/>
        <v>820.309999999998</v>
      </c>
      <c r="BB20" s="24">
        <f t="shared" si="17"/>
        <v>0</v>
      </c>
      <c r="BC20" s="24">
        <f t="shared" si="17"/>
        <v>0</v>
      </c>
      <c r="BD20" s="10"/>
    </row>
    <row r="21" spans="1:56">
      <c r="A21" s="11"/>
      <c r="B21" s="11"/>
      <c r="C21" s="11"/>
      <c r="D21" s="11"/>
      <c r="E21" s="11"/>
      <c r="F21" s="11"/>
      <c r="G21" s="11"/>
      <c r="H21" s="17"/>
      <c r="I21" s="17"/>
      <c r="J21" s="17"/>
      <c r="K21" s="17"/>
      <c r="L21" s="11"/>
      <c r="M21" s="11"/>
      <c r="N21" s="11"/>
      <c r="O21" s="11"/>
      <c r="P21" s="11"/>
      <c r="Q21" s="11"/>
      <c r="R21" s="29" t="s">
        <v>18</v>
      </c>
      <c r="S21" s="30">
        <f t="shared" ref="S21:AG21" si="18">S20/S12</f>
        <v>0.183788691655283</v>
      </c>
      <c r="T21" s="30">
        <f t="shared" si="18"/>
        <v>-0.0612552910009646</v>
      </c>
      <c r="U21" s="31">
        <f t="shared" si="18"/>
        <v>0.00728583391094673</v>
      </c>
      <c r="V21" s="30">
        <f t="shared" si="18"/>
        <v>0.552161550223556</v>
      </c>
      <c r="W21" s="30">
        <f t="shared" si="18"/>
        <v>0.552161550223556</v>
      </c>
      <c r="X21" s="30">
        <f t="shared" si="18"/>
        <v>0.552161550223556</v>
      </c>
      <c r="Y21" s="30">
        <f t="shared" si="18"/>
        <v>0.552161550223556</v>
      </c>
      <c r="Z21" s="30">
        <f t="shared" si="18"/>
        <v>0.552161550223556</v>
      </c>
      <c r="AA21" s="30">
        <f t="shared" si="18"/>
        <v>0.552161550223556</v>
      </c>
      <c r="AB21" s="30">
        <f t="shared" si="18"/>
        <v>0.552161550223556</v>
      </c>
      <c r="AC21" s="30">
        <f t="shared" si="18"/>
        <v>0.552161550223556</v>
      </c>
      <c r="AD21" s="30">
        <f t="shared" si="18"/>
        <v>0.552161550223556</v>
      </c>
      <c r="AE21" s="30">
        <f t="shared" si="18"/>
        <v>0.552161550223556</v>
      </c>
      <c r="AF21" s="30">
        <f t="shared" si="18"/>
        <v>0.713016631050365</v>
      </c>
      <c r="AG21" s="30">
        <f t="shared" si="18"/>
        <v>0.452805315539982</v>
      </c>
      <c r="AH21" s="42">
        <f>T21-S21</f>
        <v>-0.245043982656247</v>
      </c>
      <c r="AI21" s="42">
        <f>AF21-S21</f>
        <v>0.529227939395083</v>
      </c>
      <c r="AJ21" s="11"/>
      <c r="AK21" s="11"/>
      <c r="AL21" s="11"/>
      <c r="AM21" s="11"/>
      <c r="AN21" s="11"/>
      <c r="AO21" s="30" t="e">
        <f t="shared" ref="AO21:AZ21" si="19">AO20/AO12</f>
        <v>#DIV/0!</v>
      </c>
      <c r="AP21" s="30" t="e">
        <f t="shared" si="19"/>
        <v>#DIV/0!</v>
      </c>
      <c r="AQ21" s="30" t="e">
        <f t="shared" si="19"/>
        <v>#DIV/0!</v>
      </c>
      <c r="AR21" s="30" t="e">
        <f t="shared" si="19"/>
        <v>#DIV/0!</v>
      </c>
      <c r="AS21" s="30" t="e">
        <f t="shared" si="19"/>
        <v>#DIV/0!</v>
      </c>
      <c r="AT21" s="30" t="e">
        <f t="shared" si="19"/>
        <v>#DIV/0!</v>
      </c>
      <c r="AU21" s="30" t="e">
        <f t="shared" si="19"/>
        <v>#DIV/0!</v>
      </c>
      <c r="AV21" s="30" t="e">
        <f t="shared" si="19"/>
        <v>#DIV/0!</v>
      </c>
      <c r="AW21" s="30" t="e">
        <f t="shared" si="19"/>
        <v>#DIV/0!</v>
      </c>
      <c r="AX21" s="30">
        <f t="shared" si="19"/>
        <v>-0.682968342310227</v>
      </c>
      <c r="AY21" s="30">
        <f t="shared" si="19"/>
        <v>1.0011071605305</v>
      </c>
      <c r="AZ21" s="30">
        <f t="shared" si="19"/>
        <v>0.452805315539982</v>
      </c>
      <c r="BA21" s="58">
        <v>0.00728583391094663</v>
      </c>
      <c r="BB21" s="52">
        <v>0</v>
      </c>
      <c r="BC21" s="59">
        <v>0</v>
      </c>
      <c r="BD21" s="11"/>
    </row>
    <row r="22" ht="15" spans="1:56">
      <c r="A22" s="12" t="s">
        <v>70</v>
      </c>
      <c r="B22" s="13" t="s">
        <v>71</v>
      </c>
      <c r="C22" s="14">
        <v>45807</v>
      </c>
      <c r="D22" s="14">
        <v>46275</v>
      </c>
      <c r="E22" s="6"/>
      <c r="F22" s="7">
        <v>0.81</v>
      </c>
      <c r="G22" s="8">
        <v>0</v>
      </c>
      <c r="H22" s="13"/>
      <c r="I22" s="13"/>
      <c r="J22" s="9"/>
      <c r="K22" s="9"/>
      <c r="L22" s="9"/>
      <c r="M22" s="9"/>
      <c r="N22" s="9"/>
      <c r="O22" s="9"/>
      <c r="P22" s="6"/>
      <c r="Q22" s="9" t="s">
        <v>63</v>
      </c>
      <c r="R22" s="32" t="s">
        <v>9</v>
      </c>
      <c r="S22" s="24">
        <v>181603.77</v>
      </c>
      <c r="T22" s="24">
        <f>SUM(AO22:BC22)</f>
        <v>180238.51</v>
      </c>
      <c r="U22" s="25">
        <f>SUM(BA22:BC22)</f>
        <v>139982.95</v>
      </c>
      <c r="V22" s="24">
        <f>SUM(AO22:AZ22)</f>
        <v>40255.56</v>
      </c>
      <c r="W22" s="24">
        <f>SUM(AP22:AZ22)</f>
        <v>40255.56</v>
      </c>
      <c r="X22" s="24">
        <f>SUM(AQ22:AZ22)</f>
        <v>40255.56</v>
      </c>
      <c r="Y22" s="24">
        <f>SUM(AR22:AZ22)</f>
        <v>40255.56</v>
      </c>
      <c r="Z22" s="24">
        <f>SUM(AS22:AZ22)</f>
        <v>40255.56</v>
      </c>
      <c r="AA22" s="24">
        <f>SUM(AT22:AZ22)</f>
        <v>40255.56</v>
      </c>
      <c r="AB22" s="24">
        <f>SUM(AU22:AZ22)</f>
        <v>40255.56</v>
      </c>
      <c r="AC22" s="24">
        <f>SUM(AV22:AZ22)</f>
        <v>40255.56</v>
      </c>
      <c r="AD22" s="24">
        <f>SUM(AW22:AZ22)</f>
        <v>40255.56</v>
      </c>
      <c r="AE22" s="24">
        <f>SUM(AX22:AZ22)</f>
        <v>40255.56</v>
      </c>
      <c r="AF22" s="24">
        <f>SUM(AY22:AZ22)</f>
        <v>40255.56</v>
      </c>
      <c r="AG22" s="24">
        <f>SUM(AZ22:AZ22)</f>
        <v>3848.19</v>
      </c>
      <c r="AH22" s="38">
        <v>0</v>
      </c>
      <c r="AI22" s="38">
        <v>0</v>
      </c>
      <c r="AJ22" s="43" t="s">
        <v>63</v>
      </c>
      <c r="AK22" s="8" t="s">
        <v>72</v>
      </c>
      <c r="AL22" s="43" t="s">
        <v>73</v>
      </c>
      <c r="AM22" s="43" t="s">
        <v>63</v>
      </c>
      <c r="AN22" s="44"/>
      <c r="AO22" s="24">
        <v>0</v>
      </c>
      <c r="AP22" s="24">
        <v>0</v>
      </c>
      <c r="AQ22" s="24">
        <v>0</v>
      </c>
      <c r="AR22" s="24">
        <v>0</v>
      </c>
      <c r="AS22" s="24">
        <v>0</v>
      </c>
      <c r="AT22" s="24">
        <v>0</v>
      </c>
      <c r="AU22" s="24">
        <v>0</v>
      </c>
      <c r="AV22" s="24">
        <v>0</v>
      </c>
      <c r="AW22" s="24">
        <v>0</v>
      </c>
      <c r="AX22" s="24">
        <v>0</v>
      </c>
      <c r="AY22" s="24">
        <v>36407.37</v>
      </c>
      <c r="AZ22" s="24">
        <v>3848.19</v>
      </c>
      <c r="BA22" s="61">
        <v>139982.95</v>
      </c>
      <c r="BB22" s="25">
        <v>0</v>
      </c>
      <c r="BC22" s="59">
        <v>0</v>
      </c>
      <c r="BD22" s="49" t="s">
        <v>63</v>
      </c>
    </row>
    <row r="23" ht="15" spans="1:56">
      <c r="A23" s="10"/>
      <c r="B23" s="10"/>
      <c r="C23" s="10"/>
      <c r="D23" s="10"/>
      <c r="E23" s="10"/>
      <c r="F23" s="10"/>
      <c r="G23" s="10"/>
      <c r="H23" s="10"/>
      <c r="I23" s="10"/>
      <c r="J23" s="10"/>
      <c r="K23" s="10"/>
      <c r="L23" s="10"/>
      <c r="M23" s="10"/>
      <c r="N23" s="10"/>
      <c r="O23" s="10"/>
      <c r="P23" s="10"/>
      <c r="Q23" s="10"/>
      <c r="R23" s="26" t="s">
        <v>10</v>
      </c>
      <c r="S23" s="24">
        <v>148783.99</v>
      </c>
      <c r="T23" s="24">
        <f>SUM(AO23:BC23)</f>
        <v>172338.83</v>
      </c>
      <c r="U23" s="25">
        <f>SUM(BA23:BC23)</f>
        <v>154415.59</v>
      </c>
      <c r="V23" s="24">
        <f>SUM(AO23:AZ23)</f>
        <v>17923.24</v>
      </c>
      <c r="W23" s="24">
        <f>SUM(AP23:AZ23)</f>
        <v>17923.24</v>
      </c>
      <c r="X23" s="24">
        <f>SUM(AQ23:AZ23)</f>
        <v>17923.24</v>
      </c>
      <c r="Y23" s="24">
        <f>SUM(AR23:AZ23)</f>
        <v>17923.24</v>
      </c>
      <c r="Z23" s="24">
        <f>SUM(AS23:AZ23)</f>
        <v>17923.24</v>
      </c>
      <c r="AA23" s="24">
        <f>SUM(AT23:AZ23)</f>
        <v>17923.24</v>
      </c>
      <c r="AB23" s="24">
        <f>SUM(AU23:AZ23)</f>
        <v>17923.24</v>
      </c>
      <c r="AC23" s="24">
        <f>SUM(AV23:AZ23)</f>
        <v>17923.24</v>
      </c>
      <c r="AD23" s="24">
        <f>SUM(AW23:AZ23)</f>
        <v>17923.24</v>
      </c>
      <c r="AE23" s="24">
        <f>SUM(AX23:AZ23)</f>
        <v>17923.24</v>
      </c>
      <c r="AF23" s="24">
        <f>SUM(AY23:AZ23)</f>
        <v>17923.23</v>
      </c>
      <c r="AG23" s="24">
        <f>SUM(AZ23:AZ23)</f>
        <v>0</v>
      </c>
      <c r="AH23" s="38">
        <v>0</v>
      </c>
      <c r="AI23" s="38">
        <v>0</v>
      </c>
      <c r="AJ23" s="10"/>
      <c r="AK23" s="10"/>
      <c r="AL23" s="10"/>
      <c r="AM23" s="10"/>
      <c r="AN23" s="10"/>
      <c r="AO23" s="24">
        <v>0</v>
      </c>
      <c r="AP23" s="24">
        <v>0</v>
      </c>
      <c r="AQ23" s="24">
        <v>0</v>
      </c>
      <c r="AR23" s="24">
        <v>0</v>
      </c>
      <c r="AS23" s="24">
        <v>0</v>
      </c>
      <c r="AT23" s="24">
        <v>0</v>
      </c>
      <c r="AU23" s="24">
        <v>0</v>
      </c>
      <c r="AV23" s="24">
        <v>0</v>
      </c>
      <c r="AW23" s="24">
        <v>0</v>
      </c>
      <c r="AX23" s="24">
        <v>0.01</v>
      </c>
      <c r="AY23" s="24">
        <v>17923.23</v>
      </c>
      <c r="AZ23" s="24">
        <v>0</v>
      </c>
      <c r="BA23" s="61">
        <v>154415.59</v>
      </c>
      <c r="BB23" s="25">
        <v>0</v>
      </c>
      <c r="BC23" s="59">
        <v>0</v>
      </c>
      <c r="BD23" s="49" t="s">
        <v>63</v>
      </c>
    </row>
    <row r="24" ht="15" spans="1:56">
      <c r="A24" s="10"/>
      <c r="B24" s="10"/>
      <c r="C24" s="10"/>
      <c r="D24" s="10"/>
      <c r="E24" s="10"/>
      <c r="F24" s="10"/>
      <c r="G24" s="10"/>
      <c r="H24" s="10"/>
      <c r="I24" s="10"/>
      <c r="J24" s="10"/>
      <c r="K24" s="10"/>
      <c r="L24" s="10"/>
      <c r="M24" s="10"/>
      <c r="N24" s="10"/>
      <c r="O24" s="10"/>
      <c r="P24" s="10"/>
      <c r="Q24" s="10"/>
      <c r="R24" s="26" t="s">
        <v>11</v>
      </c>
      <c r="S24" s="24">
        <v>0</v>
      </c>
      <c r="T24" s="24">
        <f>SUM(AO24:BC24)</f>
        <v>0</v>
      </c>
      <c r="U24" s="25">
        <f>SUM(BA24:BC24)</f>
        <v>0</v>
      </c>
      <c r="V24" s="24">
        <v>0</v>
      </c>
      <c r="W24" s="24">
        <v>0</v>
      </c>
      <c r="X24" s="24">
        <v>0</v>
      </c>
      <c r="Y24" s="24">
        <v>0</v>
      </c>
      <c r="Z24" s="24">
        <v>0</v>
      </c>
      <c r="AA24" s="24">
        <v>0</v>
      </c>
      <c r="AB24" s="24">
        <v>0</v>
      </c>
      <c r="AC24" s="24">
        <v>0</v>
      </c>
      <c r="AD24" s="24">
        <v>0</v>
      </c>
      <c r="AE24" s="24">
        <v>0</v>
      </c>
      <c r="AF24" s="24">
        <v>0</v>
      </c>
      <c r="AG24" s="24">
        <v>0</v>
      </c>
      <c r="AH24" s="38">
        <v>0</v>
      </c>
      <c r="AI24" s="38">
        <v>0</v>
      </c>
      <c r="AJ24" s="10"/>
      <c r="AK24" s="10"/>
      <c r="AL24" s="10"/>
      <c r="AM24" s="10"/>
      <c r="AN24" s="10"/>
      <c r="AO24" s="24">
        <v>0</v>
      </c>
      <c r="AP24" s="24">
        <v>0</v>
      </c>
      <c r="AQ24" s="24">
        <v>0</v>
      </c>
      <c r="AR24" s="24">
        <v>0</v>
      </c>
      <c r="AS24" s="24">
        <v>0</v>
      </c>
      <c r="AT24" s="24">
        <v>0</v>
      </c>
      <c r="AU24" s="24">
        <v>0</v>
      </c>
      <c r="AV24" s="24">
        <v>0</v>
      </c>
      <c r="AW24" s="24">
        <v>0</v>
      </c>
      <c r="AX24" s="24">
        <v>0</v>
      </c>
      <c r="AY24" s="24">
        <v>0</v>
      </c>
      <c r="AZ24" s="24">
        <v>0</v>
      </c>
      <c r="BA24" s="61">
        <v>0</v>
      </c>
      <c r="BB24" s="25">
        <v>0</v>
      </c>
      <c r="BC24" s="59">
        <v>0</v>
      </c>
      <c r="BD24" s="49" t="s">
        <v>63</v>
      </c>
    </row>
    <row r="25" ht="15" spans="1:56">
      <c r="A25" s="10"/>
      <c r="B25" s="10"/>
      <c r="C25" s="10"/>
      <c r="D25" s="10"/>
      <c r="E25" s="10"/>
      <c r="F25" s="10"/>
      <c r="G25" s="10"/>
      <c r="H25" s="10"/>
      <c r="I25" s="10"/>
      <c r="J25" s="10"/>
      <c r="K25" s="10"/>
      <c r="L25" s="10"/>
      <c r="M25" s="10"/>
      <c r="N25" s="10"/>
      <c r="O25" s="10"/>
      <c r="P25" s="10"/>
      <c r="Q25" s="10"/>
      <c r="R25" s="26" t="s">
        <v>12</v>
      </c>
      <c r="S25" s="24">
        <v>0</v>
      </c>
      <c r="T25" s="24">
        <f>SUM(AO25:BC25)</f>
        <v>0</v>
      </c>
      <c r="U25" s="25">
        <f>SUM(BA25:BC25)</f>
        <v>0</v>
      </c>
      <c r="V25" s="24">
        <f>SUM(AO25:AZ25)</f>
        <v>0</v>
      </c>
      <c r="W25" s="24">
        <f>SUM(AP25:AZ25)</f>
        <v>0</v>
      </c>
      <c r="X25" s="24">
        <f>SUM(AQ25:AZ25)</f>
        <v>0</v>
      </c>
      <c r="Y25" s="24">
        <f>SUM(AR25:AZ25)</f>
        <v>0</v>
      </c>
      <c r="Z25" s="24">
        <f>SUM(AS25:AZ25)</f>
        <v>0</v>
      </c>
      <c r="AA25" s="24">
        <f>SUM(AT25:AZ25)</f>
        <v>0</v>
      </c>
      <c r="AB25" s="24">
        <f>SUM(AU25:AZ25)</f>
        <v>0</v>
      </c>
      <c r="AC25" s="24">
        <f>SUM(AV25:AZ25)</f>
        <v>0</v>
      </c>
      <c r="AD25" s="24">
        <f>SUM(AW25:AZ25)</f>
        <v>0</v>
      </c>
      <c r="AE25" s="24">
        <f>SUM(AX25:AZ25)</f>
        <v>0</v>
      </c>
      <c r="AF25" s="24">
        <f>SUM(AY25:AZ25)</f>
        <v>0</v>
      </c>
      <c r="AG25" s="24">
        <f>SUM(AZ25:AZ25)</f>
        <v>0</v>
      </c>
      <c r="AH25" s="38">
        <v>0</v>
      </c>
      <c r="AI25" s="38">
        <v>0</v>
      </c>
      <c r="AJ25" s="10"/>
      <c r="AK25" s="10"/>
      <c r="AL25" s="10"/>
      <c r="AM25" s="10"/>
      <c r="AN25" s="10"/>
      <c r="AO25" s="24">
        <v>0</v>
      </c>
      <c r="AP25" s="24">
        <v>0</v>
      </c>
      <c r="AQ25" s="24">
        <v>0</v>
      </c>
      <c r="AR25" s="24">
        <v>0</v>
      </c>
      <c r="AS25" s="24">
        <v>0</v>
      </c>
      <c r="AT25" s="24">
        <v>0</v>
      </c>
      <c r="AU25" s="24">
        <v>0</v>
      </c>
      <c r="AV25" s="24">
        <v>0</v>
      </c>
      <c r="AW25" s="24">
        <v>0</v>
      </c>
      <c r="AX25" s="24">
        <v>0</v>
      </c>
      <c r="AY25" s="24">
        <v>0</v>
      </c>
      <c r="AZ25" s="24">
        <v>0</v>
      </c>
      <c r="BA25" s="61">
        <v>0</v>
      </c>
      <c r="BB25" s="25">
        <v>0</v>
      </c>
      <c r="BC25" s="59">
        <v>0</v>
      </c>
      <c r="BD25" s="49" t="s">
        <v>63</v>
      </c>
    </row>
    <row r="26" ht="15" spans="1:56">
      <c r="A26" s="10"/>
      <c r="B26" s="10"/>
      <c r="C26" s="10"/>
      <c r="D26" s="10"/>
      <c r="E26" s="10"/>
      <c r="F26" s="10"/>
      <c r="G26" s="10"/>
      <c r="H26" s="10"/>
      <c r="I26" s="10"/>
      <c r="J26" s="10"/>
      <c r="K26" s="10"/>
      <c r="L26" s="10"/>
      <c r="M26" s="10"/>
      <c r="N26" s="10"/>
      <c r="O26" s="10"/>
      <c r="P26" s="10"/>
      <c r="Q26" s="10"/>
      <c r="R26" s="26" t="s">
        <v>13</v>
      </c>
      <c r="S26" s="24">
        <v>0</v>
      </c>
      <c r="T26" s="24">
        <f>SUM(AO26:BC26)</f>
        <v>-231.65</v>
      </c>
      <c r="U26" s="25">
        <f>SUM(BA26:BC26)</f>
        <v>-195.24</v>
      </c>
      <c r="V26" s="24">
        <f>SUM(AO26:AZ26)</f>
        <v>-36.41</v>
      </c>
      <c r="W26" s="24">
        <f>SUM(AP26:AZ26)</f>
        <v>-36.41</v>
      </c>
      <c r="X26" s="24">
        <f>SUM(AQ26:AZ26)</f>
        <v>-36.41</v>
      </c>
      <c r="Y26" s="24">
        <f>SUM(AR26:AZ26)</f>
        <v>-36.41</v>
      </c>
      <c r="Z26" s="24">
        <f>SUM(AS26:AZ26)</f>
        <v>-36.41</v>
      </c>
      <c r="AA26" s="24">
        <f>SUM(AT26:AZ26)</f>
        <v>-36.41</v>
      </c>
      <c r="AB26" s="24">
        <f>SUM(AU26:AZ26)</f>
        <v>-36.41</v>
      </c>
      <c r="AC26" s="24">
        <f>SUM(AV26:AZ26)</f>
        <v>-36.41</v>
      </c>
      <c r="AD26" s="24">
        <f>SUM(AW26:AZ26)</f>
        <v>-36.41</v>
      </c>
      <c r="AE26" s="24">
        <f>SUM(AX26:AZ26)</f>
        <v>-36.41</v>
      </c>
      <c r="AF26" s="24">
        <f>SUM(AY26:AZ26)</f>
        <v>-36.41</v>
      </c>
      <c r="AG26" s="24">
        <f>SUM(AZ26:AZ26)</f>
        <v>-36.41</v>
      </c>
      <c r="AH26" s="38">
        <v>0</v>
      </c>
      <c r="AI26" s="38">
        <v>0</v>
      </c>
      <c r="AJ26" s="10"/>
      <c r="AK26" s="10"/>
      <c r="AL26" s="10"/>
      <c r="AM26" s="10"/>
      <c r="AN26" s="10"/>
      <c r="AO26" s="24">
        <v>0</v>
      </c>
      <c r="AP26" s="24">
        <v>0</v>
      </c>
      <c r="AQ26" s="24">
        <v>0</v>
      </c>
      <c r="AR26" s="24">
        <v>0</v>
      </c>
      <c r="AS26" s="24">
        <v>0</v>
      </c>
      <c r="AT26" s="24">
        <v>0</v>
      </c>
      <c r="AU26" s="24">
        <v>0</v>
      </c>
      <c r="AV26" s="24">
        <v>0</v>
      </c>
      <c r="AW26" s="24">
        <v>0</v>
      </c>
      <c r="AX26" s="24">
        <v>0</v>
      </c>
      <c r="AY26" s="24">
        <v>0</v>
      </c>
      <c r="AZ26" s="24">
        <v>-36.41</v>
      </c>
      <c r="BA26" s="61">
        <v>-195.24</v>
      </c>
      <c r="BB26" s="25">
        <v>0</v>
      </c>
      <c r="BC26" s="59">
        <v>0</v>
      </c>
      <c r="BD26" s="49" t="s">
        <v>63</v>
      </c>
    </row>
    <row r="27" ht="15" spans="1:56">
      <c r="A27" s="10"/>
      <c r="B27" s="10"/>
      <c r="C27" s="10"/>
      <c r="D27" s="10"/>
      <c r="E27" s="10"/>
      <c r="F27" s="10"/>
      <c r="G27" s="10"/>
      <c r="H27" s="10"/>
      <c r="I27" s="10"/>
      <c r="J27" s="10"/>
      <c r="K27" s="10"/>
      <c r="L27" s="10"/>
      <c r="M27" s="10"/>
      <c r="N27" s="10"/>
      <c r="O27" s="10"/>
      <c r="P27" s="10"/>
      <c r="Q27" s="10"/>
      <c r="R27" s="26" t="s">
        <v>14</v>
      </c>
      <c r="S27" s="27">
        <f t="shared" ref="S27:AI27" si="20">SUM(S23:S26)</f>
        <v>148783.99</v>
      </c>
      <c r="T27" s="27">
        <f t="shared" si="20"/>
        <v>172107.18</v>
      </c>
      <c r="U27" s="28">
        <f t="shared" si="20"/>
        <v>154220.35</v>
      </c>
      <c r="V27" s="27">
        <f t="shared" si="20"/>
        <v>17886.83</v>
      </c>
      <c r="W27" s="27">
        <f t="shared" si="20"/>
        <v>17886.83</v>
      </c>
      <c r="X27" s="27">
        <f t="shared" si="20"/>
        <v>17886.83</v>
      </c>
      <c r="Y27" s="27">
        <f t="shared" si="20"/>
        <v>17886.83</v>
      </c>
      <c r="Z27" s="27">
        <f t="shared" si="20"/>
        <v>17886.83</v>
      </c>
      <c r="AA27" s="27">
        <f t="shared" si="20"/>
        <v>17886.83</v>
      </c>
      <c r="AB27" s="27">
        <f t="shared" si="20"/>
        <v>17886.83</v>
      </c>
      <c r="AC27" s="27">
        <f t="shared" si="20"/>
        <v>17886.83</v>
      </c>
      <c r="AD27" s="27">
        <f t="shared" si="20"/>
        <v>17886.83</v>
      </c>
      <c r="AE27" s="27">
        <f t="shared" si="20"/>
        <v>17886.83</v>
      </c>
      <c r="AF27" s="27">
        <f t="shared" si="20"/>
        <v>17886.82</v>
      </c>
      <c r="AG27" s="27">
        <f t="shared" si="20"/>
        <v>-36.41</v>
      </c>
      <c r="AH27" s="27">
        <f t="shared" si="20"/>
        <v>0</v>
      </c>
      <c r="AI27" s="27">
        <f t="shared" si="20"/>
        <v>0</v>
      </c>
      <c r="AJ27" s="10"/>
      <c r="AK27" s="10"/>
      <c r="AL27" s="10"/>
      <c r="AM27" s="10"/>
      <c r="AN27" s="10"/>
      <c r="AO27" s="27">
        <f t="shared" ref="AO27:AX27" si="21">SUM(AO23:AO26)</f>
        <v>0</v>
      </c>
      <c r="AP27" s="27">
        <f t="shared" si="21"/>
        <v>0</v>
      </c>
      <c r="AQ27" s="27">
        <f t="shared" si="21"/>
        <v>0</v>
      </c>
      <c r="AR27" s="27">
        <f t="shared" si="21"/>
        <v>0</v>
      </c>
      <c r="AS27" s="27">
        <f t="shared" si="21"/>
        <v>0</v>
      </c>
      <c r="AT27" s="27">
        <f t="shared" si="21"/>
        <v>0</v>
      </c>
      <c r="AU27" s="27">
        <f t="shared" si="21"/>
        <v>0</v>
      </c>
      <c r="AV27" s="27">
        <f t="shared" si="21"/>
        <v>0</v>
      </c>
      <c r="AW27" s="27">
        <f t="shared" si="21"/>
        <v>0</v>
      </c>
      <c r="AX27" s="27">
        <f t="shared" si="21"/>
        <v>0.01</v>
      </c>
      <c r="AY27" s="27">
        <v>17923.23</v>
      </c>
      <c r="AZ27" s="27">
        <f>SUM(AZ23:AZ26)</f>
        <v>-36.41</v>
      </c>
      <c r="BA27" s="56">
        <v>154220.35</v>
      </c>
      <c r="BB27" s="28">
        <f>SUM(BB23:BB26)</f>
        <v>0</v>
      </c>
      <c r="BC27" s="60">
        <f>SUM(BC23:BC26)</f>
        <v>0</v>
      </c>
      <c r="BD27" s="50" t="s">
        <v>63</v>
      </c>
    </row>
    <row r="28" ht="15" spans="1:56">
      <c r="A28" s="10"/>
      <c r="B28" s="10"/>
      <c r="C28" s="10"/>
      <c r="D28" s="10"/>
      <c r="E28" s="10"/>
      <c r="F28" s="10"/>
      <c r="G28" s="10"/>
      <c r="H28" s="10"/>
      <c r="I28" s="10"/>
      <c r="J28" s="10"/>
      <c r="K28" s="10"/>
      <c r="L28" s="10"/>
      <c r="M28" s="10"/>
      <c r="N28" s="10"/>
      <c r="O28" s="10"/>
      <c r="P28" s="10"/>
      <c r="Q28" s="10"/>
      <c r="R28" s="26" t="s">
        <v>15</v>
      </c>
      <c r="S28" s="24">
        <f t="shared" ref="S28:AG28" si="22">S22-S23</f>
        <v>32819.78</v>
      </c>
      <c r="T28" s="24">
        <f t="shared" si="22"/>
        <v>7899.68000000002</v>
      </c>
      <c r="U28" s="25">
        <f t="shared" si="22"/>
        <v>-14432.64</v>
      </c>
      <c r="V28" s="24">
        <f t="shared" si="22"/>
        <v>22332.32</v>
      </c>
      <c r="W28" s="24">
        <f t="shared" si="22"/>
        <v>22332.32</v>
      </c>
      <c r="X28" s="24">
        <f t="shared" si="22"/>
        <v>22332.32</v>
      </c>
      <c r="Y28" s="24">
        <f t="shared" si="22"/>
        <v>22332.32</v>
      </c>
      <c r="Z28" s="24">
        <f t="shared" si="22"/>
        <v>22332.32</v>
      </c>
      <c r="AA28" s="24">
        <f t="shared" si="22"/>
        <v>22332.32</v>
      </c>
      <c r="AB28" s="24">
        <f t="shared" si="22"/>
        <v>22332.32</v>
      </c>
      <c r="AC28" s="24">
        <f t="shared" si="22"/>
        <v>22332.32</v>
      </c>
      <c r="AD28" s="24">
        <f t="shared" si="22"/>
        <v>22332.32</v>
      </c>
      <c r="AE28" s="24">
        <f t="shared" si="22"/>
        <v>22332.32</v>
      </c>
      <c r="AF28" s="24">
        <f t="shared" si="22"/>
        <v>22332.33</v>
      </c>
      <c r="AG28" s="24">
        <f t="shared" si="22"/>
        <v>3848.19</v>
      </c>
      <c r="AH28" s="41">
        <v>0</v>
      </c>
      <c r="AI28" s="41">
        <v>0</v>
      </c>
      <c r="AJ28" s="10"/>
      <c r="AK28" s="10"/>
      <c r="AL28" s="10"/>
      <c r="AM28" s="10"/>
      <c r="AN28" s="10"/>
      <c r="AO28" s="24">
        <f t="shared" ref="AO28:AZ28" si="23">AO22-AO23</f>
        <v>0</v>
      </c>
      <c r="AP28" s="24">
        <f t="shared" si="23"/>
        <v>0</v>
      </c>
      <c r="AQ28" s="24">
        <f t="shared" si="23"/>
        <v>0</v>
      </c>
      <c r="AR28" s="24">
        <f t="shared" si="23"/>
        <v>0</v>
      </c>
      <c r="AS28" s="24">
        <f t="shared" si="23"/>
        <v>0</v>
      </c>
      <c r="AT28" s="24">
        <f t="shared" si="23"/>
        <v>0</v>
      </c>
      <c r="AU28" s="24">
        <f t="shared" si="23"/>
        <v>0</v>
      </c>
      <c r="AV28" s="24">
        <f t="shared" si="23"/>
        <v>0</v>
      </c>
      <c r="AW28" s="24">
        <f t="shared" si="23"/>
        <v>0</v>
      </c>
      <c r="AX28" s="24">
        <f t="shared" si="23"/>
        <v>-0.01</v>
      </c>
      <c r="AY28" s="24">
        <f t="shared" si="23"/>
        <v>18484.14</v>
      </c>
      <c r="AZ28" s="24">
        <f t="shared" si="23"/>
        <v>3848.19</v>
      </c>
      <c r="BA28" s="61">
        <v>-14432.64</v>
      </c>
      <c r="BB28" s="28">
        <v>0</v>
      </c>
      <c r="BC28" s="59">
        <v>0</v>
      </c>
      <c r="BD28" s="49" t="s">
        <v>63</v>
      </c>
    </row>
    <row r="29" ht="15" spans="1:56">
      <c r="A29" s="10"/>
      <c r="B29" s="10"/>
      <c r="C29" s="10"/>
      <c r="D29" s="10"/>
      <c r="E29" s="10"/>
      <c r="F29" s="10"/>
      <c r="G29" s="10"/>
      <c r="H29" s="10"/>
      <c r="I29" s="10"/>
      <c r="J29" s="10"/>
      <c r="K29" s="10"/>
      <c r="L29" s="10"/>
      <c r="M29" s="10"/>
      <c r="N29" s="10"/>
      <c r="O29" s="10"/>
      <c r="P29" s="10"/>
      <c r="Q29" s="10"/>
      <c r="R29" s="29" t="s">
        <v>16</v>
      </c>
      <c r="S29" s="30">
        <f t="shared" ref="S29:AG29" si="24">S28/S22</f>
        <v>0.180721909022043</v>
      </c>
      <c r="T29" s="30">
        <f t="shared" si="24"/>
        <v>0.0438290352045188</v>
      </c>
      <c r="U29" s="31">
        <f t="shared" si="24"/>
        <v>-0.103102842167564</v>
      </c>
      <c r="V29" s="30">
        <f t="shared" si="24"/>
        <v>0.554763615262091</v>
      </c>
      <c r="W29" s="30">
        <f t="shared" si="24"/>
        <v>0.554763615262091</v>
      </c>
      <c r="X29" s="30">
        <f t="shared" si="24"/>
        <v>0.554763615262091</v>
      </c>
      <c r="Y29" s="30">
        <f t="shared" si="24"/>
        <v>0.554763615262091</v>
      </c>
      <c r="Z29" s="30">
        <f t="shared" si="24"/>
        <v>0.554763615262091</v>
      </c>
      <c r="AA29" s="30">
        <f t="shared" si="24"/>
        <v>0.554763615262091</v>
      </c>
      <c r="AB29" s="30">
        <f t="shared" si="24"/>
        <v>0.554763615262091</v>
      </c>
      <c r="AC29" s="30">
        <f t="shared" si="24"/>
        <v>0.554763615262091</v>
      </c>
      <c r="AD29" s="30">
        <f t="shared" si="24"/>
        <v>0.554763615262091</v>
      </c>
      <c r="AE29" s="30">
        <f t="shared" si="24"/>
        <v>0.554763615262091</v>
      </c>
      <c r="AF29" s="30">
        <f t="shared" si="24"/>
        <v>0.554763863674981</v>
      </c>
      <c r="AG29" s="30">
        <f t="shared" si="24"/>
        <v>1</v>
      </c>
      <c r="AH29" s="42">
        <f>T29-S29</f>
        <v>-0.136892873817524</v>
      </c>
      <c r="AI29" s="42">
        <f>AF29-S29</f>
        <v>0.374041954652938</v>
      </c>
      <c r="AJ29" s="10"/>
      <c r="AK29" s="10"/>
      <c r="AL29" s="10"/>
      <c r="AM29" s="10"/>
      <c r="AN29" s="10"/>
      <c r="AO29" s="30" t="e">
        <f t="shared" ref="AO29:AZ29" si="25">AO28/AO22</f>
        <v>#DIV/0!</v>
      </c>
      <c r="AP29" s="30" t="e">
        <f t="shared" si="25"/>
        <v>#DIV/0!</v>
      </c>
      <c r="AQ29" s="30" t="e">
        <f t="shared" si="25"/>
        <v>#DIV/0!</v>
      </c>
      <c r="AR29" s="30" t="e">
        <f t="shared" si="25"/>
        <v>#DIV/0!</v>
      </c>
      <c r="AS29" s="30" t="e">
        <f t="shared" si="25"/>
        <v>#DIV/0!</v>
      </c>
      <c r="AT29" s="30" t="e">
        <f t="shared" si="25"/>
        <v>#DIV/0!</v>
      </c>
      <c r="AU29" s="30" t="e">
        <f t="shared" si="25"/>
        <v>#DIV/0!</v>
      </c>
      <c r="AV29" s="30" t="e">
        <f t="shared" si="25"/>
        <v>#DIV/0!</v>
      </c>
      <c r="AW29" s="30" t="e">
        <f t="shared" si="25"/>
        <v>#DIV/0!</v>
      </c>
      <c r="AX29" s="30" t="e">
        <f t="shared" si="25"/>
        <v>#DIV/0!</v>
      </c>
      <c r="AY29" s="30">
        <f t="shared" si="25"/>
        <v>0.507703247996216</v>
      </c>
      <c r="AZ29" s="30">
        <f t="shared" si="25"/>
        <v>1</v>
      </c>
      <c r="BA29" s="58">
        <v>-0.103102842167564</v>
      </c>
      <c r="BB29" s="52">
        <v>0</v>
      </c>
      <c r="BC29" s="59">
        <v>0</v>
      </c>
      <c r="BD29" s="49" t="s">
        <v>63</v>
      </c>
    </row>
    <row r="30" ht="15" spans="1:56">
      <c r="A30" s="10"/>
      <c r="B30" s="10"/>
      <c r="C30" s="10"/>
      <c r="D30" s="10"/>
      <c r="E30" s="10"/>
      <c r="F30" s="10"/>
      <c r="G30" s="10"/>
      <c r="H30" s="10"/>
      <c r="I30" s="10"/>
      <c r="J30" s="10"/>
      <c r="K30" s="10"/>
      <c r="L30" s="10"/>
      <c r="M30" s="10"/>
      <c r="N30" s="10"/>
      <c r="O30" s="10"/>
      <c r="P30" s="10"/>
      <c r="Q30" s="10"/>
      <c r="R30" s="26" t="s">
        <v>17</v>
      </c>
      <c r="S30" s="24">
        <f t="shared" ref="S30:AG30" si="26">S22-S27</f>
        <v>32819.78</v>
      </c>
      <c r="T30" s="24">
        <f t="shared" si="26"/>
        <v>8131.33000000002</v>
      </c>
      <c r="U30" s="24">
        <f t="shared" si="26"/>
        <v>-14237.4</v>
      </c>
      <c r="V30" s="24">
        <f t="shared" si="26"/>
        <v>22368.73</v>
      </c>
      <c r="W30" s="24">
        <f t="shared" si="26"/>
        <v>22368.73</v>
      </c>
      <c r="X30" s="24">
        <f t="shared" si="26"/>
        <v>22368.73</v>
      </c>
      <c r="Y30" s="24">
        <f t="shared" si="26"/>
        <v>22368.73</v>
      </c>
      <c r="Z30" s="24">
        <f t="shared" si="26"/>
        <v>22368.73</v>
      </c>
      <c r="AA30" s="24">
        <f t="shared" si="26"/>
        <v>22368.73</v>
      </c>
      <c r="AB30" s="24">
        <f t="shared" si="26"/>
        <v>22368.73</v>
      </c>
      <c r="AC30" s="24">
        <f t="shared" si="26"/>
        <v>22368.73</v>
      </c>
      <c r="AD30" s="24">
        <f t="shared" si="26"/>
        <v>22368.73</v>
      </c>
      <c r="AE30" s="24">
        <f t="shared" si="26"/>
        <v>22368.73</v>
      </c>
      <c r="AF30" s="24">
        <f t="shared" si="26"/>
        <v>22368.74</v>
      </c>
      <c r="AG30" s="24">
        <f t="shared" si="26"/>
        <v>3884.6</v>
      </c>
      <c r="AH30" s="42">
        <v>0</v>
      </c>
      <c r="AI30" s="42">
        <v>0</v>
      </c>
      <c r="AJ30" s="10"/>
      <c r="AK30" s="10"/>
      <c r="AL30" s="10"/>
      <c r="AM30" s="10"/>
      <c r="AN30" s="10"/>
      <c r="AO30" s="24">
        <f t="shared" ref="AO30:BC30" si="27">AO22-AO27</f>
        <v>0</v>
      </c>
      <c r="AP30" s="24">
        <f t="shared" si="27"/>
        <v>0</v>
      </c>
      <c r="AQ30" s="24">
        <f t="shared" si="27"/>
        <v>0</v>
      </c>
      <c r="AR30" s="24">
        <f t="shared" si="27"/>
        <v>0</v>
      </c>
      <c r="AS30" s="24">
        <f t="shared" si="27"/>
        <v>0</v>
      </c>
      <c r="AT30" s="24">
        <f t="shared" si="27"/>
        <v>0</v>
      </c>
      <c r="AU30" s="24">
        <f t="shared" si="27"/>
        <v>0</v>
      </c>
      <c r="AV30" s="24">
        <f t="shared" si="27"/>
        <v>0</v>
      </c>
      <c r="AW30" s="24">
        <f t="shared" si="27"/>
        <v>0</v>
      </c>
      <c r="AX30" s="24">
        <f t="shared" si="27"/>
        <v>-0.01</v>
      </c>
      <c r="AY30" s="24">
        <f t="shared" si="27"/>
        <v>18484.14</v>
      </c>
      <c r="AZ30" s="24">
        <f t="shared" si="27"/>
        <v>3884.6</v>
      </c>
      <c r="BA30" s="24">
        <f t="shared" si="27"/>
        <v>-14237.4</v>
      </c>
      <c r="BB30" s="24">
        <f t="shared" si="27"/>
        <v>0</v>
      </c>
      <c r="BC30" s="24">
        <f t="shared" si="27"/>
        <v>0</v>
      </c>
      <c r="BD30" s="49" t="s">
        <v>63</v>
      </c>
    </row>
    <row r="31" ht="15" spans="1:56">
      <c r="A31" s="11"/>
      <c r="B31" s="11"/>
      <c r="C31" s="11"/>
      <c r="D31" s="11"/>
      <c r="E31" s="11"/>
      <c r="F31" s="11"/>
      <c r="G31" s="11"/>
      <c r="H31" s="11"/>
      <c r="I31" s="11"/>
      <c r="J31" s="11"/>
      <c r="K31" s="11"/>
      <c r="L31" s="11"/>
      <c r="M31" s="11"/>
      <c r="N31" s="11"/>
      <c r="O31" s="11"/>
      <c r="P31" s="11"/>
      <c r="Q31" s="11"/>
      <c r="R31" s="29" t="s">
        <v>18</v>
      </c>
      <c r="S31" s="30">
        <f t="shared" ref="S31:AG31" si="28">S30/S22</f>
        <v>0.180721909022043</v>
      </c>
      <c r="T31" s="30">
        <f t="shared" si="28"/>
        <v>0.0451142766326687</v>
      </c>
      <c r="U31" s="31">
        <f t="shared" si="28"/>
        <v>-0.101708100879428</v>
      </c>
      <c r="V31" s="30">
        <f t="shared" si="28"/>
        <v>0.555668086594746</v>
      </c>
      <c r="W31" s="30">
        <f t="shared" si="28"/>
        <v>0.555668086594746</v>
      </c>
      <c r="X31" s="30">
        <f t="shared" si="28"/>
        <v>0.555668086594746</v>
      </c>
      <c r="Y31" s="30">
        <f t="shared" si="28"/>
        <v>0.555668086594746</v>
      </c>
      <c r="Z31" s="30">
        <f t="shared" si="28"/>
        <v>0.555668086594746</v>
      </c>
      <c r="AA31" s="30">
        <f t="shared" si="28"/>
        <v>0.555668086594746</v>
      </c>
      <c r="AB31" s="30">
        <f t="shared" si="28"/>
        <v>0.555668086594746</v>
      </c>
      <c r="AC31" s="30">
        <f t="shared" si="28"/>
        <v>0.555668086594746</v>
      </c>
      <c r="AD31" s="30">
        <f t="shared" si="28"/>
        <v>0.555668086594746</v>
      </c>
      <c r="AE31" s="30">
        <f t="shared" si="28"/>
        <v>0.555668086594746</v>
      </c>
      <c r="AF31" s="30">
        <f t="shared" si="28"/>
        <v>0.555668335007636</v>
      </c>
      <c r="AG31" s="30">
        <f t="shared" si="28"/>
        <v>1.00946159103371</v>
      </c>
      <c r="AH31" s="42">
        <f>T31-S31</f>
        <v>-0.135607632389374</v>
      </c>
      <c r="AI31" s="42">
        <f>AF31-S31</f>
        <v>0.374946425985593</v>
      </c>
      <c r="AJ31" s="11"/>
      <c r="AK31" s="11"/>
      <c r="AL31" s="11"/>
      <c r="AM31" s="11"/>
      <c r="AN31" s="11"/>
      <c r="AO31" s="30" t="e">
        <f t="shared" ref="AO31:AZ31" si="29">AO30/AO22</f>
        <v>#DIV/0!</v>
      </c>
      <c r="AP31" s="30" t="e">
        <f t="shared" si="29"/>
        <v>#DIV/0!</v>
      </c>
      <c r="AQ31" s="30" t="e">
        <f t="shared" si="29"/>
        <v>#DIV/0!</v>
      </c>
      <c r="AR31" s="30" t="e">
        <f t="shared" si="29"/>
        <v>#DIV/0!</v>
      </c>
      <c r="AS31" s="30" t="e">
        <f t="shared" si="29"/>
        <v>#DIV/0!</v>
      </c>
      <c r="AT31" s="30" t="e">
        <f t="shared" si="29"/>
        <v>#DIV/0!</v>
      </c>
      <c r="AU31" s="30" t="e">
        <f t="shared" si="29"/>
        <v>#DIV/0!</v>
      </c>
      <c r="AV31" s="30" t="e">
        <f t="shared" si="29"/>
        <v>#DIV/0!</v>
      </c>
      <c r="AW31" s="30" t="e">
        <f t="shared" si="29"/>
        <v>#DIV/0!</v>
      </c>
      <c r="AX31" s="30" t="e">
        <f t="shared" si="29"/>
        <v>#DIV/0!</v>
      </c>
      <c r="AY31" s="30">
        <f t="shared" si="29"/>
        <v>0.507703247996216</v>
      </c>
      <c r="AZ31" s="30">
        <f t="shared" si="29"/>
        <v>1.00946159103371</v>
      </c>
      <c r="BA31" s="58">
        <v>-0.101708100879428</v>
      </c>
      <c r="BB31" s="52">
        <v>0</v>
      </c>
      <c r="BC31" s="59">
        <v>0</v>
      </c>
      <c r="BD31" s="49" t="s">
        <v>63</v>
      </c>
    </row>
    <row r="32" ht="15" spans="1:56">
      <c r="A32" s="12" t="s">
        <v>74</v>
      </c>
      <c r="B32" s="13" t="s">
        <v>75</v>
      </c>
      <c r="C32" s="14">
        <v>45839</v>
      </c>
      <c r="D32" s="14">
        <v>46203</v>
      </c>
      <c r="E32" s="6"/>
      <c r="F32" s="7" t="s">
        <v>62</v>
      </c>
      <c r="G32" s="9">
        <v>0</v>
      </c>
      <c r="H32" s="9"/>
      <c r="I32" s="9"/>
      <c r="J32" s="9"/>
      <c r="K32" s="9"/>
      <c r="L32" s="9"/>
      <c r="M32" s="9"/>
      <c r="N32" s="9"/>
      <c r="O32" s="9"/>
      <c r="P32" s="6"/>
      <c r="Q32" s="9" t="s">
        <v>63</v>
      </c>
      <c r="R32" s="32" t="s">
        <v>9</v>
      </c>
      <c r="S32" s="24">
        <v>188679.25</v>
      </c>
      <c r="T32" s="24">
        <f>SUM(AO32:BC32)</f>
        <v>152129.83</v>
      </c>
      <c r="U32" s="25">
        <f>SUM(BA32:BC32)</f>
        <v>127263.98</v>
      </c>
      <c r="V32" s="24">
        <f>SUM(AO32:AZ32)</f>
        <v>24865.85</v>
      </c>
      <c r="W32" s="24">
        <f>SUM(AP32:AZ32)</f>
        <v>24865.85</v>
      </c>
      <c r="X32" s="24">
        <f>SUM(AQ32:AZ32)</f>
        <v>24865.85</v>
      </c>
      <c r="Y32" s="24">
        <f>SUM(AR32:AZ32)</f>
        <v>24865.85</v>
      </c>
      <c r="Z32" s="24">
        <f>SUM(AS32:AZ32)</f>
        <v>24865.85</v>
      </c>
      <c r="AA32" s="24">
        <f>SUM(AT32:AZ32)</f>
        <v>24865.85</v>
      </c>
      <c r="AB32" s="24">
        <f>SUM(AU32:AZ32)</f>
        <v>24865.85</v>
      </c>
      <c r="AC32" s="24">
        <f>SUM(AV32:AZ32)</f>
        <v>24865.85</v>
      </c>
      <c r="AD32" s="24">
        <f>SUM(AW32:AZ32)</f>
        <v>24865.85</v>
      </c>
      <c r="AE32" s="24">
        <f>SUM(AX32:AZ32)</f>
        <v>24865.85</v>
      </c>
      <c r="AF32" s="24">
        <f>SUM(AY32:AZ32)</f>
        <v>15256.79</v>
      </c>
      <c r="AG32" s="24">
        <f>SUM(AZ32:AZ32)</f>
        <v>7201.51</v>
      </c>
      <c r="AH32" s="38">
        <v>0</v>
      </c>
      <c r="AI32" s="38">
        <v>0</v>
      </c>
      <c r="AJ32" s="13" t="s">
        <v>63</v>
      </c>
      <c r="AK32" s="43" t="s">
        <v>76</v>
      </c>
      <c r="AL32" s="43" t="s">
        <v>77</v>
      </c>
      <c r="AM32" s="43" t="s">
        <v>63</v>
      </c>
      <c r="AN32" s="45"/>
      <c r="AO32" s="24">
        <v>0</v>
      </c>
      <c r="AP32" s="24">
        <v>0</v>
      </c>
      <c r="AQ32" s="24">
        <v>0</v>
      </c>
      <c r="AR32" s="24">
        <v>0</v>
      </c>
      <c r="AS32" s="24">
        <v>0</v>
      </c>
      <c r="AT32" s="24">
        <v>0</v>
      </c>
      <c r="AU32" s="24">
        <v>0</v>
      </c>
      <c r="AV32" s="24">
        <v>0</v>
      </c>
      <c r="AW32" s="24">
        <v>0</v>
      </c>
      <c r="AX32" s="24">
        <v>9609.06</v>
      </c>
      <c r="AY32" s="24">
        <v>8055.28</v>
      </c>
      <c r="AZ32" s="24">
        <v>7201.51</v>
      </c>
      <c r="BA32" s="54">
        <v>127263.98</v>
      </c>
      <c r="BB32" s="25">
        <v>0</v>
      </c>
      <c r="BC32" s="62">
        <v>0</v>
      </c>
      <c r="BD32" s="49" t="s">
        <v>63</v>
      </c>
    </row>
    <row r="33" ht="15" spans="1:56">
      <c r="A33" s="10"/>
      <c r="B33" s="10"/>
      <c r="C33" s="10"/>
      <c r="D33" s="10"/>
      <c r="E33" s="10"/>
      <c r="F33" s="10"/>
      <c r="G33" s="10"/>
      <c r="H33" s="10"/>
      <c r="I33" s="10"/>
      <c r="J33" s="10"/>
      <c r="K33" s="10"/>
      <c r="L33" s="10"/>
      <c r="M33" s="10"/>
      <c r="N33" s="10"/>
      <c r="O33" s="10"/>
      <c r="P33" s="10"/>
      <c r="Q33" s="10"/>
      <c r="R33" s="26" t="s">
        <v>10</v>
      </c>
      <c r="S33" s="24">
        <v>154705.8</v>
      </c>
      <c r="T33" s="24">
        <f>SUM(AO33:BC33)</f>
        <v>174002.79</v>
      </c>
      <c r="U33" s="25">
        <f>SUM(BA33:BC33)</f>
        <v>174002.79</v>
      </c>
      <c r="V33" s="24">
        <f>SUM(AO33:AZ33)</f>
        <v>0</v>
      </c>
      <c r="W33" s="24">
        <f>SUM(AP33:AZ33)</f>
        <v>0</v>
      </c>
      <c r="X33" s="24">
        <f>SUM(AQ33:AZ33)</f>
        <v>0</v>
      </c>
      <c r="Y33" s="24">
        <f>SUM(AR33:AZ33)</f>
        <v>0</v>
      </c>
      <c r="Z33" s="24">
        <f>SUM(AS33:AZ33)</f>
        <v>0</v>
      </c>
      <c r="AA33" s="24">
        <f>SUM(AT33:AZ33)</f>
        <v>0</v>
      </c>
      <c r="AB33" s="24">
        <f>SUM(AU33:AZ33)</f>
        <v>0</v>
      </c>
      <c r="AC33" s="24">
        <f>SUM(AV33:AZ33)</f>
        <v>0</v>
      </c>
      <c r="AD33" s="24">
        <f>SUM(AW33:AZ33)</f>
        <v>0</v>
      </c>
      <c r="AE33" s="24">
        <f>SUM(AX33:AZ33)</f>
        <v>0</v>
      </c>
      <c r="AF33" s="24">
        <f>SUM(AY33:AZ33)</f>
        <v>0</v>
      </c>
      <c r="AG33" s="24">
        <f>SUM(AZ33:AZ33)</f>
        <v>0</v>
      </c>
      <c r="AH33" s="38">
        <v>0</v>
      </c>
      <c r="AI33" s="38">
        <v>0</v>
      </c>
      <c r="AJ33" s="10"/>
      <c r="AK33" s="10"/>
      <c r="AL33" s="10"/>
      <c r="AM33" s="10"/>
      <c r="AN33" s="10"/>
      <c r="AO33" s="24">
        <v>0</v>
      </c>
      <c r="AP33" s="24">
        <v>0</v>
      </c>
      <c r="AQ33" s="24">
        <v>0</v>
      </c>
      <c r="AR33" s="24">
        <v>0</v>
      </c>
      <c r="AS33" s="24">
        <v>0</v>
      </c>
      <c r="AT33" s="24">
        <v>0</v>
      </c>
      <c r="AU33" s="24">
        <v>0</v>
      </c>
      <c r="AV33" s="24">
        <v>0</v>
      </c>
      <c r="AW33" s="24">
        <v>0</v>
      </c>
      <c r="AX33" s="24">
        <v>0</v>
      </c>
      <c r="AY33" s="24">
        <v>0</v>
      </c>
      <c r="AZ33" s="24">
        <v>0</v>
      </c>
      <c r="BA33" s="54">
        <v>174002.79</v>
      </c>
      <c r="BB33" s="25">
        <v>0</v>
      </c>
      <c r="BC33" s="62">
        <v>0</v>
      </c>
      <c r="BD33" s="49" t="s">
        <v>63</v>
      </c>
    </row>
    <row r="34" ht="15" spans="1:56">
      <c r="A34" s="10"/>
      <c r="B34" s="10"/>
      <c r="C34" s="10"/>
      <c r="D34" s="10"/>
      <c r="E34" s="10"/>
      <c r="F34" s="10"/>
      <c r="G34" s="10"/>
      <c r="H34" s="10"/>
      <c r="I34" s="10"/>
      <c r="J34" s="10"/>
      <c r="K34" s="10"/>
      <c r="L34" s="10"/>
      <c r="M34" s="10"/>
      <c r="N34" s="10"/>
      <c r="O34" s="10"/>
      <c r="P34" s="10"/>
      <c r="Q34" s="10"/>
      <c r="R34" s="26" t="s">
        <v>11</v>
      </c>
      <c r="S34" s="24">
        <v>0</v>
      </c>
      <c r="T34" s="24">
        <f>SUM(AO34:BC34)</f>
        <v>0</v>
      </c>
      <c r="U34" s="25">
        <f>SUM(BA34:BC34)</f>
        <v>0</v>
      </c>
      <c r="V34" s="24">
        <v>0</v>
      </c>
      <c r="W34" s="24">
        <v>0</v>
      </c>
      <c r="X34" s="24">
        <v>0</v>
      </c>
      <c r="Y34" s="24">
        <v>0</v>
      </c>
      <c r="Z34" s="24">
        <v>0</v>
      </c>
      <c r="AA34" s="24">
        <v>0</v>
      </c>
      <c r="AB34" s="24">
        <v>0</v>
      </c>
      <c r="AC34" s="24">
        <v>0</v>
      </c>
      <c r="AD34" s="24">
        <v>0</v>
      </c>
      <c r="AE34" s="24">
        <v>0</v>
      </c>
      <c r="AF34" s="24">
        <v>0</v>
      </c>
      <c r="AG34" s="24">
        <v>0</v>
      </c>
      <c r="AH34" s="38">
        <v>0</v>
      </c>
      <c r="AI34" s="38">
        <v>0</v>
      </c>
      <c r="AJ34" s="10"/>
      <c r="AK34" s="10"/>
      <c r="AL34" s="10"/>
      <c r="AM34" s="10"/>
      <c r="AN34" s="10"/>
      <c r="AO34" s="24">
        <v>0</v>
      </c>
      <c r="AP34" s="24">
        <v>0</v>
      </c>
      <c r="AQ34" s="24">
        <v>0</v>
      </c>
      <c r="AR34" s="24">
        <v>0</v>
      </c>
      <c r="AS34" s="24">
        <v>0</v>
      </c>
      <c r="AT34" s="24">
        <v>0</v>
      </c>
      <c r="AU34" s="24">
        <v>0</v>
      </c>
      <c r="AV34" s="24">
        <v>0</v>
      </c>
      <c r="AW34" s="24">
        <v>0</v>
      </c>
      <c r="AX34" s="24">
        <v>0</v>
      </c>
      <c r="AY34" s="24">
        <v>0</v>
      </c>
      <c r="AZ34" s="24">
        <v>0</v>
      </c>
      <c r="BA34" s="54">
        <v>0</v>
      </c>
      <c r="BB34" s="25">
        <v>0</v>
      </c>
      <c r="BC34" s="62">
        <v>0</v>
      </c>
      <c r="BD34" s="49" t="s">
        <v>63</v>
      </c>
    </row>
    <row r="35" ht="15" spans="1:56">
      <c r="A35" s="10"/>
      <c r="B35" s="10"/>
      <c r="C35" s="10"/>
      <c r="D35" s="10"/>
      <c r="E35" s="10"/>
      <c r="F35" s="10"/>
      <c r="G35" s="10"/>
      <c r="H35" s="10"/>
      <c r="I35" s="10"/>
      <c r="J35" s="10"/>
      <c r="K35" s="10"/>
      <c r="L35" s="10"/>
      <c r="M35" s="10"/>
      <c r="N35" s="10"/>
      <c r="O35" s="10"/>
      <c r="P35" s="10"/>
      <c r="Q35" s="10"/>
      <c r="R35" s="26" t="s">
        <v>12</v>
      </c>
      <c r="S35" s="24">
        <v>0</v>
      </c>
      <c r="T35" s="24">
        <f>SUM(AO35:BC35)</f>
        <v>0</v>
      </c>
      <c r="U35" s="25">
        <f>SUM(BA35:BC35)</f>
        <v>0</v>
      </c>
      <c r="V35" s="24">
        <f>SUM(AO35:AZ35)</f>
        <v>0</v>
      </c>
      <c r="W35" s="24">
        <f>SUM(AP35:AZ35)</f>
        <v>0</v>
      </c>
      <c r="X35" s="24">
        <f>SUM(AQ35:AZ35)</f>
        <v>0</v>
      </c>
      <c r="Y35" s="24">
        <f>SUM(AR35:AZ35)</f>
        <v>0</v>
      </c>
      <c r="Z35" s="24">
        <f>SUM(AS35:AZ35)</f>
        <v>0</v>
      </c>
      <c r="AA35" s="24">
        <f>SUM(AT35:AZ35)</f>
        <v>0</v>
      </c>
      <c r="AB35" s="24">
        <f>SUM(AU35:AZ35)</f>
        <v>0</v>
      </c>
      <c r="AC35" s="24">
        <f>SUM(AV35:AZ35)</f>
        <v>0</v>
      </c>
      <c r="AD35" s="24">
        <f>SUM(AW35:AZ35)</f>
        <v>0</v>
      </c>
      <c r="AE35" s="24">
        <f>SUM(AX35:AZ35)</f>
        <v>0</v>
      </c>
      <c r="AF35" s="24">
        <f>SUM(AY35:AZ35)</f>
        <v>0</v>
      </c>
      <c r="AG35" s="24">
        <f>SUM(AZ35:AZ35)</f>
        <v>0</v>
      </c>
      <c r="AH35" s="38">
        <v>0</v>
      </c>
      <c r="AI35" s="38">
        <v>0</v>
      </c>
      <c r="AJ35" s="10"/>
      <c r="AK35" s="10"/>
      <c r="AL35" s="10"/>
      <c r="AM35" s="10"/>
      <c r="AN35" s="10"/>
      <c r="AO35" s="24">
        <v>0</v>
      </c>
      <c r="AP35" s="24">
        <v>0</v>
      </c>
      <c r="AQ35" s="24">
        <v>0</v>
      </c>
      <c r="AR35" s="24">
        <v>0</v>
      </c>
      <c r="AS35" s="24">
        <v>0</v>
      </c>
      <c r="AT35" s="24">
        <v>0</v>
      </c>
      <c r="AU35" s="24">
        <v>0</v>
      </c>
      <c r="AV35" s="24">
        <v>0</v>
      </c>
      <c r="AW35" s="24">
        <v>0</v>
      </c>
      <c r="AX35" s="24">
        <v>0</v>
      </c>
      <c r="AY35" s="24">
        <v>0</v>
      </c>
      <c r="AZ35" s="24">
        <v>0</v>
      </c>
      <c r="BA35" s="54">
        <v>0</v>
      </c>
      <c r="BB35" s="25">
        <v>0</v>
      </c>
      <c r="BC35" s="62">
        <v>0</v>
      </c>
      <c r="BD35" s="49" t="s">
        <v>63</v>
      </c>
    </row>
    <row r="36" ht="15" spans="1:56">
      <c r="A36" s="10"/>
      <c r="B36" s="10"/>
      <c r="C36" s="10"/>
      <c r="D36" s="10"/>
      <c r="E36" s="10"/>
      <c r="F36" s="10"/>
      <c r="G36" s="10"/>
      <c r="H36" s="10"/>
      <c r="I36" s="10"/>
      <c r="J36" s="10"/>
      <c r="K36" s="10"/>
      <c r="L36" s="10"/>
      <c r="M36" s="10"/>
      <c r="N36" s="10"/>
      <c r="O36" s="10"/>
      <c r="P36" s="10"/>
      <c r="Q36" s="10"/>
      <c r="R36" s="26" t="s">
        <v>13</v>
      </c>
      <c r="S36" s="24">
        <v>0</v>
      </c>
      <c r="T36" s="24">
        <f>SUM(AO36:BC36)</f>
        <v>242.2</v>
      </c>
      <c r="U36" s="25">
        <f>SUM(BA36:BC36)</f>
        <v>374.87</v>
      </c>
      <c r="V36" s="24">
        <f>SUM(AO36:AZ36)</f>
        <v>-132.67</v>
      </c>
      <c r="W36" s="24">
        <f>SUM(AP36:AZ36)</f>
        <v>-132.67</v>
      </c>
      <c r="X36" s="24">
        <f>SUM(AQ36:AZ36)</f>
        <v>-132.67</v>
      </c>
      <c r="Y36" s="24">
        <f>SUM(AR36:AZ36)</f>
        <v>-132.67</v>
      </c>
      <c r="Z36" s="24">
        <f>SUM(AS36:AZ36)</f>
        <v>-132.67</v>
      </c>
      <c r="AA36" s="24">
        <f>SUM(AT36:AZ36)</f>
        <v>-132.67</v>
      </c>
      <c r="AB36" s="24">
        <f>SUM(AU36:AZ36)</f>
        <v>-132.67</v>
      </c>
      <c r="AC36" s="24">
        <f>SUM(AV36:AZ36)</f>
        <v>-132.67</v>
      </c>
      <c r="AD36" s="24">
        <f>SUM(AW36:AZ36)</f>
        <v>-132.67</v>
      </c>
      <c r="AE36" s="24">
        <f>SUM(AX36:AZ36)</f>
        <v>-132.67</v>
      </c>
      <c r="AF36" s="24">
        <f>SUM(AY36:AZ36)</f>
        <v>-97.54</v>
      </c>
      <c r="AG36" s="24">
        <f>SUM(AZ36:AZ36)</f>
        <v>-52.8</v>
      </c>
      <c r="AH36" s="38">
        <v>0</v>
      </c>
      <c r="AI36" s="38">
        <v>0</v>
      </c>
      <c r="AJ36" s="10"/>
      <c r="AK36" s="10"/>
      <c r="AL36" s="10"/>
      <c r="AM36" s="10"/>
      <c r="AN36" s="10"/>
      <c r="AO36" s="24">
        <v>0</v>
      </c>
      <c r="AP36" s="24">
        <v>0</v>
      </c>
      <c r="AQ36" s="24">
        <v>0</v>
      </c>
      <c r="AR36" s="24">
        <v>0</v>
      </c>
      <c r="AS36" s="24">
        <v>0</v>
      </c>
      <c r="AT36" s="24">
        <v>0</v>
      </c>
      <c r="AU36" s="24">
        <v>0</v>
      </c>
      <c r="AV36" s="24">
        <v>0</v>
      </c>
      <c r="AW36" s="24">
        <v>0</v>
      </c>
      <c r="AX36" s="24">
        <v>-35.13</v>
      </c>
      <c r="AY36" s="24">
        <v>-44.74</v>
      </c>
      <c r="AZ36" s="24">
        <v>-52.8</v>
      </c>
      <c r="BA36" s="54">
        <v>374.87</v>
      </c>
      <c r="BB36" s="25">
        <v>0</v>
      </c>
      <c r="BC36" s="62">
        <v>0</v>
      </c>
      <c r="BD36" s="49" t="s">
        <v>63</v>
      </c>
    </row>
    <row r="37" ht="15" spans="1:56">
      <c r="A37" s="10"/>
      <c r="B37" s="10"/>
      <c r="C37" s="10"/>
      <c r="D37" s="10"/>
      <c r="E37" s="10"/>
      <c r="F37" s="10"/>
      <c r="G37" s="10"/>
      <c r="H37" s="10"/>
      <c r="I37" s="10"/>
      <c r="J37" s="10"/>
      <c r="K37" s="10"/>
      <c r="L37" s="10"/>
      <c r="M37" s="10"/>
      <c r="N37" s="10"/>
      <c r="O37" s="10"/>
      <c r="P37" s="10"/>
      <c r="Q37" s="10"/>
      <c r="R37" s="26" t="s">
        <v>14</v>
      </c>
      <c r="S37" s="27">
        <f t="shared" ref="S37:AI37" si="30">SUM(S33:S36)</f>
        <v>154705.8</v>
      </c>
      <c r="T37" s="27">
        <f t="shared" si="30"/>
        <v>174244.99</v>
      </c>
      <c r="U37" s="28">
        <f t="shared" si="30"/>
        <v>174377.66</v>
      </c>
      <c r="V37" s="27">
        <f t="shared" si="30"/>
        <v>-132.67</v>
      </c>
      <c r="W37" s="27">
        <f t="shared" si="30"/>
        <v>-132.67</v>
      </c>
      <c r="X37" s="27">
        <f t="shared" si="30"/>
        <v>-132.67</v>
      </c>
      <c r="Y37" s="27">
        <f t="shared" si="30"/>
        <v>-132.67</v>
      </c>
      <c r="Z37" s="27">
        <f t="shared" si="30"/>
        <v>-132.67</v>
      </c>
      <c r="AA37" s="27">
        <f t="shared" si="30"/>
        <v>-132.67</v>
      </c>
      <c r="AB37" s="27">
        <f t="shared" si="30"/>
        <v>-132.67</v>
      </c>
      <c r="AC37" s="27">
        <f t="shared" si="30"/>
        <v>-132.67</v>
      </c>
      <c r="AD37" s="27">
        <f t="shared" si="30"/>
        <v>-132.67</v>
      </c>
      <c r="AE37" s="27">
        <f t="shared" si="30"/>
        <v>-132.67</v>
      </c>
      <c r="AF37" s="27">
        <f t="shared" si="30"/>
        <v>-97.54</v>
      </c>
      <c r="AG37" s="27">
        <f t="shared" si="30"/>
        <v>-52.8</v>
      </c>
      <c r="AH37" s="27">
        <f t="shared" si="30"/>
        <v>0</v>
      </c>
      <c r="AI37" s="27">
        <f t="shared" si="30"/>
        <v>0</v>
      </c>
      <c r="AJ37" s="10"/>
      <c r="AK37" s="10"/>
      <c r="AL37" s="10"/>
      <c r="AM37" s="10"/>
      <c r="AN37" s="10"/>
      <c r="AO37" s="27">
        <f t="shared" ref="AO37:AX37" si="31">SUM(AO33:AO36)</f>
        <v>0</v>
      </c>
      <c r="AP37" s="27">
        <f t="shared" si="31"/>
        <v>0</v>
      </c>
      <c r="AQ37" s="27">
        <f t="shared" si="31"/>
        <v>0</v>
      </c>
      <c r="AR37" s="27">
        <f t="shared" si="31"/>
        <v>0</v>
      </c>
      <c r="AS37" s="27">
        <f t="shared" si="31"/>
        <v>0</v>
      </c>
      <c r="AT37" s="27">
        <f t="shared" si="31"/>
        <v>0</v>
      </c>
      <c r="AU37" s="27">
        <f t="shared" si="31"/>
        <v>0</v>
      </c>
      <c r="AV37" s="27">
        <f t="shared" si="31"/>
        <v>0</v>
      </c>
      <c r="AW37" s="27">
        <f t="shared" si="31"/>
        <v>0</v>
      </c>
      <c r="AX37" s="27">
        <f t="shared" si="31"/>
        <v>-35.13</v>
      </c>
      <c r="AY37" s="27">
        <v>-44.74</v>
      </c>
      <c r="AZ37" s="27">
        <f>SUM(AZ33:AZ36)</f>
        <v>-52.8</v>
      </c>
      <c r="BA37" s="56">
        <v>174377.66</v>
      </c>
      <c r="BB37" s="28">
        <f>SUM(BB33:BB36)</f>
        <v>0</v>
      </c>
      <c r="BC37" s="60">
        <f>SUM(BC33:BC36)</f>
        <v>0</v>
      </c>
      <c r="BD37" s="50" t="s">
        <v>63</v>
      </c>
    </row>
    <row r="38" ht="15" spans="1:56">
      <c r="A38" s="10"/>
      <c r="B38" s="10"/>
      <c r="C38" s="10"/>
      <c r="D38" s="10"/>
      <c r="E38" s="10"/>
      <c r="F38" s="10"/>
      <c r="G38" s="10"/>
      <c r="H38" s="10"/>
      <c r="I38" s="10"/>
      <c r="J38" s="10"/>
      <c r="K38" s="10"/>
      <c r="L38" s="10"/>
      <c r="M38" s="10"/>
      <c r="N38" s="10"/>
      <c r="O38" s="10"/>
      <c r="P38" s="10"/>
      <c r="Q38" s="10"/>
      <c r="R38" s="26" t="s">
        <v>15</v>
      </c>
      <c r="S38" s="27">
        <f t="shared" ref="S38:AG38" si="32">S32-S33</f>
        <v>33973.45</v>
      </c>
      <c r="T38" s="24">
        <f t="shared" si="32"/>
        <v>-21872.96</v>
      </c>
      <c r="U38" s="25">
        <f t="shared" si="32"/>
        <v>-46738.81</v>
      </c>
      <c r="V38" s="24">
        <f t="shared" si="32"/>
        <v>24865.85</v>
      </c>
      <c r="W38" s="24">
        <f t="shared" si="32"/>
        <v>24865.85</v>
      </c>
      <c r="X38" s="24">
        <f t="shared" si="32"/>
        <v>24865.85</v>
      </c>
      <c r="Y38" s="24">
        <f t="shared" si="32"/>
        <v>24865.85</v>
      </c>
      <c r="Z38" s="24">
        <f t="shared" si="32"/>
        <v>24865.85</v>
      </c>
      <c r="AA38" s="24">
        <f t="shared" si="32"/>
        <v>24865.85</v>
      </c>
      <c r="AB38" s="24">
        <f t="shared" si="32"/>
        <v>24865.85</v>
      </c>
      <c r="AC38" s="24">
        <f t="shared" si="32"/>
        <v>24865.85</v>
      </c>
      <c r="AD38" s="24">
        <f t="shared" si="32"/>
        <v>24865.85</v>
      </c>
      <c r="AE38" s="24">
        <f t="shared" si="32"/>
        <v>24865.85</v>
      </c>
      <c r="AF38" s="24">
        <f t="shared" si="32"/>
        <v>15256.79</v>
      </c>
      <c r="AG38" s="24">
        <f t="shared" si="32"/>
        <v>7201.51</v>
      </c>
      <c r="AH38" s="41">
        <v>0</v>
      </c>
      <c r="AI38" s="41">
        <v>0</v>
      </c>
      <c r="AJ38" s="10"/>
      <c r="AK38" s="10"/>
      <c r="AL38" s="10"/>
      <c r="AM38" s="10"/>
      <c r="AN38" s="10"/>
      <c r="AO38" s="24">
        <f t="shared" ref="AO38:AZ38" si="33">AO32-AO33</f>
        <v>0</v>
      </c>
      <c r="AP38" s="24">
        <f t="shared" si="33"/>
        <v>0</v>
      </c>
      <c r="AQ38" s="24">
        <f t="shared" si="33"/>
        <v>0</v>
      </c>
      <c r="AR38" s="24">
        <f t="shared" si="33"/>
        <v>0</v>
      </c>
      <c r="AS38" s="24">
        <f t="shared" si="33"/>
        <v>0</v>
      </c>
      <c r="AT38" s="24">
        <f t="shared" si="33"/>
        <v>0</v>
      </c>
      <c r="AU38" s="24">
        <f t="shared" si="33"/>
        <v>0</v>
      </c>
      <c r="AV38" s="24">
        <f t="shared" si="33"/>
        <v>0</v>
      </c>
      <c r="AW38" s="24">
        <f t="shared" si="33"/>
        <v>0</v>
      </c>
      <c r="AX38" s="24">
        <f t="shared" si="33"/>
        <v>9609.06</v>
      </c>
      <c r="AY38" s="24">
        <f t="shared" si="33"/>
        <v>8055.28</v>
      </c>
      <c r="AZ38" s="24">
        <f t="shared" si="33"/>
        <v>7201.51</v>
      </c>
      <c r="BA38" s="57">
        <v>-46738.81</v>
      </c>
      <c r="BB38" s="28">
        <v>0</v>
      </c>
      <c r="BC38" s="62">
        <v>0</v>
      </c>
      <c r="BD38" s="49" t="s">
        <v>63</v>
      </c>
    </row>
    <row r="39" ht="15" spans="1:56">
      <c r="A39" s="10"/>
      <c r="B39" s="10"/>
      <c r="C39" s="10"/>
      <c r="D39" s="10"/>
      <c r="E39" s="10"/>
      <c r="F39" s="10"/>
      <c r="G39" s="10"/>
      <c r="H39" s="10"/>
      <c r="I39" s="10"/>
      <c r="J39" s="10"/>
      <c r="K39" s="10"/>
      <c r="L39" s="10"/>
      <c r="M39" s="10"/>
      <c r="N39" s="10"/>
      <c r="O39" s="10"/>
      <c r="P39" s="10"/>
      <c r="Q39" s="10"/>
      <c r="R39" s="29" t="s">
        <v>16</v>
      </c>
      <c r="S39" s="33">
        <f t="shared" ref="S39:AG39" si="34">S38/S32</f>
        <v>0.180059280498518</v>
      </c>
      <c r="T39" s="30">
        <f t="shared" si="34"/>
        <v>-0.143778245200169</v>
      </c>
      <c r="U39" s="31">
        <f t="shared" si="34"/>
        <v>-0.367258748311973</v>
      </c>
      <c r="V39" s="30">
        <f t="shared" si="34"/>
        <v>1</v>
      </c>
      <c r="W39" s="30">
        <f t="shared" si="34"/>
        <v>1</v>
      </c>
      <c r="X39" s="30">
        <f t="shared" si="34"/>
        <v>1</v>
      </c>
      <c r="Y39" s="30">
        <f t="shared" si="34"/>
        <v>1</v>
      </c>
      <c r="Z39" s="30">
        <f t="shared" si="34"/>
        <v>1</v>
      </c>
      <c r="AA39" s="30">
        <f t="shared" si="34"/>
        <v>1</v>
      </c>
      <c r="AB39" s="30">
        <f t="shared" si="34"/>
        <v>1</v>
      </c>
      <c r="AC39" s="30">
        <f t="shared" si="34"/>
        <v>1</v>
      </c>
      <c r="AD39" s="30">
        <f t="shared" si="34"/>
        <v>1</v>
      </c>
      <c r="AE39" s="30">
        <f t="shared" si="34"/>
        <v>1</v>
      </c>
      <c r="AF39" s="30">
        <f t="shared" si="34"/>
        <v>1</v>
      </c>
      <c r="AG39" s="30">
        <f t="shared" si="34"/>
        <v>1</v>
      </c>
      <c r="AH39" s="42">
        <f>T39-S39</f>
        <v>-0.323837525698687</v>
      </c>
      <c r="AI39" s="42">
        <f>AF39-S39</f>
        <v>0.819940719501482</v>
      </c>
      <c r="AJ39" s="10"/>
      <c r="AK39" s="10"/>
      <c r="AL39" s="10"/>
      <c r="AM39" s="10"/>
      <c r="AN39" s="10"/>
      <c r="AO39" s="30" t="e">
        <f t="shared" ref="AO39:AZ39" si="35">AO38/AO32</f>
        <v>#DIV/0!</v>
      </c>
      <c r="AP39" s="30" t="e">
        <f t="shared" si="35"/>
        <v>#DIV/0!</v>
      </c>
      <c r="AQ39" s="30" t="e">
        <f t="shared" si="35"/>
        <v>#DIV/0!</v>
      </c>
      <c r="AR39" s="30" t="e">
        <f t="shared" si="35"/>
        <v>#DIV/0!</v>
      </c>
      <c r="AS39" s="30" t="e">
        <f t="shared" si="35"/>
        <v>#DIV/0!</v>
      </c>
      <c r="AT39" s="30" t="e">
        <f t="shared" si="35"/>
        <v>#DIV/0!</v>
      </c>
      <c r="AU39" s="30" t="e">
        <f t="shared" si="35"/>
        <v>#DIV/0!</v>
      </c>
      <c r="AV39" s="30" t="e">
        <f t="shared" si="35"/>
        <v>#DIV/0!</v>
      </c>
      <c r="AW39" s="30" t="e">
        <f t="shared" si="35"/>
        <v>#DIV/0!</v>
      </c>
      <c r="AX39" s="30">
        <f t="shared" si="35"/>
        <v>1</v>
      </c>
      <c r="AY39" s="30">
        <f t="shared" si="35"/>
        <v>1</v>
      </c>
      <c r="AZ39" s="30">
        <f t="shared" si="35"/>
        <v>1</v>
      </c>
      <c r="BA39" s="58">
        <v>-0.367258748311973</v>
      </c>
      <c r="BB39" s="52">
        <v>0</v>
      </c>
      <c r="BC39" s="62">
        <v>0</v>
      </c>
      <c r="BD39" s="49" t="s">
        <v>63</v>
      </c>
    </row>
    <row r="40" ht="15" spans="1:56">
      <c r="A40" s="10"/>
      <c r="B40" s="10"/>
      <c r="C40" s="10"/>
      <c r="D40" s="10"/>
      <c r="E40" s="10"/>
      <c r="F40" s="10"/>
      <c r="G40" s="10"/>
      <c r="H40" s="10"/>
      <c r="I40" s="10"/>
      <c r="J40" s="10"/>
      <c r="K40" s="10"/>
      <c r="L40" s="10"/>
      <c r="M40" s="10"/>
      <c r="N40" s="10"/>
      <c r="O40" s="10"/>
      <c r="P40" s="10"/>
      <c r="Q40" s="10"/>
      <c r="R40" s="26" t="s">
        <v>17</v>
      </c>
      <c r="S40" s="24">
        <f t="shared" ref="S40:AG40" si="36">S32-S37</f>
        <v>33973.45</v>
      </c>
      <c r="T40" s="24">
        <f t="shared" si="36"/>
        <v>-22115.16</v>
      </c>
      <c r="U40" s="24">
        <f t="shared" si="36"/>
        <v>-47113.68</v>
      </c>
      <c r="V40" s="24">
        <f t="shared" si="36"/>
        <v>24998.52</v>
      </c>
      <c r="W40" s="24">
        <f t="shared" si="36"/>
        <v>24998.52</v>
      </c>
      <c r="X40" s="24">
        <f t="shared" si="36"/>
        <v>24998.52</v>
      </c>
      <c r="Y40" s="24">
        <f t="shared" si="36"/>
        <v>24998.52</v>
      </c>
      <c r="Z40" s="24">
        <f t="shared" si="36"/>
        <v>24998.52</v>
      </c>
      <c r="AA40" s="24">
        <f t="shared" si="36"/>
        <v>24998.52</v>
      </c>
      <c r="AB40" s="24">
        <f t="shared" si="36"/>
        <v>24998.52</v>
      </c>
      <c r="AC40" s="24">
        <f t="shared" si="36"/>
        <v>24998.52</v>
      </c>
      <c r="AD40" s="24">
        <f t="shared" si="36"/>
        <v>24998.52</v>
      </c>
      <c r="AE40" s="24">
        <f t="shared" si="36"/>
        <v>24998.52</v>
      </c>
      <c r="AF40" s="24">
        <f t="shared" si="36"/>
        <v>15354.33</v>
      </c>
      <c r="AG40" s="24">
        <f t="shared" si="36"/>
        <v>7254.31</v>
      </c>
      <c r="AH40" s="42">
        <v>0</v>
      </c>
      <c r="AI40" s="42">
        <v>0</v>
      </c>
      <c r="AJ40" s="10"/>
      <c r="AK40" s="10"/>
      <c r="AL40" s="10"/>
      <c r="AM40" s="10"/>
      <c r="AN40" s="10"/>
      <c r="AO40" s="24">
        <f t="shared" ref="AO40:BC40" si="37">AO32-AO37</f>
        <v>0</v>
      </c>
      <c r="AP40" s="24">
        <f t="shared" si="37"/>
        <v>0</v>
      </c>
      <c r="AQ40" s="24">
        <f t="shared" si="37"/>
        <v>0</v>
      </c>
      <c r="AR40" s="24">
        <f t="shared" si="37"/>
        <v>0</v>
      </c>
      <c r="AS40" s="24">
        <f t="shared" si="37"/>
        <v>0</v>
      </c>
      <c r="AT40" s="24">
        <f t="shared" si="37"/>
        <v>0</v>
      </c>
      <c r="AU40" s="24">
        <f t="shared" si="37"/>
        <v>0</v>
      </c>
      <c r="AV40" s="24">
        <f t="shared" si="37"/>
        <v>0</v>
      </c>
      <c r="AW40" s="24">
        <f t="shared" si="37"/>
        <v>0</v>
      </c>
      <c r="AX40" s="24">
        <f t="shared" si="37"/>
        <v>9644.19</v>
      </c>
      <c r="AY40" s="24">
        <f t="shared" si="37"/>
        <v>8100.02</v>
      </c>
      <c r="AZ40" s="24">
        <f t="shared" si="37"/>
        <v>7254.31</v>
      </c>
      <c r="BA40" s="24">
        <f t="shared" si="37"/>
        <v>-47113.68</v>
      </c>
      <c r="BB40" s="24">
        <f t="shared" si="37"/>
        <v>0</v>
      </c>
      <c r="BC40" s="24">
        <f t="shared" si="37"/>
        <v>0</v>
      </c>
      <c r="BD40" s="49" t="s">
        <v>63</v>
      </c>
    </row>
    <row r="41" ht="15" spans="1:56">
      <c r="A41" s="11"/>
      <c r="B41" s="11"/>
      <c r="C41" s="11"/>
      <c r="D41" s="11"/>
      <c r="E41" s="11"/>
      <c r="F41" s="11"/>
      <c r="G41" s="11"/>
      <c r="H41" s="11"/>
      <c r="I41" s="11"/>
      <c r="J41" s="11"/>
      <c r="K41" s="11"/>
      <c r="L41" s="11"/>
      <c r="M41" s="11"/>
      <c r="N41" s="11"/>
      <c r="O41" s="11"/>
      <c r="P41" s="11"/>
      <c r="Q41" s="11"/>
      <c r="R41" s="29" t="s">
        <v>18</v>
      </c>
      <c r="S41" s="33">
        <f t="shared" ref="S41:AG41" si="38">S40/S32</f>
        <v>0.180059280498518</v>
      </c>
      <c r="T41" s="30">
        <f t="shared" si="38"/>
        <v>-0.145370306402104</v>
      </c>
      <c r="U41" s="31">
        <f t="shared" si="38"/>
        <v>-0.37020435790237</v>
      </c>
      <c r="V41" s="30">
        <f t="shared" si="38"/>
        <v>1.00533542991693</v>
      </c>
      <c r="W41" s="30">
        <f t="shared" si="38"/>
        <v>1.00533542991693</v>
      </c>
      <c r="X41" s="30">
        <f t="shared" si="38"/>
        <v>1.00533542991693</v>
      </c>
      <c r="Y41" s="30">
        <f t="shared" si="38"/>
        <v>1.00533542991693</v>
      </c>
      <c r="Z41" s="30">
        <f t="shared" si="38"/>
        <v>1.00533542991693</v>
      </c>
      <c r="AA41" s="30">
        <f t="shared" si="38"/>
        <v>1.00533542991693</v>
      </c>
      <c r="AB41" s="30">
        <f t="shared" si="38"/>
        <v>1.00533542991693</v>
      </c>
      <c r="AC41" s="30">
        <f t="shared" si="38"/>
        <v>1.00533542991693</v>
      </c>
      <c r="AD41" s="30">
        <f t="shared" si="38"/>
        <v>1.00533542991693</v>
      </c>
      <c r="AE41" s="30">
        <f t="shared" si="38"/>
        <v>1.00533542991693</v>
      </c>
      <c r="AF41" s="30">
        <f t="shared" si="38"/>
        <v>1.0063932190192</v>
      </c>
      <c r="AG41" s="30">
        <f t="shared" si="38"/>
        <v>1.00733179569285</v>
      </c>
      <c r="AH41" s="42">
        <f>T41-S41</f>
        <v>-0.325429586900622</v>
      </c>
      <c r="AI41" s="42">
        <f>AF41-S41</f>
        <v>0.826333938520686</v>
      </c>
      <c r="AJ41" s="11"/>
      <c r="AK41" s="11"/>
      <c r="AL41" s="11"/>
      <c r="AM41" s="11"/>
      <c r="AN41" s="11"/>
      <c r="AO41" s="30" t="e">
        <f t="shared" ref="AO41:AZ41" si="39">AO40/AO32</f>
        <v>#DIV/0!</v>
      </c>
      <c r="AP41" s="30" t="e">
        <f t="shared" si="39"/>
        <v>#DIV/0!</v>
      </c>
      <c r="AQ41" s="30" t="e">
        <f t="shared" si="39"/>
        <v>#DIV/0!</v>
      </c>
      <c r="AR41" s="30" t="e">
        <f t="shared" si="39"/>
        <v>#DIV/0!</v>
      </c>
      <c r="AS41" s="30" t="e">
        <f t="shared" si="39"/>
        <v>#DIV/0!</v>
      </c>
      <c r="AT41" s="30" t="e">
        <f t="shared" si="39"/>
        <v>#DIV/0!</v>
      </c>
      <c r="AU41" s="30" t="e">
        <f t="shared" si="39"/>
        <v>#DIV/0!</v>
      </c>
      <c r="AV41" s="30" t="e">
        <f t="shared" si="39"/>
        <v>#DIV/0!</v>
      </c>
      <c r="AW41" s="30" t="e">
        <f t="shared" si="39"/>
        <v>#DIV/0!</v>
      </c>
      <c r="AX41" s="30">
        <f t="shared" si="39"/>
        <v>1.00365592472104</v>
      </c>
      <c r="AY41" s="30">
        <f t="shared" si="39"/>
        <v>1.00555412102373</v>
      </c>
      <c r="AZ41" s="30">
        <f t="shared" si="39"/>
        <v>1.00733179569285</v>
      </c>
      <c r="BA41" s="58">
        <v>-0.370204357902369</v>
      </c>
      <c r="BB41" s="52">
        <v>0</v>
      </c>
      <c r="BC41" s="62">
        <v>0</v>
      </c>
      <c r="BD41" s="49" t="s">
        <v>63</v>
      </c>
    </row>
    <row r="42" ht="15" spans="1:56">
      <c r="A42" s="12" t="s">
        <v>78</v>
      </c>
      <c r="B42" s="13" t="s">
        <v>79</v>
      </c>
      <c r="C42" s="14">
        <v>45870</v>
      </c>
      <c r="D42" s="14">
        <v>46234</v>
      </c>
      <c r="E42" s="6"/>
      <c r="F42" s="7">
        <v>5</v>
      </c>
      <c r="G42" s="9">
        <v>5</v>
      </c>
      <c r="H42" s="9"/>
      <c r="I42" s="9"/>
      <c r="J42" s="9"/>
      <c r="K42" s="9"/>
      <c r="L42" s="9"/>
      <c r="M42" s="9"/>
      <c r="N42" s="9"/>
      <c r="O42" s="9"/>
      <c r="P42" s="6"/>
      <c r="Q42" s="9" t="s">
        <v>63</v>
      </c>
      <c r="R42" s="32" t="s">
        <v>9</v>
      </c>
      <c r="S42" s="24">
        <v>1000000</v>
      </c>
      <c r="T42" s="24">
        <f>SUM(AO42:BC42)</f>
        <v>658235</v>
      </c>
      <c r="U42" s="25">
        <f>SUM(BA42:BC42)</f>
        <v>411660</v>
      </c>
      <c r="V42" s="24">
        <f>SUM(AO42:AZ42)</f>
        <v>246575</v>
      </c>
      <c r="W42" s="24">
        <f>SUM(AP42:AZ42)</f>
        <v>246575</v>
      </c>
      <c r="X42" s="24">
        <f>SUM(AQ42:AZ42)</f>
        <v>246575</v>
      </c>
      <c r="Y42" s="24">
        <f>SUM(AR42:AZ42)</f>
        <v>246575</v>
      </c>
      <c r="Z42" s="24">
        <f>SUM(AS42:AZ42)</f>
        <v>246575</v>
      </c>
      <c r="AA42" s="24">
        <f>SUM(AT42:AZ42)</f>
        <v>246575</v>
      </c>
      <c r="AB42" s="24">
        <f>SUM(AU42:AZ42)</f>
        <v>246575</v>
      </c>
      <c r="AC42" s="24">
        <f>SUM(AV42:AZ42)</f>
        <v>246575</v>
      </c>
      <c r="AD42" s="24">
        <f>SUM(AW42:AZ42)</f>
        <v>246575</v>
      </c>
      <c r="AE42" s="24">
        <f>SUM(AX42:AZ42)</f>
        <v>246575</v>
      </c>
      <c r="AF42" s="24">
        <f>SUM(AY42:AZ42)</f>
        <v>161644</v>
      </c>
      <c r="AG42" s="24">
        <f>SUM(AZ42:AZ42)</f>
        <v>84932</v>
      </c>
      <c r="AH42" s="38">
        <v>0</v>
      </c>
      <c r="AI42" s="38">
        <v>0</v>
      </c>
      <c r="AJ42" s="13" t="s">
        <v>63</v>
      </c>
      <c r="AK42" s="43" t="s">
        <v>63</v>
      </c>
      <c r="AL42" s="43" t="s">
        <v>63</v>
      </c>
      <c r="AM42" s="43" t="s">
        <v>63</v>
      </c>
      <c r="AN42" s="7"/>
      <c r="AO42" s="24">
        <v>0</v>
      </c>
      <c r="AP42" s="24">
        <v>0</v>
      </c>
      <c r="AQ42" s="24">
        <v>0</v>
      </c>
      <c r="AR42" s="24">
        <v>0</v>
      </c>
      <c r="AS42" s="24">
        <v>0</v>
      </c>
      <c r="AT42" s="24">
        <v>0</v>
      </c>
      <c r="AU42" s="24">
        <v>0</v>
      </c>
      <c r="AV42" s="24">
        <v>0</v>
      </c>
      <c r="AW42" s="24">
        <v>0</v>
      </c>
      <c r="AX42" s="24">
        <v>84931</v>
      </c>
      <c r="AY42" s="24">
        <v>76712</v>
      </c>
      <c r="AZ42" s="24">
        <v>84932</v>
      </c>
      <c r="BA42" s="54">
        <v>411660</v>
      </c>
      <c r="BB42" s="25">
        <v>0</v>
      </c>
      <c r="BC42" s="62">
        <v>0</v>
      </c>
      <c r="BD42" s="49" t="s">
        <v>63</v>
      </c>
    </row>
    <row r="43" ht="15" spans="1:56">
      <c r="A43" s="10"/>
      <c r="B43" s="10"/>
      <c r="C43" s="10"/>
      <c r="D43" s="10"/>
      <c r="E43" s="10"/>
      <c r="F43" s="10"/>
      <c r="G43" s="10"/>
      <c r="H43" s="10"/>
      <c r="I43" s="10"/>
      <c r="J43" s="10"/>
      <c r="K43" s="10"/>
      <c r="L43" s="10"/>
      <c r="M43" s="10"/>
      <c r="N43" s="10"/>
      <c r="O43" s="10"/>
      <c r="P43" s="10"/>
      <c r="Q43" s="10"/>
      <c r="R43" s="26" t="s">
        <v>10</v>
      </c>
      <c r="S43" s="24">
        <v>783494.65</v>
      </c>
      <c r="T43" s="24">
        <f>SUM(AO43:BC43)</f>
        <v>572477.37</v>
      </c>
      <c r="U43" s="25">
        <f>SUM(BA43:BC43)</f>
        <v>331483.93</v>
      </c>
      <c r="V43" s="24">
        <f>SUM(AO43:AZ43)</f>
        <v>240993.44</v>
      </c>
      <c r="W43" s="24">
        <f>SUM(AP43:AZ43)</f>
        <v>240993.44</v>
      </c>
      <c r="X43" s="24">
        <f>SUM(AQ43:AZ43)</f>
        <v>240993.44</v>
      </c>
      <c r="Y43" s="24">
        <f>SUM(AR43:AZ43)</f>
        <v>240993.44</v>
      </c>
      <c r="Z43" s="24">
        <f>SUM(AS43:AZ43)</f>
        <v>240993.44</v>
      </c>
      <c r="AA43" s="24">
        <f>SUM(AT43:AZ43)</f>
        <v>240993.44</v>
      </c>
      <c r="AB43" s="24">
        <f>SUM(AU43:AZ43)</f>
        <v>240993.44</v>
      </c>
      <c r="AC43" s="24">
        <f>SUM(AV43:AZ43)</f>
        <v>240993.44</v>
      </c>
      <c r="AD43" s="24">
        <f>SUM(AW43:AZ43)</f>
        <v>240993.44</v>
      </c>
      <c r="AE43" s="24">
        <f>SUM(AX43:AZ43)</f>
        <v>240993.44</v>
      </c>
      <c r="AF43" s="24">
        <f>SUM(AY43:AZ43)</f>
        <v>153789.65</v>
      </c>
      <c r="AG43" s="24">
        <f>SUM(AZ43:AZ43)</f>
        <v>66585.86</v>
      </c>
      <c r="AH43" s="38">
        <v>0</v>
      </c>
      <c r="AI43" s="38">
        <v>0</v>
      </c>
      <c r="AJ43" s="10"/>
      <c r="AK43" s="10"/>
      <c r="AL43" s="10"/>
      <c r="AM43" s="10"/>
      <c r="AN43" s="10"/>
      <c r="AO43" s="24">
        <v>0</v>
      </c>
      <c r="AP43" s="24">
        <v>0</v>
      </c>
      <c r="AQ43" s="24">
        <v>0</v>
      </c>
      <c r="AR43" s="24">
        <v>0</v>
      </c>
      <c r="AS43" s="24">
        <v>0</v>
      </c>
      <c r="AT43" s="24">
        <v>0</v>
      </c>
      <c r="AU43" s="24">
        <v>0</v>
      </c>
      <c r="AV43" s="24">
        <v>0</v>
      </c>
      <c r="AW43" s="24">
        <v>0</v>
      </c>
      <c r="AX43" s="24">
        <v>87203.79</v>
      </c>
      <c r="AY43" s="24">
        <v>87203.79</v>
      </c>
      <c r="AZ43" s="24">
        <v>66585.86</v>
      </c>
      <c r="BA43" s="54">
        <v>331483.93</v>
      </c>
      <c r="BB43" s="25">
        <v>0</v>
      </c>
      <c r="BC43" s="62">
        <v>0</v>
      </c>
      <c r="BD43" s="49" t="s">
        <v>63</v>
      </c>
    </row>
    <row r="44" ht="15" spans="1:56">
      <c r="A44" s="10"/>
      <c r="B44" s="10"/>
      <c r="C44" s="10"/>
      <c r="D44" s="10"/>
      <c r="E44" s="10"/>
      <c r="F44" s="10"/>
      <c r="G44" s="10"/>
      <c r="H44" s="10"/>
      <c r="I44" s="10"/>
      <c r="J44" s="10"/>
      <c r="K44" s="10"/>
      <c r="L44" s="10"/>
      <c r="M44" s="10"/>
      <c r="N44" s="10"/>
      <c r="O44" s="10"/>
      <c r="P44" s="10"/>
      <c r="Q44" s="10"/>
      <c r="R44" s="26" t="s">
        <v>11</v>
      </c>
      <c r="S44" s="24">
        <v>0</v>
      </c>
      <c r="T44" s="24">
        <f>SUM(AO44:BC44)</f>
        <v>0</v>
      </c>
      <c r="U44" s="25">
        <f>SUM(BA44:BC44)</f>
        <v>0</v>
      </c>
      <c r="V44" s="24">
        <v>0</v>
      </c>
      <c r="W44" s="24">
        <v>0</v>
      </c>
      <c r="X44" s="24">
        <v>0</v>
      </c>
      <c r="Y44" s="24">
        <v>0</v>
      </c>
      <c r="Z44" s="24">
        <v>0</v>
      </c>
      <c r="AA44" s="24">
        <v>0</v>
      </c>
      <c r="AB44" s="24">
        <v>0</v>
      </c>
      <c r="AC44" s="24">
        <v>0</v>
      </c>
      <c r="AD44" s="24">
        <v>0</v>
      </c>
      <c r="AE44" s="24">
        <v>0</v>
      </c>
      <c r="AF44" s="24">
        <v>0</v>
      </c>
      <c r="AG44" s="24">
        <v>0</v>
      </c>
      <c r="AH44" s="38">
        <v>0</v>
      </c>
      <c r="AI44" s="38">
        <v>0</v>
      </c>
      <c r="AJ44" s="10"/>
      <c r="AK44" s="10"/>
      <c r="AL44" s="10"/>
      <c r="AM44" s="10"/>
      <c r="AN44" s="10"/>
      <c r="AO44" s="24">
        <v>0</v>
      </c>
      <c r="AP44" s="24">
        <v>0</v>
      </c>
      <c r="AQ44" s="24">
        <v>0</v>
      </c>
      <c r="AR44" s="24">
        <v>0</v>
      </c>
      <c r="AS44" s="24">
        <v>0</v>
      </c>
      <c r="AT44" s="24">
        <v>0</v>
      </c>
      <c r="AU44" s="24">
        <v>0</v>
      </c>
      <c r="AV44" s="24">
        <v>0</v>
      </c>
      <c r="AW44" s="24">
        <v>0</v>
      </c>
      <c r="AX44" s="24">
        <v>0</v>
      </c>
      <c r="AY44" s="24">
        <v>0</v>
      </c>
      <c r="AZ44" s="24">
        <v>0</v>
      </c>
      <c r="BA44" s="54">
        <v>0</v>
      </c>
      <c r="BB44" s="25">
        <v>0</v>
      </c>
      <c r="BC44" s="62">
        <v>0</v>
      </c>
      <c r="BD44" s="49" t="s">
        <v>63</v>
      </c>
    </row>
    <row r="45" ht="15" spans="1:56">
      <c r="A45" s="10"/>
      <c r="B45" s="10"/>
      <c r="C45" s="10"/>
      <c r="D45" s="10"/>
      <c r="E45" s="10"/>
      <c r="F45" s="10"/>
      <c r="G45" s="10"/>
      <c r="H45" s="10"/>
      <c r="I45" s="10"/>
      <c r="J45" s="10"/>
      <c r="K45" s="10"/>
      <c r="L45" s="10"/>
      <c r="M45" s="10"/>
      <c r="N45" s="10"/>
      <c r="O45" s="10"/>
      <c r="P45" s="10"/>
      <c r="Q45" s="10"/>
      <c r="R45" s="26" t="s">
        <v>12</v>
      </c>
      <c r="S45" s="24">
        <v>25000</v>
      </c>
      <c r="T45" s="24">
        <f>SUM(AO45:BC45)</f>
        <v>0</v>
      </c>
      <c r="U45" s="25">
        <f>SUM(BA45:BC45)</f>
        <v>0</v>
      </c>
      <c r="V45" s="24">
        <f>SUM(AO45:AZ45)</f>
        <v>0</v>
      </c>
      <c r="W45" s="24">
        <f>SUM(AP45:AZ45)</f>
        <v>0</v>
      </c>
      <c r="X45" s="24">
        <f>SUM(AQ45:AZ45)</f>
        <v>0</v>
      </c>
      <c r="Y45" s="24">
        <f>SUM(AR45:AZ45)</f>
        <v>0</v>
      </c>
      <c r="Z45" s="24">
        <f>SUM(AS45:AZ45)</f>
        <v>0</v>
      </c>
      <c r="AA45" s="24">
        <f>SUM(AT45:AZ45)</f>
        <v>0</v>
      </c>
      <c r="AB45" s="24">
        <f>SUM(AU45:AZ45)</f>
        <v>0</v>
      </c>
      <c r="AC45" s="24">
        <f>SUM(AV45:AZ45)</f>
        <v>0</v>
      </c>
      <c r="AD45" s="24">
        <f>SUM(AW45:AZ45)</f>
        <v>0</v>
      </c>
      <c r="AE45" s="24">
        <f>SUM(AX45:AZ45)</f>
        <v>0</v>
      </c>
      <c r="AF45" s="24">
        <f>SUM(AY45:AZ45)</f>
        <v>0</v>
      </c>
      <c r="AG45" s="24">
        <f>SUM(AZ45:AZ45)</f>
        <v>0</v>
      </c>
      <c r="AH45" s="38">
        <v>0</v>
      </c>
      <c r="AI45" s="38">
        <v>0</v>
      </c>
      <c r="AJ45" s="10"/>
      <c r="AK45" s="10"/>
      <c r="AL45" s="10"/>
      <c r="AM45" s="10"/>
      <c r="AN45" s="10"/>
      <c r="AO45" s="24">
        <v>0</v>
      </c>
      <c r="AP45" s="24">
        <v>0</v>
      </c>
      <c r="AQ45" s="24">
        <v>0</v>
      </c>
      <c r="AR45" s="24">
        <v>0</v>
      </c>
      <c r="AS45" s="24">
        <v>0</v>
      </c>
      <c r="AT45" s="24">
        <v>0</v>
      </c>
      <c r="AU45" s="24">
        <v>0</v>
      </c>
      <c r="AV45" s="24">
        <v>0</v>
      </c>
      <c r="AW45" s="24">
        <v>0</v>
      </c>
      <c r="AX45" s="24">
        <v>0</v>
      </c>
      <c r="AY45" s="24">
        <v>0</v>
      </c>
      <c r="AZ45" s="24">
        <v>0</v>
      </c>
      <c r="BA45" s="54">
        <v>0</v>
      </c>
      <c r="BB45" s="25">
        <v>0</v>
      </c>
      <c r="BC45" s="62">
        <v>0</v>
      </c>
      <c r="BD45" s="49" t="s">
        <v>63</v>
      </c>
    </row>
    <row r="46" ht="15" spans="1:56">
      <c r="A46" s="10"/>
      <c r="B46" s="10"/>
      <c r="C46" s="10"/>
      <c r="D46" s="10"/>
      <c r="E46" s="10"/>
      <c r="F46" s="10"/>
      <c r="G46" s="10"/>
      <c r="H46" s="10"/>
      <c r="I46" s="10"/>
      <c r="J46" s="10"/>
      <c r="K46" s="10"/>
      <c r="L46" s="10"/>
      <c r="M46" s="10"/>
      <c r="N46" s="10"/>
      <c r="O46" s="10"/>
      <c r="P46" s="10"/>
      <c r="Q46" s="10"/>
      <c r="R46" s="26" t="s">
        <v>13</v>
      </c>
      <c r="S46" s="24">
        <v>35000</v>
      </c>
      <c r="T46" s="24">
        <f>SUM(AO46:BC46)</f>
        <v>-4391.79</v>
      </c>
      <c r="U46" s="25">
        <f>SUM(BA46:BC46)</f>
        <v>-3142.47</v>
      </c>
      <c r="V46" s="24">
        <f>SUM(AO46:AZ46)</f>
        <v>-1249.32</v>
      </c>
      <c r="W46" s="24">
        <f>SUM(AP46:AZ46)</f>
        <v>-1249.32</v>
      </c>
      <c r="X46" s="24">
        <f>SUM(AQ46:AZ46)</f>
        <v>-1249.32</v>
      </c>
      <c r="Y46" s="24">
        <f>SUM(AR46:AZ46)</f>
        <v>-1249.32</v>
      </c>
      <c r="Z46" s="24">
        <f>SUM(AS46:AZ46)</f>
        <v>-1249.32</v>
      </c>
      <c r="AA46" s="24">
        <f>SUM(AT46:AZ46)</f>
        <v>-1249.32</v>
      </c>
      <c r="AB46" s="24">
        <f>SUM(AU46:AZ46)</f>
        <v>-1249.32</v>
      </c>
      <c r="AC46" s="24">
        <f>SUM(AV46:AZ46)</f>
        <v>-1249.32</v>
      </c>
      <c r="AD46" s="24">
        <f>SUM(AW46:AZ46)</f>
        <v>-1249.32</v>
      </c>
      <c r="AE46" s="24">
        <f>SUM(AX46:AZ46)</f>
        <v>-1249.32</v>
      </c>
      <c r="AF46" s="24">
        <f>SUM(AY46:AZ46)</f>
        <v>-915.07</v>
      </c>
      <c r="AG46" s="24">
        <f>SUM(AZ46:AZ46)</f>
        <v>-495.89</v>
      </c>
      <c r="AH46" s="38">
        <v>0</v>
      </c>
      <c r="AI46" s="38">
        <v>0</v>
      </c>
      <c r="AJ46" s="10"/>
      <c r="AK46" s="10"/>
      <c r="AL46" s="10"/>
      <c r="AM46" s="10"/>
      <c r="AN46" s="10"/>
      <c r="AO46" s="24">
        <v>0</v>
      </c>
      <c r="AP46" s="24">
        <v>0</v>
      </c>
      <c r="AQ46" s="24">
        <v>0</v>
      </c>
      <c r="AR46" s="24">
        <v>0</v>
      </c>
      <c r="AS46" s="24">
        <v>0</v>
      </c>
      <c r="AT46" s="24">
        <v>0</v>
      </c>
      <c r="AU46" s="24">
        <v>0</v>
      </c>
      <c r="AV46" s="24">
        <v>0</v>
      </c>
      <c r="AW46" s="24">
        <v>0</v>
      </c>
      <c r="AX46" s="24">
        <v>-334.25</v>
      </c>
      <c r="AY46" s="24">
        <v>-419.18</v>
      </c>
      <c r="AZ46" s="24">
        <v>-495.89</v>
      </c>
      <c r="BA46" s="54">
        <v>-3142.47</v>
      </c>
      <c r="BB46" s="25">
        <v>0</v>
      </c>
      <c r="BC46" s="62">
        <v>0</v>
      </c>
      <c r="BD46" s="49" t="s">
        <v>63</v>
      </c>
    </row>
    <row r="47" ht="15" spans="1:56">
      <c r="A47" s="10"/>
      <c r="B47" s="10"/>
      <c r="C47" s="10"/>
      <c r="D47" s="10"/>
      <c r="E47" s="10"/>
      <c r="F47" s="10"/>
      <c r="G47" s="10"/>
      <c r="H47" s="10"/>
      <c r="I47" s="10"/>
      <c r="J47" s="10"/>
      <c r="K47" s="10"/>
      <c r="L47" s="10"/>
      <c r="M47" s="10"/>
      <c r="N47" s="10"/>
      <c r="O47" s="10"/>
      <c r="P47" s="10"/>
      <c r="Q47" s="10"/>
      <c r="R47" s="26" t="s">
        <v>14</v>
      </c>
      <c r="S47" s="27">
        <f t="shared" ref="S47:AI47" si="40">SUM(S43:S46)</f>
        <v>843494.65</v>
      </c>
      <c r="T47" s="27">
        <f t="shared" si="40"/>
        <v>568085.58</v>
      </c>
      <c r="U47" s="28">
        <f t="shared" si="40"/>
        <v>328341.46</v>
      </c>
      <c r="V47" s="27">
        <f t="shared" si="40"/>
        <v>239744.12</v>
      </c>
      <c r="W47" s="27">
        <f t="shared" si="40"/>
        <v>239744.12</v>
      </c>
      <c r="X47" s="27">
        <f t="shared" si="40"/>
        <v>239744.12</v>
      </c>
      <c r="Y47" s="27">
        <f t="shared" si="40"/>
        <v>239744.12</v>
      </c>
      <c r="Z47" s="27">
        <f t="shared" si="40"/>
        <v>239744.12</v>
      </c>
      <c r="AA47" s="27">
        <f t="shared" si="40"/>
        <v>239744.12</v>
      </c>
      <c r="AB47" s="27">
        <f t="shared" si="40"/>
        <v>239744.12</v>
      </c>
      <c r="AC47" s="27">
        <f t="shared" si="40"/>
        <v>239744.12</v>
      </c>
      <c r="AD47" s="27">
        <f t="shared" si="40"/>
        <v>239744.12</v>
      </c>
      <c r="AE47" s="27">
        <f t="shared" si="40"/>
        <v>239744.12</v>
      </c>
      <c r="AF47" s="27">
        <f t="shared" si="40"/>
        <v>152874.58</v>
      </c>
      <c r="AG47" s="27">
        <f t="shared" si="40"/>
        <v>66089.97</v>
      </c>
      <c r="AH47" s="27">
        <f t="shared" si="40"/>
        <v>0</v>
      </c>
      <c r="AI47" s="27">
        <f t="shared" si="40"/>
        <v>0</v>
      </c>
      <c r="AJ47" s="10"/>
      <c r="AK47" s="10"/>
      <c r="AL47" s="10"/>
      <c r="AM47" s="10"/>
      <c r="AN47" s="10"/>
      <c r="AO47" s="27">
        <f t="shared" ref="AO47:AX47" si="41">SUM(AO43:AO46)</f>
        <v>0</v>
      </c>
      <c r="AP47" s="27">
        <f t="shared" si="41"/>
        <v>0</v>
      </c>
      <c r="AQ47" s="27">
        <f t="shared" si="41"/>
        <v>0</v>
      </c>
      <c r="AR47" s="27">
        <f t="shared" si="41"/>
        <v>0</v>
      </c>
      <c r="AS47" s="27">
        <f t="shared" si="41"/>
        <v>0</v>
      </c>
      <c r="AT47" s="27">
        <f t="shared" si="41"/>
        <v>0</v>
      </c>
      <c r="AU47" s="27">
        <f t="shared" si="41"/>
        <v>0</v>
      </c>
      <c r="AV47" s="27">
        <f t="shared" si="41"/>
        <v>0</v>
      </c>
      <c r="AW47" s="27">
        <f t="shared" si="41"/>
        <v>0</v>
      </c>
      <c r="AX47" s="27">
        <f t="shared" si="41"/>
        <v>86869.54</v>
      </c>
      <c r="AY47" s="27">
        <v>86784.61</v>
      </c>
      <c r="AZ47" s="27">
        <f>SUM(AZ43:AZ46)</f>
        <v>66089.97</v>
      </c>
      <c r="BA47" s="56">
        <v>328341.46</v>
      </c>
      <c r="BB47" s="28">
        <f>SUM(BB43:BB46)</f>
        <v>0</v>
      </c>
      <c r="BC47" s="60">
        <f>SUM(BC43:BC46)</f>
        <v>0</v>
      </c>
      <c r="BD47" s="50" t="s">
        <v>63</v>
      </c>
    </row>
    <row r="48" ht="15" spans="1:56">
      <c r="A48" s="10"/>
      <c r="B48" s="10"/>
      <c r="C48" s="10"/>
      <c r="D48" s="10"/>
      <c r="E48" s="10"/>
      <c r="F48" s="10"/>
      <c r="G48" s="10"/>
      <c r="H48" s="10"/>
      <c r="I48" s="10"/>
      <c r="J48" s="10"/>
      <c r="K48" s="10"/>
      <c r="L48" s="10"/>
      <c r="M48" s="10"/>
      <c r="N48" s="10"/>
      <c r="O48" s="10"/>
      <c r="P48" s="10"/>
      <c r="Q48" s="10"/>
      <c r="R48" s="26" t="s">
        <v>15</v>
      </c>
      <c r="S48" s="24">
        <f t="shared" ref="S48:AG48" si="42">S42-S43</f>
        <v>216505.35</v>
      </c>
      <c r="T48" s="24">
        <f t="shared" si="42"/>
        <v>85757.63</v>
      </c>
      <c r="U48" s="25">
        <f t="shared" si="42"/>
        <v>80176.07</v>
      </c>
      <c r="V48" s="24">
        <f t="shared" si="42"/>
        <v>5581.56</v>
      </c>
      <c r="W48" s="24">
        <f t="shared" si="42"/>
        <v>5581.56</v>
      </c>
      <c r="X48" s="24">
        <f t="shared" si="42"/>
        <v>5581.56</v>
      </c>
      <c r="Y48" s="24">
        <f t="shared" si="42"/>
        <v>5581.56</v>
      </c>
      <c r="Z48" s="24">
        <f t="shared" si="42"/>
        <v>5581.56</v>
      </c>
      <c r="AA48" s="24">
        <f t="shared" si="42"/>
        <v>5581.56</v>
      </c>
      <c r="AB48" s="24">
        <f t="shared" si="42"/>
        <v>5581.56</v>
      </c>
      <c r="AC48" s="24">
        <f t="shared" si="42"/>
        <v>5581.56</v>
      </c>
      <c r="AD48" s="24">
        <f t="shared" si="42"/>
        <v>5581.56</v>
      </c>
      <c r="AE48" s="24">
        <f t="shared" si="42"/>
        <v>5581.56</v>
      </c>
      <c r="AF48" s="24">
        <f t="shared" si="42"/>
        <v>7854.35000000001</v>
      </c>
      <c r="AG48" s="24">
        <f t="shared" si="42"/>
        <v>18346.14</v>
      </c>
      <c r="AH48" s="41">
        <v>0</v>
      </c>
      <c r="AI48" s="41">
        <v>0</v>
      </c>
      <c r="AJ48" s="10"/>
      <c r="AK48" s="10"/>
      <c r="AL48" s="10"/>
      <c r="AM48" s="10"/>
      <c r="AN48" s="10"/>
      <c r="AO48" s="24">
        <f t="shared" ref="AO48:AZ48" si="43">AO42-AO43</f>
        <v>0</v>
      </c>
      <c r="AP48" s="24">
        <f t="shared" si="43"/>
        <v>0</v>
      </c>
      <c r="AQ48" s="24">
        <f t="shared" si="43"/>
        <v>0</v>
      </c>
      <c r="AR48" s="24">
        <f t="shared" si="43"/>
        <v>0</v>
      </c>
      <c r="AS48" s="24">
        <f t="shared" si="43"/>
        <v>0</v>
      </c>
      <c r="AT48" s="24">
        <f t="shared" si="43"/>
        <v>0</v>
      </c>
      <c r="AU48" s="24">
        <f t="shared" si="43"/>
        <v>0</v>
      </c>
      <c r="AV48" s="24">
        <f t="shared" si="43"/>
        <v>0</v>
      </c>
      <c r="AW48" s="24">
        <f t="shared" si="43"/>
        <v>0</v>
      </c>
      <c r="AX48" s="24">
        <f t="shared" si="43"/>
        <v>-2272.78999999999</v>
      </c>
      <c r="AY48" s="24">
        <f t="shared" si="43"/>
        <v>-10491.79</v>
      </c>
      <c r="AZ48" s="24">
        <f t="shared" si="43"/>
        <v>18346.14</v>
      </c>
      <c r="BA48" s="57">
        <v>80176.07</v>
      </c>
      <c r="BB48" s="28">
        <v>0</v>
      </c>
      <c r="BC48" s="62">
        <v>0</v>
      </c>
      <c r="BD48" s="49" t="s">
        <v>63</v>
      </c>
    </row>
    <row r="49" ht="15" spans="1:56">
      <c r="A49" s="10"/>
      <c r="B49" s="10"/>
      <c r="C49" s="10"/>
      <c r="D49" s="10"/>
      <c r="E49" s="10"/>
      <c r="F49" s="10"/>
      <c r="G49" s="10"/>
      <c r="H49" s="10"/>
      <c r="I49" s="10"/>
      <c r="J49" s="10"/>
      <c r="K49" s="10"/>
      <c r="L49" s="10"/>
      <c r="M49" s="10"/>
      <c r="N49" s="10"/>
      <c r="O49" s="10"/>
      <c r="P49" s="10"/>
      <c r="Q49" s="10"/>
      <c r="R49" s="29" t="s">
        <v>16</v>
      </c>
      <c r="S49" s="30">
        <f t="shared" ref="S49:AG49" si="44">S48/S42</f>
        <v>0.21650535</v>
      </c>
      <c r="T49" s="30">
        <f t="shared" si="44"/>
        <v>0.130284214604207</v>
      </c>
      <c r="U49" s="31">
        <f t="shared" si="44"/>
        <v>0.194762838264587</v>
      </c>
      <c r="V49" s="30">
        <f t="shared" si="44"/>
        <v>0.0226363581060529</v>
      </c>
      <c r="W49" s="30">
        <f t="shared" si="44"/>
        <v>0.0226363581060529</v>
      </c>
      <c r="X49" s="30">
        <f t="shared" si="44"/>
        <v>0.0226363581060529</v>
      </c>
      <c r="Y49" s="30">
        <f t="shared" si="44"/>
        <v>0.0226363581060529</v>
      </c>
      <c r="Z49" s="30">
        <f t="shared" si="44"/>
        <v>0.0226363581060529</v>
      </c>
      <c r="AA49" s="30">
        <f t="shared" si="44"/>
        <v>0.0226363581060529</v>
      </c>
      <c r="AB49" s="30">
        <f t="shared" si="44"/>
        <v>0.0226363581060529</v>
      </c>
      <c r="AC49" s="30">
        <f t="shared" si="44"/>
        <v>0.0226363581060529</v>
      </c>
      <c r="AD49" s="30">
        <f t="shared" si="44"/>
        <v>0.0226363581060529</v>
      </c>
      <c r="AE49" s="30">
        <f t="shared" si="44"/>
        <v>0.0226363581060529</v>
      </c>
      <c r="AF49" s="30">
        <f t="shared" si="44"/>
        <v>0.0485904209249957</v>
      </c>
      <c r="AG49" s="30">
        <f t="shared" si="44"/>
        <v>0.216009748975651</v>
      </c>
      <c r="AH49" s="42">
        <f>T49-S49</f>
        <v>-0.0862211353957933</v>
      </c>
      <c r="AI49" s="42">
        <f>AF49-S49</f>
        <v>-0.167914929075004</v>
      </c>
      <c r="AJ49" s="10"/>
      <c r="AK49" s="10"/>
      <c r="AL49" s="10"/>
      <c r="AM49" s="10"/>
      <c r="AN49" s="10"/>
      <c r="AO49" s="30" t="e">
        <f t="shared" ref="AO49:AZ49" si="45">AO48/AO42</f>
        <v>#DIV/0!</v>
      </c>
      <c r="AP49" s="30" t="e">
        <f t="shared" si="45"/>
        <v>#DIV/0!</v>
      </c>
      <c r="AQ49" s="30" t="e">
        <f t="shared" si="45"/>
        <v>#DIV/0!</v>
      </c>
      <c r="AR49" s="30" t="e">
        <f t="shared" si="45"/>
        <v>#DIV/0!</v>
      </c>
      <c r="AS49" s="30" t="e">
        <f t="shared" si="45"/>
        <v>#DIV/0!</v>
      </c>
      <c r="AT49" s="30" t="e">
        <f t="shared" si="45"/>
        <v>#DIV/0!</v>
      </c>
      <c r="AU49" s="30" t="e">
        <f t="shared" si="45"/>
        <v>#DIV/0!</v>
      </c>
      <c r="AV49" s="30" t="e">
        <f t="shared" si="45"/>
        <v>#DIV/0!</v>
      </c>
      <c r="AW49" s="30" t="e">
        <f t="shared" si="45"/>
        <v>#DIV/0!</v>
      </c>
      <c r="AX49" s="30">
        <f t="shared" si="45"/>
        <v>-0.0267604290541733</v>
      </c>
      <c r="AY49" s="30">
        <f t="shared" si="45"/>
        <v>-0.136768562936698</v>
      </c>
      <c r="AZ49" s="30">
        <f t="shared" si="45"/>
        <v>0.216009748975651</v>
      </c>
      <c r="BA49" s="58">
        <v>0.194762838264587</v>
      </c>
      <c r="BB49" s="52">
        <v>0</v>
      </c>
      <c r="BC49" s="62">
        <v>0</v>
      </c>
      <c r="BD49" s="49" t="s">
        <v>63</v>
      </c>
    </row>
    <row r="50" ht="15" spans="1:56">
      <c r="A50" s="10"/>
      <c r="B50" s="10"/>
      <c r="C50" s="10"/>
      <c r="D50" s="10"/>
      <c r="E50" s="10"/>
      <c r="F50" s="10"/>
      <c r="G50" s="10"/>
      <c r="H50" s="10"/>
      <c r="I50" s="10"/>
      <c r="J50" s="10"/>
      <c r="K50" s="10"/>
      <c r="L50" s="10"/>
      <c r="M50" s="10"/>
      <c r="N50" s="10"/>
      <c r="O50" s="10"/>
      <c r="P50" s="10"/>
      <c r="Q50" s="10"/>
      <c r="R50" s="26" t="s">
        <v>17</v>
      </c>
      <c r="S50" s="24">
        <f t="shared" ref="S50:AG50" si="46">S42-S47</f>
        <v>156505.35</v>
      </c>
      <c r="T50" s="24">
        <f t="shared" si="46"/>
        <v>90149.42</v>
      </c>
      <c r="U50" s="24">
        <f t="shared" si="46"/>
        <v>83318.54</v>
      </c>
      <c r="V50" s="24">
        <f t="shared" si="46"/>
        <v>6830.88</v>
      </c>
      <c r="W50" s="24">
        <f t="shared" si="46"/>
        <v>6830.88</v>
      </c>
      <c r="X50" s="24">
        <f t="shared" si="46"/>
        <v>6830.88</v>
      </c>
      <c r="Y50" s="24">
        <f t="shared" si="46"/>
        <v>6830.88</v>
      </c>
      <c r="Z50" s="24">
        <f t="shared" si="46"/>
        <v>6830.88</v>
      </c>
      <c r="AA50" s="24">
        <f t="shared" si="46"/>
        <v>6830.88</v>
      </c>
      <c r="AB50" s="24">
        <f t="shared" si="46"/>
        <v>6830.88</v>
      </c>
      <c r="AC50" s="24">
        <f t="shared" si="46"/>
        <v>6830.88</v>
      </c>
      <c r="AD50" s="24">
        <f t="shared" si="46"/>
        <v>6830.88</v>
      </c>
      <c r="AE50" s="24">
        <f t="shared" si="46"/>
        <v>6830.88</v>
      </c>
      <c r="AF50" s="24">
        <f t="shared" si="46"/>
        <v>8769.42000000001</v>
      </c>
      <c r="AG50" s="24">
        <f t="shared" si="46"/>
        <v>18842.03</v>
      </c>
      <c r="AH50" s="42">
        <v>0</v>
      </c>
      <c r="AI50" s="42">
        <v>0</v>
      </c>
      <c r="AJ50" s="10"/>
      <c r="AK50" s="10"/>
      <c r="AL50" s="10"/>
      <c r="AM50" s="10"/>
      <c r="AN50" s="10"/>
      <c r="AO50" s="24">
        <f t="shared" ref="AO50:BC50" si="47">AO42-AO47</f>
        <v>0</v>
      </c>
      <c r="AP50" s="24">
        <f t="shared" si="47"/>
        <v>0</v>
      </c>
      <c r="AQ50" s="24">
        <f t="shared" si="47"/>
        <v>0</v>
      </c>
      <c r="AR50" s="24">
        <f t="shared" si="47"/>
        <v>0</v>
      </c>
      <c r="AS50" s="24">
        <f t="shared" si="47"/>
        <v>0</v>
      </c>
      <c r="AT50" s="24">
        <f t="shared" si="47"/>
        <v>0</v>
      </c>
      <c r="AU50" s="24">
        <f t="shared" si="47"/>
        <v>0</v>
      </c>
      <c r="AV50" s="24">
        <f t="shared" si="47"/>
        <v>0</v>
      </c>
      <c r="AW50" s="24">
        <f t="shared" si="47"/>
        <v>0</v>
      </c>
      <c r="AX50" s="24">
        <f t="shared" si="47"/>
        <v>-1938.53999999999</v>
      </c>
      <c r="AY50" s="24">
        <f t="shared" si="47"/>
        <v>-10072.61</v>
      </c>
      <c r="AZ50" s="24">
        <f t="shared" si="47"/>
        <v>18842.03</v>
      </c>
      <c r="BA50" s="24">
        <f t="shared" si="47"/>
        <v>83318.54</v>
      </c>
      <c r="BB50" s="24">
        <f t="shared" si="47"/>
        <v>0</v>
      </c>
      <c r="BC50" s="24">
        <f t="shared" si="47"/>
        <v>0</v>
      </c>
      <c r="BD50" s="49" t="s">
        <v>63</v>
      </c>
    </row>
    <row r="51" ht="15" spans="1:56">
      <c r="A51" s="11"/>
      <c r="B51" s="11"/>
      <c r="C51" s="11"/>
      <c r="D51" s="11"/>
      <c r="E51" s="11"/>
      <c r="F51" s="11"/>
      <c r="G51" s="11"/>
      <c r="H51" s="11"/>
      <c r="I51" s="11"/>
      <c r="J51" s="11"/>
      <c r="K51" s="11"/>
      <c r="L51" s="11"/>
      <c r="M51" s="11"/>
      <c r="N51" s="11"/>
      <c r="O51" s="11"/>
      <c r="P51" s="11"/>
      <c r="Q51" s="11"/>
      <c r="R51" s="29" t="s">
        <v>18</v>
      </c>
      <c r="S51" s="30">
        <f t="shared" ref="S51:AG51" si="48">S50/S42</f>
        <v>0.15650535</v>
      </c>
      <c r="T51" s="30">
        <f t="shared" si="48"/>
        <v>0.1369562846096</v>
      </c>
      <c r="U51" s="31">
        <f t="shared" si="48"/>
        <v>0.202396492250887</v>
      </c>
      <c r="V51" s="30">
        <f t="shared" si="48"/>
        <v>0.0277030518097942</v>
      </c>
      <c r="W51" s="30">
        <f t="shared" si="48"/>
        <v>0.0277030518097942</v>
      </c>
      <c r="X51" s="30">
        <f t="shared" si="48"/>
        <v>0.0277030518097942</v>
      </c>
      <c r="Y51" s="30">
        <f t="shared" si="48"/>
        <v>0.0277030518097942</v>
      </c>
      <c r="Z51" s="30">
        <f t="shared" si="48"/>
        <v>0.0277030518097942</v>
      </c>
      <c r="AA51" s="30">
        <f t="shared" si="48"/>
        <v>0.0277030518097942</v>
      </c>
      <c r="AB51" s="30">
        <f t="shared" si="48"/>
        <v>0.0277030518097942</v>
      </c>
      <c r="AC51" s="30">
        <f t="shared" si="48"/>
        <v>0.0277030518097942</v>
      </c>
      <c r="AD51" s="30">
        <f t="shared" si="48"/>
        <v>0.0277030518097942</v>
      </c>
      <c r="AE51" s="30">
        <f t="shared" si="48"/>
        <v>0.0277030518097942</v>
      </c>
      <c r="AF51" s="30">
        <f t="shared" si="48"/>
        <v>0.0542514414392122</v>
      </c>
      <c r="AG51" s="30">
        <f t="shared" si="48"/>
        <v>0.221848419912401</v>
      </c>
      <c r="AH51" s="42">
        <f>T51-S51</f>
        <v>-0.0195490653904</v>
      </c>
      <c r="AI51" s="42">
        <f>AF51-S51</f>
        <v>-0.102253908560788</v>
      </c>
      <c r="AJ51" s="11"/>
      <c r="AK51" s="11"/>
      <c r="AL51" s="11"/>
      <c r="AM51" s="11"/>
      <c r="AN51" s="11"/>
      <c r="AO51" s="30" t="e">
        <f t="shared" ref="AO51:AZ51" si="49">AO50/AO42</f>
        <v>#DIV/0!</v>
      </c>
      <c r="AP51" s="30" t="e">
        <f t="shared" si="49"/>
        <v>#DIV/0!</v>
      </c>
      <c r="AQ51" s="30" t="e">
        <f t="shared" si="49"/>
        <v>#DIV/0!</v>
      </c>
      <c r="AR51" s="30" t="e">
        <f t="shared" si="49"/>
        <v>#DIV/0!</v>
      </c>
      <c r="AS51" s="30" t="e">
        <f t="shared" si="49"/>
        <v>#DIV/0!</v>
      </c>
      <c r="AT51" s="30" t="e">
        <f t="shared" si="49"/>
        <v>#DIV/0!</v>
      </c>
      <c r="AU51" s="30" t="e">
        <f t="shared" si="49"/>
        <v>#DIV/0!</v>
      </c>
      <c r="AV51" s="30" t="e">
        <f t="shared" si="49"/>
        <v>#DIV/0!</v>
      </c>
      <c r="AW51" s="30" t="e">
        <f t="shared" si="49"/>
        <v>#DIV/0!</v>
      </c>
      <c r="AX51" s="30">
        <f t="shared" si="49"/>
        <v>-0.022824881374292</v>
      </c>
      <c r="AY51" s="30">
        <f t="shared" si="49"/>
        <v>-0.131304228803838</v>
      </c>
      <c r="AZ51" s="30">
        <f t="shared" si="49"/>
        <v>0.221848419912401</v>
      </c>
      <c r="BA51" s="58">
        <v>0.202396492250887</v>
      </c>
      <c r="BB51" s="52">
        <v>0</v>
      </c>
      <c r="BC51" s="62">
        <v>0</v>
      </c>
      <c r="BD51" s="49" t="s">
        <v>63</v>
      </c>
    </row>
    <row r="52" ht="15" spans="1:56">
      <c r="A52" s="12" t="s">
        <v>80</v>
      </c>
      <c r="B52" s="13" t="s">
        <v>81</v>
      </c>
      <c r="C52" s="14">
        <v>45809</v>
      </c>
      <c r="D52" s="14">
        <v>46173</v>
      </c>
      <c r="E52" s="6"/>
      <c r="F52" s="7">
        <v>0.75</v>
      </c>
      <c r="G52" s="9">
        <v>0.5</v>
      </c>
      <c r="H52" s="9"/>
      <c r="I52" s="9"/>
      <c r="J52" s="9"/>
      <c r="K52" s="9"/>
      <c r="L52" s="9"/>
      <c r="M52" s="9"/>
      <c r="N52" s="9"/>
      <c r="O52" s="9"/>
      <c r="P52" s="6"/>
      <c r="Q52" s="9" t="s">
        <v>63</v>
      </c>
      <c r="R52" s="32" t="s">
        <v>9</v>
      </c>
      <c r="S52" s="24">
        <v>435000</v>
      </c>
      <c r="T52" s="24">
        <f>SUM(AO52:BC52)</f>
        <v>435000</v>
      </c>
      <c r="U52" s="25">
        <f>SUM(BA52:BC52)</f>
        <v>435000</v>
      </c>
      <c r="V52" s="24">
        <f>SUM(AO52:AZ52)</f>
        <v>0</v>
      </c>
      <c r="W52" s="24">
        <f>SUM(AP52:AZ52)</f>
        <v>0</v>
      </c>
      <c r="X52" s="24">
        <f>SUM(AQ52:AZ52)</f>
        <v>0</v>
      </c>
      <c r="Y52" s="24">
        <f>SUM(AR52:AZ52)</f>
        <v>0</v>
      </c>
      <c r="Z52" s="24">
        <f>SUM(AS52:AZ52)</f>
        <v>0</v>
      </c>
      <c r="AA52" s="24">
        <f>SUM(AT52:AZ52)</f>
        <v>0</v>
      </c>
      <c r="AB52" s="24">
        <f>SUM(AU52:AZ52)</f>
        <v>0</v>
      </c>
      <c r="AC52" s="24">
        <f>SUM(AV52:AZ52)</f>
        <v>0</v>
      </c>
      <c r="AD52" s="24">
        <f>SUM(AW52:AZ52)</f>
        <v>0</v>
      </c>
      <c r="AE52" s="24">
        <f>SUM(AX52:AZ52)</f>
        <v>0</v>
      </c>
      <c r="AF52" s="24">
        <f>SUM(AY52:AZ52)</f>
        <v>0</v>
      </c>
      <c r="AG52" s="24">
        <f>SUM(AZ52:AZ52)</f>
        <v>0</v>
      </c>
      <c r="AH52" s="38">
        <v>0</v>
      </c>
      <c r="AI52" s="38">
        <v>0</v>
      </c>
      <c r="AJ52" s="13" t="s">
        <v>63</v>
      </c>
      <c r="AK52" s="43" t="s">
        <v>82</v>
      </c>
      <c r="AL52" s="13" t="s">
        <v>83</v>
      </c>
      <c r="AM52" s="43" t="s">
        <v>63</v>
      </c>
      <c r="AN52" s="7"/>
      <c r="AO52" s="24">
        <v>0</v>
      </c>
      <c r="AP52" s="24">
        <v>0</v>
      </c>
      <c r="AQ52" s="24">
        <v>0</v>
      </c>
      <c r="AR52" s="24">
        <v>0</v>
      </c>
      <c r="AS52" s="24">
        <v>0</v>
      </c>
      <c r="AT52" s="24">
        <v>0</v>
      </c>
      <c r="AU52" s="24">
        <v>0</v>
      </c>
      <c r="AV52" s="24">
        <v>0</v>
      </c>
      <c r="AW52" s="24">
        <v>0</v>
      </c>
      <c r="AX52" s="24">
        <v>0</v>
      </c>
      <c r="AY52" s="24">
        <v>0</v>
      </c>
      <c r="AZ52" s="24">
        <v>0</v>
      </c>
      <c r="BA52" s="54">
        <v>435000</v>
      </c>
      <c r="BB52" s="25">
        <v>0</v>
      </c>
      <c r="BC52" s="62">
        <v>0</v>
      </c>
      <c r="BD52" s="49" t="s">
        <v>63</v>
      </c>
    </row>
    <row r="53" ht="15" spans="1:56">
      <c r="A53" s="10"/>
      <c r="B53" s="10"/>
      <c r="C53" s="10"/>
      <c r="D53" s="10"/>
      <c r="E53" s="10"/>
      <c r="F53" s="10"/>
      <c r="G53" s="10"/>
      <c r="H53" s="10"/>
      <c r="I53" s="10"/>
      <c r="J53" s="10"/>
      <c r="K53" s="10"/>
      <c r="L53" s="10"/>
      <c r="M53" s="10"/>
      <c r="N53" s="10"/>
      <c r="O53" s="10"/>
      <c r="P53" s="10"/>
      <c r="Q53" s="10"/>
      <c r="R53" s="26" t="s">
        <v>10</v>
      </c>
      <c r="S53" s="24">
        <v>354384.65</v>
      </c>
      <c r="T53" s="24">
        <f>SUM(AO53:BC53)</f>
        <v>345708.9</v>
      </c>
      <c r="U53" s="25">
        <f>SUM(BA53:BC53)</f>
        <v>317303.07</v>
      </c>
      <c r="V53" s="24">
        <f>SUM(AO53:AZ53)</f>
        <v>28405.83</v>
      </c>
      <c r="W53" s="24">
        <f>SUM(AP53:AZ53)</f>
        <v>28405.83</v>
      </c>
      <c r="X53" s="24">
        <f>SUM(AQ53:AZ53)</f>
        <v>28405.83</v>
      </c>
      <c r="Y53" s="24">
        <f>SUM(AR53:AZ53)</f>
        <v>28405.83</v>
      </c>
      <c r="Z53" s="24">
        <f>SUM(AS53:AZ53)</f>
        <v>28405.83</v>
      </c>
      <c r="AA53" s="24">
        <f>SUM(AT53:AZ53)</f>
        <v>28405.83</v>
      </c>
      <c r="AB53" s="24">
        <f>SUM(AU53:AZ53)</f>
        <v>28405.83</v>
      </c>
      <c r="AC53" s="24">
        <f>SUM(AV53:AZ53)</f>
        <v>28405.83</v>
      </c>
      <c r="AD53" s="24">
        <f>SUM(AW53:AZ53)</f>
        <v>28405.83</v>
      </c>
      <c r="AE53" s="24">
        <f>SUM(AX53:AZ53)</f>
        <v>28405.83</v>
      </c>
      <c r="AF53" s="24">
        <f>SUM(AY53:AZ53)</f>
        <v>28405.83</v>
      </c>
      <c r="AG53" s="24">
        <f>SUM(AZ53:AZ53)</f>
        <v>0</v>
      </c>
      <c r="AH53" s="38">
        <v>0</v>
      </c>
      <c r="AI53" s="38">
        <v>0</v>
      </c>
      <c r="AJ53" s="10"/>
      <c r="AK53" s="10"/>
      <c r="AL53" s="10"/>
      <c r="AM53" s="10"/>
      <c r="AN53" s="10"/>
      <c r="AO53" s="24">
        <v>0</v>
      </c>
      <c r="AP53" s="24">
        <v>0</v>
      </c>
      <c r="AQ53" s="24">
        <v>0</v>
      </c>
      <c r="AR53" s="24">
        <v>0</v>
      </c>
      <c r="AS53" s="24">
        <v>0</v>
      </c>
      <c r="AT53" s="24">
        <v>0</v>
      </c>
      <c r="AU53" s="24">
        <v>0</v>
      </c>
      <c r="AV53" s="24">
        <v>0</v>
      </c>
      <c r="AW53" s="24">
        <v>0</v>
      </c>
      <c r="AX53" s="24">
        <v>0</v>
      </c>
      <c r="AY53" s="24">
        <v>28405.83</v>
      </c>
      <c r="AZ53" s="24">
        <v>0</v>
      </c>
      <c r="BA53" s="54">
        <v>317303.07</v>
      </c>
      <c r="BB53" s="25">
        <v>0</v>
      </c>
      <c r="BC53" s="62">
        <v>0</v>
      </c>
      <c r="BD53" s="49" t="s">
        <v>63</v>
      </c>
    </row>
    <row r="54" ht="15" spans="1:56">
      <c r="A54" s="10"/>
      <c r="B54" s="10"/>
      <c r="C54" s="10"/>
      <c r="D54" s="10"/>
      <c r="E54" s="10"/>
      <c r="F54" s="10"/>
      <c r="G54" s="10"/>
      <c r="H54" s="10"/>
      <c r="I54" s="10"/>
      <c r="J54" s="10"/>
      <c r="K54" s="10"/>
      <c r="L54" s="10"/>
      <c r="M54" s="10"/>
      <c r="N54" s="10"/>
      <c r="O54" s="10"/>
      <c r="P54" s="10"/>
      <c r="Q54" s="10"/>
      <c r="R54" s="26" t="s">
        <v>11</v>
      </c>
      <c r="S54" s="24">
        <v>0</v>
      </c>
      <c r="T54" s="24">
        <f>SUM(AO54:BC54)</f>
        <v>0</v>
      </c>
      <c r="U54" s="25">
        <f>SUM(BA54:BC54)</f>
        <v>0</v>
      </c>
      <c r="V54" s="24">
        <v>0</v>
      </c>
      <c r="W54" s="24">
        <v>0</v>
      </c>
      <c r="X54" s="24">
        <v>0</v>
      </c>
      <c r="Y54" s="24">
        <v>0</v>
      </c>
      <c r="Z54" s="24">
        <v>0</v>
      </c>
      <c r="AA54" s="24">
        <v>0</v>
      </c>
      <c r="AB54" s="24">
        <v>0</v>
      </c>
      <c r="AC54" s="24">
        <v>0</v>
      </c>
      <c r="AD54" s="24">
        <v>0</v>
      </c>
      <c r="AE54" s="24">
        <v>0</v>
      </c>
      <c r="AF54" s="24">
        <v>0</v>
      </c>
      <c r="AG54" s="24">
        <v>0</v>
      </c>
      <c r="AH54" s="38">
        <v>0</v>
      </c>
      <c r="AI54" s="38">
        <v>0</v>
      </c>
      <c r="AJ54" s="10"/>
      <c r="AK54" s="10"/>
      <c r="AL54" s="10"/>
      <c r="AM54" s="10"/>
      <c r="AN54" s="10"/>
      <c r="AO54" s="24">
        <v>0</v>
      </c>
      <c r="AP54" s="24">
        <v>0</v>
      </c>
      <c r="AQ54" s="24">
        <v>0</v>
      </c>
      <c r="AR54" s="24">
        <v>0</v>
      </c>
      <c r="AS54" s="24">
        <v>0</v>
      </c>
      <c r="AT54" s="24">
        <v>0</v>
      </c>
      <c r="AU54" s="24">
        <v>0</v>
      </c>
      <c r="AV54" s="24">
        <v>0</v>
      </c>
      <c r="AW54" s="24">
        <v>0</v>
      </c>
      <c r="AX54" s="24">
        <v>0</v>
      </c>
      <c r="AY54" s="24">
        <v>0</v>
      </c>
      <c r="AZ54" s="24">
        <v>0</v>
      </c>
      <c r="BA54" s="54">
        <v>0</v>
      </c>
      <c r="BB54" s="25">
        <v>0</v>
      </c>
      <c r="BC54" s="62">
        <v>0</v>
      </c>
      <c r="BD54" s="49" t="s">
        <v>63</v>
      </c>
    </row>
    <row r="55" ht="15" spans="1:56">
      <c r="A55" s="10"/>
      <c r="B55" s="10"/>
      <c r="C55" s="10"/>
      <c r="D55" s="10"/>
      <c r="E55" s="10"/>
      <c r="F55" s="10"/>
      <c r="G55" s="10"/>
      <c r="H55" s="10"/>
      <c r="I55" s="10"/>
      <c r="J55" s="10"/>
      <c r="K55" s="10"/>
      <c r="L55" s="10"/>
      <c r="M55" s="10"/>
      <c r="N55" s="10"/>
      <c r="O55" s="10"/>
      <c r="P55" s="10"/>
      <c r="Q55" s="10"/>
      <c r="R55" s="26" t="s">
        <v>12</v>
      </c>
      <c r="S55" s="24">
        <v>13000</v>
      </c>
      <c r="T55" s="24">
        <f>SUM(AO55:BC55)</f>
        <v>0</v>
      </c>
      <c r="U55" s="25">
        <f>SUM(BA55:BC55)</f>
        <v>0</v>
      </c>
      <c r="V55" s="24">
        <f>SUM(AO55:AZ55)</f>
        <v>0</v>
      </c>
      <c r="W55" s="24">
        <f>SUM(AP55:AZ55)</f>
        <v>0</v>
      </c>
      <c r="X55" s="24">
        <f>SUM(AQ55:AZ55)</f>
        <v>0</v>
      </c>
      <c r="Y55" s="24">
        <f>SUM(AR55:AZ55)</f>
        <v>0</v>
      </c>
      <c r="Z55" s="24">
        <f>SUM(AS55:AZ55)</f>
        <v>0</v>
      </c>
      <c r="AA55" s="24">
        <f>SUM(AT55:AZ55)</f>
        <v>0</v>
      </c>
      <c r="AB55" s="24">
        <f>SUM(AU55:AZ55)</f>
        <v>0</v>
      </c>
      <c r="AC55" s="24">
        <f>SUM(AV55:AZ55)</f>
        <v>0</v>
      </c>
      <c r="AD55" s="24">
        <f>SUM(AW55:AZ55)</f>
        <v>0</v>
      </c>
      <c r="AE55" s="24">
        <f>SUM(AX55:AZ55)</f>
        <v>0</v>
      </c>
      <c r="AF55" s="24">
        <f>SUM(AY55:AZ55)</f>
        <v>0</v>
      </c>
      <c r="AG55" s="24">
        <f>SUM(AZ55:AZ55)</f>
        <v>0</v>
      </c>
      <c r="AH55" s="38">
        <v>0</v>
      </c>
      <c r="AI55" s="38">
        <v>0</v>
      </c>
      <c r="AJ55" s="10"/>
      <c r="AK55" s="10"/>
      <c r="AL55" s="10"/>
      <c r="AM55" s="10"/>
      <c r="AN55" s="10"/>
      <c r="AO55" s="24">
        <v>0</v>
      </c>
      <c r="AP55" s="24">
        <v>0</v>
      </c>
      <c r="AQ55" s="24">
        <v>0</v>
      </c>
      <c r="AR55" s="24">
        <v>0</v>
      </c>
      <c r="AS55" s="24">
        <v>0</v>
      </c>
      <c r="AT55" s="24">
        <v>0</v>
      </c>
      <c r="AU55" s="24">
        <v>0</v>
      </c>
      <c r="AV55" s="24">
        <v>0</v>
      </c>
      <c r="AW55" s="24">
        <v>0</v>
      </c>
      <c r="AX55" s="24">
        <v>0</v>
      </c>
      <c r="AY55" s="24">
        <v>0</v>
      </c>
      <c r="AZ55" s="24">
        <v>0</v>
      </c>
      <c r="BA55" s="54">
        <v>0</v>
      </c>
      <c r="BB55" s="25">
        <v>0</v>
      </c>
      <c r="BC55" s="62">
        <v>0</v>
      </c>
      <c r="BD55" s="49" t="s">
        <v>63</v>
      </c>
    </row>
    <row r="56" ht="15" spans="1:56">
      <c r="A56" s="10"/>
      <c r="B56" s="10"/>
      <c r="C56" s="10"/>
      <c r="D56" s="10"/>
      <c r="E56" s="10"/>
      <c r="F56" s="10"/>
      <c r="G56" s="10"/>
      <c r="H56" s="10"/>
      <c r="I56" s="10"/>
      <c r="J56" s="10"/>
      <c r="K56" s="10"/>
      <c r="L56" s="10"/>
      <c r="M56" s="10"/>
      <c r="N56" s="10"/>
      <c r="O56" s="10"/>
      <c r="P56" s="10"/>
      <c r="Q56" s="10"/>
      <c r="R56" s="26" t="s">
        <v>13</v>
      </c>
      <c r="S56" s="24">
        <v>0</v>
      </c>
      <c r="T56" s="24">
        <f>SUM(AO56:BC56)</f>
        <v>-28405.83</v>
      </c>
      <c r="U56" s="25">
        <f>SUM(BA56:BC56)</f>
        <v>0</v>
      </c>
      <c r="V56" s="24">
        <f>SUM(AO56:AZ56)</f>
        <v>-28405.83</v>
      </c>
      <c r="W56" s="24">
        <f>SUM(AP56:AZ56)</f>
        <v>-28405.83</v>
      </c>
      <c r="X56" s="24">
        <f>SUM(AQ56:AZ56)</f>
        <v>-28405.83</v>
      </c>
      <c r="Y56" s="24">
        <f>SUM(AR56:AZ56)</f>
        <v>-28405.83</v>
      </c>
      <c r="Z56" s="24">
        <f>SUM(AS56:AZ56)</f>
        <v>-28405.83</v>
      </c>
      <c r="AA56" s="24">
        <f>SUM(AT56:AZ56)</f>
        <v>-28405.83</v>
      </c>
      <c r="AB56" s="24">
        <f>SUM(AU56:AZ56)</f>
        <v>-28405.83</v>
      </c>
      <c r="AC56" s="24">
        <f>SUM(AV56:AZ56)</f>
        <v>-28405.83</v>
      </c>
      <c r="AD56" s="24">
        <f>SUM(AW56:AZ56)</f>
        <v>-28405.83</v>
      </c>
      <c r="AE56" s="24">
        <f>SUM(AX56:AZ56)</f>
        <v>-28405.83</v>
      </c>
      <c r="AF56" s="24">
        <f>SUM(AY56:AZ56)</f>
        <v>-28405.83</v>
      </c>
      <c r="AG56" s="24">
        <f>SUM(AZ56:AZ56)</f>
        <v>0</v>
      </c>
      <c r="AH56" s="38">
        <v>0</v>
      </c>
      <c r="AI56" s="38">
        <v>0</v>
      </c>
      <c r="AJ56" s="10"/>
      <c r="AK56" s="10"/>
      <c r="AL56" s="10"/>
      <c r="AM56" s="10"/>
      <c r="AN56" s="10"/>
      <c r="AO56" s="24">
        <v>0</v>
      </c>
      <c r="AP56" s="24">
        <v>0</v>
      </c>
      <c r="AQ56" s="24">
        <v>0</v>
      </c>
      <c r="AR56" s="24">
        <v>0</v>
      </c>
      <c r="AS56" s="24">
        <v>0</v>
      </c>
      <c r="AT56" s="24">
        <v>0</v>
      </c>
      <c r="AU56" s="24">
        <v>0</v>
      </c>
      <c r="AV56" s="24">
        <v>0</v>
      </c>
      <c r="AW56" s="24">
        <v>0</v>
      </c>
      <c r="AX56" s="24">
        <v>0</v>
      </c>
      <c r="AY56" s="24">
        <v>-28405.83</v>
      </c>
      <c r="AZ56" s="24">
        <v>0</v>
      </c>
      <c r="BA56" s="54">
        <v>0</v>
      </c>
      <c r="BB56" s="25">
        <v>0</v>
      </c>
      <c r="BC56" s="62">
        <v>0</v>
      </c>
      <c r="BD56" s="49" t="s">
        <v>63</v>
      </c>
    </row>
    <row r="57" ht="15" spans="1:56">
      <c r="A57" s="10"/>
      <c r="B57" s="10"/>
      <c r="C57" s="10"/>
      <c r="D57" s="10"/>
      <c r="E57" s="10"/>
      <c r="F57" s="10"/>
      <c r="G57" s="10"/>
      <c r="H57" s="10"/>
      <c r="I57" s="10"/>
      <c r="J57" s="10"/>
      <c r="K57" s="10"/>
      <c r="L57" s="10"/>
      <c r="M57" s="10"/>
      <c r="N57" s="10"/>
      <c r="O57" s="10"/>
      <c r="P57" s="10"/>
      <c r="Q57" s="10"/>
      <c r="R57" s="26" t="s">
        <v>14</v>
      </c>
      <c r="S57" s="27">
        <f t="shared" ref="S57:AI57" si="50">SUM(S53:S56)</f>
        <v>367384.65</v>
      </c>
      <c r="T57" s="27">
        <f t="shared" si="50"/>
        <v>317303.07</v>
      </c>
      <c r="U57" s="28">
        <f t="shared" si="50"/>
        <v>317303.07</v>
      </c>
      <c r="V57" s="27">
        <f t="shared" si="50"/>
        <v>0</v>
      </c>
      <c r="W57" s="27">
        <f t="shared" si="50"/>
        <v>0</v>
      </c>
      <c r="X57" s="27">
        <f t="shared" si="50"/>
        <v>0</v>
      </c>
      <c r="Y57" s="27">
        <f t="shared" si="50"/>
        <v>0</v>
      </c>
      <c r="Z57" s="27">
        <f t="shared" si="50"/>
        <v>0</v>
      </c>
      <c r="AA57" s="27">
        <f t="shared" si="50"/>
        <v>0</v>
      </c>
      <c r="AB57" s="27">
        <f t="shared" si="50"/>
        <v>0</v>
      </c>
      <c r="AC57" s="27">
        <f t="shared" si="50"/>
        <v>0</v>
      </c>
      <c r="AD57" s="27">
        <f t="shared" si="50"/>
        <v>0</v>
      </c>
      <c r="AE57" s="27">
        <f t="shared" si="50"/>
        <v>0</v>
      </c>
      <c r="AF57" s="27">
        <f t="shared" si="50"/>
        <v>0</v>
      </c>
      <c r="AG57" s="27">
        <f t="shared" si="50"/>
        <v>0</v>
      </c>
      <c r="AH57" s="27">
        <f t="shared" si="50"/>
        <v>0</v>
      </c>
      <c r="AI57" s="27">
        <f t="shared" si="50"/>
        <v>0</v>
      </c>
      <c r="AJ57" s="10"/>
      <c r="AK57" s="10"/>
      <c r="AL57" s="10"/>
      <c r="AM57" s="10"/>
      <c r="AN57" s="10"/>
      <c r="AO57" s="27">
        <f t="shared" ref="AO57:AX57" si="51">SUM(AO53:AO56)</f>
        <v>0</v>
      </c>
      <c r="AP57" s="27">
        <f t="shared" si="51"/>
        <v>0</v>
      </c>
      <c r="AQ57" s="27">
        <f t="shared" si="51"/>
        <v>0</v>
      </c>
      <c r="AR57" s="27">
        <f t="shared" si="51"/>
        <v>0</v>
      </c>
      <c r="AS57" s="27">
        <f t="shared" si="51"/>
        <v>0</v>
      </c>
      <c r="AT57" s="27">
        <f t="shared" si="51"/>
        <v>0</v>
      </c>
      <c r="AU57" s="27">
        <f t="shared" si="51"/>
        <v>0</v>
      </c>
      <c r="AV57" s="27">
        <f t="shared" si="51"/>
        <v>0</v>
      </c>
      <c r="AW57" s="27">
        <f t="shared" si="51"/>
        <v>0</v>
      </c>
      <c r="AX57" s="27">
        <f t="shared" si="51"/>
        <v>0</v>
      </c>
      <c r="AY57" s="27">
        <v>0</v>
      </c>
      <c r="AZ57" s="27">
        <f>SUM(AZ53:AZ56)</f>
        <v>0</v>
      </c>
      <c r="BA57" s="56">
        <v>317303.07</v>
      </c>
      <c r="BB57" s="28">
        <f>SUM(BB53:BB56)</f>
        <v>0</v>
      </c>
      <c r="BC57" s="60">
        <f>SUM(BC53:BC56)</f>
        <v>0</v>
      </c>
      <c r="BD57" s="50" t="s">
        <v>63</v>
      </c>
    </row>
    <row r="58" ht="15" spans="1:56">
      <c r="A58" s="10"/>
      <c r="B58" s="10"/>
      <c r="C58" s="10"/>
      <c r="D58" s="10"/>
      <c r="E58" s="10"/>
      <c r="F58" s="10"/>
      <c r="G58" s="10"/>
      <c r="H58" s="10"/>
      <c r="I58" s="10"/>
      <c r="J58" s="10"/>
      <c r="K58" s="10"/>
      <c r="L58" s="10"/>
      <c r="M58" s="10"/>
      <c r="N58" s="10"/>
      <c r="O58" s="10"/>
      <c r="P58" s="10"/>
      <c r="Q58" s="10"/>
      <c r="R58" s="26" t="s">
        <v>15</v>
      </c>
      <c r="S58" s="24">
        <f t="shared" ref="S58:AG58" si="52">S52-S53</f>
        <v>80615.35</v>
      </c>
      <c r="T58" s="24">
        <f t="shared" si="52"/>
        <v>89291.1</v>
      </c>
      <c r="U58" s="25">
        <f t="shared" si="52"/>
        <v>117696.93</v>
      </c>
      <c r="V58" s="24">
        <f t="shared" si="52"/>
        <v>-28405.83</v>
      </c>
      <c r="W58" s="24">
        <f t="shared" si="52"/>
        <v>-28405.83</v>
      </c>
      <c r="X58" s="24">
        <f t="shared" si="52"/>
        <v>-28405.83</v>
      </c>
      <c r="Y58" s="24">
        <f t="shared" si="52"/>
        <v>-28405.83</v>
      </c>
      <c r="Z58" s="24">
        <f t="shared" si="52"/>
        <v>-28405.83</v>
      </c>
      <c r="AA58" s="24">
        <f t="shared" si="52"/>
        <v>-28405.83</v>
      </c>
      <c r="AB58" s="24">
        <f t="shared" si="52"/>
        <v>-28405.83</v>
      </c>
      <c r="AC58" s="24">
        <f t="shared" si="52"/>
        <v>-28405.83</v>
      </c>
      <c r="AD58" s="24">
        <f t="shared" si="52"/>
        <v>-28405.83</v>
      </c>
      <c r="AE58" s="24">
        <f t="shared" si="52"/>
        <v>-28405.83</v>
      </c>
      <c r="AF58" s="24">
        <f t="shared" si="52"/>
        <v>-28405.83</v>
      </c>
      <c r="AG58" s="24">
        <f t="shared" si="52"/>
        <v>0</v>
      </c>
      <c r="AH58" s="41">
        <v>0</v>
      </c>
      <c r="AI58" s="41">
        <v>0</v>
      </c>
      <c r="AJ58" s="10"/>
      <c r="AK58" s="10"/>
      <c r="AL58" s="10"/>
      <c r="AM58" s="10"/>
      <c r="AN58" s="10"/>
      <c r="AO58" s="24">
        <f t="shared" ref="AO58:AZ58" si="53">AO52-AO53</f>
        <v>0</v>
      </c>
      <c r="AP58" s="24">
        <f t="shared" si="53"/>
        <v>0</v>
      </c>
      <c r="AQ58" s="24">
        <f t="shared" si="53"/>
        <v>0</v>
      </c>
      <c r="AR58" s="24">
        <f t="shared" si="53"/>
        <v>0</v>
      </c>
      <c r="AS58" s="24">
        <f t="shared" si="53"/>
        <v>0</v>
      </c>
      <c r="AT58" s="24">
        <f t="shared" si="53"/>
        <v>0</v>
      </c>
      <c r="AU58" s="24">
        <f t="shared" si="53"/>
        <v>0</v>
      </c>
      <c r="AV58" s="24">
        <f t="shared" si="53"/>
        <v>0</v>
      </c>
      <c r="AW58" s="24">
        <f t="shared" si="53"/>
        <v>0</v>
      </c>
      <c r="AX58" s="24">
        <f t="shared" si="53"/>
        <v>0</v>
      </c>
      <c r="AY58" s="24">
        <f t="shared" si="53"/>
        <v>-28405.83</v>
      </c>
      <c r="AZ58" s="24">
        <f t="shared" si="53"/>
        <v>0</v>
      </c>
      <c r="BA58" s="57">
        <v>117696.93</v>
      </c>
      <c r="BB58" s="28">
        <v>0</v>
      </c>
      <c r="BC58" s="62">
        <v>0</v>
      </c>
      <c r="BD58" s="49" t="s">
        <v>63</v>
      </c>
    </row>
    <row r="59" ht="15" spans="1:56">
      <c r="A59" s="10"/>
      <c r="B59" s="10"/>
      <c r="C59" s="10"/>
      <c r="D59" s="10"/>
      <c r="E59" s="10"/>
      <c r="F59" s="10"/>
      <c r="G59" s="10"/>
      <c r="H59" s="10"/>
      <c r="I59" s="10"/>
      <c r="J59" s="10"/>
      <c r="K59" s="10"/>
      <c r="L59" s="10"/>
      <c r="M59" s="10"/>
      <c r="N59" s="10"/>
      <c r="O59" s="10"/>
      <c r="P59" s="10"/>
      <c r="Q59" s="10"/>
      <c r="R59" s="29" t="s">
        <v>16</v>
      </c>
      <c r="S59" s="30">
        <f t="shared" ref="S59:AG59" si="54">S58/S52</f>
        <v>0.185322643678161</v>
      </c>
      <c r="T59" s="30">
        <f t="shared" si="54"/>
        <v>0.205266896551724</v>
      </c>
      <c r="U59" s="31">
        <f t="shared" si="54"/>
        <v>0.270567655172414</v>
      </c>
      <c r="V59" s="30" t="e">
        <f t="shared" si="54"/>
        <v>#DIV/0!</v>
      </c>
      <c r="W59" s="30" t="e">
        <f t="shared" si="54"/>
        <v>#DIV/0!</v>
      </c>
      <c r="X59" s="30" t="e">
        <f t="shared" si="54"/>
        <v>#DIV/0!</v>
      </c>
      <c r="Y59" s="30" t="e">
        <f t="shared" si="54"/>
        <v>#DIV/0!</v>
      </c>
      <c r="Z59" s="30" t="e">
        <f t="shared" si="54"/>
        <v>#DIV/0!</v>
      </c>
      <c r="AA59" s="30" t="e">
        <f t="shared" si="54"/>
        <v>#DIV/0!</v>
      </c>
      <c r="AB59" s="30" t="e">
        <f t="shared" si="54"/>
        <v>#DIV/0!</v>
      </c>
      <c r="AC59" s="30" t="e">
        <f t="shared" si="54"/>
        <v>#DIV/0!</v>
      </c>
      <c r="AD59" s="30" t="e">
        <f t="shared" si="54"/>
        <v>#DIV/0!</v>
      </c>
      <c r="AE59" s="30" t="e">
        <f t="shared" si="54"/>
        <v>#DIV/0!</v>
      </c>
      <c r="AF59" s="30" t="e">
        <f t="shared" si="54"/>
        <v>#DIV/0!</v>
      </c>
      <c r="AG59" s="30" t="e">
        <f t="shared" si="54"/>
        <v>#DIV/0!</v>
      </c>
      <c r="AH59" s="42">
        <f>T59-S59</f>
        <v>0.0199442528735632</v>
      </c>
      <c r="AI59" s="42" t="e">
        <f>AF59-S59</f>
        <v>#DIV/0!</v>
      </c>
      <c r="AJ59" s="10"/>
      <c r="AK59" s="10"/>
      <c r="AL59" s="10"/>
      <c r="AM59" s="10"/>
      <c r="AN59" s="10"/>
      <c r="AO59" s="30" t="e">
        <f t="shared" ref="AO59:AZ59" si="55">AO58/AO52</f>
        <v>#DIV/0!</v>
      </c>
      <c r="AP59" s="30" t="e">
        <f t="shared" si="55"/>
        <v>#DIV/0!</v>
      </c>
      <c r="AQ59" s="30" t="e">
        <f t="shared" si="55"/>
        <v>#DIV/0!</v>
      </c>
      <c r="AR59" s="30" t="e">
        <f t="shared" si="55"/>
        <v>#DIV/0!</v>
      </c>
      <c r="AS59" s="30" t="e">
        <f t="shared" si="55"/>
        <v>#DIV/0!</v>
      </c>
      <c r="AT59" s="30" t="e">
        <f t="shared" si="55"/>
        <v>#DIV/0!</v>
      </c>
      <c r="AU59" s="30" t="e">
        <f t="shared" si="55"/>
        <v>#DIV/0!</v>
      </c>
      <c r="AV59" s="30" t="e">
        <f t="shared" si="55"/>
        <v>#DIV/0!</v>
      </c>
      <c r="AW59" s="30" t="e">
        <f t="shared" si="55"/>
        <v>#DIV/0!</v>
      </c>
      <c r="AX59" s="30" t="e">
        <f t="shared" si="55"/>
        <v>#DIV/0!</v>
      </c>
      <c r="AY59" s="30" t="e">
        <f t="shared" si="55"/>
        <v>#DIV/0!</v>
      </c>
      <c r="AZ59" s="30" t="e">
        <f t="shared" si="55"/>
        <v>#DIV/0!</v>
      </c>
      <c r="BA59" s="58">
        <v>0.270567655172414</v>
      </c>
      <c r="BB59" s="52">
        <v>0</v>
      </c>
      <c r="BC59" s="62">
        <v>0</v>
      </c>
      <c r="BD59" s="49" t="s">
        <v>63</v>
      </c>
    </row>
    <row r="60" ht="15" spans="1:56">
      <c r="A60" s="10"/>
      <c r="B60" s="10"/>
      <c r="C60" s="10"/>
      <c r="D60" s="10"/>
      <c r="E60" s="10"/>
      <c r="F60" s="10"/>
      <c r="G60" s="10"/>
      <c r="H60" s="10"/>
      <c r="I60" s="10"/>
      <c r="J60" s="10"/>
      <c r="K60" s="10"/>
      <c r="L60" s="10"/>
      <c r="M60" s="10"/>
      <c r="N60" s="10"/>
      <c r="O60" s="10"/>
      <c r="P60" s="10"/>
      <c r="Q60" s="10"/>
      <c r="R60" s="26" t="s">
        <v>17</v>
      </c>
      <c r="S60" s="24">
        <f t="shared" ref="S60:AG60" si="56">S52-S57</f>
        <v>67615.35</v>
      </c>
      <c r="T60" s="24">
        <f t="shared" si="56"/>
        <v>117696.93</v>
      </c>
      <c r="U60" s="24">
        <f t="shared" si="56"/>
        <v>117696.93</v>
      </c>
      <c r="V60" s="24">
        <f t="shared" si="56"/>
        <v>0</v>
      </c>
      <c r="W60" s="24">
        <f t="shared" si="56"/>
        <v>0</v>
      </c>
      <c r="X60" s="24">
        <f t="shared" si="56"/>
        <v>0</v>
      </c>
      <c r="Y60" s="24">
        <f t="shared" si="56"/>
        <v>0</v>
      </c>
      <c r="Z60" s="24">
        <f t="shared" si="56"/>
        <v>0</v>
      </c>
      <c r="AA60" s="24">
        <f t="shared" si="56"/>
        <v>0</v>
      </c>
      <c r="AB60" s="24">
        <f t="shared" si="56"/>
        <v>0</v>
      </c>
      <c r="AC60" s="24">
        <f t="shared" si="56"/>
        <v>0</v>
      </c>
      <c r="AD60" s="24">
        <f t="shared" si="56"/>
        <v>0</v>
      </c>
      <c r="AE60" s="24">
        <f t="shared" si="56"/>
        <v>0</v>
      </c>
      <c r="AF60" s="24">
        <f t="shared" si="56"/>
        <v>0</v>
      </c>
      <c r="AG60" s="24">
        <f t="shared" si="56"/>
        <v>0</v>
      </c>
      <c r="AH60" s="42">
        <v>0</v>
      </c>
      <c r="AI60" s="42">
        <v>0</v>
      </c>
      <c r="AJ60" s="10"/>
      <c r="AK60" s="10"/>
      <c r="AL60" s="10"/>
      <c r="AM60" s="10"/>
      <c r="AN60" s="10"/>
      <c r="AO60" s="24">
        <f t="shared" ref="AO60:BC60" si="57">AO52-AO57</f>
        <v>0</v>
      </c>
      <c r="AP60" s="24">
        <f t="shared" si="57"/>
        <v>0</v>
      </c>
      <c r="AQ60" s="24">
        <f t="shared" si="57"/>
        <v>0</v>
      </c>
      <c r="AR60" s="24">
        <f t="shared" si="57"/>
        <v>0</v>
      </c>
      <c r="AS60" s="24">
        <f t="shared" si="57"/>
        <v>0</v>
      </c>
      <c r="AT60" s="24">
        <f t="shared" si="57"/>
        <v>0</v>
      </c>
      <c r="AU60" s="24">
        <f t="shared" si="57"/>
        <v>0</v>
      </c>
      <c r="AV60" s="24">
        <f t="shared" si="57"/>
        <v>0</v>
      </c>
      <c r="AW60" s="24">
        <f t="shared" si="57"/>
        <v>0</v>
      </c>
      <c r="AX60" s="24">
        <f t="shared" si="57"/>
        <v>0</v>
      </c>
      <c r="AY60" s="24">
        <f t="shared" si="57"/>
        <v>0</v>
      </c>
      <c r="AZ60" s="24">
        <f t="shared" si="57"/>
        <v>0</v>
      </c>
      <c r="BA60" s="24">
        <f t="shared" si="57"/>
        <v>117696.93</v>
      </c>
      <c r="BB60" s="24">
        <f t="shared" si="57"/>
        <v>0</v>
      </c>
      <c r="BC60" s="24">
        <f t="shared" si="57"/>
        <v>0</v>
      </c>
      <c r="BD60" s="49" t="s">
        <v>63</v>
      </c>
    </row>
    <row r="61" ht="15" spans="1:56">
      <c r="A61" s="11"/>
      <c r="B61" s="11"/>
      <c r="C61" s="11"/>
      <c r="D61" s="11"/>
      <c r="E61" s="11"/>
      <c r="F61" s="11"/>
      <c r="G61" s="11"/>
      <c r="H61" s="11"/>
      <c r="I61" s="11"/>
      <c r="J61" s="11"/>
      <c r="K61" s="11"/>
      <c r="L61" s="11"/>
      <c r="M61" s="11"/>
      <c r="N61" s="11"/>
      <c r="O61" s="11"/>
      <c r="P61" s="11"/>
      <c r="Q61" s="11"/>
      <c r="R61" s="29" t="s">
        <v>18</v>
      </c>
      <c r="S61" s="30">
        <f t="shared" ref="S61:AG61" si="58">S60/S52</f>
        <v>0.155437586206896</v>
      </c>
      <c r="T61" s="30">
        <f t="shared" si="58"/>
        <v>0.270567655172414</v>
      </c>
      <c r="U61" s="31">
        <f t="shared" si="58"/>
        <v>0.270567655172414</v>
      </c>
      <c r="V61" s="30" t="e">
        <f t="shared" si="58"/>
        <v>#DIV/0!</v>
      </c>
      <c r="W61" s="30" t="e">
        <f t="shared" si="58"/>
        <v>#DIV/0!</v>
      </c>
      <c r="X61" s="30" t="e">
        <f t="shared" si="58"/>
        <v>#DIV/0!</v>
      </c>
      <c r="Y61" s="30" t="e">
        <f t="shared" si="58"/>
        <v>#DIV/0!</v>
      </c>
      <c r="Z61" s="30" t="e">
        <f t="shared" si="58"/>
        <v>#DIV/0!</v>
      </c>
      <c r="AA61" s="30" t="e">
        <f t="shared" si="58"/>
        <v>#DIV/0!</v>
      </c>
      <c r="AB61" s="30" t="e">
        <f t="shared" si="58"/>
        <v>#DIV/0!</v>
      </c>
      <c r="AC61" s="30" t="e">
        <f t="shared" si="58"/>
        <v>#DIV/0!</v>
      </c>
      <c r="AD61" s="30" t="e">
        <f t="shared" si="58"/>
        <v>#DIV/0!</v>
      </c>
      <c r="AE61" s="30" t="e">
        <f t="shared" si="58"/>
        <v>#DIV/0!</v>
      </c>
      <c r="AF61" s="30" t="e">
        <f t="shared" si="58"/>
        <v>#DIV/0!</v>
      </c>
      <c r="AG61" s="30" t="e">
        <f t="shared" si="58"/>
        <v>#DIV/0!</v>
      </c>
      <c r="AH61" s="42">
        <f>T61-S61</f>
        <v>0.115130068965517</v>
      </c>
      <c r="AI61" s="42" t="e">
        <f>AF61-S61</f>
        <v>#DIV/0!</v>
      </c>
      <c r="AJ61" s="11"/>
      <c r="AK61" s="11"/>
      <c r="AL61" s="11"/>
      <c r="AM61" s="11"/>
      <c r="AN61" s="11"/>
      <c r="AO61" s="30" t="e">
        <f t="shared" ref="AO61:AZ61" si="59">AO60/AO52</f>
        <v>#DIV/0!</v>
      </c>
      <c r="AP61" s="30" t="e">
        <f t="shared" si="59"/>
        <v>#DIV/0!</v>
      </c>
      <c r="AQ61" s="30" t="e">
        <f t="shared" si="59"/>
        <v>#DIV/0!</v>
      </c>
      <c r="AR61" s="30" t="e">
        <f t="shared" si="59"/>
        <v>#DIV/0!</v>
      </c>
      <c r="AS61" s="30" t="e">
        <f t="shared" si="59"/>
        <v>#DIV/0!</v>
      </c>
      <c r="AT61" s="30" t="e">
        <f t="shared" si="59"/>
        <v>#DIV/0!</v>
      </c>
      <c r="AU61" s="30" t="e">
        <f t="shared" si="59"/>
        <v>#DIV/0!</v>
      </c>
      <c r="AV61" s="30" t="e">
        <f t="shared" si="59"/>
        <v>#DIV/0!</v>
      </c>
      <c r="AW61" s="30" t="e">
        <f t="shared" si="59"/>
        <v>#DIV/0!</v>
      </c>
      <c r="AX61" s="30" t="e">
        <f t="shared" si="59"/>
        <v>#DIV/0!</v>
      </c>
      <c r="AY61" s="30" t="e">
        <f t="shared" si="59"/>
        <v>#DIV/0!</v>
      </c>
      <c r="AZ61" s="30" t="e">
        <f t="shared" si="59"/>
        <v>#DIV/0!</v>
      </c>
      <c r="BA61" s="58">
        <v>0.270567655172414</v>
      </c>
      <c r="BB61" s="52">
        <v>0</v>
      </c>
      <c r="BC61" s="62">
        <v>0</v>
      </c>
      <c r="BD61" s="49" t="s">
        <v>63</v>
      </c>
    </row>
    <row r="62" ht="15" spans="1:56">
      <c r="A62" s="12" t="s">
        <v>84</v>
      </c>
      <c r="B62" s="13" t="s">
        <v>85</v>
      </c>
      <c r="C62" s="14">
        <v>45962</v>
      </c>
      <c r="D62" s="14">
        <v>46271</v>
      </c>
      <c r="E62" s="6"/>
      <c r="F62" s="7">
        <v>0.19</v>
      </c>
      <c r="G62" s="9">
        <v>1</v>
      </c>
      <c r="H62" s="9"/>
      <c r="I62" s="9"/>
      <c r="J62" s="9"/>
      <c r="K62" s="9"/>
      <c r="L62" s="9"/>
      <c r="M62" s="9"/>
      <c r="N62" s="9"/>
      <c r="O62" s="9"/>
      <c r="P62" s="6"/>
      <c r="Q62" s="9" t="s">
        <v>63</v>
      </c>
      <c r="R62" s="32" t="s">
        <v>9</v>
      </c>
      <c r="S62" s="24">
        <v>80188.68</v>
      </c>
      <c r="T62" s="24">
        <f>SUM(AO62:BC62)</f>
        <v>38758.25</v>
      </c>
      <c r="U62" s="25">
        <f>SUM(BA62:BC62)</f>
        <v>15477.62</v>
      </c>
      <c r="V62" s="24">
        <f>SUM(AO62:AZ62)</f>
        <v>23280.63</v>
      </c>
      <c r="W62" s="24">
        <f>SUM(AP62:AZ62)</f>
        <v>23280.63</v>
      </c>
      <c r="X62" s="24">
        <f>SUM(AQ62:AZ62)</f>
        <v>23280.63</v>
      </c>
      <c r="Y62" s="24">
        <f>SUM(AR62:AZ62)</f>
        <v>23280.63</v>
      </c>
      <c r="Z62" s="24">
        <f>SUM(AS62:AZ62)</f>
        <v>23280.63</v>
      </c>
      <c r="AA62" s="24">
        <f>SUM(AT62:AZ62)</f>
        <v>23280.63</v>
      </c>
      <c r="AB62" s="24">
        <f>SUM(AU62:AZ62)</f>
        <v>23280.63</v>
      </c>
      <c r="AC62" s="24">
        <f>SUM(AV62:AZ62)</f>
        <v>23280.63</v>
      </c>
      <c r="AD62" s="24">
        <f>SUM(AW62:AZ62)</f>
        <v>23280.63</v>
      </c>
      <c r="AE62" s="24">
        <f>SUM(AX62:AZ62)</f>
        <v>23280.63</v>
      </c>
      <c r="AF62" s="24">
        <f>SUM(AY62:AZ62)</f>
        <v>15261.76</v>
      </c>
      <c r="AG62" s="24">
        <f>SUM(AZ62:AZ62)</f>
        <v>8018.87</v>
      </c>
      <c r="AH62" s="38">
        <v>0</v>
      </c>
      <c r="AI62" s="38">
        <v>0</v>
      </c>
      <c r="AJ62" s="13" t="s">
        <v>63</v>
      </c>
      <c r="AK62" s="43" t="s">
        <v>86</v>
      </c>
      <c r="AL62" s="43" t="s">
        <v>63</v>
      </c>
      <c r="AM62" s="43" t="s">
        <v>63</v>
      </c>
      <c r="AN62" s="7"/>
      <c r="AO62" s="24">
        <v>0</v>
      </c>
      <c r="AP62" s="24">
        <v>0</v>
      </c>
      <c r="AQ62" s="24">
        <v>0</v>
      </c>
      <c r="AR62" s="24">
        <v>0</v>
      </c>
      <c r="AS62" s="24">
        <v>0</v>
      </c>
      <c r="AT62" s="24">
        <v>0</v>
      </c>
      <c r="AU62" s="24">
        <v>0</v>
      </c>
      <c r="AV62" s="24">
        <v>0</v>
      </c>
      <c r="AW62" s="24">
        <v>0</v>
      </c>
      <c r="AX62" s="24">
        <v>8018.87</v>
      </c>
      <c r="AY62" s="24">
        <v>7242.89</v>
      </c>
      <c r="AZ62" s="24">
        <v>8018.87</v>
      </c>
      <c r="BA62" s="54">
        <v>15477.62</v>
      </c>
      <c r="BB62" s="25">
        <v>0</v>
      </c>
      <c r="BC62" s="62">
        <v>0</v>
      </c>
      <c r="BD62" s="49" t="s">
        <v>63</v>
      </c>
    </row>
    <row r="63" ht="15" spans="1:56">
      <c r="A63" s="10"/>
      <c r="B63" s="10"/>
      <c r="C63" s="10"/>
      <c r="D63" s="10"/>
      <c r="E63" s="10"/>
      <c r="F63" s="10"/>
      <c r="G63" s="10"/>
      <c r="H63" s="10"/>
      <c r="I63" s="10"/>
      <c r="J63" s="10"/>
      <c r="K63" s="10"/>
      <c r="L63" s="10"/>
      <c r="M63" s="10"/>
      <c r="N63" s="10"/>
      <c r="O63" s="10"/>
      <c r="P63" s="10"/>
      <c r="Q63" s="10"/>
      <c r="R63" s="26" t="s">
        <v>10</v>
      </c>
      <c r="S63" s="24">
        <v>64941.27</v>
      </c>
      <c r="T63" s="24">
        <f>SUM(AO63:BC63)</f>
        <v>48254.88</v>
      </c>
      <c r="U63" s="25">
        <f>SUM(BA63:BC63)</f>
        <v>0</v>
      </c>
      <c r="V63" s="24">
        <f>SUM(AO63:AZ63)</f>
        <v>48254.88</v>
      </c>
      <c r="W63" s="24">
        <f>SUM(AP63:AZ63)</f>
        <v>48254.88</v>
      </c>
      <c r="X63" s="24">
        <f>SUM(AQ63:AZ63)</f>
        <v>48254.88</v>
      </c>
      <c r="Y63" s="24">
        <f>SUM(AR63:AZ63)</f>
        <v>48254.88</v>
      </c>
      <c r="Z63" s="24">
        <f>SUM(AS63:AZ63)</f>
        <v>48254.88</v>
      </c>
      <c r="AA63" s="24">
        <f>SUM(AT63:AZ63)</f>
        <v>48254.88</v>
      </c>
      <c r="AB63" s="24">
        <f>SUM(AU63:AZ63)</f>
        <v>48254.88</v>
      </c>
      <c r="AC63" s="24">
        <f>SUM(AV63:AZ63)</f>
        <v>48254.88</v>
      </c>
      <c r="AD63" s="24">
        <f>SUM(AW63:AZ63)</f>
        <v>48254.88</v>
      </c>
      <c r="AE63" s="24">
        <f>SUM(AX63:AZ63)</f>
        <v>48254.88</v>
      </c>
      <c r="AF63" s="24">
        <f>SUM(AY63:AZ63)</f>
        <v>26195.52</v>
      </c>
      <c r="AG63" s="24">
        <f>SUM(AZ63:AZ63)</f>
        <v>22059.37</v>
      </c>
      <c r="AH63" s="38">
        <v>0</v>
      </c>
      <c r="AI63" s="38">
        <v>0</v>
      </c>
      <c r="AJ63" s="10"/>
      <c r="AK63" s="10"/>
      <c r="AL63" s="10"/>
      <c r="AM63" s="10"/>
      <c r="AN63" s="10"/>
      <c r="AO63" s="24">
        <v>0</v>
      </c>
      <c r="AP63" s="24">
        <v>0</v>
      </c>
      <c r="AQ63" s="24">
        <v>0</v>
      </c>
      <c r="AR63" s="24">
        <v>0</v>
      </c>
      <c r="AS63" s="24">
        <v>0</v>
      </c>
      <c r="AT63" s="24">
        <v>0</v>
      </c>
      <c r="AU63" s="24">
        <v>0</v>
      </c>
      <c r="AV63" s="24">
        <v>0</v>
      </c>
      <c r="AW63" s="24">
        <v>0</v>
      </c>
      <c r="AX63" s="24">
        <v>22059.36</v>
      </c>
      <c r="AY63" s="24">
        <v>4136.15</v>
      </c>
      <c r="AZ63" s="24">
        <v>22059.37</v>
      </c>
      <c r="BA63" s="54">
        <v>0</v>
      </c>
      <c r="BB63" s="25">
        <v>0</v>
      </c>
      <c r="BC63" s="62">
        <v>0</v>
      </c>
      <c r="BD63" s="49" t="s">
        <v>63</v>
      </c>
    </row>
    <row r="64" ht="15" spans="1:56">
      <c r="A64" s="10"/>
      <c r="B64" s="10"/>
      <c r="C64" s="10"/>
      <c r="D64" s="10"/>
      <c r="E64" s="10"/>
      <c r="F64" s="10"/>
      <c r="G64" s="10"/>
      <c r="H64" s="10"/>
      <c r="I64" s="10"/>
      <c r="J64" s="10"/>
      <c r="K64" s="10"/>
      <c r="L64" s="10"/>
      <c r="M64" s="10"/>
      <c r="N64" s="10"/>
      <c r="O64" s="10"/>
      <c r="P64" s="10"/>
      <c r="Q64" s="10"/>
      <c r="R64" s="26" t="s">
        <v>11</v>
      </c>
      <c r="S64" s="24">
        <v>0</v>
      </c>
      <c r="T64" s="24">
        <f>SUM(AO64:BC64)</f>
        <v>0</v>
      </c>
      <c r="U64" s="25">
        <f>SUM(BA64:BC64)</f>
        <v>0</v>
      </c>
      <c r="V64" s="24">
        <v>0</v>
      </c>
      <c r="W64" s="24">
        <v>0</v>
      </c>
      <c r="X64" s="24">
        <v>0</v>
      </c>
      <c r="Y64" s="24">
        <v>0</v>
      </c>
      <c r="Z64" s="24">
        <v>0</v>
      </c>
      <c r="AA64" s="24">
        <v>0</v>
      </c>
      <c r="AB64" s="24">
        <v>0</v>
      </c>
      <c r="AC64" s="24">
        <v>0</v>
      </c>
      <c r="AD64" s="24">
        <v>0</v>
      </c>
      <c r="AE64" s="24">
        <v>0</v>
      </c>
      <c r="AF64" s="24">
        <v>0</v>
      </c>
      <c r="AG64" s="24">
        <v>0</v>
      </c>
      <c r="AH64" s="38">
        <v>0</v>
      </c>
      <c r="AI64" s="38">
        <v>0</v>
      </c>
      <c r="AJ64" s="10"/>
      <c r="AK64" s="10"/>
      <c r="AL64" s="10"/>
      <c r="AM64" s="10"/>
      <c r="AN64" s="10"/>
      <c r="AO64" s="24">
        <v>0</v>
      </c>
      <c r="AP64" s="24">
        <v>0</v>
      </c>
      <c r="AQ64" s="24">
        <v>0</v>
      </c>
      <c r="AR64" s="24">
        <v>0</v>
      </c>
      <c r="AS64" s="24">
        <v>0</v>
      </c>
      <c r="AT64" s="24">
        <v>0</v>
      </c>
      <c r="AU64" s="24">
        <v>0</v>
      </c>
      <c r="AV64" s="24">
        <v>0</v>
      </c>
      <c r="AW64" s="24">
        <v>0</v>
      </c>
      <c r="AX64" s="24">
        <v>0</v>
      </c>
      <c r="AY64" s="24">
        <v>0</v>
      </c>
      <c r="AZ64" s="24">
        <v>0</v>
      </c>
      <c r="BA64" s="54">
        <v>0</v>
      </c>
      <c r="BB64" s="25">
        <v>0</v>
      </c>
      <c r="BC64" s="62">
        <v>0</v>
      </c>
      <c r="BD64" s="49" t="s">
        <v>63</v>
      </c>
    </row>
    <row r="65" ht="15" spans="1:56">
      <c r="A65" s="10"/>
      <c r="B65" s="10"/>
      <c r="C65" s="10"/>
      <c r="D65" s="10"/>
      <c r="E65" s="10"/>
      <c r="F65" s="10"/>
      <c r="G65" s="10"/>
      <c r="H65" s="10"/>
      <c r="I65" s="10"/>
      <c r="J65" s="10"/>
      <c r="K65" s="10"/>
      <c r="L65" s="10"/>
      <c r="M65" s="10"/>
      <c r="N65" s="10"/>
      <c r="O65" s="10"/>
      <c r="P65" s="10"/>
      <c r="Q65" s="10"/>
      <c r="R65" s="26" t="s">
        <v>12</v>
      </c>
      <c r="S65" s="24">
        <v>0</v>
      </c>
      <c r="T65" s="24">
        <f>SUM(AO65:BC65)</f>
        <v>0</v>
      </c>
      <c r="U65" s="25">
        <f>SUM(BA65:BC65)</f>
        <v>0</v>
      </c>
      <c r="V65" s="24">
        <f>SUM(AO65:AZ65)</f>
        <v>0</v>
      </c>
      <c r="W65" s="24">
        <f>SUM(AP65:AZ65)</f>
        <v>0</v>
      </c>
      <c r="X65" s="24">
        <f>SUM(AQ65:AZ65)</f>
        <v>0</v>
      </c>
      <c r="Y65" s="24">
        <f>SUM(AR65:AZ65)</f>
        <v>0</v>
      </c>
      <c r="Z65" s="24">
        <f>SUM(AS65:AZ65)</f>
        <v>0</v>
      </c>
      <c r="AA65" s="24">
        <f>SUM(AT65:AZ65)</f>
        <v>0</v>
      </c>
      <c r="AB65" s="24">
        <f>SUM(AU65:AZ65)</f>
        <v>0</v>
      </c>
      <c r="AC65" s="24">
        <f>SUM(AV65:AZ65)</f>
        <v>0</v>
      </c>
      <c r="AD65" s="24">
        <f>SUM(AW65:AZ65)</f>
        <v>0</v>
      </c>
      <c r="AE65" s="24">
        <f>SUM(AX65:AZ65)</f>
        <v>0</v>
      </c>
      <c r="AF65" s="24">
        <f>SUM(AY65:AZ65)</f>
        <v>0</v>
      </c>
      <c r="AG65" s="24">
        <f>SUM(AZ65:AZ65)</f>
        <v>0</v>
      </c>
      <c r="AH65" s="38">
        <v>0</v>
      </c>
      <c r="AI65" s="38">
        <v>0</v>
      </c>
      <c r="AJ65" s="10"/>
      <c r="AK65" s="10"/>
      <c r="AL65" s="10"/>
      <c r="AM65" s="10"/>
      <c r="AN65" s="10"/>
      <c r="AO65" s="24">
        <v>0</v>
      </c>
      <c r="AP65" s="24">
        <v>0</v>
      </c>
      <c r="AQ65" s="24">
        <v>0</v>
      </c>
      <c r="AR65" s="24">
        <v>0</v>
      </c>
      <c r="AS65" s="24">
        <v>0</v>
      </c>
      <c r="AT65" s="24">
        <v>0</v>
      </c>
      <c r="AU65" s="24">
        <v>0</v>
      </c>
      <c r="AV65" s="24">
        <v>0</v>
      </c>
      <c r="AW65" s="24">
        <v>0</v>
      </c>
      <c r="AX65" s="24">
        <v>0</v>
      </c>
      <c r="AY65" s="24">
        <v>0</v>
      </c>
      <c r="AZ65" s="24">
        <v>0</v>
      </c>
      <c r="BA65" s="54">
        <v>0</v>
      </c>
      <c r="BB65" s="25">
        <v>0</v>
      </c>
      <c r="BC65" s="62">
        <v>0</v>
      </c>
      <c r="BD65" s="49" t="s">
        <v>63</v>
      </c>
    </row>
    <row r="66" ht="15" spans="1:56">
      <c r="A66" s="10"/>
      <c r="B66" s="10"/>
      <c r="C66" s="10"/>
      <c r="D66" s="10"/>
      <c r="E66" s="10"/>
      <c r="F66" s="10"/>
      <c r="G66" s="10"/>
      <c r="H66" s="10"/>
      <c r="I66" s="10"/>
      <c r="J66" s="10"/>
      <c r="K66" s="10"/>
      <c r="L66" s="10"/>
      <c r="M66" s="10"/>
      <c r="N66" s="10"/>
      <c r="O66" s="10"/>
      <c r="P66" s="10"/>
      <c r="Q66" s="10"/>
      <c r="R66" s="26" t="s">
        <v>13</v>
      </c>
      <c r="S66" s="24">
        <v>0</v>
      </c>
      <c r="T66" s="24">
        <f>SUM(AO66:BC66)</f>
        <v>-72.95</v>
      </c>
      <c r="U66" s="25">
        <f>SUM(BA66:BC66)</f>
        <v>-56.65</v>
      </c>
      <c r="V66" s="24">
        <f>SUM(AO66:AZ66)</f>
        <v>-16.3</v>
      </c>
      <c r="W66" s="24">
        <f>SUM(AP66:AZ66)</f>
        <v>-16.3</v>
      </c>
      <c r="X66" s="24">
        <f>SUM(AQ66:AZ66)</f>
        <v>-16.3</v>
      </c>
      <c r="Y66" s="24">
        <f>SUM(AR66:AZ66)</f>
        <v>-16.3</v>
      </c>
      <c r="Z66" s="24">
        <f>SUM(AS66:AZ66)</f>
        <v>-16.3</v>
      </c>
      <c r="AA66" s="24">
        <f>SUM(AT66:AZ66)</f>
        <v>-16.3</v>
      </c>
      <c r="AB66" s="24">
        <f>SUM(AU66:AZ66)</f>
        <v>-16.3</v>
      </c>
      <c r="AC66" s="24">
        <f>SUM(AV66:AZ66)</f>
        <v>-16.3</v>
      </c>
      <c r="AD66" s="24">
        <f>SUM(AW66:AZ66)</f>
        <v>-16.3</v>
      </c>
      <c r="AE66" s="24">
        <f>SUM(AX66:AZ66)</f>
        <v>-16.3</v>
      </c>
      <c r="AF66" s="24">
        <f>SUM(AY66:AZ66)</f>
        <v>-16.3</v>
      </c>
      <c r="AG66" s="24">
        <f>SUM(AZ66:AZ66)</f>
        <v>-16.3</v>
      </c>
      <c r="AH66" s="38">
        <v>0</v>
      </c>
      <c r="AI66" s="38">
        <v>0</v>
      </c>
      <c r="AJ66" s="10"/>
      <c r="AK66" s="10"/>
      <c r="AL66" s="10"/>
      <c r="AM66" s="10"/>
      <c r="AN66" s="10"/>
      <c r="AO66" s="24">
        <v>0</v>
      </c>
      <c r="AP66" s="24">
        <v>0</v>
      </c>
      <c r="AQ66" s="24">
        <v>0</v>
      </c>
      <c r="AR66" s="24">
        <v>0</v>
      </c>
      <c r="AS66" s="24">
        <v>0</v>
      </c>
      <c r="AT66" s="24">
        <v>0</v>
      </c>
      <c r="AU66" s="24">
        <v>0</v>
      </c>
      <c r="AV66" s="24">
        <v>0</v>
      </c>
      <c r="AW66" s="24">
        <v>0</v>
      </c>
      <c r="AX66" s="24">
        <v>0</v>
      </c>
      <c r="AY66" s="24">
        <v>0</v>
      </c>
      <c r="AZ66" s="24">
        <v>-16.3</v>
      </c>
      <c r="BA66" s="54">
        <v>-56.65</v>
      </c>
      <c r="BB66" s="25">
        <v>0</v>
      </c>
      <c r="BC66" s="62">
        <v>0</v>
      </c>
      <c r="BD66" s="49" t="s">
        <v>63</v>
      </c>
    </row>
    <row r="67" ht="15" spans="1:56">
      <c r="A67" s="10"/>
      <c r="B67" s="10"/>
      <c r="C67" s="10"/>
      <c r="D67" s="10"/>
      <c r="E67" s="10"/>
      <c r="F67" s="10"/>
      <c r="G67" s="10"/>
      <c r="H67" s="10"/>
      <c r="I67" s="10"/>
      <c r="J67" s="10"/>
      <c r="K67" s="10"/>
      <c r="L67" s="10"/>
      <c r="M67" s="10"/>
      <c r="N67" s="10"/>
      <c r="O67" s="10"/>
      <c r="P67" s="10"/>
      <c r="Q67" s="10"/>
      <c r="R67" s="26" t="s">
        <v>14</v>
      </c>
      <c r="S67" s="27">
        <f t="shared" ref="S67:AI67" si="60">SUM(S63:S66)</f>
        <v>64941.27</v>
      </c>
      <c r="T67" s="27">
        <f t="shared" si="60"/>
        <v>48181.93</v>
      </c>
      <c r="U67" s="28">
        <f t="shared" si="60"/>
        <v>-56.65</v>
      </c>
      <c r="V67" s="27">
        <f t="shared" si="60"/>
        <v>48238.58</v>
      </c>
      <c r="W67" s="27">
        <f t="shared" si="60"/>
        <v>48238.58</v>
      </c>
      <c r="X67" s="27">
        <f t="shared" si="60"/>
        <v>48238.58</v>
      </c>
      <c r="Y67" s="27">
        <f t="shared" si="60"/>
        <v>48238.58</v>
      </c>
      <c r="Z67" s="27">
        <f t="shared" si="60"/>
        <v>48238.58</v>
      </c>
      <c r="AA67" s="27">
        <f t="shared" si="60"/>
        <v>48238.58</v>
      </c>
      <c r="AB67" s="27">
        <f t="shared" si="60"/>
        <v>48238.58</v>
      </c>
      <c r="AC67" s="27">
        <f t="shared" si="60"/>
        <v>48238.58</v>
      </c>
      <c r="AD67" s="27">
        <f t="shared" si="60"/>
        <v>48238.58</v>
      </c>
      <c r="AE67" s="27">
        <f t="shared" si="60"/>
        <v>48238.58</v>
      </c>
      <c r="AF67" s="27">
        <f t="shared" si="60"/>
        <v>26179.22</v>
      </c>
      <c r="AG67" s="27">
        <f t="shared" si="60"/>
        <v>22043.07</v>
      </c>
      <c r="AH67" s="27">
        <f t="shared" si="60"/>
        <v>0</v>
      </c>
      <c r="AI67" s="27">
        <f t="shared" si="60"/>
        <v>0</v>
      </c>
      <c r="AJ67" s="10"/>
      <c r="AK67" s="10"/>
      <c r="AL67" s="10"/>
      <c r="AM67" s="10"/>
      <c r="AN67" s="10"/>
      <c r="AO67" s="27">
        <f t="shared" ref="AO67:AX67" si="61">SUM(AO63:AO66)</f>
        <v>0</v>
      </c>
      <c r="AP67" s="27">
        <f t="shared" si="61"/>
        <v>0</v>
      </c>
      <c r="AQ67" s="27">
        <f t="shared" si="61"/>
        <v>0</v>
      </c>
      <c r="AR67" s="27">
        <f t="shared" si="61"/>
        <v>0</v>
      </c>
      <c r="AS67" s="27">
        <f t="shared" si="61"/>
        <v>0</v>
      </c>
      <c r="AT67" s="27">
        <f t="shared" si="61"/>
        <v>0</v>
      </c>
      <c r="AU67" s="27">
        <f t="shared" si="61"/>
        <v>0</v>
      </c>
      <c r="AV67" s="27">
        <f t="shared" si="61"/>
        <v>0</v>
      </c>
      <c r="AW67" s="27">
        <f t="shared" si="61"/>
        <v>0</v>
      </c>
      <c r="AX67" s="27">
        <f t="shared" si="61"/>
        <v>22059.36</v>
      </c>
      <c r="AY67" s="27">
        <v>4136.15</v>
      </c>
      <c r="AZ67" s="27">
        <f>SUM(AZ63:AZ66)</f>
        <v>22043.07</v>
      </c>
      <c r="BA67" s="56">
        <v>-56.65</v>
      </c>
      <c r="BB67" s="28">
        <f>SUM(BB63:BB66)</f>
        <v>0</v>
      </c>
      <c r="BC67" s="60">
        <f>SUM(BC63:BC66)</f>
        <v>0</v>
      </c>
      <c r="BD67" s="50" t="s">
        <v>63</v>
      </c>
    </row>
    <row r="68" ht="15" spans="1:56">
      <c r="A68" s="10"/>
      <c r="B68" s="10"/>
      <c r="C68" s="10"/>
      <c r="D68" s="10"/>
      <c r="E68" s="10"/>
      <c r="F68" s="10"/>
      <c r="G68" s="10"/>
      <c r="H68" s="10"/>
      <c r="I68" s="10"/>
      <c r="J68" s="10"/>
      <c r="K68" s="10"/>
      <c r="L68" s="10"/>
      <c r="M68" s="10"/>
      <c r="N68" s="10"/>
      <c r="O68" s="10"/>
      <c r="P68" s="10"/>
      <c r="Q68" s="10"/>
      <c r="R68" s="26" t="s">
        <v>15</v>
      </c>
      <c r="S68" s="24">
        <f t="shared" ref="S68:AG68" si="62">S62-S63</f>
        <v>15247.41</v>
      </c>
      <c r="T68" s="24">
        <f t="shared" si="62"/>
        <v>-9496.63</v>
      </c>
      <c r="U68" s="25">
        <f t="shared" si="62"/>
        <v>15477.62</v>
      </c>
      <c r="V68" s="24">
        <f t="shared" si="62"/>
        <v>-24974.25</v>
      </c>
      <c r="W68" s="24">
        <f t="shared" si="62"/>
        <v>-24974.25</v>
      </c>
      <c r="X68" s="24">
        <f t="shared" si="62"/>
        <v>-24974.25</v>
      </c>
      <c r="Y68" s="24">
        <f t="shared" si="62"/>
        <v>-24974.25</v>
      </c>
      <c r="Z68" s="24">
        <f t="shared" si="62"/>
        <v>-24974.25</v>
      </c>
      <c r="AA68" s="24">
        <f t="shared" si="62"/>
        <v>-24974.25</v>
      </c>
      <c r="AB68" s="24">
        <f t="shared" si="62"/>
        <v>-24974.25</v>
      </c>
      <c r="AC68" s="24">
        <f t="shared" si="62"/>
        <v>-24974.25</v>
      </c>
      <c r="AD68" s="24">
        <f t="shared" si="62"/>
        <v>-24974.25</v>
      </c>
      <c r="AE68" s="24">
        <f t="shared" si="62"/>
        <v>-24974.25</v>
      </c>
      <c r="AF68" s="24">
        <f t="shared" si="62"/>
        <v>-10933.76</v>
      </c>
      <c r="AG68" s="24">
        <f t="shared" si="62"/>
        <v>-14040.5</v>
      </c>
      <c r="AH68" s="41">
        <v>0</v>
      </c>
      <c r="AI68" s="41">
        <v>0</v>
      </c>
      <c r="AJ68" s="10"/>
      <c r="AK68" s="10"/>
      <c r="AL68" s="10"/>
      <c r="AM68" s="10"/>
      <c r="AN68" s="10"/>
      <c r="AO68" s="24">
        <f t="shared" ref="AO68:AZ68" si="63">AO62-AO63</f>
        <v>0</v>
      </c>
      <c r="AP68" s="24">
        <f t="shared" si="63"/>
        <v>0</v>
      </c>
      <c r="AQ68" s="24">
        <f t="shared" si="63"/>
        <v>0</v>
      </c>
      <c r="AR68" s="24">
        <f t="shared" si="63"/>
        <v>0</v>
      </c>
      <c r="AS68" s="24">
        <f t="shared" si="63"/>
        <v>0</v>
      </c>
      <c r="AT68" s="24">
        <f t="shared" si="63"/>
        <v>0</v>
      </c>
      <c r="AU68" s="24">
        <f t="shared" si="63"/>
        <v>0</v>
      </c>
      <c r="AV68" s="24">
        <f t="shared" si="63"/>
        <v>0</v>
      </c>
      <c r="AW68" s="24">
        <f t="shared" si="63"/>
        <v>0</v>
      </c>
      <c r="AX68" s="24">
        <f t="shared" si="63"/>
        <v>-14040.49</v>
      </c>
      <c r="AY68" s="24">
        <f t="shared" si="63"/>
        <v>3106.74</v>
      </c>
      <c r="AZ68" s="24">
        <f t="shared" si="63"/>
        <v>-14040.5</v>
      </c>
      <c r="BA68" s="57">
        <v>15477.62</v>
      </c>
      <c r="BB68" s="28">
        <v>0</v>
      </c>
      <c r="BC68" s="62">
        <v>0</v>
      </c>
      <c r="BD68" s="49" t="s">
        <v>63</v>
      </c>
    </row>
    <row r="69" ht="15" spans="1:56">
      <c r="A69" s="10"/>
      <c r="B69" s="10"/>
      <c r="C69" s="10"/>
      <c r="D69" s="10"/>
      <c r="E69" s="10"/>
      <c r="F69" s="10"/>
      <c r="G69" s="10"/>
      <c r="H69" s="10"/>
      <c r="I69" s="10"/>
      <c r="J69" s="10"/>
      <c r="K69" s="10"/>
      <c r="L69" s="10"/>
      <c r="M69" s="10"/>
      <c r="N69" s="10"/>
      <c r="O69" s="10"/>
      <c r="P69" s="10"/>
      <c r="Q69" s="10"/>
      <c r="R69" s="29" t="s">
        <v>16</v>
      </c>
      <c r="S69" s="30">
        <f t="shared" ref="S69:AG69" si="64">S68/S62</f>
        <v>0.190144169975114</v>
      </c>
      <c r="T69" s="30">
        <f t="shared" si="64"/>
        <v>-0.245022156573117</v>
      </c>
      <c r="U69" s="31">
        <f t="shared" si="64"/>
        <v>1</v>
      </c>
      <c r="V69" s="30">
        <f t="shared" si="64"/>
        <v>-1.07274803130328</v>
      </c>
      <c r="W69" s="30">
        <f t="shared" si="64"/>
        <v>-1.07274803130328</v>
      </c>
      <c r="X69" s="30">
        <f t="shared" si="64"/>
        <v>-1.07274803130328</v>
      </c>
      <c r="Y69" s="30">
        <f t="shared" si="64"/>
        <v>-1.07274803130328</v>
      </c>
      <c r="Z69" s="30">
        <f t="shared" si="64"/>
        <v>-1.07274803130328</v>
      </c>
      <c r="AA69" s="30">
        <f t="shared" si="64"/>
        <v>-1.07274803130328</v>
      </c>
      <c r="AB69" s="30">
        <f t="shared" si="64"/>
        <v>-1.07274803130328</v>
      </c>
      <c r="AC69" s="30">
        <f t="shared" si="64"/>
        <v>-1.07274803130328</v>
      </c>
      <c r="AD69" s="30">
        <f t="shared" si="64"/>
        <v>-1.07274803130328</v>
      </c>
      <c r="AE69" s="30">
        <f t="shared" si="64"/>
        <v>-1.07274803130328</v>
      </c>
      <c r="AF69" s="30">
        <f t="shared" si="64"/>
        <v>-0.716415406873126</v>
      </c>
      <c r="AG69" s="30">
        <f t="shared" si="64"/>
        <v>-1.75093248799394</v>
      </c>
      <c r="AH69" s="42">
        <f>T69-S69</f>
        <v>-0.435166326548231</v>
      </c>
      <c r="AI69" s="42">
        <f>AF69-S69</f>
        <v>-0.906559576848239</v>
      </c>
      <c r="AJ69" s="10"/>
      <c r="AK69" s="10"/>
      <c r="AL69" s="10"/>
      <c r="AM69" s="10"/>
      <c r="AN69" s="10"/>
      <c r="AO69" s="30" t="e">
        <f t="shared" ref="AO69:AZ69" si="65">AO68/AO62</f>
        <v>#DIV/0!</v>
      </c>
      <c r="AP69" s="30" t="e">
        <f t="shared" si="65"/>
        <v>#DIV/0!</v>
      </c>
      <c r="AQ69" s="30" t="e">
        <f t="shared" si="65"/>
        <v>#DIV/0!</v>
      </c>
      <c r="AR69" s="30" t="e">
        <f t="shared" si="65"/>
        <v>#DIV/0!</v>
      </c>
      <c r="AS69" s="30" t="e">
        <f t="shared" si="65"/>
        <v>#DIV/0!</v>
      </c>
      <c r="AT69" s="30" t="e">
        <f t="shared" si="65"/>
        <v>#DIV/0!</v>
      </c>
      <c r="AU69" s="30" t="e">
        <f t="shared" si="65"/>
        <v>#DIV/0!</v>
      </c>
      <c r="AV69" s="30" t="e">
        <f t="shared" si="65"/>
        <v>#DIV/0!</v>
      </c>
      <c r="AW69" s="30" t="e">
        <f t="shared" si="65"/>
        <v>#DIV/0!</v>
      </c>
      <c r="AX69" s="30">
        <f t="shared" si="65"/>
        <v>-1.75093124093544</v>
      </c>
      <c r="AY69" s="30">
        <f t="shared" si="65"/>
        <v>0.428936515672611</v>
      </c>
      <c r="AZ69" s="30">
        <f t="shared" si="65"/>
        <v>-1.75093248799394</v>
      </c>
      <c r="BA69" s="58">
        <v>1</v>
      </c>
      <c r="BB69" s="52">
        <v>0</v>
      </c>
      <c r="BC69" s="62">
        <v>0</v>
      </c>
      <c r="BD69" s="49" t="s">
        <v>63</v>
      </c>
    </row>
    <row r="70" ht="15" spans="1:56">
      <c r="A70" s="10"/>
      <c r="B70" s="10"/>
      <c r="C70" s="10"/>
      <c r="D70" s="10"/>
      <c r="E70" s="10"/>
      <c r="F70" s="10"/>
      <c r="G70" s="10"/>
      <c r="H70" s="10"/>
      <c r="I70" s="10"/>
      <c r="J70" s="10"/>
      <c r="K70" s="10"/>
      <c r="L70" s="10"/>
      <c r="M70" s="10"/>
      <c r="N70" s="10"/>
      <c r="O70" s="10"/>
      <c r="P70" s="10"/>
      <c r="Q70" s="10"/>
      <c r="R70" s="26" t="s">
        <v>17</v>
      </c>
      <c r="S70" s="24">
        <f t="shared" ref="S70:AG70" si="66">S62-S67</f>
        <v>15247.41</v>
      </c>
      <c r="T70" s="24">
        <f t="shared" si="66"/>
        <v>-9423.68000000001</v>
      </c>
      <c r="U70" s="24">
        <f t="shared" si="66"/>
        <v>15534.27</v>
      </c>
      <c r="V70" s="24">
        <f t="shared" si="66"/>
        <v>-24957.95</v>
      </c>
      <c r="W70" s="24">
        <f t="shared" si="66"/>
        <v>-24957.95</v>
      </c>
      <c r="X70" s="24">
        <f t="shared" si="66"/>
        <v>-24957.95</v>
      </c>
      <c r="Y70" s="24">
        <f t="shared" si="66"/>
        <v>-24957.95</v>
      </c>
      <c r="Z70" s="24">
        <f t="shared" si="66"/>
        <v>-24957.95</v>
      </c>
      <c r="AA70" s="24">
        <f t="shared" si="66"/>
        <v>-24957.95</v>
      </c>
      <c r="AB70" s="24">
        <f t="shared" si="66"/>
        <v>-24957.95</v>
      </c>
      <c r="AC70" s="24">
        <f t="shared" si="66"/>
        <v>-24957.95</v>
      </c>
      <c r="AD70" s="24">
        <f t="shared" si="66"/>
        <v>-24957.95</v>
      </c>
      <c r="AE70" s="24">
        <f t="shared" si="66"/>
        <v>-24957.95</v>
      </c>
      <c r="AF70" s="24">
        <f t="shared" si="66"/>
        <v>-10917.46</v>
      </c>
      <c r="AG70" s="24">
        <f t="shared" si="66"/>
        <v>-14024.2</v>
      </c>
      <c r="AH70" s="42">
        <v>0</v>
      </c>
      <c r="AI70" s="42">
        <v>0</v>
      </c>
      <c r="AJ70" s="10"/>
      <c r="AK70" s="10"/>
      <c r="AL70" s="10"/>
      <c r="AM70" s="10"/>
      <c r="AN70" s="10"/>
      <c r="AO70" s="24">
        <f t="shared" ref="AO70:BC70" si="67">AO62-AO67</f>
        <v>0</v>
      </c>
      <c r="AP70" s="24">
        <f t="shared" si="67"/>
        <v>0</v>
      </c>
      <c r="AQ70" s="24">
        <f t="shared" si="67"/>
        <v>0</v>
      </c>
      <c r="AR70" s="24">
        <f t="shared" si="67"/>
        <v>0</v>
      </c>
      <c r="AS70" s="24">
        <f t="shared" si="67"/>
        <v>0</v>
      </c>
      <c r="AT70" s="24">
        <f t="shared" si="67"/>
        <v>0</v>
      </c>
      <c r="AU70" s="24">
        <f t="shared" si="67"/>
        <v>0</v>
      </c>
      <c r="AV70" s="24">
        <f t="shared" si="67"/>
        <v>0</v>
      </c>
      <c r="AW70" s="24">
        <f t="shared" si="67"/>
        <v>0</v>
      </c>
      <c r="AX70" s="24">
        <f t="shared" si="67"/>
        <v>-14040.49</v>
      </c>
      <c r="AY70" s="24">
        <f t="shared" si="67"/>
        <v>3106.74</v>
      </c>
      <c r="AZ70" s="24">
        <f t="shared" si="67"/>
        <v>-14024.2</v>
      </c>
      <c r="BA70" s="24">
        <f t="shared" si="67"/>
        <v>15534.27</v>
      </c>
      <c r="BB70" s="24">
        <f t="shared" si="67"/>
        <v>0</v>
      </c>
      <c r="BC70" s="24">
        <f t="shared" si="67"/>
        <v>0</v>
      </c>
      <c r="BD70" s="49" t="s">
        <v>63</v>
      </c>
    </row>
    <row r="71" ht="15" spans="1:56">
      <c r="A71" s="11"/>
      <c r="B71" s="11"/>
      <c r="C71" s="11"/>
      <c r="D71" s="11"/>
      <c r="E71" s="11"/>
      <c r="F71" s="11"/>
      <c r="G71" s="11"/>
      <c r="H71" s="11"/>
      <c r="I71" s="11"/>
      <c r="J71" s="11"/>
      <c r="K71" s="11"/>
      <c r="L71" s="11"/>
      <c r="M71" s="11"/>
      <c r="N71" s="11"/>
      <c r="O71" s="11"/>
      <c r="P71" s="11"/>
      <c r="Q71" s="11"/>
      <c r="R71" s="29" t="s">
        <v>18</v>
      </c>
      <c r="S71" s="30">
        <f t="shared" ref="S71:AG71" si="68">S70/S62</f>
        <v>0.190144169975114</v>
      </c>
      <c r="T71" s="30">
        <f t="shared" si="68"/>
        <v>-0.243139976650133</v>
      </c>
      <c r="U71" s="31">
        <f t="shared" si="68"/>
        <v>1.00366012345567</v>
      </c>
      <c r="V71" s="30">
        <f t="shared" si="68"/>
        <v>-1.07204787842941</v>
      </c>
      <c r="W71" s="30">
        <f t="shared" si="68"/>
        <v>-1.07204787842941</v>
      </c>
      <c r="X71" s="30">
        <f t="shared" si="68"/>
        <v>-1.07204787842941</v>
      </c>
      <c r="Y71" s="30">
        <f t="shared" si="68"/>
        <v>-1.07204787842941</v>
      </c>
      <c r="Z71" s="30">
        <f t="shared" si="68"/>
        <v>-1.07204787842941</v>
      </c>
      <c r="AA71" s="30">
        <f t="shared" si="68"/>
        <v>-1.07204787842941</v>
      </c>
      <c r="AB71" s="30">
        <f t="shared" si="68"/>
        <v>-1.07204787842941</v>
      </c>
      <c r="AC71" s="30">
        <f t="shared" si="68"/>
        <v>-1.07204787842941</v>
      </c>
      <c r="AD71" s="30">
        <f t="shared" si="68"/>
        <v>-1.07204787842941</v>
      </c>
      <c r="AE71" s="30">
        <f t="shared" si="68"/>
        <v>-1.07204787842941</v>
      </c>
      <c r="AF71" s="30">
        <f t="shared" si="68"/>
        <v>-0.715347378021932</v>
      </c>
      <c r="AG71" s="30">
        <f t="shared" si="68"/>
        <v>-1.7488997826377</v>
      </c>
      <c r="AH71" s="42">
        <f>T71-S71</f>
        <v>-0.433284146625246</v>
      </c>
      <c r="AI71" s="42">
        <f>AF71-S71</f>
        <v>-0.905491547997045</v>
      </c>
      <c r="AJ71" s="11"/>
      <c r="AK71" s="11"/>
      <c r="AL71" s="11"/>
      <c r="AM71" s="11"/>
      <c r="AN71" s="11"/>
      <c r="AO71" s="30" t="e">
        <f t="shared" ref="AO71:AZ71" si="69">AO70/AO62</f>
        <v>#DIV/0!</v>
      </c>
      <c r="AP71" s="30" t="e">
        <f t="shared" si="69"/>
        <v>#DIV/0!</v>
      </c>
      <c r="AQ71" s="30" t="e">
        <f t="shared" si="69"/>
        <v>#DIV/0!</v>
      </c>
      <c r="AR71" s="30" t="e">
        <f t="shared" si="69"/>
        <v>#DIV/0!</v>
      </c>
      <c r="AS71" s="30" t="e">
        <f t="shared" si="69"/>
        <v>#DIV/0!</v>
      </c>
      <c r="AT71" s="30" t="e">
        <f t="shared" si="69"/>
        <v>#DIV/0!</v>
      </c>
      <c r="AU71" s="30" t="e">
        <f t="shared" si="69"/>
        <v>#DIV/0!</v>
      </c>
      <c r="AV71" s="30" t="e">
        <f t="shared" si="69"/>
        <v>#DIV/0!</v>
      </c>
      <c r="AW71" s="30" t="e">
        <f t="shared" si="69"/>
        <v>#DIV/0!</v>
      </c>
      <c r="AX71" s="30">
        <f t="shared" si="69"/>
        <v>-1.75093124093544</v>
      </c>
      <c r="AY71" s="30">
        <f t="shared" si="69"/>
        <v>0.428936515672611</v>
      </c>
      <c r="AZ71" s="30">
        <f t="shared" si="69"/>
        <v>-1.7488997826377</v>
      </c>
      <c r="BA71" s="58">
        <v>1.00366012345567</v>
      </c>
      <c r="BB71" s="52">
        <v>0</v>
      </c>
      <c r="BC71" s="62">
        <v>0</v>
      </c>
      <c r="BD71" s="49" t="s">
        <v>63</v>
      </c>
    </row>
    <row r="72" ht="15" spans="1:56">
      <c r="A72" s="12" t="s">
        <v>87</v>
      </c>
      <c r="B72" s="13" t="s">
        <v>88</v>
      </c>
      <c r="C72" s="14">
        <v>46023</v>
      </c>
      <c r="D72" s="14">
        <v>46387</v>
      </c>
      <c r="E72" s="6"/>
      <c r="F72" s="7" t="s">
        <v>62</v>
      </c>
      <c r="G72" s="9">
        <v>0</v>
      </c>
      <c r="H72" s="9"/>
      <c r="I72" s="9"/>
      <c r="J72" s="9"/>
      <c r="K72" s="9"/>
      <c r="L72" s="9"/>
      <c r="M72" s="9"/>
      <c r="N72" s="9"/>
      <c r="O72" s="9"/>
      <c r="P72" s="6"/>
      <c r="Q72" s="9" t="s">
        <v>63</v>
      </c>
      <c r="R72" s="32" t="s">
        <v>9</v>
      </c>
      <c r="S72" s="24">
        <v>66037.74</v>
      </c>
      <c r="T72" s="24">
        <f>SUM(AO72:BC72)</f>
        <v>15985.38</v>
      </c>
      <c r="U72" s="25">
        <f>SUM(BA72:BC72)</f>
        <v>-297.88</v>
      </c>
      <c r="V72" s="24">
        <f>SUM(AO72:AZ72)</f>
        <v>16283.26</v>
      </c>
      <c r="W72" s="24">
        <f>SUM(AP72:AZ72)</f>
        <v>16283.26</v>
      </c>
      <c r="X72" s="24">
        <f>SUM(AQ72:AZ72)</f>
        <v>16283.26</v>
      </c>
      <c r="Y72" s="24">
        <f>SUM(AR72:AZ72)</f>
        <v>16283.26</v>
      </c>
      <c r="Z72" s="24">
        <f>SUM(AS72:AZ72)</f>
        <v>16283.26</v>
      </c>
      <c r="AA72" s="24">
        <f>SUM(AT72:AZ72)</f>
        <v>16283.26</v>
      </c>
      <c r="AB72" s="24">
        <f>SUM(AU72:AZ72)</f>
        <v>16283.26</v>
      </c>
      <c r="AC72" s="24">
        <f>SUM(AV72:AZ72)</f>
        <v>16283.26</v>
      </c>
      <c r="AD72" s="24">
        <f>SUM(AW72:AZ72)</f>
        <v>16283.26</v>
      </c>
      <c r="AE72" s="24">
        <f>SUM(AX72:AZ72)</f>
        <v>16283.26</v>
      </c>
      <c r="AF72" s="24">
        <f>SUM(AY72:AZ72)</f>
        <v>10674.61</v>
      </c>
      <c r="AG72" s="24">
        <f>SUM(AZ72:AZ72)</f>
        <v>5608.72</v>
      </c>
      <c r="AH72" s="38">
        <v>0</v>
      </c>
      <c r="AI72" s="38">
        <v>0</v>
      </c>
      <c r="AJ72" s="13" t="s">
        <v>63</v>
      </c>
      <c r="AK72" s="43" t="s">
        <v>63</v>
      </c>
      <c r="AL72" s="43" t="s">
        <v>63</v>
      </c>
      <c r="AM72" s="43" t="s">
        <v>63</v>
      </c>
      <c r="AN72" s="7"/>
      <c r="AO72" s="24">
        <v>0</v>
      </c>
      <c r="AP72" s="24">
        <v>0</v>
      </c>
      <c r="AQ72" s="24">
        <v>0</v>
      </c>
      <c r="AR72" s="24">
        <v>0</v>
      </c>
      <c r="AS72" s="24">
        <v>0</v>
      </c>
      <c r="AT72" s="24">
        <v>0</v>
      </c>
      <c r="AU72" s="24">
        <v>0</v>
      </c>
      <c r="AV72" s="24">
        <v>0</v>
      </c>
      <c r="AW72" s="24">
        <v>0</v>
      </c>
      <c r="AX72" s="24">
        <v>5608.65</v>
      </c>
      <c r="AY72" s="24">
        <v>5065.89</v>
      </c>
      <c r="AZ72" s="24">
        <v>5608.72</v>
      </c>
      <c r="BA72" s="54">
        <v>-297.88</v>
      </c>
      <c r="BB72" s="25">
        <v>0</v>
      </c>
      <c r="BC72" s="62">
        <v>0</v>
      </c>
      <c r="BD72" s="49" t="s">
        <v>63</v>
      </c>
    </row>
    <row r="73" ht="15" spans="1:56">
      <c r="A73" s="10"/>
      <c r="B73" s="10"/>
      <c r="C73" s="10"/>
      <c r="D73" s="10"/>
      <c r="E73" s="10"/>
      <c r="F73" s="10"/>
      <c r="G73" s="10"/>
      <c r="H73" s="10"/>
      <c r="I73" s="10"/>
      <c r="J73" s="10"/>
      <c r="K73" s="10"/>
      <c r="L73" s="10"/>
      <c r="M73" s="10"/>
      <c r="N73" s="10"/>
      <c r="O73" s="10"/>
      <c r="P73" s="10"/>
      <c r="Q73" s="10"/>
      <c r="R73" s="26" t="s">
        <v>10</v>
      </c>
      <c r="S73" s="24">
        <v>47233.8</v>
      </c>
      <c r="T73" s="24">
        <f>SUM(AO73:BC73)</f>
        <v>4659.54</v>
      </c>
      <c r="U73" s="25">
        <f>SUM(BA73:BC73)</f>
        <v>0</v>
      </c>
      <c r="V73" s="24">
        <f>SUM(AO73:AZ73)</f>
        <v>4659.54</v>
      </c>
      <c r="W73" s="24">
        <f>SUM(AP73:AZ73)</f>
        <v>4659.54</v>
      </c>
      <c r="X73" s="24">
        <f>SUM(AQ73:AZ73)</f>
        <v>4659.54</v>
      </c>
      <c r="Y73" s="24">
        <f>SUM(AR73:AZ73)</f>
        <v>4659.54</v>
      </c>
      <c r="Z73" s="24">
        <f>SUM(AS73:AZ73)</f>
        <v>4659.54</v>
      </c>
      <c r="AA73" s="24">
        <f>SUM(AT73:AZ73)</f>
        <v>4659.54</v>
      </c>
      <c r="AB73" s="24">
        <f>SUM(AU73:AZ73)</f>
        <v>4659.54</v>
      </c>
      <c r="AC73" s="24">
        <f>SUM(AV73:AZ73)</f>
        <v>4659.54</v>
      </c>
      <c r="AD73" s="24">
        <f>SUM(AW73:AZ73)</f>
        <v>4659.54</v>
      </c>
      <c r="AE73" s="24">
        <f>SUM(AX73:AZ73)</f>
        <v>4659.54</v>
      </c>
      <c r="AF73" s="24">
        <f>SUM(AY73:AZ73)</f>
        <v>4659.54</v>
      </c>
      <c r="AG73" s="24">
        <f>SUM(AZ73:AZ73)</f>
        <v>4659.53</v>
      </c>
      <c r="AH73" s="38">
        <v>0</v>
      </c>
      <c r="AI73" s="38">
        <v>0</v>
      </c>
      <c r="AJ73" s="10"/>
      <c r="AK73" s="10"/>
      <c r="AL73" s="10"/>
      <c r="AM73" s="10"/>
      <c r="AN73" s="10"/>
      <c r="AO73" s="24">
        <v>0</v>
      </c>
      <c r="AP73" s="24">
        <v>0</v>
      </c>
      <c r="AQ73" s="24">
        <v>0</v>
      </c>
      <c r="AR73" s="24">
        <v>0</v>
      </c>
      <c r="AS73" s="24">
        <v>0</v>
      </c>
      <c r="AT73" s="24">
        <v>0</v>
      </c>
      <c r="AU73" s="24">
        <v>0</v>
      </c>
      <c r="AV73" s="24">
        <v>0</v>
      </c>
      <c r="AW73" s="24">
        <v>0</v>
      </c>
      <c r="AX73" s="24">
        <v>0</v>
      </c>
      <c r="AY73" s="24">
        <v>0.01</v>
      </c>
      <c r="AZ73" s="24">
        <v>4659.53</v>
      </c>
      <c r="BA73" s="54">
        <v>0</v>
      </c>
      <c r="BB73" s="25">
        <v>0</v>
      </c>
      <c r="BC73" s="62">
        <v>0</v>
      </c>
      <c r="BD73" s="49" t="s">
        <v>63</v>
      </c>
    </row>
    <row r="74" ht="15" spans="1:56">
      <c r="A74" s="10"/>
      <c r="B74" s="10"/>
      <c r="C74" s="10"/>
      <c r="D74" s="10"/>
      <c r="E74" s="10"/>
      <c r="F74" s="10"/>
      <c r="G74" s="10"/>
      <c r="H74" s="10"/>
      <c r="I74" s="10"/>
      <c r="J74" s="10"/>
      <c r="K74" s="10"/>
      <c r="L74" s="10"/>
      <c r="M74" s="10"/>
      <c r="N74" s="10"/>
      <c r="O74" s="10"/>
      <c r="P74" s="10"/>
      <c r="Q74" s="10"/>
      <c r="R74" s="26" t="s">
        <v>11</v>
      </c>
      <c r="S74" s="24">
        <v>0</v>
      </c>
      <c r="T74" s="24">
        <f>SUM(AO74:BC74)</f>
        <v>0</v>
      </c>
      <c r="U74" s="25">
        <f>SUM(BA74:BC74)</f>
        <v>0</v>
      </c>
      <c r="V74" s="24">
        <v>0</v>
      </c>
      <c r="W74" s="24">
        <v>0</v>
      </c>
      <c r="X74" s="24">
        <v>0</v>
      </c>
      <c r="Y74" s="24">
        <v>0</v>
      </c>
      <c r="Z74" s="24">
        <v>0</v>
      </c>
      <c r="AA74" s="24">
        <v>0</v>
      </c>
      <c r="AB74" s="24">
        <v>0</v>
      </c>
      <c r="AC74" s="24">
        <v>0</v>
      </c>
      <c r="AD74" s="24">
        <v>0</v>
      </c>
      <c r="AE74" s="24">
        <v>0</v>
      </c>
      <c r="AF74" s="24">
        <v>0</v>
      </c>
      <c r="AG74" s="24">
        <v>0</v>
      </c>
      <c r="AH74" s="38">
        <v>0</v>
      </c>
      <c r="AI74" s="38">
        <v>0</v>
      </c>
      <c r="AJ74" s="10"/>
      <c r="AK74" s="10"/>
      <c r="AL74" s="10"/>
      <c r="AM74" s="10"/>
      <c r="AN74" s="10"/>
      <c r="AO74" s="24">
        <v>0</v>
      </c>
      <c r="AP74" s="24">
        <v>0</v>
      </c>
      <c r="AQ74" s="24">
        <v>0</v>
      </c>
      <c r="AR74" s="24">
        <v>0</v>
      </c>
      <c r="AS74" s="24">
        <v>0</v>
      </c>
      <c r="AT74" s="24">
        <v>0</v>
      </c>
      <c r="AU74" s="24">
        <v>0</v>
      </c>
      <c r="AV74" s="24">
        <v>0</v>
      </c>
      <c r="AW74" s="24">
        <v>0</v>
      </c>
      <c r="AX74" s="24">
        <v>0</v>
      </c>
      <c r="AY74" s="24">
        <v>0</v>
      </c>
      <c r="AZ74" s="24">
        <v>0</v>
      </c>
      <c r="BA74" s="54">
        <v>0</v>
      </c>
      <c r="BB74" s="25">
        <v>0</v>
      </c>
      <c r="BC74" s="62">
        <v>0</v>
      </c>
      <c r="BD74" s="49" t="s">
        <v>63</v>
      </c>
    </row>
    <row r="75" ht="15" spans="1:56">
      <c r="A75" s="10"/>
      <c r="B75" s="10"/>
      <c r="C75" s="10"/>
      <c r="D75" s="10"/>
      <c r="E75" s="10"/>
      <c r="F75" s="10"/>
      <c r="G75" s="10"/>
      <c r="H75" s="10"/>
      <c r="I75" s="10"/>
      <c r="J75" s="10"/>
      <c r="K75" s="10"/>
      <c r="L75" s="10"/>
      <c r="M75" s="10"/>
      <c r="N75" s="10"/>
      <c r="O75" s="10"/>
      <c r="P75" s="10"/>
      <c r="Q75" s="10"/>
      <c r="R75" s="26" t="s">
        <v>12</v>
      </c>
      <c r="S75" s="24">
        <v>8000</v>
      </c>
      <c r="T75" s="24">
        <f>SUM(AO75:BC75)</f>
        <v>0</v>
      </c>
      <c r="U75" s="25">
        <f>SUM(BA75:BC75)</f>
        <v>0</v>
      </c>
      <c r="V75" s="24">
        <f>SUM(AO75:AZ75)</f>
        <v>0</v>
      </c>
      <c r="W75" s="24">
        <f>SUM(AP75:AZ75)</f>
        <v>0</v>
      </c>
      <c r="X75" s="24">
        <f>SUM(AQ75:AZ75)</f>
        <v>0</v>
      </c>
      <c r="Y75" s="24">
        <f>SUM(AR75:AZ75)</f>
        <v>0</v>
      </c>
      <c r="Z75" s="24">
        <f>SUM(AS75:AZ75)</f>
        <v>0</v>
      </c>
      <c r="AA75" s="24">
        <f>SUM(AT75:AZ75)</f>
        <v>0</v>
      </c>
      <c r="AB75" s="24">
        <f>SUM(AU75:AZ75)</f>
        <v>0</v>
      </c>
      <c r="AC75" s="24">
        <f>SUM(AV75:AZ75)</f>
        <v>0</v>
      </c>
      <c r="AD75" s="24">
        <f>SUM(AW75:AZ75)</f>
        <v>0</v>
      </c>
      <c r="AE75" s="24">
        <f>SUM(AX75:AZ75)</f>
        <v>0</v>
      </c>
      <c r="AF75" s="24">
        <f>SUM(AY75:AZ75)</f>
        <v>0</v>
      </c>
      <c r="AG75" s="24">
        <f>SUM(AZ75:AZ75)</f>
        <v>0</v>
      </c>
      <c r="AH75" s="38">
        <v>0</v>
      </c>
      <c r="AI75" s="38">
        <v>0</v>
      </c>
      <c r="AJ75" s="10"/>
      <c r="AK75" s="10"/>
      <c r="AL75" s="10"/>
      <c r="AM75" s="10"/>
      <c r="AN75" s="10"/>
      <c r="AO75" s="24">
        <v>0</v>
      </c>
      <c r="AP75" s="24">
        <v>0</v>
      </c>
      <c r="AQ75" s="24">
        <v>0</v>
      </c>
      <c r="AR75" s="24">
        <v>0</v>
      </c>
      <c r="AS75" s="24">
        <v>0</v>
      </c>
      <c r="AT75" s="24">
        <v>0</v>
      </c>
      <c r="AU75" s="24">
        <v>0</v>
      </c>
      <c r="AV75" s="24">
        <v>0</v>
      </c>
      <c r="AW75" s="24">
        <v>0</v>
      </c>
      <c r="AX75" s="24">
        <v>0</v>
      </c>
      <c r="AY75" s="24">
        <v>0</v>
      </c>
      <c r="AZ75" s="24">
        <v>0</v>
      </c>
      <c r="BA75" s="54">
        <v>0</v>
      </c>
      <c r="BB75" s="25">
        <v>0</v>
      </c>
      <c r="BC75" s="62">
        <v>0</v>
      </c>
      <c r="BD75" s="49" t="s">
        <v>63</v>
      </c>
    </row>
    <row r="76" ht="15" spans="1:56">
      <c r="A76" s="10"/>
      <c r="B76" s="10"/>
      <c r="C76" s="10"/>
      <c r="D76" s="10"/>
      <c r="E76" s="10"/>
      <c r="F76" s="10"/>
      <c r="G76" s="10"/>
      <c r="H76" s="10"/>
      <c r="I76" s="10"/>
      <c r="J76" s="10"/>
      <c r="K76" s="10"/>
      <c r="L76" s="10"/>
      <c r="M76" s="10"/>
      <c r="N76" s="10"/>
      <c r="O76" s="10"/>
      <c r="P76" s="10"/>
      <c r="Q76" s="10"/>
      <c r="R76" s="26" t="s">
        <v>13</v>
      </c>
      <c r="S76" s="24">
        <v>0</v>
      </c>
      <c r="T76" s="24">
        <f>SUM(AO76:BC76)</f>
        <v>-125.92</v>
      </c>
      <c r="U76" s="25">
        <f>SUM(BA76:BC76)</f>
        <v>-39.62</v>
      </c>
      <c r="V76" s="24">
        <f>SUM(AO76:AZ76)</f>
        <v>-86.3</v>
      </c>
      <c r="W76" s="24">
        <f>SUM(AP76:AZ76)</f>
        <v>-86.3</v>
      </c>
      <c r="X76" s="24">
        <f>SUM(AQ76:AZ76)</f>
        <v>-86.3</v>
      </c>
      <c r="Y76" s="24">
        <f>SUM(AR76:AZ76)</f>
        <v>-86.3</v>
      </c>
      <c r="Z76" s="24">
        <f>SUM(AS76:AZ76)</f>
        <v>-86.3</v>
      </c>
      <c r="AA76" s="24">
        <f>SUM(AT76:AZ76)</f>
        <v>-86.3</v>
      </c>
      <c r="AB76" s="24">
        <f>SUM(AU76:AZ76)</f>
        <v>-86.3</v>
      </c>
      <c r="AC76" s="24">
        <f>SUM(AV76:AZ76)</f>
        <v>-86.3</v>
      </c>
      <c r="AD76" s="24">
        <f>SUM(AW76:AZ76)</f>
        <v>-86.3</v>
      </c>
      <c r="AE76" s="24">
        <f>SUM(AX76:AZ76)</f>
        <v>-86.3</v>
      </c>
      <c r="AF76" s="24">
        <f>SUM(AY76:AZ76)</f>
        <v>-62.96</v>
      </c>
      <c r="AG76" s="24">
        <f>SUM(AZ76:AZ76)</f>
        <v>-34.01</v>
      </c>
      <c r="AH76" s="38">
        <v>0</v>
      </c>
      <c r="AI76" s="38">
        <v>0</v>
      </c>
      <c r="AJ76" s="10"/>
      <c r="AK76" s="10"/>
      <c r="AL76" s="10"/>
      <c r="AM76" s="10"/>
      <c r="AN76" s="10"/>
      <c r="AO76" s="24">
        <v>0</v>
      </c>
      <c r="AP76" s="24">
        <v>0</v>
      </c>
      <c r="AQ76" s="24">
        <v>0</v>
      </c>
      <c r="AR76" s="24">
        <v>0</v>
      </c>
      <c r="AS76" s="24">
        <v>0</v>
      </c>
      <c r="AT76" s="24">
        <v>0</v>
      </c>
      <c r="AU76" s="24">
        <v>0</v>
      </c>
      <c r="AV76" s="24">
        <v>0</v>
      </c>
      <c r="AW76" s="24">
        <v>0</v>
      </c>
      <c r="AX76" s="24">
        <v>-23.34</v>
      </c>
      <c r="AY76" s="24">
        <v>-28.95</v>
      </c>
      <c r="AZ76" s="24">
        <v>-34.01</v>
      </c>
      <c r="BA76" s="54">
        <v>-39.62</v>
      </c>
      <c r="BB76" s="25">
        <v>0</v>
      </c>
      <c r="BC76" s="62">
        <v>0</v>
      </c>
      <c r="BD76" s="49" t="s">
        <v>63</v>
      </c>
    </row>
    <row r="77" ht="15" spans="1:56">
      <c r="A77" s="10"/>
      <c r="B77" s="10"/>
      <c r="C77" s="10"/>
      <c r="D77" s="10"/>
      <c r="E77" s="10"/>
      <c r="F77" s="10"/>
      <c r="G77" s="10"/>
      <c r="H77" s="10"/>
      <c r="I77" s="10"/>
      <c r="J77" s="10"/>
      <c r="K77" s="10"/>
      <c r="L77" s="10"/>
      <c r="M77" s="10"/>
      <c r="N77" s="10"/>
      <c r="O77" s="10"/>
      <c r="P77" s="10"/>
      <c r="Q77" s="10"/>
      <c r="R77" s="26" t="s">
        <v>14</v>
      </c>
      <c r="S77" s="27">
        <f t="shared" ref="S77:AI77" si="70">SUM(S73:S76)</f>
        <v>55233.8</v>
      </c>
      <c r="T77" s="27">
        <f t="shared" si="70"/>
        <v>4533.62</v>
      </c>
      <c r="U77" s="28">
        <f t="shared" si="70"/>
        <v>-39.62</v>
      </c>
      <c r="V77" s="27">
        <f t="shared" si="70"/>
        <v>4573.24</v>
      </c>
      <c r="W77" s="27">
        <f t="shared" si="70"/>
        <v>4573.24</v>
      </c>
      <c r="X77" s="27">
        <f t="shared" si="70"/>
        <v>4573.24</v>
      </c>
      <c r="Y77" s="27">
        <f t="shared" si="70"/>
        <v>4573.24</v>
      </c>
      <c r="Z77" s="27">
        <f t="shared" si="70"/>
        <v>4573.24</v>
      </c>
      <c r="AA77" s="27">
        <f t="shared" si="70"/>
        <v>4573.24</v>
      </c>
      <c r="AB77" s="27">
        <f t="shared" si="70"/>
        <v>4573.24</v>
      </c>
      <c r="AC77" s="27">
        <f t="shared" si="70"/>
        <v>4573.24</v>
      </c>
      <c r="AD77" s="27">
        <f t="shared" si="70"/>
        <v>4573.24</v>
      </c>
      <c r="AE77" s="27">
        <f t="shared" si="70"/>
        <v>4573.24</v>
      </c>
      <c r="AF77" s="27">
        <f t="shared" si="70"/>
        <v>4596.58</v>
      </c>
      <c r="AG77" s="27">
        <f t="shared" si="70"/>
        <v>4625.52</v>
      </c>
      <c r="AH77" s="27">
        <f t="shared" si="70"/>
        <v>0</v>
      </c>
      <c r="AI77" s="27">
        <f t="shared" si="70"/>
        <v>0</v>
      </c>
      <c r="AJ77" s="10"/>
      <c r="AK77" s="10"/>
      <c r="AL77" s="10"/>
      <c r="AM77" s="10"/>
      <c r="AN77" s="10"/>
      <c r="AO77" s="27">
        <f t="shared" ref="AO77:AX77" si="71">SUM(AO73:AO76)</f>
        <v>0</v>
      </c>
      <c r="AP77" s="27">
        <f t="shared" si="71"/>
        <v>0</v>
      </c>
      <c r="AQ77" s="27">
        <f t="shared" si="71"/>
        <v>0</v>
      </c>
      <c r="AR77" s="27">
        <f t="shared" si="71"/>
        <v>0</v>
      </c>
      <c r="AS77" s="27">
        <f t="shared" si="71"/>
        <v>0</v>
      </c>
      <c r="AT77" s="27">
        <f t="shared" si="71"/>
        <v>0</v>
      </c>
      <c r="AU77" s="27">
        <f t="shared" si="71"/>
        <v>0</v>
      </c>
      <c r="AV77" s="27">
        <f t="shared" si="71"/>
        <v>0</v>
      </c>
      <c r="AW77" s="27">
        <f t="shared" si="71"/>
        <v>0</v>
      </c>
      <c r="AX77" s="27">
        <f t="shared" si="71"/>
        <v>-23.34</v>
      </c>
      <c r="AY77" s="27">
        <v>-28.94</v>
      </c>
      <c r="AZ77" s="27">
        <f>SUM(AZ73:AZ76)</f>
        <v>4625.52</v>
      </c>
      <c r="BA77" s="56">
        <v>-56.65</v>
      </c>
      <c r="BB77" s="28">
        <f>SUM(BB73:BB76)</f>
        <v>0</v>
      </c>
      <c r="BC77" s="60">
        <f>SUM(BC73:BC76)</f>
        <v>0</v>
      </c>
      <c r="BD77" s="50" t="s">
        <v>63</v>
      </c>
    </row>
    <row r="78" ht="15" spans="1:56">
      <c r="A78" s="10"/>
      <c r="B78" s="10"/>
      <c r="C78" s="10"/>
      <c r="D78" s="10"/>
      <c r="E78" s="10"/>
      <c r="F78" s="10"/>
      <c r="G78" s="10"/>
      <c r="H78" s="10"/>
      <c r="I78" s="10"/>
      <c r="J78" s="10"/>
      <c r="K78" s="10"/>
      <c r="L78" s="10"/>
      <c r="M78" s="10"/>
      <c r="N78" s="10"/>
      <c r="O78" s="10"/>
      <c r="P78" s="10"/>
      <c r="Q78" s="10"/>
      <c r="R78" s="26" t="s">
        <v>15</v>
      </c>
      <c r="S78" s="24">
        <f t="shared" ref="S78:AG78" si="72">S72-S73</f>
        <v>18803.94</v>
      </c>
      <c r="T78" s="24">
        <f t="shared" si="72"/>
        <v>11325.84</v>
      </c>
      <c r="U78" s="25">
        <f t="shared" si="72"/>
        <v>-297.88</v>
      </c>
      <c r="V78" s="24">
        <f t="shared" si="72"/>
        <v>11623.72</v>
      </c>
      <c r="W78" s="24">
        <f t="shared" si="72"/>
        <v>11623.72</v>
      </c>
      <c r="X78" s="24">
        <f t="shared" si="72"/>
        <v>11623.72</v>
      </c>
      <c r="Y78" s="24">
        <f t="shared" si="72"/>
        <v>11623.72</v>
      </c>
      <c r="Z78" s="24">
        <f t="shared" si="72"/>
        <v>11623.72</v>
      </c>
      <c r="AA78" s="24">
        <f t="shared" si="72"/>
        <v>11623.72</v>
      </c>
      <c r="AB78" s="24">
        <f t="shared" si="72"/>
        <v>11623.72</v>
      </c>
      <c r="AC78" s="24">
        <f t="shared" si="72"/>
        <v>11623.72</v>
      </c>
      <c r="AD78" s="24">
        <f t="shared" si="72"/>
        <v>11623.72</v>
      </c>
      <c r="AE78" s="24">
        <f t="shared" si="72"/>
        <v>11623.72</v>
      </c>
      <c r="AF78" s="24">
        <f t="shared" si="72"/>
        <v>6015.07</v>
      </c>
      <c r="AG78" s="24">
        <f t="shared" si="72"/>
        <v>949.190000000001</v>
      </c>
      <c r="AH78" s="41">
        <v>0</v>
      </c>
      <c r="AI78" s="41">
        <v>0</v>
      </c>
      <c r="AJ78" s="10"/>
      <c r="AK78" s="10"/>
      <c r="AL78" s="10"/>
      <c r="AM78" s="10"/>
      <c r="AN78" s="10"/>
      <c r="AO78" s="24">
        <f t="shared" ref="AO78:BA78" si="73">AO72-AO73</f>
        <v>0</v>
      </c>
      <c r="AP78" s="24">
        <f t="shared" si="73"/>
        <v>0</v>
      </c>
      <c r="AQ78" s="24">
        <f t="shared" si="73"/>
        <v>0</v>
      </c>
      <c r="AR78" s="24">
        <f t="shared" si="73"/>
        <v>0</v>
      </c>
      <c r="AS78" s="24">
        <f t="shared" si="73"/>
        <v>0</v>
      </c>
      <c r="AT78" s="24">
        <f t="shared" si="73"/>
        <v>0</v>
      </c>
      <c r="AU78" s="24">
        <f t="shared" si="73"/>
        <v>0</v>
      </c>
      <c r="AV78" s="24">
        <f t="shared" si="73"/>
        <v>0</v>
      </c>
      <c r="AW78" s="24">
        <f t="shared" si="73"/>
        <v>0</v>
      </c>
      <c r="AX78" s="24">
        <f t="shared" si="73"/>
        <v>5608.65</v>
      </c>
      <c r="AY78" s="24">
        <f t="shared" si="73"/>
        <v>5065.88</v>
      </c>
      <c r="AZ78" s="24">
        <f t="shared" si="73"/>
        <v>949.190000000001</v>
      </c>
      <c r="BA78" s="28">
        <f t="shared" si="73"/>
        <v>-297.88</v>
      </c>
      <c r="BB78" s="28">
        <v>0</v>
      </c>
      <c r="BC78" s="62">
        <v>0</v>
      </c>
      <c r="BD78" s="49" t="s">
        <v>63</v>
      </c>
    </row>
    <row r="79" ht="15" spans="1:56">
      <c r="A79" s="10"/>
      <c r="B79" s="10"/>
      <c r="C79" s="10"/>
      <c r="D79" s="10"/>
      <c r="E79" s="10"/>
      <c r="F79" s="10"/>
      <c r="G79" s="10"/>
      <c r="H79" s="10"/>
      <c r="I79" s="10"/>
      <c r="J79" s="10"/>
      <c r="K79" s="10"/>
      <c r="L79" s="10"/>
      <c r="M79" s="10"/>
      <c r="N79" s="10"/>
      <c r="O79" s="10"/>
      <c r="P79" s="10"/>
      <c r="Q79" s="10"/>
      <c r="R79" s="29" t="s">
        <v>16</v>
      </c>
      <c r="S79" s="30">
        <f t="shared" ref="S79:AG79" si="74">S78/S72</f>
        <v>0.284745359244577</v>
      </c>
      <c r="T79" s="30">
        <f t="shared" si="74"/>
        <v>0.708512403208432</v>
      </c>
      <c r="U79" s="31">
        <f t="shared" si="74"/>
        <v>1</v>
      </c>
      <c r="V79" s="30">
        <f t="shared" si="74"/>
        <v>0.713844770641751</v>
      </c>
      <c r="W79" s="30">
        <f t="shared" si="74"/>
        <v>0.713844770641751</v>
      </c>
      <c r="X79" s="30">
        <f t="shared" si="74"/>
        <v>0.713844770641751</v>
      </c>
      <c r="Y79" s="30">
        <f t="shared" si="74"/>
        <v>0.713844770641751</v>
      </c>
      <c r="Z79" s="30">
        <f t="shared" si="74"/>
        <v>0.713844770641751</v>
      </c>
      <c r="AA79" s="30">
        <f t="shared" si="74"/>
        <v>0.713844770641751</v>
      </c>
      <c r="AB79" s="30">
        <f t="shared" si="74"/>
        <v>0.713844770641751</v>
      </c>
      <c r="AC79" s="30">
        <f t="shared" si="74"/>
        <v>0.713844770641751</v>
      </c>
      <c r="AD79" s="30">
        <f t="shared" si="74"/>
        <v>0.713844770641751</v>
      </c>
      <c r="AE79" s="30">
        <f t="shared" si="74"/>
        <v>0.713844770641751</v>
      </c>
      <c r="AF79" s="30">
        <f t="shared" si="74"/>
        <v>0.563493186167926</v>
      </c>
      <c r="AG79" s="30">
        <f t="shared" si="74"/>
        <v>0.169234691694362</v>
      </c>
      <c r="AH79" s="42">
        <f>T79-S79</f>
        <v>0.423767043963854</v>
      </c>
      <c r="AI79" s="42">
        <f>AF79-S79</f>
        <v>0.278747826923348</v>
      </c>
      <c r="AJ79" s="10"/>
      <c r="AK79" s="10"/>
      <c r="AL79" s="10"/>
      <c r="AM79" s="10"/>
      <c r="AN79" s="10"/>
      <c r="AO79" s="30" t="e">
        <f t="shared" ref="AO79:BA79" si="75">AO78/AO72</f>
        <v>#DIV/0!</v>
      </c>
      <c r="AP79" s="30" t="e">
        <f t="shared" si="75"/>
        <v>#DIV/0!</v>
      </c>
      <c r="AQ79" s="30" t="e">
        <f t="shared" si="75"/>
        <v>#DIV/0!</v>
      </c>
      <c r="AR79" s="30" t="e">
        <f t="shared" si="75"/>
        <v>#DIV/0!</v>
      </c>
      <c r="AS79" s="30" t="e">
        <f t="shared" si="75"/>
        <v>#DIV/0!</v>
      </c>
      <c r="AT79" s="30" t="e">
        <f t="shared" si="75"/>
        <v>#DIV/0!</v>
      </c>
      <c r="AU79" s="30" t="e">
        <f t="shared" si="75"/>
        <v>#DIV/0!</v>
      </c>
      <c r="AV79" s="30" t="e">
        <f t="shared" si="75"/>
        <v>#DIV/0!</v>
      </c>
      <c r="AW79" s="30" t="e">
        <f t="shared" si="75"/>
        <v>#DIV/0!</v>
      </c>
      <c r="AX79" s="30">
        <f t="shared" si="75"/>
        <v>1</v>
      </c>
      <c r="AY79" s="30">
        <f t="shared" si="75"/>
        <v>0.999998026013198</v>
      </c>
      <c r="AZ79" s="30">
        <f t="shared" si="75"/>
        <v>0.169234691694362</v>
      </c>
      <c r="BA79" s="52">
        <f t="shared" si="75"/>
        <v>1</v>
      </c>
      <c r="BB79" s="52">
        <v>0</v>
      </c>
      <c r="BC79" s="62">
        <v>0</v>
      </c>
      <c r="BD79" s="49" t="s">
        <v>63</v>
      </c>
    </row>
    <row r="80" ht="15" spans="1:56">
      <c r="A80" s="10"/>
      <c r="B80" s="10"/>
      <c r="C80" s="10"/>
      <c r="D80" s="10"/>
      <c r="E80" s="10"/>
      <c r="F80" s="10"/>
      <c r="G80" s="10"/>
      <c r="H80" s="10"/>
      <c r="I80" s="10"/>
      <c r="J80" s="10"/>
      <c r="K80" s="10"/>
      <c r="L80" s="10"/>
      <c r="M80" s="10"/>
      <c r="N80" s="10"/>
      <c r="O80" s="10"/>
      <c r="P80" s="10"/>
      <c r="Q80" s="10"/>
      <c r="R80" s="26" t="s">
        <v>17</v>
      </c>
      <c r="S80" s="24">
        <f t="shared" ref="S80:AG80" si="76">S72-S77</f>
        <v>10803.94</v>
      </c>
      <c r="T80" s="24">
        <f t="shared" si="76"/>
        <v>11451.76</v>
      </c>
      <c r="U80" s="24">
        <f t="shared" si="76"/>
        <v>-258.26</v>
      </c>
      <c r="V80" s="24">
        <f t="shared" si="76"/>
        <v>11710.02</v>
      </c>
      <c r="W80" s="24">
        <f t="shared" si="76"/>
        <v>11710.02</v>
      </c>
      <c r="X80" s="24">
        <f t="shared" si="76"/>
        <v>11710.02</v>
      </c>
      <c r="Y80" s="24">
        <f t="shared" si="76"/>
        <v>11710.02</v>
      </c>
      <c r="Z80" s="24">
        <f t="shared" si="76"/>
        <v>11710.02</v>
      </c>
      <c r="AA80" s="24">
        <f t="shared" si="76"/>
        <v>11710.02</v>
      </c>
      <c r="AB80" s="24">
        <f t="shared" si="76"/>
        <v>11710.02</v>
      </c>
      <c r="AC80" s="24">
        <f t="shared" si="76"/>
        <v>11710.02</v>
      </c>
      <c r="AD80" s="24">
        <f t="shared" si="76"/>
        <v>11710.02</v>
      </c>
      <c r="AE80" s="24">
        <f t="shared" si="76"/>
        <v>11710.02</v>
      </c>
      <c r="AF80" s="24">
        <f t="shared" si="76"/>
        <v>6078.03</v>
      </c>
      <c r="AG80" s="24">
        <f t="shared" si="76"/>
        <v>983.200000000001</v>
      </c>
      <c r="AH80" s="42">
        <v>0</v>
      </c>
      <c r="AI80" s="42">
        <v>0</v>
      </c>
      <c r="AJ80" s="10"/>
      <c r="AK80" s="10"/>
      <c r="AL80" s="10"/>
      <c r="AM80" s="10"/>
      <c r="AN80" s="10"/>
      <c r="AO80" s="24">
        <f t="shared" ref="AO80:BC80" si="77">AO72-AO77</f>
        <v>0</v>
      </c>
      <c r="AP80" s="24">
        <f t="shared" si="77"/>
        <v>0</v>
      </c>
      <c r="AQ80" s="24">
        <f t="shared" si="77"/>
        <v>0</v>
      </c>
      <c r="AR80" s="24">
        <f t="shared" si="77"/>
        <v>0</v>
      </c>
      <c r="AS80" s="24">
        <f t="shared" si="77"/>
        <v>0</v>
      </c>
      <c r="AT80" s="24">
        <f t="shared" si="77"/>
        <v>0</v>
      </c>
      <c r="AU80" s="24">
        <f t="shared" si="77"/>
        <v>0</v>
      </c>
      <c r="AV80" s="24">
        <f t="shared" si="77"/>
        <v>0</v>
      </c>
      <c r="AW80" s="24">
        <f t="shared" si="77"/>
        <v>0</v>
      </c>
      <c r="AX80" s="24">
        <f t="shared" si="77"/>
        <v>5631.99</v>
      </c>
      <c r="AY80" s="24">
        <f t="shared" si="77"/>
        <v>5094.83</v>
      </c>
      <c r="AZ80" s="24">
        <f t="shared" si="77"/>
        <v>983.200000000001</v>
      </c>
      <c r="BA80" s="24">
        <f t="shared" si="77"/>
        <v>-241.23</v>
      </c>
      <c r="BB80" s="24">
        <f t="shared" si="77"/>
        <v>0</v>
      </c>
      <c r="BC80" s="24">
        <f t="shared" si="77"/>
        <v>0</v>
      </c>
      <c r="BD80" s="49" t="s">
        <v>63</v>
      </c>
    </row>
    <row r="81" ht="15" spans="1:56">
      <c r="A81" s="11"/>
      <c r="B81" s="11"/>
      <c r="C81" s="11"/>
      <c r="D81" s="11"/>
      <c r="E81" s="11"/>
      <c r="F81" s="11"/>
      <c r="G81" s="11"/>
      <c r="H81" s="11"/>
      <c r="I81" s="11"/>
      <c r="J81" s="11"/>
      <c r="K81" s="11"/>
      <c r="L81" s="11"/>
      <c r="M81" s="11"/>
      <c r="N81" s="11"/>
      <c r="O81" s="11"/>
      <c r="P81" s="11"/>
      <c r="Q81" s="11"/>
      <c r="R81" s="29" t="s">
        <v>18</v>
      </c>
      <c r="S81" s="30">
        <f t="shared" ref="S81:AG81" si="78">S80/S72</f>
        <v>0.163602509716414</v>
      </c>
      <c r="T81" s="30">
        <f t="shared" si="78"/>
        <v>0.716389600997912</v>
      </c>
      <c r="U81" s="31">
        <f t="shared" si="78"/>
        <v>0.866993420169196</v>
      </c>
      <c r="V81" s="30">
        <f t="shared" si="78"/>
        <v>0.719144692156239</v>
      </c>
      <c r="W81" s="30">
        <f t="shared" si="78"/>
        <v>0.719144692156239</v>
      </c>
      <c r="X81" s="30">
        <f t="shared" si="78"/>
        <v>0.719144692156239</v>
      </c>
      <c r="Y81" s="30">
        <f t="shared" si="78"/>
        <v>0.719144692156239</v>
      </c>
      <c r="Z81" s="30">
        <f t="shared" si="78"/>
        <v>0.719144692156239</v>
      </c>
      <c r="AA81" s="30">
        <f t="shared" si="78"/>
        <v>0.719144692156239</v>
      </c>
      <c r="AB81" s="30">
        <f t="shared" si="78"/>
        <v>0.719144692156239</v>
      </c>
      <c r="AC81" s="30">
        <f t="shared" si="78"/>
        <v>0.719144692156239</v>
      </c>
      <c r="AD81" s="30">
        <f t="shared" si="78"/>
        <v>0.719144692156239</v>
      </c>
      <c r="AE81" s="30">
        <f t="shared" si="78"/>
        <v>0.719144692156239</v>
      </c>
      <c r="AF81" s="30">
        <f t="shared" si="78"/>
        <v>0.569391293920808</v>
      </c>
      <c r="AG81" s="30">
        <f t="shared" si="78"/>
        <v>0.175298463820622</v>
      </c>
      <c r="AH81" s="42">
        <f>T81-S81</f>
        <v>0.552787091281498</v>
      </c>
      <c r="AI81" s="42">
        <f>AF81-S81</f>
        <v>0.405788784204395</v>
      </c>
      <c r="AJ81" s="11"/>
      <c r="AK81" s="11"/>
      <c r="AL81" s="11"/>
      <c r="AM81" s="11"/>
      <c r="AN81" s="11"/>
      <c r="AO81" s="30" t="e">
        <f t="shared" ref="AO81:BA81" si="79">AO80/AO72</f>
        <v>#DIV/0!</v>
      </c>
      <c r="AP81" s="30" t="e">
        <f t="shared" si="79"/>
        <v>#DIV/0!</v>
      </c>
      <c r="AQ81" s="30" t="e">
        <f t="shared" si="79"/>
        <v>#DIV/0!</v>
      </c>
      <c r="AR81" s="30" t="e">
        <f t="shared" si="79"/>
        <v>#DIV/0!</v>
      </c>
      <c r="AS81" s="30" t="e">
        <f t="shared" si="79"/>
        <v>#DIV/0!</v>
      </c>
      <c r="AT81" s="30" t="e">
        <f t="shared" si="79"/>
        <v>#DIV/0!</v>
      </c>
      <c r="AU81" s="30" t="e">
        <f t="shared" si="79"/>
        <v>#DIV/0!</v>
      </c>
      <c r="AV81" s="30" t="e">
        <f t="shared" si="79"/>
        <v>#DIV/0!</v>
      </c>
      <c r="AW81" s="30" t="e">
        <f t="shared" si="79"/>
        <v>#DIV/0!</v>
      </c>
      <c r="AX81" s="30">
        <f t="shared" si="79"/>
        <v>1.00416142922094</v>
      </c>
      <c r="AY81" s="30">
        <f t="shared" si="79"/>
        <v>1.00571271780477</v>
      </c>
      <c r="AZ81" s="30">
        <f t="shared" si="79"/>
        <v>0.175298463820622</v>
      </c>
      <c r="BA81" s="52">
        <f t="shared" si="79"/>
        <v>0.809822747415066</v>
      </c>
      <c r="BB81" s="52">
        <v>0</v>
      </c>
      <c r="BC81" s="62">
        <v>0</v>
      </c>
      <c r="BD81" s="49" t="s">
        <v>63</v>
      </c>
    </row>
    <row r="82" ht="15" spans="1:56">
      <c r="A82" s="12" t="s">
        <v>89</v>
      </c>
      <c r="B82" s="13" t="s">
        <v>90</v>
      </c>
      <c r="C82" s="14">
        <v>46023</v>
      </c>
      <c r="D82" s="14">
        <v>46387</v>
      </c>
      <c r="E82" s="6"/>
      <c r="F82" s="7" t="s">
        <v>62</v>
      </c>
      <c r="G82" s="9">
        <v>0</v>
      </c>
      <c r="H82" s="9"/>
      <c r="I82" s="9"/>
      <c r="J82" s="9"/>
      <c r="K82" s="9"/>
      <c r="L82" s="9"/>
      <c r="M82" s="9"/>
      <c r="N82" s="9"/>
      <c r="O82" s="9"/>
      <c r="P82" s="6"/>
      <c r="Q82" s="9" t="s">
        <v>63</v>
      </c>
      <c r="R82" s="32" t="s">
        <v>9</v>
      </c>
      <c r="S82" s="24">
        <v>75471.7</v>
      </c>
      <c r="T82" s="24">
        <f>SUM(AO82:BC82)</f>
        <v>34087.06</v>
      </c>
      <c r="U82" s="25">
        <f>SUM(BA82:BC82)</f>
        <v>15477.62</v>
      </c>
      <c r="V82" s="24">
        <f>SUM(AO82:AZ82)</f>
        <v>18609.44</v>
      </c>
      <c r="W82" s="24">
        <f>SUM(AP82:AZ82)</f>
        <v>18609.44</v>
      </c>
      <c r="X82" s="24">
        <f>SUM(AQ82:AZ82)</f>
        <v>18609.44</v>
      </c>
      <c r="Y82" s="24">
        <f>SUM(AR82:AZ82)</f>
        <v>18609.44</v>
      </c>
      <c r="Z82" s="24">
        <f>SUM(AS82:AZ82)</f>
        <v>18609.44</v>
      </c>
      <c r="AA82" s="24">
        <f>SUM(AT82:AZ82)</f>
        <v>18609.44</v>
      </c>
      <c r="AB82" s="24">
        <f>SUM(AU82:AZ82)</f>
        <v>18609.44</v>
      </c>
      <c r="AC82" s="24">
        <f>SUM(AV82:AZ82)</f>
        <v>18609.44</v>
      </c>
      <c r="AD82" s="24">
        <f>SUM(AW82:AZ82)</f>
        <v>18609.44</v>
      </c>
      <c r="AE82" s="24">
        <f>SUM(AX82:AZ82)</f>
        <v>18609.44</v>
      </c>
      <c r="AF82" s="24">
        <f>SUM(AY82:AZ82)</f>
        <v>12199.55</v>
      </c>
      <c r="AG82" s="24">
        <f>SUM(AZ82:AZ82)</f>
        <v>6409.96</v>
      </c>
      <c r="AH82" s="38">
        <v>0</v>
      </c>
      <c r="AI82" s="38">
        <v>0</v>
      </c>
      <c r="AJ82" s="13" t="s">
        <v>63</v>
      </c>
      <c r="AK82" s="43" t="s">
        <v>86</v>
      </c>
      <c r="AL82" s="43" t="s">
        <v>63</v>
      </c>
      <c r="AM82" s="43" t="s">
        <v>63</v>
      </c>
      <c r="AN82" s="7"/>
      <c r="AO82" s="24">
        <v>0</v>
      </c>
      <c r="AP82" s="24">
        <v>0</v>
      </c>
      <c r="AQ82" s="24">
        <v>0</v>
      </c>
      <c r="AR82" s="24">
        <v>0</v>
      </c>
      <c r="AS82" s="24">
        <v>0</v>
      </c>
      <c r="AT82" s="24">
        <v>0</v>
      </c>
      <c r="AU82" s="24">
        <v>0</v>
      </c>
      <c r="AV82" s="24">
        <v>0</v>
      </c>
      <c r="AW82" s="24">
        <v>0</v>
      </c>
      <c r="AX82" s="24">
        <v>6409.89</v>
      </c>
      <c r="AY82" s="24">
        <v>5789.59</v>
      </c>
      <c r="AZ82" s="24">
        <v>6409.96</v>
      </c>
      <c r="BA82" s="54">
        <v>15477.62</v>
      </c>
      <c r="BB82" s="25">
        <v>0</v>
      </c>
      <c r="BC82" s="62">
        <v>0</v>
      </c>
      <c r="BD82" s="49" t="s">
        <v>63</v>
      </c>
    </row>
    <row r="83" ht="15" spans="1:56">
      <c r="A83" s="10"/>
      <c r="B83" s="10"/>
      <c r="C83" s="10"/>
      <c r="D83" s="10"/>
      <c r="E83" s="10"/>
      <c r="F83" s="10"/>
      <c r="G83" s="10"/>
      <c r="H83" s="10"/>
      <c r="I83" s="10"/>
      <c r="J83" s="10"/>
      <c r="K83" s="10"/>
      <c r="L83" s="10"/>
      <c r="M83" s="10"/>
      <c r="N83" s="10"/>
      <c r="O83" s="10"/>
      <c r="P83" s="10"/>
      <c r="Q83" s="10"/>
      <c r="R83" s="26" t="s">
        <v>10</v>
      </c>
      <c r="S83" s="24">
        <v>34151.4</v>
      </c>
      <c r="T83" s="24">
        <f>SUM(AO83:BC83)</f>
        <v>19659.83</v>
      </c>
      <c r="U83" s="25">
        <f>SUM(BA83:BC83)</f>
        <v>0</v>
      </c>
      <c r="V83" s="24">
        <f>SUM(AO83:AZ83)</f>
        <v>19659.83</v>
      </c>
      <c r="W83" s="24">
        <f>SUM(AP83:AZ83)</f>
        <v>19659.83</v>
      </c>
      <c r="X83" s="24">
        <f>SUM(AQ83:AZ83)</f>
        <v>19659.83</v>
      </c>
      <c r="Y83" s="24">
        <f>SUM(AR83:AZ83)</f>
        <v>19659.83</v>
      </c>
      <c r="Z83" s="24">
        <f>SUM(AS83:AZ83)</f>
        <v>19659.83</v>
      </c>
      <c r="AA83" s="24">
        <f>SUM(AT83:AZ83)</f>
        <v>19659.83</v>
      </c>
      <c r="AB83" s="24">
        <f>SUM(AU83:AZ83)</f>
        <v>19659.83</v>
      </c>
      <c r="AC83" s="24">
        <f>SUM(AV83:AZ83)</f>
        <v>19659.83</v>
      </c>
      <c r="AD83" s="24">
        <f>SUM(AW83:AZ83)</f>
        <v>19659.83</v>
      </c>
      <c r="AE83" s="24">
        <f>SUM(AX83:AZ83)</f>
        <v>19659.83</v>
      </c>
      <c r="AF83" s="24">
        <f>SUM(AY83:AZ83)</f>
        <v>19659.83</v>
      </c>
      <c r="AG83" s="24">
        <f>SUM(AZ83:AZ83)</f>
        <v>19659.83</v>
      </c>
      <c r="AH83" s="38">
        <v>0</v>
      </c>
      <c r="AI83" s="38">
        <v>0</v>
      </c>
      <c r="AJ83" s="10"/>
      <c r="AK83" s="10"/>
      <c r="AL83" s="10"/>
      <c r="AM83" s="10"/>
      <c r="AN83" s="10"/>
      <c r="AO83" s="24">
        <v>0</v>
      </c>
      <c r="AP83" s="24">
        <v>0</v>
      </c>
      <c r="AQ83" s="24">
        <v>0</v>
      </c>
      <c r="AR83" s="24">
        <v>0</v>
      </c>
      <c r="AS83" s="24">
        <v>0</v>
      </c>
      <c r="AT83" s="24">
        <v>0</v>
      </c>
      <c r="AU83" s="24">
        <v>0</v>
      </c>
      <c r="AV83" s="24">
        <v>0</v>
      </c>
      <c r="AW83" s="24">
        <v>0</v>
      </c>
      <c r="AX83" s="24">
        <v>0</v>
      </c>
      <c r="AY83" s="24">
        <v>0</v>
      </c>
      <c r="AZ83" s="24">
        <v>19659.83</v>
      </c>
      <c r="BA83" s="54">
        <v>0</v>
      </c>
      <c r="BB83" s="25">
        <v>0</v>
      </c>
      <c r="BC83" s="62">
        <v>0</v>
      </c>
      <c r="BD83" s="49" t="s">
        <v>63</v>
      </c>
    </row>
    <row r="84" ht="15" spans="1:56">
      <c r="A84" s="10"/>
      <c r="B84" s="10"/>
      <c r="C84" s="10"/>
      <c r="D84" s="10"/>
      <c r="E84" s="10"/>
      <c r="F84" s="10"/>
      <c r="G84" s="10"/>
      <c r="H84" s="10"/>
      <c r="I84" s="10"/>
      <c r="J84" s="10"/>
      <c r="K84" s="10"/>
      <c r="L84" s="10"/>
      <c r="M84" s="10"/>
      <c r="N84" s="10"/>
      <c r="O84" s="10"/>
      <c r="P84" s="10"/>
      <c r="Q84" s="10"/>
      <c r="R84" s="26" t="s">
        <v>11</v>
      </c>
      <c r="S84" s="24">
        <v>0</v>
      </c>
      <c r="T84" s="24">
        <f>SUM(AO84:BC84)</f>
        <v>0</v>
      </c>
      <c r="U84" s="25">
        <f>SUM(BA84:BC84)</f>
        <v>0</v>
      </c>
      <c r="V84" s="24">
        <v>0</v>
      </c>
      <c r="W84" s="24">
        <v>0</v>
      </c>
      <c r="X84" s="24">
        <v>0</v>
      </c>
      <c r="Y84" s="24">
        <v>0</v>
      </c>
      <c r="Z84" s="24">
        <v>0</v>
      </c>
      <c r="AA84" s="24">
        <v>0</v>
      </c>
      <c r="AB84" s="24">
        <v>0</v>
      </c>
      <c r="AC84" s="24">
        <v>0</v>
      </c>
      <c r="AD84" s="24">
        <v>0</v>
      </c>
      <c r="AE84" s="24">
        <v>0</v>
      </c>
      <c r="AF84" s="24">
        <v>0</v>
      </c>
      <c r="AG84" s="24">
        <v>0</v>
      </c>
      <c r="AH84" s="38">
        <v>0</v>
      </c>
      <c r="AI84" s="38">
        <v>0</v>
      </c>
      <c r="AJ84" s="10"/>
      <c r="AK84" s="10"/>
      <c r="AL84" s="10"/>
      <c r="AM84" s="10"/>
      <c r="AN84" s="10"/>
      <c r="AO84" s="24">
        <v>0</v>
      </c>
      <c r="AP84" s="24">
        <v>0</v>
      </c>
      <c r="AQ84" s="24">
        <v>0</v>
      </c>
      <c r="AR84" s="24">
        <v>0</v>
      </c>
      <c r="AS84" s="24">
        <v>0</v>
      </c>
      <c r="AT84" s="24">
        <v>0</v>
      </c>
      <c r="AU84" s="24">
        <v>0</v>
      </c>
      <c r="AV84" s="24">
        <v>0</v>
      </c>
      <c r="AW84" s="24">
        <v>0</v>
      </c>
      <c r="AX84" s="24">
        <v>0</v>
      </c>
      <c r="AY84" s="24">
        <v>0</v>
      </c>
      <c r="AZ84" s="24">
        <v>0</v>
      </c>
      <c r="BA84" s="54">
        <v>0</v>
      </c>
      <c r="BB84" s="25">
        <v>0</v>
      </c>
      <c r="BC84" s="62">
        <v>0</v>
      </c>
      <c r="BD84" s="49" t="s">
        <v>63</v>
      </c>
    </row>
    <row r="85" ht="15" spans="1:56">
      <c r="A85" s="10"/>
      <c r="B85" s="10"/>
      <c r="C85" s="10"/>
      <c r="D85" s="10"/>
      <c r="E85" s="10"/>
      <c r="F85" s="10"/>
      <c r="G85" s="10"/>
      <c r="H85" s="10"/>
      <c r="I85" s="10"/>
      <c r="J85" s="10"/>
      <c r="K85" s="10"/>
      <c r="L85" s="10"/>
      <c r="M85" s="10"/>
      <c r="N85" s="10"/>
      <c r="O85" s="10"/>
      <c r="P85" s="10"/>
      <c r="Q85" s="10"/>
      <c r="R85" s="26" t="s">
        <v>12</v>
      </c>
      <c r="S85" s="24">
        <v>0</v>
      </c>
      <c r="T85" s="24">
        <f>SUM(AO85:BC85)</f>
        <v>0</v>
      </c>
      <c r="U85" s="25">
        <f>SUM(BA85:BC85)</f>
        <v>0</v>
      </c>
      <c r="V85" s="24">
        <f>SUM(AO85:AZ85)</f>
        <v>0</v>
      </c>
      <c r="W85" s="24">
        <f>SUM(AP85:AZ85)</f>
        <v>0</v>
      </c>
      <c r="X85" s="24">
        <f>SUM(AQ85:AZ85)</f>
        <v>0</v>
      </c>
      <c r="Y85" s="24">
        <f>SUM(AR85:AZ85)</f>
        <v>0</v>
      </c>
      <c r="Z85" s="24">
        <f>SUM(AS85:AZ85)</f>
        <v>0</v>
      </c>
      <c r="AA85" s="24">
        <f>SUM(AT85:AZ85)</f>
        <v>0</v>
      </c>
      <c r="AB85" s="24">
        <f>SUM(AU85:AZ85)</f>
        <v>0</v>
      </c>
      <c r="AC85" s="24">
        <f>SUM(AV85:AZ85)</f>
        <v>0</v>
      </c>
      <c r="AD85" s="24">
        <f>SUM(AW85:AZ85)</f>
        <v>0</v>
      </c>
      <c r="AE85" s="24">
        <f>SUM(AX85:AZ85)</f>
        <v>0</v>
      </c>
      <c r="AF85" s="24">
        <f>SUM(AY85:AZ85)</f>
        <v>0</v>
      </c>
      <c r="AG85" s="24">
        <f>SUM(AZ85:AZ85)</f>
        <v>0</v>
      </c>
      <c r="AH85" s="38">
        <v>0</v>
      </c>
      <c r="AI85" s="38">
        <v>0</v>
      </c>
      <c r="AJ85" s="10"/>
      <c r="AK85" s="10"/>
      <c r="AL85" s="10"/>
      <c r="AM85" s="10"/>
      <c r="AN85" s="10"/>
      <c r="AO85" s="24">
        <v>0</v>
      </c>
      <c r="AP85" s="24">
        <v>0</v>
      </c>
      <c r="AQ85" s="24">
        <v>0</v>
      </c>
      <c r="AR85" s="24">
        <v>0</v>
      </c>
      <c r="AS85" s="24">
        <v>0</v>
      </c>
      <c r="AT85" s="24">
        <v>0</v>
      </c>
      <c r="AU85" s="24">
        <v>0</v>
      </c>
      <c r="AV85" s="24">
        <v>0</v>
      </c>
      <c r="AW85" s="24">
        <v>0</v>
      </c>
      <c r="AX85" s="24">
        <v>0</v>
      </c>
      <c r="AY85" s="24">
        <v>0</v>
      </c>
      <c r="AZ85" s="24">
        <v>0</v>
      </c>
      <c r="BA85" s="54">
        <v>0</v>
      </c>
      <c r="BB85" s="25">
        <v>0</v>
      </c>
      <c r="BC85" s="62">
        <v>0</v>
      </c>
      <c r="BD85" s="49" t="s">
        <v>63</v>
      </c>
    </row>
    <row r="86" ht="15" spans="1:56">
      <c r="A86" s="10"/>
      <c r="B86" s="10"/>
      <c r="C86" s="10"/>
      <c r="D86" s="10"/>
      <c r="E86" s="10"/>
      <c r="F86" s="10"/>
      <c r="G86" s="10"/>
      <c r="H86" s="10"/>
      <c r="I86" s="10"/>
      <c r="J86" s="10"/>
      <c r="K86" s="10"/>
      <c r="L86" s="10"/>
      <c r="M86" s="10"/>
      <c r="N86" s="10"/>
      <c r="O86" s="10"/>
      <c r="P86" s="10"/>
      <c r="Q86" s="10"/>
      <c r="R86" s="26" t="s">
        <v>13</v>
      </c>
      <c r="S86" s="24">
        <v>29037</v>
      </c>
      <c r="T86" s="24">
        <f>SUM(AO86:BC86)</f>
        <v>4849.73</v>
      </c>
      <c r="U86" s="25">
        <f>SUM(BA86:BC86)</f>
        <v>-56.65</v>
      </c>
      <c r="V86" s="24">
        <f>SUM(AO86:AZ86)</f>
        <v>4906.38</v>
      </c>
      <c r="W86" s="24">
        <f>SUM(AP86:AZ86)</f>
        <v>4906.38</v>
      </c>
      <c r="X86" s="24">
        <f>SUM(AQ86:AZ86)</f>
        <v>4906.38</v>
      </c>
      <c r="Y86" s="24">
        <f>SUM(AR86:AZ86)</f>
        <v>4906.38</v>
      </c>
      <c r="Z86" s="24">
        <f>SUM(AS86:AZ86)</f>
        <v>4906.38</v>
      </c>
      <c r="AA86" s="24">
        <f>SUM(AT86:AZ86)</f>
        <v>4906.38</v>
      </c>
      <c r="AB86" s="24">
        <f>SUM(AU86:AZ86)</f>
        <v>4906.38</v>
      </c>
      <c r="AC86" s="24">
        <f>SUM(AV86:AZ86)</f>
        <v>4906.38</v>
      </c>
      <c r="AD86" s="24">
        <f>SUM(AW86:AZ86)</f>
        <v>4906.38</v>
      </c>
      <c r="AE86" s="24">
        <f>SUM(AX86:AZ86)</f>
        <v>4906.38</v>
      </c>
      <c r="AF86" s="24">
        <f>SUM(AY86:AZ86)</f>
        <v>4963.24</v>
      </c>
      <c r="AG86" s="24">
        <f>SUM(AZ86:AZ86)</f>
        <v>-69.06</v>
      </c>
      <c r="AH86" s="38">
        <v>0</v>
      </c>
      <c r="AI86" s="38">
        <v>0</v>
      </c>
      <c r="AJ86" s="10"/>
      <c r="AK86" s="10"/>
      <c r="AL86" s="10"/>
      <c r="AM86" s="10"/>
      <c r="AN86" s="10"/>
      <c r="AO86" s="24">
        <v>0</v>
      </c>
      <c r="AP86" s="24">
        <v>0</v>
      </c>
      <c r="AQ86" s="24">
        <v>0</v>
      </c>
      <c r="AR86" s="24">
        <v>0</v>
      </c>
      <c r="AS86" s="24">
        <v>0</v>
      </c>
      <c r="AT86" s="24">
        <v>0</v>
      </c>
      <c r="AU86" s="24">
        <v>0</v>
      </c>
      <c r="AV86" s="24">
        <v>0</v>
      </c>
      <c r="AW86" s="24">
        <v>0</v>
      </c>
      <c r="AX86" s="24">
        <v>-56.86</v>
      </c>
      <c r="AY86" s="24">
        <v>5032.3</v>
      </c>
      <c r="AZ86" s="24">
        <v>-69.06</v>
      </c>
      <c r="BA86" s="54">
        <v>-56.65</v>
      </c>
      <c r="BB86" s="25">
        <v>0</v>
      </c>
      <c r="BC86" s="62">
        <v>0</v>
      </c>
      <c r="BD86" s="49" t="s">
        <v>63</v>
      </c>
    </row>
    <row r="87" ht="15" spans="1:56">
      <c r="A87" s="10"/>
      <c r="B87" s="10"/>
      <c r="C87" s="10"/>
      <c r="D87" s="10"/>
      <c r="E87" s="10"/>
      <c r="F87" s="10"/>
      <c r="G87" s="10"/>
      <c r="H87" s="10"/>
      <c r="I87" s="10"/>
      <c r="J87" s="10"/>
      <c r="K87" s="10"/>
      <c r="L87" s="10"/>
      <c r="M87" s="10"/>
      <c r="N87" s="10"/>
      <c r="O87" s="10"/>
      <c r="P87" s="10"/>
      <c r="Q87" s="10"/>
      <c r="R87" s="26" t="s">
        <v>14</v>
      </c>
      <c r="S87" s="27">
        <f t="shared" ref="S87:AI87" si="80">SUM(S83:S86)</f>
        <v>63188.4</v>
      </c>
      <c r="T87" s="27">
        <f t="shared" si="80"/>
        <v>24509.56</v>
      </c>
      <c r="U87" s="28">
        <f t="shared" si="80"/>
        <v>-56.65</v>
      </c>
      <c r="V87" s="27">
        <f t="shared" si="80"/>
        <v>24566.21</v>
      </c>
      <c r="W87" s="27">
        <f t="shared" si="80"/>
        <v>24566.21</v>
      </c>
      <c r="X87" s="27">
        <f t="shared" si="80"/>
        <v>24566.21</v>
      </c>
      <c r="Y87" s="27">
        <f t="shared" si="80"/>
        <v>24566.21</v>
      </c>
      <c r="Z87" s="27">
        <f t="shared" si="80"/>
        <v>24566.21</v>
      </c>
      <c r="AA87" s="27">
        <f t="shared" si="80"/>
        <v>24566.21</v>
      </c>
      <c r="AB87" s="27">
        <f t="shared" si="80"/>
        <v>24566.21</v>
      </c>
      <c r="AC87" s="27">
        <f t="shared" si="80"/>
        <v>24566.21</v>
      </c>
      <c r="AD87" s="27">
        <f t="shared" si="80"/>
        <v>24566.21</v>
      </c>
      <c r="AE87" s="27">
        <f t="shared" si="80"/>
        <v>24566.21</v>
      </c>
      <c r="AF87" s="27">
        <f t="shared" si="80"/>
        <v>24623.07</v>
      </c>
      <c r="AG87" s="27">
        <f t="shared" si="80"/>
        <v>19590.77</v>
      </c>
      <c r="AH87" s="27">
        <f t="shared" si="80"/>
        <v>0</v>
      </c>
      <c r="AI87" s="27">
        <f t="shared" si="80"/>
        <v>0</v>
      </c>
      <c r="AJ87" s="10"/>
      <c r="AK87" s="10"/>
      <c r="AL87" s="10"/>
      <c r="AM87" s="10"/>
      <c r="AN87" s="10"/>
      <c r="AO87" s="27">
        <f t="shared" ref="AO87:AX87" si="81">SUM(AO83:AO86)</f>
        <v>0</v>
      </c>
      <c r="AP87" s="27">
        <f t="shared" si="81"/>
        <v>0</v>
      </c>
      <c r="AQ87" s="27">
        <f t="shared" si="81"/>
        <v>0</v>
      </c>
      <c r="AR87" s="27">
        <f t="shared" si="81"/>
        <v>0</v>
      </c>
      <c r="AS87" s="27">
        <f t="shared" si="81"/>
        <v>0</v>
      </c>
      <c r="AT87" s="27">
        <f t="shared" si="81"/>
        <v>0</v>
      </c>
      <c r="AU87" s="27">
        <f t="shared" si="81"/>
        <v>0</v>
      </c>
      <c r="AV87" s="27">
        <f t="shared" si="81"/>
        <v>0</v>
      </c>
      <c r="AW87" s="27">
        <f t="shared" si="81"/>
        <v>0</v>
      </c>
      <c r="AX87" s="27">
        <f t="shared" si="81"/>
        <v>-56.86</v>
      </c>
      <c r="AY87" s="27">
        <v>-63.27</v>
      </c>
      <c r="AZ87" s="27">
        <f>SUM(AZ83:AZ86)</f>
        <v>19590.77</v>
      </c>
      <c r="BA87" s="56">
        <v>-56.65</v>
      </c>
      <c r="BB87" s="28">
        <f>SUM(BB83:BB86)</f>
        <v>0</v>
      </c>
      <c r="BC87" s="60">
        <f>SUM(BC83:BC86)</f>
        <v>0</v>
      </c>
      <c r="BD87" s="50" t="s">
        <v>63</v>
      </c>
    </row>
    <row r="88" ht="15" spans="1:56">
      <c r="A88" s="10"/>
      <c r="B88" s="10"/>
      <c r="C88" s="10"/>
      <c r="D88" s="10"/>
      <c r="E88" s="10"/>
      <c r="F88" s="10"/>
      <c r="G88" s="10"/>
      <c r="H88" s="10"/>
      <c r="I88" s="10"/>
      <c r="J88" s="10"/>
      <c r="K88" s="10"/>
      <c r="L88" s="10"/>
      <c r="M88" s="10"/>
      <c r="N88" s="10"/>
      <c r="O88" s="10"/>
      <c r="P88" s="10"/>
      <c r="Q88" s="10"/>
      <c r="R88" s="26" t="s">
        <v>15</v>
      </c>
      <c r="S88" s="24">
        <f t="shared" ref="S88:AG88" si="82">S82-S83</f>
        <v>41320.3</v>
      </c>
      <c r="T88" s="24">
        <f t="shared" si="82"/>
        <v>14427.23</v>
      </c>
      <c r="U88" s="25">
        <f t="shared" si="82"/>
        <v>15477.62</v>
      </c>
      <c r="V88" s="24">
        <f t="shared" si="82"/>
        <v>-1050.39</v>
      </c>
      <c r="W88" s="24">
        <f t="shared" si="82"/>
        <v>-1050.39</v>
      </c>
      <c r="X88" s="24">
        <f t="shared" si="82"/>
        <v>-1050.39</v>
      </c>
      <c r="Y88" s="24">
        <f t="shared" si="82"/>
        <v>-1050.39</v>
      </c>
      <c r="Z88" s="24">
        <f t="shared" si="82"/>
        <v>-1050.39</v>
      </c>
      <c r="AA88" s="24">
        <f t="shared" si="82"/>
        <v>-1050.39</v>
      </c>
      <c r="AB88" s="24">
        <f t="shared" si="82"/>
        <v>-1050.39</v>
      </c>
      <c r="AC88" s="24">
        <f t="shared" si="82"/>
        <v>-1050.39</v>
      </c>
      <c r="AD88" s="24">
        <f t="shared" si="82"/>
        <v>-1050.39</v>
      </c>
      <c r="AE88" s="24">
        <f t="shared" si="82"/>
        <v>-1050.39</v>
      </c>
      <c r="AF88" s="24">
        <f t="shared" si="82"/>
        <v>-7460.28</v>
      </c>
      <c r="AG88" s="24">
        <f t="shared" si="82"/>
        <v>-13249.87</v>
      </c>
      <c r="AH88" s="41">
        <v>0</v>
      </c>
      <c r="AI88" s="41">
        <v>0</v>
      </c>
      <c r="AJ88" s="10"/>
      <c r="AK88" s="10"/>
      <c r="AL88" s="10"/>
      <c r="AM88" s="10"/>
      <c r="AN88" s="10"/>
      <c r="AO88" s="24">
        <f t="shared" ref="AO88:AZ88" si="83">AO82-AO83</f>
        <v>0</v>
      </c>
      <c r="AP88" s="24">
        <f t="shared" si="83"/>
        <v>0</v>
      </c>
      <c r="AQ88" s="24">
        <f t="shared" si="83"/>
        <v>0</v>
      </c>
      <c r="AR88" s="24">
        <f t="shared" si="83"/>
        <v>0</v>
      </c>
      <c r="AS88" s="24">
        <f t="shared" si="83"/>
        <v>0</v>
      </c>
      <c r="AT88" s="24">
        <f t="shared" si="83"/>
        <v>0</v>
      </c>
      <c r="AU88" s="24">
        <f t="shared" si="83"/>
        <v>0</v>
      </c>
      <c r="AV88" s="24">
        <f t="shared" si="83"/>
        <v>0</v>
      </c>
      <c r="AW88" s="24">
        <f t="shared" si="83"/>
        <v>0</v>
      </c>
      <c r="AX88" s="24">
        <f t="shared" si="83"/>
        <v>6409.89</v>
      </c>
      <c r="AY88" s="24">
        <f t="shared" si="83"/>
        <v>5789.59</v>
      </c>
      <c r="AZ88" s="24">
        <f t="shared" si="83"/>
        <v>-13249.87</v>
      </c>
      <c r="BA88" s="57">
        <v>15477.62</v>
      </c>
      <c r="BB88" s="28">
        <v>0</v>
      </c>
      <c r="BC88" s="62">
        <v>0</v>
      </c>
      <c r="BD88" s="49" t="s">
        <v>63</v>
      </c>
    </row>
    <row r="89" ht="15" spans="1:56">
      <c r="A89" s="10"/>
      <c r="B89" s="10"/>
      <c r="C89" s="10"/>
      <c r="D89" s="10"/>
      <c r="E89" s="10"/>
      <c r="F89" s="10"/>
      <c r="G89" s="10"/>
      <c r="H89" s="10"/>
      <c r="I89" s="10"/>
      <c r="J89" s="10"/>
      <c r="K89" s="10"/>
      <c r="L89" s="10"/>
      <c r="M89" s="10"/>
      <c r="N89" s="10"/>
      <c r="O89" s="10"/>
      <c r="P89" s="10"/>
      <c r="Q89" s="10"/>
      <c r="R89" s="29" t="s">
        <v>16</v>
      </c>
      <c r="S89" s="30">
        <f t="shared" ref="S89:AG89" si="84">S88/S82</f>
        <v>0.547493961312651</v>
      </c>
      <c r="T89" s="30">
        <f t="shared" si="84"/>
        <v>0.423246534022001</v>
      </c>
      <c r="U89" s="31">
        <f t="shared" si="84"/>
        <v>1</v>
      </c>
      <c r="V89" s="30">
        <f t="shared" si="84"/>
        <v>-0.056443933831432</v>
      </c>
      <c r="W89" s="30">
        <f t="shared" si="84"/>
        <v>-0.056443933831432</v>
      </c>
      <c r="X89" s="30">
        <f t="shared" si="84"/>
        <v>-0.056443933831432</v>
      </c>
      <c r="Y89" s="30">
        <f t="shared" si="84"/>
        <v>-0.056443933831432</v>
      </c>
      <c r="Z89" s="30">
        <f t="shared" si="84"/>
        <v>-0.056443933831432</v>
      </c>
      <c r="AA89" s="30">
        <f t="shared" si="84"/>
        <v>-0.056443933831432</v>
      </c>
      <c r="AB89" s="30">
        <f t="shared" si="84"/>
        <v>-0.056443933831432</v>
      </c>
      <c r="AC89" s="30">
        <f t="shared" si="84"/>
        <v>-0.056443933831432</v>
      </c>
      <c r="AD89" s="30">
        <f t="shared" si="84"/>
        <v>-0.056443933831432</v>
      </c>
      <c r="AE89" s="30">
        <f t="shared" si="84"/>
        <v>-0.056443933831432</v>
      </c>
      <c r="AF89" s="30">
        <f t="shared" si="84"/>
        <v>-0.611520916755126</v>
      </c>
      <c r="AG89" s="30">
        <f t="shared" si="84"/>
        <v>-2.06707530156194</v>
      </c>
      <c r="AH89" s="42">
        <f>T89-S89</f>
        <v>-0.12424742729065</v>
      </c>
      <c r="AI89" s="42">
        <f>AF89-S89</f>
        <v>-1.15901487806778</v>
      </c>
      <c r="AJ89" s="10"/>
      <c r="AK89" s="10"/>
      <c r="AL89" s="10"/>
      <c r="AM89" s="10"/>
      <c r="AN89" s="10"/>
      <c r="AO89" s="30" t="e">
        <f t="shared" ref="AO89:AZ89" si="85">AO88/AO82</f>
        <v>#DIV/0!</v>
      </c>
      <c r="AP89" s="30" t="e">
        <f t="shared" si="85"/>
        <v>#DIV/0!</v>
      </c>
      <c r="AQ89" s="30" t="e">
        <f t="shared" si="85"/>
        <v>#DIV/0!</v>
      </c>
      <c r="AR89" s="30" t="e">
        <f t="shared" si="85"/>
        <v>#DIV/0!</v>
      </c>
      <c r="AS89" s="30" t="e">
        <f t="shared" si="85"/>
        <v>#DIV/0!</v>
      </c>
      <c r="AT89" s="30" t="e">
        <f t="shared" si="85"/>
        <v>#DIV/0!</v>
      </c>
      <c r="AU89" s="30" t="e">
        <f t="shared" si="85"/>
        <v>#DIV/0!</v>
      </c>
      <c r="AV89" s="30" t="e">
        <f t="shared" si="85"/>
        <v>#DIV/0!</v>
      </c>
      <c r="AW89" s="30" t="e">
        <f t="shared" si="85"/>
        <v>#DIV/0!</v>
      </c>
      <c r="AX89" s="30">
        <f t="shared" si="85"/>
        <v>1</v>
      </c>
      <c r="AY89" s="30">
        <f t="shared" si="85"/>
        <v>1</v>
      </c>
      <c r="AZ89" s="30">
        <f t="shared" si="85"/>
        <v>-2.06707530156194</v>
      </c>
      <c r="BA89" s="58">
        <v>1</v>
      </c>
      <c r="BB89" s="52">
        <v>0</v>
      </c>
      <c r="BC89" s="62">
        <v>0</v>
      </c>
      <c r="BD89" s="49" t="s">
        <v>63</v>
      </c>
    </row>
    <row r="90" ht="15" spans="1:56">
      <c r="A90" s="10"/>
      <c r="B90" s="10"/>
      <c r="C90" s="10"/>
      <c r="D90" s="10"/>
      <c r="E90" s="10"/>
      <c r="F90" s="10"/>
      <c r="G90" s="10"/>
      <c r="H90" s="10"/>
      <c r="I90" s="10"/>
      <c r="J90" s="10"/>
      <c r="K90" s="10"/>
      <c r="L90" s="10"/>
      <c r="M90" s="10"/>
      <c r="N90" s="10"/>
      <c r="O90" s="10"/>
      <c r="P90" s="10"/>
      <c r="Q90" s="10"/>
      <c r="R90" s="26" t="s">
        <v>17</v>
      </c>
      <c r="S90" s="24">
        <f t="shared" ref="S90:AG90" si="86">S82-S87</f>
        <v>12283.3</v>
      </c>
      <c r="T90" s="24">
        <f t="shared" si="86"/>
        <v>9577.5</v>
      </c>
      <c r="U90" s="24">
        <f t="shared" si="86"/>
        <v>15534.27</v>
      </c>
      <c r="V90" s="24">
        <f t="shared" si="86"/>
        <v>-5956.77</v>
      </c>
      <c r="W90" s="24">
        <f t="shared" si="86"/>
        <v>-5956.77</v>
      </c>
      <c r="X90" s="24">
        <f t="shared" si="86"/>
        <v>-5956.77</v>
      </c>
      <c r="Y90" s="24">
        <f t="shared" si="86"/>
        <v>-5956.77</v>
      </c>
      <c r="Z90" s="24">
        <f t="shared" si="86"/>
        <v>-5956.77</v>
      </c>
      <c r="AA90" s="24">
        <f t="shared" si="86"/>
        <v>-5956.77</v>
      </c>
      <c r="AB90" s="24">
        <f t="shared" si="86"/>
        <v>-5956.77</v>
      </c>
      <c r="AC90" s="24">
        <f t="shared" si="86"/>
        <v>-5956.77</v>
      </c>
      <c r="AD90" s="24">
        <f t="shared" si="86"/>
        <v>-5956.77</v>
      </c>
      <c r="AE90" s="24">
        <f t="shared" si="86"/>
        <v>-5956.77</v>
      </c>
      <c r="AF90" s="24">
        <f t="shared" si="86"/>
        <v>-12423.52</v>
      </c>
      <c r="AG90" s="24">
        <f t="shared" si="86"/>
        <v>-13180.81</v>
      </c>
      <c r="AH90" s="42">
        <v>0</v>
      </c>
      <c r="AI90" s="42">
        <v>0</v>
      </c>
      <c r="AJ90" s="10"/>
      <c r="AK90" s="10"/>
      <c r="AL90" s="10"/>
      <c r="AM90" s="10"/>
      <c r="AN90" s="10"/>
      <c r="AO90" s="24">
        <f t="shared" ref="AO90:BC90" si="87">AO82-AO87</f>
        <v>0</v>
      </c>
      <c r="AP90" s="24">
        <f t="shared" si="87"/>
        <v>0</v>
      </c>
      <c r="AQ90" s="24">
        <f t="shared" si="87"/>
        <v>0</v>
      </c>
      <c r="AR90" s="24">
        <f t="shared" si="87"/>
        <v>0</v>
      </c>
      <c r="AS90" s="24">
        <f t="shared" si="87"/>
        <v>0</v>
      </c>
      <c r="AT90" s="24">
        <f t="shared" si="87"/>
        <v>0</v>
      </c>
      <c r="AU90" s="24">
        <f t="shared" si="87"/>
        <v>0</v>
      </c>
      <c r="AV90" s="24">
        <f t="shared" si="87"/>
        <v>0</v>
      </c>
      <c r="AW90" s="24">
        <f t="shared" si="87"/>
        <v>0</v>
      </c>
      <c r="AX90" s="24">
        <f t="shared" si="87"/>
        <v>6466.75</v>
      </c>
      <c r="AY90" s="24">
        <f t="shared" si="87"/>
        <v>5852.86</v>
      </c>
      <c r="AZ90" s="24">
        <f t="shared" si="87"/>
        <v>-13180.81</v>
      </c>
      <c r="BA90" s="24">
        <f t="shared" si="87"/>
        <v>15534.27</v>
      </c>
      <c r="BB90" s="24">
        <f t="shared" si="87"/>
        <v>0</v>
      </c>
      <c r="BC90" s="24">
        <f t="shared" si="87"/>
        <v>0</v>
      </c>
      <c r="BD90" s="49" t="s">
        <v>63</v>
      </c>
    </row>
    <row r="91" ht="15" spans="1:56">
      <c r="A91" s="11"/>
      <c r="B91" s="11"/>
      <c r="C91" s="11"/>
      <c r="D91" s="11"/>
      <c r="E91" s="11"/>
      <c r="F91" s="11"/>
      <c r="G91" s="11"/>
      <c r="H91" s="11"/>
      <c r="I91" s="11"/>
      <c r="J91" s="11"/>
      <c r="K91" s="11"/>
      <c r="L91" s="11"/>
      <c r="M91" s="11"/>
      <c r="N91" s="11"/>
      <c r="O91" s="11"/>
      <c r="P91" s="11"/>
      <c r="Q91" s="11"/>
      <c r="R91" s="29" t="s">
        <v>18</v>
      </c>
      <c r="S91" s="30">
        <f t="shared" ref="S91:AG91" si="88">S90/S82</f>
        <v>0.162753720931157</v>
      </c>
      <c r="T91" s="30">
        <f t="shared" si="88"/>
        <v>0.280971723580737</v>
      </c>
      <c r="U91" s="31">
        <f t="shared" si="88"/>
        <v>1.00366012345567</v>
      </c>
      <c r="V91" s="30">
        <f t="shared" si="88"/>
        <v>-0.320093995305609</v>
      </c>
      <c r="W91" s="30">
        <f t="shared" si="88"/>
        <v>-0.320093995305609</v>
      </c>
      <c r="X91" s="30">
        <f t="shared" si="88"/>
        <v>-0.320093995305609</v>
      </c>
      <c r="Y91" s="30">
        <f t="shared" si="88"/>
        <v>-0.320093995305609</v>
      </c>
      <c r="Z91" s="30">
        <f t="shared" si="88"/>
        <v>-0.320093995305609</v>
      </c>
      <c r="AA91" s="30">
        <f t="shared" si="88"/>
        <v>-0.320093995305609</v>
      </c>
      <c r="AB91" s="30">
        <f t="shared" si="88"/>
        <v>-0.320093995305609</v>
      </c>
      <c r="AC91" s="30">
        <f t="shared" si="88"/>
        <v>-0.320093995305609</v>
      </c>
      <c r="AD91" s="30">
        <f t="shared" si="88"/>
        <v>-0.320093995305609</v>
      </c>
      <c r="AE91" s="30">
        <f t="shared" si="88"/>
        <v>-0.320093995305609</v>
      </c>
      <c r="AF91" s="30">
        <f t="shared" si="88"/>
        <v>-1.01835887389289</v>
      </c>
      <c r="AG91" s="30">
        <f t="shared" si="88"/>
        <v>-2.05630144337874</v>
      </c>
      <c r="AH91" s="42">
        <f>T91-S91</f>
        <v>0.11821800264958</v>
      </c>
      <c r="AI91" s="42">
        <f>AF91-S91</f>
        <v>-1.18111259482405</v>
      </c>
      <c r="AJ91" s="11"/>
      <c r="AK91" s="11"/>
      <c r="AL91" s="11"/>
      <c r="AM91" s="11"/>
      <c r="AN91" s="11"/>
      <c r="AO91" s="30" t="e">
        <f t="shared" ref="AO91:AZ91" si="89">AO90/AO82</f>
        <v>#DIV/0!</v>
      </c>
      <c r="AP91" s="30" t="e">
        <f t="shared" si="89"/>
        <v>#DIV/0!</v>
      </c>
      <c r="AQ91" s="30" t="e">
        <f t="shared" si="89"/>
        <v>#DIV/0!</v>
      </c>
      <c r="AR91" s="30" t="e">
        <f t="shared" si="89"/>
        <v>#DIV/0!</v>
      </c>
      <c r="AS91" s="30" t="e">
        <f t="shared" si="89"/>
        <v>#DIV/0!</v>
      </c>
      <c r="AT91" s="30" t="e">
        <f t="shared" si="89"/>
        <v>#DIV/0!</v>
      </c>
      <c r="AU91" s="30" t="e">
        <f t="shared" si="89"/>
        <v>#DIV/0!</v>
      </c>
      <c r="AV91" s="30" t="e">
        <f t="shared" si="89"/>
        <v>#DIV/0!</v>
      </c>
      <c r="AW91" s="30" t="e">
        <f t="shared" si="89"/>
        <v>#DIV/0!</v>
      </c>
      <c r="AX91" s="30">
        <f t="shared" si="89"/>
        <v>1.00887066704733</v>
      </c>
      <c r="AY91" s="30">
        <f t="shared" si="89"/>
        <v>1.01092823498728</v>
      </c>
      <c r="AZ91" s="30">
        <f t="shared" si="89"/>
        <v>-2.05630144337874</v>
      </c>
      <c r="BA91" s="58">
        <v>1.00366012345567</v>
      </c>
      <c r="BB91" s="52">
        <v>0</v>
      </c>
      <c r="BC91" s="62">
        <v>0</v>
      </c>
      <c r="BD91" s="49" t="s">
        <v>63</v>
      </c>
    </row>
    <row r="92" ht="15" spans="1:56">
      <c r="A92" s="12" t="s">
        <v>91</v>
      </c>
      <c r="B92" s="13" t="s">
        <v>92</v>
      </c>
      <c r="C92" s="14">
        <v>46023</v>
      </c>
      <c r="D92" s="14">
        <v>46387</v>
      </c>
      <c r="E92" s="6"/>
      <c r="F92" s="7">
        <v>2</v>
      </c>
      <c r="G92" s="9">
        <v>2</v>
      </c>
      <c r="H92" s="9"/>
      <c r="I92" s="9"/>
      <c r="J92" s="9"/>
      <c r="K92" s="9"/>
      <c r="L92" s="9"/>
      <c r="M92" s="9"/>
      <c r="N92" s="9"/>
      <c r="O92" s="9"/>
      <c r="P92" s="6"/>
      <c r="Q92" s="9" t="s">
        <v>63</v>
      </c>
      <c r="R92" s="32" t="s">
        <v>9</v>
      </c>
      <c r="S92" s="24">
        <v>75471.7</v>
      </c>
      <c r="T92" s="24">
        <f>SUM(AO92:BC92)</f>
        <v>191452.59</v>
      </c>
      <c r="U92" s="25">
        <f>SUM(BA92:BC92)</f>
        <v>0</v>
      </c>
      <c r="V92" s="24">
        <f>SUM(AO92:AZ92)</f>
        <v>191452.59</v>
      </c>
      <c r="W92" s="24">
        <f>SUM(AP92:AZ92)</f>
        <v>191452.59</v>
      </c>
      <c r="X92" s="24">
        <f>SUM(AQ92:AZ92)</f>
        <v>191452.59</v>
      </c>
      <c r="Y92" s="24">
        <f>SUM(AR92:AZ92)</f>
        <v>191452.59</v>
      </c>
      <c r="Z92" s="24">
        <f>SUM(AS92:AZ92)</f>
        <v>191452.59</v>
      </c>
      <c r="AA92" s="24">
        <f>SUM(AT92:AZ92)</f>
        <v>191452.59</v>
      </c>
      <c r="AB92" s="24">
        <f>SUM(AU92:AZ92)</f>
        <v>191452.59</v>
      </c>
      <c r="AC92" s="24">
        <f>SUM(AV92:AZ92)</f>
        <v>191452.59</v>
      </c>
      <c r="AD92" s="24">
        <f>SUM(AW92:AZ92)</f>
        <v>191452.59</v>
      </c>
      <c r="AE92" s="24">
        <f>SUM(AX92:AZ92)</f>
        <v>191452.59</v>
      </c>
      <c r="AF92" s="24">
        <f>SUM(AY92:AZ92)</f>
        <v>125937.54</v>
      </c>
      <c r="AG92" s="24">
        <f>SUM(AZ92:AZ92)</f>
        <v>62991.71</v>
      </c>
      <c r="AH92" s="38">
        <v>0</v>
      </c>
      <c r="AI92" s="38">
        <v>0</v>
      </c>
      <c r="AJ92" s="13" t="s">
        <v>63</v>
      </c>
      <c r="AK92" s="43" t="s">
        <v>63</v>
      </c>
      <c r="AL92" s="43" t="s">
        <v>63</v>
      </c>
      <c r="AM92" s="43" t="s">
        <v>63</v>
      </c>
      <c r="AN92" s="7"/>
      <c r="AO92" s="24">
        <v>0</v>
      </c>
      <c r="AP92" s="24">
        <v>0</v>
      </c>
      <c r="AQ92" s="24">
        <v>0</v>
      </c>
      <c r="AR92" s="24">
        <v>0</v>
      </c>
      <c r="AS92" s="24">
        <v>0</v>
      </c>
      <c r="AT92" s="24">
        <v>0</v>
      </c>
      <c r="AU92" s="24">
        <v>0</v>
      </c>
      <c r="AV92" s="24">
        <v>0</v>
      </c>
      <c r="AW92" s="24">
        <v>0</v>
      </c>
      <c r="AX92" s="24">
        <v>65515.05</v>
      </c>
      <c r="AY92" s="24">
        <v>62945.83</v>
      </c>
      <c r="AZ92" s="24">
        <v>62991.71</v>
      </c>
      <c r="BA92" s="54">
        <v>0</v>
      </c>
      <c r="BB92" s="25">
        <v>0</v>
      </c>
      <c r="BC92" s="62">
        <v>0</v>
      </c>
      <c r="BD92" s="49" t="s">
        <v>63</v>
      </c>
    </row>
    <row r="93" ht="15" spans="1:56">
      <c r="A93" s="10"/>
      <c r="B93" s="10"/>
      <c r="C93" s="10"/>
      <c r="D93" s="10"/>
      <c r="E93" s="10"/>
      <c r="F93" s="10"/>
      <c r="G93" s="10"/>
      <c r="H93" s="10"/>
      <c r="I93" s="10"/>
      <c r="J93" s="10"/>
      <c r="K93" s="10"/>
      <c r="L93" s="10"/>
      <c r="M93" s="10"/>
      <c r="N93" s="10"/>
      <c r="O93" s="10"/>
      <c r="P93" s="10"/>
      <c r="Q93" s="10"/>
      <c r="R93" s="26" t="s">
        <v>10</v>
      </c>
      <c r="S93" s="24">
        <v>34151.4</v>
      </c>
      <c r="T93" s="24">
        <f>SUM(AO93:BC93)</f>
        <v>185576.49</v>
      </c>
      <c r="U93" s="25">
        <f>SUM(BA93:BC93)</f>
        <v>0</v>
      </c>
      <c r="V93" s="24">
        <f>SUM(AO93:AZ93)</f>
        <v>185576.49</v>
      </c>
      <c r="W93" s="24">
        <f>SUM(AP93:AZ93)</f>
        <v>185576.49</v>
      </c>
      <c r="X93" s="24">
        <f>SUM(AQ93:AZ93)</f>
        <v>185576.49</v>
      </c>
      <c r="Y93" s="24">
        <f>SUM(AR93:AZ93)</f>
        <v>185576.49</v>
      </c>
      <c r="Z93" s="24">
        <f>SUM(AS93:AZ93)</f>
        <v>185576.49</v>
      </c>
      <c r="AA93" s="24">
        <f>SUM(AT93:AZ93)</f>
        <v>185576.49</v>
      </c>
      <c r="AB93" s="24">
        <f>SUM(AU93:AZ93)</f>
        <v>185576.49</v>
      </c>
      <c r="AC93" s="24">
        <f>SUM(AV93:AZ93)</f>
        <v>185576.49</v>
      </c>
      <c r="AD93" s="24">
        <f>SUM(AW93:AZ93)</f>
        <v>185576.49</v>
      </c>
      <c r="AE93" s="24">
        <f>SUM(AX93:AZ93)</f>
        <v>185576.49</v>
      </c>
      <c r="AF93" s="24">
        <f>SUM(AY93:AZ93)</f>
        <v>123717.66</v>
      </c>
      <c r="AG93" s="24">
        <f>SUM(AZ93:AZ93)</f>
        <v>61858.83</v>
      </c>
      <c r="AH93" s="38">
        <v>0</v>
      </c>
      <c r="AI93" s="38">
        <v>0</v>
      </c>
      <c r="AJ93" s="10"/>
      <c r="AK93" s="10"/>
      <c r="AL93" s="10"/>
      <c r="AM93" s="10"/>
      <c r="AN93" s="10"/>
      <c r="AO93" s="24">
        <v>0</v>
      </c>
      <c r="AP93" s="24">
        <v>0</v>
      </c>
      <c r="AQ93" s="24">
        <v>0</v>
      </c>
      <c r="AR93" s="24">
        <v>0</v>
      </c>
      <c r="AS93" s="24">
        <v>0</v>
      </c>
      <c r="AT93" s="24">
        <v>0</v>
      </c>
      <c r="AU93" s="24">
        <v>0</v>
      </c>
      <c r="AV93" s="24">
        <v>0</v>
      </c>
      <c r="AW93" s="24">
        <v>0</v>
      </c>
      <c r="AX93" s="24">
        <v>61858.83</v>
      </c>
      <c r="AY93" s="24">
        <v>61858.83</v>
      </c>
      <c r="AZ93" s="24">
        <v>61858.83</v>
      </c>
      <c r="BA93" s="54">
        <v>0</v>
      </c>
      <c r="BB93" s="25">
        <v>0</v>
      </c>
      <c r="BC93" s="62">
        <v>0</v>
      </c>
      <c r="BD93" s="49" t="s">
        <v>63</v>
      </c>
    </row>
    <row r="94" ht="15" spans="1:56">
      <c r="A94" s="10"/>
      <c r="B94" s="10"/>
      <c r="C94" s="10"/>
      <c r="D94" s="10"/>
      <c r="E94" s="10"/>
      <c r="F94" s="10"/>
      <c r="G94" s="10"/>
      <c r="H94" s="10"/>
      <c r="I94" s="10"/>
      <c r="J94" s="10"/>
      <c r="K94" s="10"/>
      <c r="L94" s="10"/>
      <c r="M94" s="10"/>
      <c r="N94" s="10"/>
      <c r="O94" s="10"/>
      <c r="P94" s="10"/>
      <c r="Q94" s="10"/>
      <c r="R94" s="26" t="s">
        <v>11</v>
      </c>
      <c r="S94" s="24">
        <v>0</v>
      </c>
      <c r="T94" s="24">
        <f>SUM(AO94:BC94)</f>
        <v>0</v>
      </c>
      <c r="U94" s="25">
        <f>SUM(BA94:BC94)</f>
        <v>0</v>
      </c>
      <c r="V94" s="24">
        <v>0</v>
      </c>
      <c r="W94" s="24">
        <v>0</v>
      </c>
      <c r="X94" s="24">
        <v>0</v>
      </c>
      <c r="Y94" s="24">
        <v>0</v>
      </c>
      <c r="Z94" s="24">
        <v>0</v>
      </c>
      <c r="AA94" s="24">
        <v>0</v>
      </c>
      <c r="AB94" s="24">
        <v>0</v>
      </c>
      <c r="AC94" s="24">
        <v>0</v>
      </c>
      <c r="AD94" s="24">
        <v>0</v>
      </c>
      <c r="AE94" s="24">
        <v>0</v>
      </c>
      <c r="AF94" s="24">
        <v>0</v>
      </c>
      <c r="AG94" s="24">
        <v>0</v>
      </c>
      <c r="AH94" s="38">
        <v>0</v>
      </c>
      <c r="AI94" s="38">
        <v>0</v>
      </c>
      <c r="AJ94" s="10"/>
      <c r="AK94" s="10"/>
      <c r="AL94" s="10"/>
      <c r="AM94" s="10"/>
      <c r="AN94" s="10"/>
      <c r="AO94" s="24">
        <v>0</v>
      </c>
      <c r="AP94" s="24">
        <v>0</v>
      </c>
      <c r="AQ94" s="24">
        <v>0</v>
      </c>
      <c r="AR94" s="24">
        <v>0</v>
      </c>
      <c r="AS94" s="24">
        <v>0</v>
      </c>
      <c r="AT94" s="24">
        <v>0</v>
      </c>
      <c r="AU94" s="24">
        <v>0</v>
      </c>
      <c r="AV94" s="24">
        <v>0</v>
      </c>
      <c r="AW94" s="24">
        <v>0</v>
      </c>
      <c r="AX94" s="24">
        <v>0</v>
      </c>
      <c r="AY94" s="24">
        <v>0</v>
      </c>
      <c r="AZ94" s="24">
        <v>0</v>
      </c>
      <c r="BA94" s="54">
        <v>0</v>
      </c>
      <c r="BB94" s="25">
        <v>0</v>
      </c>
      <c r="BC94" s="62">
        <v>0</v>
      </c>
      <c r="BD94" s="49" t="s">
        <v>63</v>
      </c>
    </row>
    <row r="95" ht="15" spans="1:56">
      <c r="A95" s="10"/>
      <c r="B95" s="10"/>
      <c r="C95" s="10"/>
      <c r="D95" s="10"/>
      <c r="E95" s="10"/>
      <c r="F95" s="10"/>
      <c r="G95" s="10"/>
      <c r="H95" s="10"/>
      <c r="I95" s="10"/>
      <c r="J95" s="10"/>
      <c r="K95" s="10"/>
      <c r="L95" s="10"/>
      <c r="M95" s="10"/>
      <c r="N95" s="10"/>
      <c r="O95" s="10"/>
      <c r="P95" s="10"/>
      <c r="Q95" s="10"/>
      <c r="R95" s="26" t="s">
        <v>12</v>
      </c>
      <c r="S95" s="24">
        <v>0</v>
      </c>
      <c r="T95" s="24">
        <f>SUM(AO95:BC95)</f>
        <v>0</v>
      </c>
      <c r="U95" s="25">
        <f>SUM(BA95:BC95)</f>
        <v>0</v>
      </c>
      <c r="V95" s="24">
        <f>SUM(AO95:AZ95)</f>
        <v>0</v>
      </c>
      <c r="W95" s="24">
        <f>SUM(AP95:AZ95)</f>
        <v>0</v>
      </c>
      <c r="X95" s="24">
        <f>SUM(AQ95:AZ95)</f>
        <v>0</v>
      </c>
      <c r="Y95" s="24">
        <f>SUM(AR95:AZ95)</f>
        <v>0</v>
      </c>
      <c r="Z95" s="24">
        <f>SUM(AS95:AZ95)</f>
        <v>0</v>
      </c>
      <c r="AA95" s="24">
        <f>SUM(AT95:AZ95)</f>
        <v>0</v>
      </c>
      <c r="AB95" s="24">
        <f>SUM(AU95:AZ95)</f>
        <v>0</v>
      </c>
      <c r="AC95" s="24">
        <f>SUM(AV95:AZ95)</f>
        <v>0</v>
      </c>
      <c r="AD95" s="24">
        <f>SUM(AW95:AZ95)</f>
        <v>0</v>
      </c>
      <c r="AE95" s="24">
        <f>SUM(AX95:AZ95)</f>
        <v>0</v>
      </c>
      <c r="AF95" s="24">
        <f>SUM(AY95:AZ95)</f>
        <v>0</v>
      </c>
      <c r="AG95" s="24">
        <f>SUM(AZ95:AZ95)</f>
        <v>0</v>
      </c>
      <c r="AH95" s="38">
        <v>0</v>
      </c>
      <c r="AI95" s="38">
        <v>0</v>
      </c>
      <c r="AJ95" s="10"/>
      <c r="AK95" s="10"/>
      <c r="AL95" s="10"/>
      <c r="AM95" s="10"/>
      <c r="AN95" s="10"/>
      <c r="AO95" s="24">
        <v>0</v>
      </c>
      <c r="AP95" s="24">
        <v>0</v>
      </c>
      <c r="AQ95" s="24">
        <v>0</v>
      </c>
      <c r="AR95" s="24">
        <v>0</v>
      </c>
      <c r="AS95" s="24">
        <v>0</v>
      </c>
      <c r="AT95" s="24">
        <v>0</v>
      </c>
      <c r="AU95" s="24">
        <v>0</v>
      </c>
      <c r="AV95" s="24">
        <v>0</v>
      </c>
      <c r="AW95" s="24">
        <v>0</v>
      </c>
      <c r="AX95" s="24">
        <v>0</v>
      </c>
      <c r="AY95" s="24">
        <v>0</v>
      </c>
      <c r="AZ95" s="24">
        <v>0</v>
      </c>
      <c r="BA95" s="54">
        <v>0</v>
      </c>
      <c r="BB95" s="25">
        <v>0</v>
      </c>
      <c r="BC95" s="62">
        <v>0</v>
      </c>
      <c r="BD95" s="49" t="s">
        <v>63</v>
      </c>
    </row>
    <row r="96" ht="15" spans="1:56">
      <c r="A96" s="10"/>
      <c r="B96" s="10"/>
      <c r="C96" s="10"/>
      <c r="D96" s="10"/>
      <c r="E96" s="10"/>
      <c r="F96" s="10"/>
      <c r="G96" s="10"/>
      <c r="H96" s="10"/>
      <c r="I96" s="10"/>
      <c r="J96" s="10"/>
      <c r="K96" s="10"/>
      <c r="L96" s="10"/>
      <c r="M96" s="10"/>
      <c r="N96" s="10"/>
      <c r="O96" s="10"/>
      <c r="P96" s="10"/>
      <c r="Q96" s="10"/>
      <c r="R96" s="26" t="s">
        <v>13</v>
      </c>
      <c r="S96" s="24">
        <v>29037</v>
      </c>
      <c r="T96" s="24">
        <f>SUM(AO96:BC96)</f>
        <v>406.27</v>
      </c>
      <c r="U96" s="25">
        <f>SUM(BA96:BC96)</f>
        <v>0</v>
      </c>
      <c r="V96" s="24">
        <f>SUM(AO96:AZ96)</f>
        <v>406.27</v>
      </c>
      <c r="W96" s="24">
        <f>SUM(AP96:AZ96)</f>
        <v>406.27</v>
      </c>
      <c r="X96" s="24">
        <f>SUM(AQ96:AZ96)</f>
        <v>406.27</v>
      </c>
      <c r="Y96" s="24">
        <f>SUM(AR96:AZ96)</f>
        <v>406.27</v>
      </c>
      <c r="Z96" s="24">
        <f>SUM(AS96:AZ96)</f>
        <v>406.27</v>
      </c>
      <c r="AA96" s="24">
        <f>SUM(AT96:AZ96)</f>
        <v>406.27</v>
      </c>
      <c r="AB96" s="24">
        <f>SUM(AU96:AZ96)</f>
        <v>406.27</v>
      </c>
      <c r="AC96" s="24">
        <f>SUM(AV96:AZ96)</f>
        <v>406.27</v>
      </c>
      <c r="AD96" s="24">
        <f>SUM(AW96:AZ96)</f>
        <v>406.27</v>
      </c>
      <c r="AE96" s="24">
        <f>SUM(AX96:AZ96)</f>
        <v>406.27</v>
      </c>
      <c r="AF96" s="24">
        <f>SUM(AY96:AZ96)</f>
        <v>201.79</v>
      </c>
      <c r="AG96" s="24">
        <f>SUM(AZ96:AZ96)</f>
        <v>67.28</v>
      </c>
      <c r="AH96" s="38">
        <v>0</v>
      </c>
      <c r="AI96" s="38">
        <v>0</v>
      </c>
      <c r="AJ96" s="10"/>
      <c r="AK96" s="10"/>
      <c r="AL96" s="10"/>
      <c r="AM96" s="10"/>
      <c r="AN96" s="10"/>
      <c r="AO96" s="24">
        <v>0</v>
      </c>
      <c r="AP96" s="24">
        <v>0</v>
      </c>
      <c r="AQ96" s="24">
        <v>0</v>
      </c>
      <c r="AR96" s="24">
        <v>0</v>
      </c>
      <c r="AS96" s="24">
        <v>0</v>
      </c>
      <c r="AT96" s="24">
        <v>0</v>
      </c>
      <c r="AU96" s="24">
        <v>0</v>
      </c>
      <c r="AV96" s="24">
        <v>0</v>
      </c>
      <c r="AW96" s="24">
        <v>0</v>
      </c>
      <c r="AX96" s="24">
        <v>204.48</v>
      </c>
      <c r="AY96" s="24">
        <v>134.51</v>
      </c>
      <c r="AZ96" s="24">
        <v>67.28</v>
      </c>
      <c r="BA96" s="54">
        <v>0</v>
      </c>
      <c r="BB96" s="25">
        <v>0</v>
      </c>
      <c r="BC96" s="62">
        <v>0</v>
      </c>
      <c r="BD96" s="49" t="s">
        <v>63</v>
      </c>
    </row>
    <row r="97" ht="15" spans="1:56">
      <c r="A97" s="10"/>
      <c r="B97" s="10"/>
      <c r="C97" s="10"/>
      <c r="D97" s="10"/>
      <c r="E97" s="10"/>
      <c r="F97" s="10"/>
      <c r="G97" s="10"/>
      <c r="H97" s="10"/>
      <c r="I97" s="10"/>
      <c r="J97" s="10"/>
      <c r="K97" s="10"/>
      <c r="L97" s="10"/>
      <c r="M97" s="10"/>
      <c r="N97" s="10"/>
      <c r="O97" s="10"/>
      <c r="P97" s="10"/>
      <c r="Q97" s="10"/>
      <c r="R97" s="26" t="s">
        <v>14</v>
      </c>
      <c r="S97" s="27">
        <f t="shared" ref="S97:AG97" si="90">SUM(S93:S96)</f>
        <v>63188.4</v>
      </c>
      <c r="T97" s="27">
        <f t="shared" si="90"/>
        <v>185982.76</v>
      </c>
      <c r="U97" s="28">
        <f t="shared" si="90"/>
        <v>0</v>
      </c>
      <c r="V97" s="27">
        <f t="shared" si="90"/>
        <v>185982.76</v>
      </c>
      <c r="W97" s="27">
        <f t="shared" si="90"/>
        <v>185982.76</v>
      </c>
      <c r="X97" s="27">
        <f t="shared" si="90"/>
        <v>185982.76</v>
      </c>
      <c r="Y97" s="27">
        <f t="shared" si="90"/>
        <v>185982.76</v>
      </c>
      <c r="Z97" s="27">
        <f t="shared" si="90"/>
        <v>185982.76</v>
      </c>
      <c r="AA97" s="27">
        <f t="shared" si="90"/>
        <v>185982.76</v>
      </c>
      <c r="AB97" s="27">
        <f t="shared" si="90"/>
        <v>185982.76</v>
      </c>
      <c r="AC97" s="27">
        <f t="shared" si="90"/>
        <v>185982.76</v>
      </c>
      <c r="AD97" s="27">
        <f t="shared" si="90"/>
        <v>185982.76</v>
      </c>
      <c r="AE97" s="27">
        <f t="shared" si="90"/>
        <v>185982.76</v>
      </c>
      <c r="AF97" s="27">
        <f t="shared" si="90"/>
        <v>123919.45</v>
      </c>
      <c r="AG97" s="27">
        <f t="shared" si="90"/>
        <v>61926.11</v>
      </c>
      <c r="AH97" s="27">
        <v>0</v>
      </c>
      <c r="AI97" s="27">
        <f>SUM(AI93:AI96)</f>
        <v>0</v>
      </c>
      <c r="AJ97" s="10"/>
      <c r="AK97" s="10"/>
      <c r="AL97" s="10"/>
      <c r="AM97" s="10"/>
      <c r="AN97" s="10"/>
      <c r="AO97" s="27">
        <f t="shared" ref="AO97:AX97" si="91">SUM(AO93:AO96)</f>
        <v>0</v>
      </c>
      <c r="AP97" s="27">
        <f t="shared" si="91"/>
        <v>0</v>
      </c>
      <c r="AQ97" s="27">
        <f t="shared" si="91"/>
        <v>0</v>
      </c>
      <c r="AR97" s="27">
        <f t="shared" si="91"/>
        <v>0</v>
      </c>
      <c r="AS97" s="27">
        <f t="shared" si="91"/>
        <v>0</v>
      </c>
      <c r="AT97" s="27">
        <f t="shared" si="91"/>
        <v>0</v>
      </c>
      <c r="AU97" s="27">
        <f t="shared" si="91"/>
        <v>0</v>
      </c>
      <c r="AV97" s="27">
        <f t="shared" si="91"/>
        <v>0</v>
      </c>
      <c r="AW97" s="27">
        <f t="shared" si="91"/>
        <v>0</v>
      </c>
      <c r="AX97" s="27">
        <f t="shared" si="91"/>
        <v>62063.31</v>
      </c>
      <c r="AY97" s="27">
        <v>61993.34</v>
      </c>
      <c r="AZ97" s="27">
        <f>SUM(AZ93:AZ96)</f>
        <v>61926.11</v>
      </c>
      <c r="BA97" s="56">
        <v>0</v>
      </c>
      <c r="BB97" s="28">
        <f>SUM(BB93:BB96)</f>
        <v>0</v>
      </c>
      <c r="BC97" s="60">
        <f>SUM(BC93:BC96)</f>
        <v>0</v>
      </c>
      <c r="BD97" s="50" t="s">
        <v>63</v>
      </c>
    </row>
    <row r="98" ht="15" spans="1:56">
      <c r="A98" s="10"/>
      <c r="B98" s="10"/>
      <c r="C98" s="10"/>
      <c r="D98" s="10"/>
      <c r="E98" s="10"/>
      <c r="F98" s="10"/>
      <c r="G98" s="10"/>
      <c r="H98" s="10"/>
      <c r="I98" s="10"/>
      <c r="J98" s="10"/>
      <c r="K98" s="10"/>
      <c r="L98" s="10"/>
      <c r="M98" s="10"/>
      <c r="N98" s="10"/>
      <c r="O98" s="10"/>
      <c r="P98" s="10"/>
      <c r="Q98" s="10"/>
      <c r="R98" s="26" t="s">
        <v>15</v>
      </c>
      <c r="S98" s="24">
        <f t="shared" ref="S98:AG98" si="92">S92-S93</f>
        <v>41320.3</v>
      </c>
      <c r="T98" s="24">
        <f t="shared" si="92"/>
        <v>5876.10000000001</v>
      </c>
      <c r="U98" s="25">
        <f t="shared" si="92"/>
        <v>0</v>
      </c>
      <c r="V98" s="24">
        <f t="shared" si="92"/>
        <v>5876.10000000001</v>
      </c>
      <c r="W98" s="24">
        <f t="shared" si="92"/>
        <v>5876.10000000001</v>
      </c>
      <c r="X98" s="24">
        <f t="shared" si="92"/>
        <v>5876.10000000001</v>
      </c>
      <c r="Y98" s="24">
        <f t="shared" si="92"/>
        <v>5876.10000000001</v>
      </c>
      <c r="Z98" s="24">
        <f t="shared" si="92"/>
        <v>5876.10000000001</v>
      </c>
      <c r="AA98" s="24">
        <f t="shared" si="92"/>
        <v>5876.10000000001</v>
      </c>
      <c r="AB98" s="24">
        <f t="shared" si="92"/>
        <v>5876.10000000001</v>
      </c>
      <c r="AC98" s="24">
        <f t="shared" si="92"/>
        <v>5876.10000000001</v>
      </c>
      <c r="AD98" s="24">
        <f t="shared" si="92"/>
        <v>5876.10000000001</v>
      </c>
      <c r="AE98" s="24">
        <f t="shared" si="92"/>
        <v>5876.10000000001</v>
      </c>
      <c r="AF98" s="24">
        <f t="shared" si="92"/>
        <v>2219.88</v>
      </c>
      <c r="AG98" s="24">
        <f t="shared" si="92"/>
        <v>1132.88</v>
      </c>
      <c r="AH98" s="41">
        <v>0</v>
      </c>
      <c r="AI98" s="41">
        <v>0</v>
      </c>
      <c r="AJ98" s="10"/>
      <c r="AK98" s="10"/>
      <c r="AL98" s="10"/>
      <c r="AM98" s="10"/>
      <c r="AN98" s="10"/>
      <c r="AO98" s="24">
        <f t="shared" ref="AO98:AZ98" si="93">AO92-AO93</f>
        <v>0</v>
      </c>
      <c r="AP98" s="24">
        <f t="shared" si="93"/>
        <v>0</v>
      </c>
      <c r="AQ98" s="24">
        <f t="shared" si="93"/>
        <v>0</v>
      </c>
      <c r="AR98" s="24">
        <f t="shared" si="93"/>
        <v>0</v>
      </c>
      <c r="AS98" s="24">
        <f t="shared" si="93"/>
        <v>0</v>
      </c>
      <c r="AT98" s="24">
        <f t="shared" si="93"/>
        <v>0</v>
      </c>
      <c r="AU98" s="24">
        <f t="shared" si="93"/>
        <v>0</v>
      </c>
      <c r="AV98" s="24">
        <f t="shared" si="93"/>
        <v>0</v>
      </c>
      <c r="AW98" s="24">
        <f t="shared" si="93"/>
        <v>0</v>
      </c>
      <c r="AX98" s="24">
        <f t="shared" si="93"/>
        <v>3656.22</v>
      </c>
      <c r="AY98" s="24">
        <f t="shared" si="93"/>
        <v>1087</v>
      </c>
      <c r="AZ98" s="24">
        <f t="shared" si="93"/>
        <v>1132.88</v>
      </c>
      <c r="BA98" s="57">
        <v>0</v>
      </c>
      <c r="BB98" s="28">
        <v>0</v>
      </c>
      <c r="BC98" s="62">
        <v>0</v>
      </c>
      <c r="BD98" s="49" t="s">
        <v>63</v>
      </c>
    </row>
    <row r="99" ht="15" spans="1:56">
      <c r="A99" s="10"/>
      <c r="B99" s="10"/>
      <c r="C99" s="10"/>
      <c r="D99" s="10"/>
      <c r="E99" s="10"/>
      <c r="F99" s="10"/>
      <c r="G99" s="10"/>
      <c r="H99" s="10"/>
      <c r="I99" s="10"/>
      <c r="J99" s="10"/>
      <c r="K99" s="10"/>
      <c r="L99" s="10"/>
      <c r="M99" s="10"/>
      <c r="N99" s="10"/>
      <c r="O99" s="10"/>
      <c r="P99" s="10"/>
      <c r="Q99" s="10"/>
      <c r="R99" s="29" t="s">
        <v>16</v>
      </c>
      <c r="S99" s="30">
        <f t="shared" ref="S99:AG99" si="94">S98/S92</f>
        <v>0.547493961312651</v>
      </c>
      <c r="T99" s="30">
        <f t="shared" si="94"/>
        <v>0.0306921938219797</v>
      </c>
      <c r="U99" s="31" t="e">
        <f t="shared" si="94"/>
        <v>#DIV/0!</v>
      </c>
      <c r="V99" s="30">
        <f t="shared" si="94"/>
        <v>0.0306921938219797</v>
      </c>
      <c r="W99" s="30">
        <f t="shared" si="94"/>
        <v>0.0306921938219797</v>
      </c>
      <c r="X99" s="30">
        <f t="shared" si="94"/>
        <v>0.0306921938219797</v>
      </c>
      <c r="Y99" s="30">
        <f t="shared" si="94"/>
        <v>0.0306921938219797</v>
      </c>
      <c r="Z99" s="30">
        <f t="shared" si="94"/>
        <v>0.0306921938219797</v>
      </c>
      <c r="AA99" s="30">
        <f t="shared" si="94"/>
        <v>0.0306921938219797</v>
      </c>
      <c r="AB99" s="30">
        <f t="shared" si="94"/>
        <v>0.0306921938219797</v>
      </c>
      <c r="AC99" s="30">
        <f t="shared" si="94"/>
        <v>0.0306921938219797</v>
      </c>
      <c r="AD99" s="30">
        <f t="shared" si="94"/>
        <v>0.0306921938219797</v>
      </c>
      <c r="AE99" s="30">
        <f t="shared" si="94"/>
        <v>0.0306921938219797</v>
      </c>
      <c r="AF99" s="30">
        <f t="shared" si="94"/>
        <v>0.0176268331110803</v>
      </c>
      <c r="AG99" s="30">
        <f t="shared" si="94"/>
        <v>0.017984588765728</v>
      </c>
      <c r="AH99" s="42">
        <v>-0.547493961312651</v>
      </c>
      <c r="AI99" s="42">
        <f>AF99-S99</f>
        <v>-0.529867128201571</v>
      </c>
      <c r="AJ99" s="10"/>
      <c r="AK99" s="10"/>
      <c r="AL99" s="10"/>
      <c r="AM99" s="10"/>
      <c r="AN99" s="10"/>
      <c r="AO99" s="30" t="e">
        <f t="shared" ref="AO99:AZ99" si="95">AO98/AO92</f>
        <v>#DIV/0!</v>
      </c>
      <c r="AP99" s="30" t="e">
        <f t="shared" si="95"/>
        <v>#DIV/0!</v>
      </c>
      <c r="AQ99" s="30" t="e">
        <f t="shared" si="95"/>
        <v>#DIV/0!</v>
      </c>
      <c r="AR99" s="30" t="e">
        <f t="shared" si="95"/>
        <v>#DIV/0!</v>
      </c>
      <c r="AS99" s="30" t="e">
        <f t="shared" si="95"/>
        <v>#DIV/0!</v>
      </c>
      <c r="AT99" s="30" t="e">
        <f t="shared" si="95"/>
        <v>#DIV/0!</v>
      </c>
      <c r="AU99" s="30" t="e">
        <f t="shared" si="95"/>
        <v>#DIV/0!</v>
      </c>
      <c r="AV99" s="30" t="e">
        <f t="shared" si="95"/>
        <v>#DIV/0!</v>
      </c>
      <c r="AW99" s="30" t="e">
        <f t="shared" si="95"/>
        <v>#DIV/0!</v>
      </c>
      <c r="AX99" s="30">
        <f t="shared" si="95"/>
        <v>0.055807329766214</v>
      </c>
      <c r="AY99" s="30">
        <f t="shared" si="95"/>
        <v>0.0172688166952441</v>
      </c>
      <c r="AZ99" s="30">
        <f t="shared" si="95"/>
        <v>0.017984588765728</v>
      </c>
      <c r="BA99" s="58">
        <v>0</v>
      </c>
      <c r="BB99" s="52">
        <v>0</v>
      </c>
      <c r="BC99" s="62">
        <v>0</v>
      </c>
      <c r="BD99" s="49" t="s">
        <v>63</v>
      </c>
    </row>
    <row r="100" ht="15" spans="1:56">
      <c r="A100" s="10"/>
      <c r="B100" s="10"/>
      <c r="C100" s="10"/>
      <c r="D100" s="10"/>
      <c r="E100" s="10"/>
      <c r="F100" s="10"/>
      <c r="G100" s="10"/>
      <c r="H100" s="10"/>
      <c r="I100" s="10"/>
      <c r="J100" s="10"/>
      <c r="K100" s="10"/>
      <c r="L100" s="10"/>
      <c r="M100" s="10"/>
      <c r="N100" s="10"/>
      <c r="O100" s="10"/>
      <c r="P100" s="10"/>
      <c r="Q100" s="10"/>
      <c r="R100" s="26" t="s">
        <v>17</v>
      </c>
      <c r="S100" s="24">
        <f t="shared" ref="S100:AG100" si="96">S92-S97</f>
        <v>12283.3</v>
      </c>
      <c r="T100" s="24">
        <f t="shared" si="96"/>
        <v>5469.83000000002</v>
      </c>
      <c r="U100" s="24">
        <f t="shared" si="96"/>
        <v>0</v>
      </c>
      <c r="V100" s="24">
        <f t="shared" si="96"/>
        <v>5469.83000000002</v>
      </c>
      <c r="W100" s="24">
        <f t="shared" si="96"/>
        <v>5469.83000000002</v>
      </c>
      <c r="X100" s="24">
        <f t="shared" si="96"/>
        <v>5469.83000000002</v>
      </c>
      <c r="Y100" s="24">
        <f t="shared" si="96"/>
        <v>5469.83000000002</v>
      </c>
      <c r="Z100" s="24">
        <f t="shared" si="96"/>
        <v>5469.83000000002</v>
      </c>
      <c r="AA100" s="24">
        <f t="shared" si="96"/>
        <v>5469.83000000002</v>
      </c>
      <c r="AB100" s="24">
        <f t="shared" si="96"/>
        <v>5469.83000000002</v>
      </c>
      <c r="AC100" s="24">
        <f t="shared" si="96"/>
        <v>5469.83000000002</v>
      </c>
      <c r="AD100" s="24">
        <f t="shared" si="96"/>
        <v>5469.83000000002</v>
      </c>
      <c r="AE100" s="24">
        <f t="shared" si="96"/>
        <v>5469.83000000002</v>
      </c>
      <c r="AF100" s="24">
        <f t="shared" si="96"/>
        <v>2018.09000000001</v>
      </c>
      <c r="AG100" s="24">
        <f t="shared" si="96"/>
        <v>1065.6</v>
      </c>
      <c r="AH100" s="42">
        <v>0</v>
      </c>
      <c r="AI100" s="42">
        <v>0</v>
      </c>
      <c r="AJ100" s="10"/>
      <c r="AK100" s="10"/>
      <c r="AL100" s="10"/>
      <c r="AM100" s="10"/>
      <c r="AN100" s="10"/>
      <c r="AO100" s="24">
        <f t="shared" ref="AO100:BC100" si="97">AO92-AO97</f>
        <v>0</v>
      </c>
      <c r="AP100" s="24">
        <f t="shared" si="97"/>
        <v>0</v>
      </c>
      <c r="AQ100" s="24">
        <f t="shared" si="97"/>
        <v>0</v>
      </c>
      <c r="AR100" s="24">
        <f t="shared" si="97"/>
        <v>0</v>
      </c>
      <c r="AS100" s="24">
        <f t="shared" si="97"/>
        <v>0</v>
      </c>
      <c r="AT100" s="24">
        <f t="shared" si="97"/>
        <v>0</v>
      </c>
      <c r="AU100" s="24">
        <f t="shared" si="97"/>
        <v>0</v>
      </c>
      <c r="AV100" s="24">
        <f t="shared" si="97"/>
        <v>0</v>
      </c>
      <c r="AW100" s="24">
        <f t="shared" si="97"/>
        <v>0</v>
      </c>
      <c r="AX100" s="24">
        <f t="shared" si="97"/>
        <v>3451.74</v>
      </c>
      <c r="AY100" s="24">
        <f t="shared" si="97"/>
        <v>952.490000000005</v>
      </c>
      <c r="AZ100" s="24">
        <f t="shared" si="97"/>
        <v>1065.6</v>
      </c>
      <c r="BA100" s="24">
        <f t="shared" si="97"/>
        <v>0</v>
      </c>
      <c r="BB100" s="24">
        <f t="shared" si="97"/>
        <v>0</v>
      </c>
      <c r="BC100" s="24">
        <f t="shared" si="97"/>
        <v>0</v>
      </c>
      <c r="BD100" s="49" t="s">
        <v>63</v>
      </c>
    </row>
    <row r="101" ht="15" spans="1:56">
      <c r="A101" s="11"/>
      <c r="B101" s="11"/>
      <c r="C101" s="11"/>
      <c r="D101" s="11"/>
      <c r="E101" s="11"/>
      <c r="F101" s="11"/>
      <c r="G101" s="11"/>
      <c r="H101" s="11"/>
      <c r="I101" s="11"/>
      <c r="J101" s="11"/>
      <c r="K101" s="11"/>
      <c r="L101" s="11"/>
      <c r="M101" s="11"/>
      <c r="N101" s="11"/>
      <c r="O101" s="11"/>
      <c r="P101" s="11"/>
      <c r="Q101" s="11"/>
      <c r="R101" s="29" t="s">
        <v>18</v>
      </c>
      <c r="S101" s="30">
        <f t="shared" ref="S101:AG101" si="98">S100/S92</f>
        <v>0.162753720931157</v>
      </c>
      <c r="T101" s="30">
        <f t="shared" si="98"/>
        <v>0.0285701541044705</v>
      </c>
      <c r="U101" s="31" t="e">
        <f t="shared" si="98"/>
        <v>#DIV/0!</v>
      </c>
      <c r="V101" s="30">
        <f t="shared" si="98"/>
        <v>0.0285701541044705</v>
      </c>
      <c r="W101" s="30">
        <f t="shared" si="98"/>
        <v>0.0285701541044705</v>
      </c>
      <c r="X101" s="30">
        <f t="shared" si="98"/>
        <v>0.0285701541044705</v>
      </c>
      <c r="Y101" s="30">
        <f t="shared" si="98"/>
        <v>0.0285701541044705</v>
      </c>
      <c r="Z101" s="30">
        <f t="shared" si="98"/>
        <v>0.0285701541044705</v>
      </c>
      <c r="AA101" s="30">
        <f t="shared" si="98"/>
        <v>0.0285701541044705</v>
      </c>
      <c r="AB101" s="30">
        <f t="shared" si="98"/>
        <v>0.0285701541044705</v>
      </c>
      <c r="AC101" s="30">
        <f t="shared" si="98"/>
        <v>0.0285701541044705</v>
      </c>
      <c r="AD101" s="30">
        <f t="shared" si="98"/>
        <v>0.0285701541044705</v>
      </c>
      <c r="AE101" s="30">
        <f t="shared" si="98"/>
        <v>0.0285701541044705</v>
      </c>
      <c r="AF101" s="30">
        <f t="shared" si="98"/>
        <v>0.0160245308904717</v>
      </c>
      <c r="AG101" s="30">
        <f t="shared" si="98"/>
        <v>0.0169165117124142</v>
      </c>
      <c r="AH101" s="42">
        <v>-0.162753720931157</v>
      </c>
      <c r="AI101" s="42">
        <f>AF101-S101</f>
        <v>-0.146729190040685</v>
      </c>
      <c r="AJ101" s="11"/>
      <c r="AK101" s="11"/>
      <c r="AL101" s="11"/>
      <c r="AM101" s="11"/>
      <c r="AN101" s="11"/>
      <c r="AO101" s="30" t="e">
        <f t="shared" ref="AO101:AZ101" si="99">AO100/AO92</f>
        <v>#DIV/0!</v>
      </c>
      <c r="AP101" s="30" t="e">
        <f t="shared" si="99"/>
        <v>#DIV/0!</v>
      </c>
      <c r="AQ101" s="30" t="e">
        <f t="shared" si="99"/>
        <v>#DIV/0!</v>
      </c>
      <c r="AR101" s="30" t="e">
        <f t="shared" si="99"/>
        <v>#DIV/0!</v>
      </c>
      <c r="AS101" s="30" t="e">
        <f t="shared" si="99"/>
        <v>#DIV/0!</v>
      </c>
      <c r="AT101" s="30" t="e">
        <f t="shared" si="99"/>
        <v>#DIV/0!</v>
      </c>
      <c r="AU101" s="30" t="e">
        <f t="shared" si="99"/>
        <v>#DIV/0!</v>
      </c>
      <c r="AV101" s="30" t="e">
        <f t="shared" si="99"/>
        <v>#DIV/0!</v>
      </c>
      <c r="AW101" s="30" t="e">
        <f t="shared" si="99"/>
        <v>#DIV/0!</v>
      </c>
      <c r="AX101" s="30">
        <f t="shared" si="99"/>
        <v>0.0526862148468176</v>
      </c>
      <c r="AY101" s="30">
        <f t="shared" si="99"/>
        <v>0.0151318999209321</v>
      </c>
      <c r="AZ101" s="30">
        <f t="shared" si="99"/>
        <v>0.0169165117124142</v>
      </c>
      <c r="BA101" s="58">
        <v>0</v>
      </c>
      <c r="BB101" s="52">
        <v>0</v>
      </c>
      <c r="BC101" s="62">
        <v>0</v>
      </c>
      <c r="BD101" s="49" t="s">
        <v>63</v>
      </c>
    </row>
    <row r="102" ht="15" spans="1:56">
      <c r="A102" s="12" t="s">
        <v>93</v>
      </c>
      <c r="B102" s="13" t="s">
        <v>94</v>
      </c>
      <c r="C102" s="14">
        <v>46082</v>
      </c>
      <c r="D102" s="14">
        <v>46477</v>
      </c>
      <c r="E102" s="6"/>
      <c r="F102" s="7"/>
      <c r="G102" s="9">
        <v>0</v>
      </c>
      <c r="H102" s="9"/>
      <c r="I102" s="9"/>
      <c r="J102" s="9"/>
      <c r="K102" s="9"/>
      <c r="L102" s="9"/>
      <c r="M102" s="9"/>
      <c r="N102" s="9"/>
      <c r="O102" s="9"/>
      <c r="P102" s="6"/>
      <c r="Q102" s="9" t="s">
        <v>63</v>
      </c>
      <c r="R102" s="32" t="s">
        <v>9</v>
      </c>
      <c r="S102" s="24">
        <v>150943.4</v>
      </c>
      <c r="T102" s="24">
        <f>SUM(AO102:BC102)</f>
        <v>10681.51</v>
      </c>
      <c r="U102" s="25">
        <f>SUM(BA102:BC102)</f>
        <v>0</v>
      </c>
      <c r="V102" s="24">
        <f>SUM(AO102:AZ102)</f>
        <v>10681.51</v>
      </c>
      <c r="W102" s="24">
        <f>SUM(AP102:AZ102)</f>
        <v>10681.51</v>
      </c>
      <c r="X102" s="24">
        <f>SUM(AQ102:AZ102)</f>
        <v>10681.51</v>
      </c>
      <c r="Y102" s="24">
        <f>SUM(AR102:AZ102)</f>
        <v>10681.51</v>
      </c>
      <c r="Z102" s="24">
        <f>SUM(AS102:AZ102)</f>
        <v>10681.51</v>
      </c>
      <c r="AA102" s="24">
        <f>SUM(AT102:AZ102)</f>
        <v>10681.51</v>
      </c>
      <c r="AB102" s="24">
        <f>SUM(AU102:AZ102)</f>
        <v>10681.51</v>
      </c>
      <c r="AC102" s="24">
        <f>SUM(AV102:AZ102)</f>
        <v>10681.51</v>
      </c>
      <c r="AD102" s="24">
        <f>SUM(AW102:AZ102)</f>
        <v>10681.51</v>
      </c>
      <c r="AE102" s="24">
        <f>SUM(AX102:AZ102)</f>
        <v>10681.51</v>
      </c>
      <c r="AF102" s="24">
        <f>SUM(AY102:AZ102)</f>
        <v>0</v>
      </c>
      <c r="AG102" s="24">
        <f>SUM(AZ102:AZ102)</f>
        <v>0</v>
      </c>
      <c r="AH102" s="38">
        <v>0</v>
      </c>
      <c r="AI102" s="38">
        <v>0</v>
      </c>
      <c r="AJ102" s="13" t="s">
        <v>63</v>
      </c>
      <c r="AK102" s="43" t="s">
        <v>63</v>
      </c>
      <c r="AL102" s="43" t="s">
        <v>63</v>
      </c>
      <c r="AM102" s="43" t="s">
        <v>63</v>
      </c>
      <c r="AN102" s="7"/>
      <c r="AO102" s="24">
        <v>0</v>
      </c>
      <c r="AP102" s="24">
        <v>0</v>
      </c>
      <c r="AQ102" s="24">
        <v>0</v>
      </c>
      <c r="AR102" s="24">
        <v>0</v>
      </c>
      <c r="AS102" s="24">
        <v>0</v>
      </c>
      <c r="AT102" s="24">
        <v>0</v>
      </c>
      <c r="AU102" s="24">
        <v>0</v>
      </c>
      <c r="AV102" s="24">
        <v>0</v>
      </c>
      <c r="AW102" s="24">
        <v>0</v>
      </c>
      <c r="AX102" s="24">
        <v>10681.51</v>
      </c>
      <c r="AY102" s="24">
        <v>0</v>
      </c>
      <c r="AZ102" s="24">
        <v>0</v>
      </c>
      <c r="BA102" s="54">
        <v>0</v>
      </c>
      <c r="BB102" s="25">
        <v>0</v>
      </c>
      <c r="BC102" s="62">
        <v>0</v>
      </c>
      <c r="BD102" s="49" t="s">
        <v>63</v>
      </c>
    </row>
    <row r="103" ht="15" spans="1:56">
      <c r="A103" s="10"/>
      <c r="B103" s="10"/>
      <c r="C103" s="10"/>
      <c r="D103" s="10"/>
      <c r="E103" s="10"/>
      <c r="F103" s="10"/>
      <c r="G103" s="10"/>
      <c r="H103" s="10"/>
      <c r="I103" s="10"/>
      <c r="J103" s="10"/>
      <c r="K103" s="10"/>
      <c r="L103" s="10"/>
      <c r="M103" s="10"/>
      <c r="N103" s="10"/>
      <c r="O103" s="10"/>
      <c r="P103" s="10"/>
      <c r="Q103" s="10"/>
      <c r="R103" s="26" t="s">
        <v>10</v>
      </c>
      <c r="S103" s="24">
        <v>123705</v>
      </c>
      <c r="T103" s="24">
        <f>SUM(AO103:BC103)</f>
        <v>0</v>
      </c>
      <c r="U103" s="25">
        <f>SUM(BA103:BC103)</f>
        <v>0</v>
      </c>
      <c r="V103" s="24">
        <f>SUM(AO103:AZ103)</f>
        <v>0</v>
      </c>
      <c r="W103" s="24">
        <f>SUM(AP103:AZ103)</f>
        <v>0</v>
      </c>
      <c r="X103" s="24">
        <f>SUM(AQ103:AZ103)</f>
        <v>0</v>
      </c>
      <c r="Y103" s="24">
        <f>SUM(AR103:AZ103)</f>
        <v>0</v>
      </c>
      <c r="Z103" s="24">
        <f>SUM(AS103:AZ103)</f>
        <v>0</v>
      </c>
      <c r="AA103" s="24">
        <f>SUM(AT103:AZ103)</f>
        <v>0</v>
      </c>
      <c r="AB103" s="24">
        <f>SUM(AU103:AZ103)</f>
        <v>0</v>
      </c>
      <c r="AC103" s="24">
        <f>SUM(AV103:AZ103)</f>
        <v>0</v>
      </c>
      <c r="AD103" s="24">
        <f>SUM(AW103:AZ103)</f>
        <v>0</v>
      </c>
      <c r="AE103" s="24">
        <f>SUM(AX103:AZ103)</f>
        <v>0</v>
      </c>
      <c r="AF103" s="24">
        <f>SUM(AY103:AZ103)</f>
        <v>0</v>
      </c>
      <c r="AG103" s="24">
        <f>SUM(AZ103:AZ103)</f>
        <v>0</v>
      </c>
      <c r="AH103" s="38">
        <v>0</v>
      </c>
      <c r="AI103" s="38">
        <v>0</v>
      </c>
      <c r="AJ103" s="10"/>
      <c r="AK103" s="10"/>
      <c r="AL103" s="10"/>
      <c r="AM103" s="10"/>
      <c r="AN103" s="10"/>
      <c r="AO103" s="24">
        <v>0</v>
      </c>
      <c r="AP103" s="24">
        <v>0</v>
      </c>
      <c r="AQ103" s="24">
        <v>0</v>
      </c>
      <c r="AR103" s="24">
        <v>0</v>
      </c>
      <c r="AS103" s="24">
        <v>0</v>
      </c>
      <c r="AT103" s="24">
        <v>0</v>
      </c>
      <c r="AU103" s="24">
        <v>0</v>
      </c>
      <c r="AV103" s="24">
        <v>0</v>
      </c>
      <c r="AW103" s="24">
        <v>0</v>
      </c>
      <c r="AX103" s="24">
        <v>0</v>
      </c>
      <c r="AY103" s="24">
        <v>0</v>
      </c>
      <c r="AZ103" s="24">
        <v>0</v>
      </c>
      <c r="BA103" s="54">
        <v>0</v>
      </c>
      <c r="BB103" s="25">
        <v>0</v>
      </c>
      <c r="BC103" s="62">
        <v>0</v>
      </c>
      <c r="BD103" s="49" t="s">
        <v>63</v>
      </c>
    </row>
    <row r="104" ht="15" spans="1:56">
      <c r="A104" s="10"/>
      <c r="B104" s="10"/>
      <c r="C104" s="10"/>
      <c r="D104" s="10"/>
      <c r="E104" s="10"/>
      <c r="F104" s="10"/>
      <c r="G104" s="10"/>
      <c r="H104" s="10"/>
      <c r="I104" s="10"/>
      <c r="J104" s="10"/>
      <c r="K104" s="10"/>
      <c r="L104" s="10"/>
      <c r="M104" s="10"/>
      <c r="N104" s="10"/>
      <c r="O104" s="10"/>
      <c r="P104" s="10"/>
      <c r="Q104" s="10"/>
      <c r="R104" s="26" t="s">
        <v>11</v>
      </c>
      <c r="S104" s="24">
        <v>0</v>
      </c>
      <c r="T104" s="24">
        <f>SUM(AO104:BC104)</f>
        <v>0</v>
      </c>
      <c r="U104" s="25">
        <f>SUM(BA104:BC104)</f>
        <v>0</v>
      </c>
      <c r="V104" s="24">
        <v>0</v>
      </c>
      <c r="W104" s="24">
        <v>0</v>
      </c>
      <c r="X104" s="24">
        <v>0</v>
      </c>
      <c r="Y104" s="24">
        <v>0</v>
      </c>
      <c r="Z104" s="24">
        <v>0</v>
      </c>
      <c r="AA104" s="24">
        <v>0</v>
      </c>
      <c r="AB104" s="24">
        <v>0</v>
      </c>
      <c r="AC104" s="24">
        <v>0</v>
      </c>
      <c r="AD104" s="24">
        <v>0</v>
      </c>
      <c r="AE104" s="24">
        <v>0</v>
      </c>
      <c r="AF104" s="24">
        <v>0</v>
      </c>
      <c r="AG104" s="24">
        <v>0</v>
      </c>
      <c r="AH104" s="38">
        <v>0</v>
      </c>
      <c r="AI104" s="38">
        <v>0</v>
      </c>
      <c r="AJ104" s="10"/>
      <c r="AK104" s="10"/>
      <c r="AL104" s="10"/>
      <c r="AM104" s="10"/>
      <c r="AN104" s="10"/>
      <c r="AO104" s="24">
        <v>0</v>
      </c>
      <c r="AP104" s="24">
        <v>0</v>
      </c>
      <c r="AQ104" s="24">
        <v>0</v>
      </c>
      <c r="AR104" s="24">
        <v>0</v>
      </c>
      <c r="AS104" s="24">
        <v>0</v>
      </c>
      <c r="AT104" s="24">
        <v>0</v>
      </c>
      <c r="AU104" s="24">
        <v>0</v>
      </c>
      <c r="AV104" s="24">
        <v>0</v>
      </c>
      <c r="AW104" s="24">
        <v>0</v>
      </c>
      <c r="AX104" s="24">
        <v>0</v>
      </c>
      <c r="AY104" s="24">
        <v>0</v>
      </c>
      <c r="AZ104" s="24">
        <v>0</v>
      </c>
      <c r="BA104" s="54">
        <v>0</v>
      </c>
      <c r="BB104" s="25">
        <v>0</v>
      </c>
      <c r="BC104" s="62">
        <v>0</v>
      </c>
      <c r="BD104" s="49" t="s">
        <v>63</v>
      </c>
    </row>
    <row r="105" ht="15" spans="1:56">
      <c r="A105" s="10"/>
      <c r="B105" s="10"/>
      <c r="C105" s="10"/>
      <c r="D105" s="10"/>
      <c r="E105" s="10"/>
      <c r="F105" s="10"/>
      <c r="G105" s="10"/>
      <c r="H105" s="10"/>
      <c r="I105" s="10"/>
      <c r="J105" s="10"/>
      <c r="K105" s="10"/>
      <c r="L105" s="10"/>
      <c r="M105" s="10"/>
      <c r="N105" s="10"/>
      <c r="O105" s="10"/>
      <c r="P105" s="10"/>
      <c r="Q105" s="10"/>
      <c r="R105" s="26" t="s">
        <v>12</v>
      </c>
      <c r="S105" s="24">
        <v>0</v>
      </c>
      <c r="T105" s="24">
        <f>SUM(AO105:BC105)</f>
        <v>0</v>
      </c>
      <c r="U105" s="25">
        <f>SUM(BA105:BC105)</f>
        <v>0</v>
      </c>
      <c r="V105" s="24">
        <f>SUM(AO105:AZ105)</f>
        <v>0</v>
      </c>
      <c r="W105" s="24">
        <f>SUM(AP105:AZ105)</f>
        <v>0</v>
      </c>
      <c r="X105" s="24">
        <f>SUM(AQ105:AZ105)</f>
        <v>0</v>
      </c>
      <c r="Y105" s="24">
        <f>SUM(AR105:AZ105)</f>
        <v>0</v>
      </c>
      <c r="Z105" s="24">
        <f>SUM(AS105:AZ105)</f>
        <v>0</v>
      </c>
      <c r="AA105" s="24">
        <f>SUM(AT105:AZ105)</f>
        <v>0</v>
      </c>
      <c r="AB105" s="24">
        <f>SUM(AU105:AZ105)</f>
        <v>0</v>
      </c>
      <c r="AC105" s="24">
        <f>SUM(AV105:AZ105)</f>
        <v>0</v>
      </c>
      <c r="AD105" s="24">
        <f>SUM(AW105:AZ105)</f>
        <v>0</v>
      </c>
      <c r="AE105" s="24">
        <f>SUM(AX105:AZ105)</f>
        <v>0</v>
      </c>
      <c r="AF105" s="24">
        <f>SUM(AY105:AZ105)</f>
        <v>0</v>
      </c>
      <c r="AG105" s="24">
        <f>SUM(AZ105:AZ105)</f>
        <v>0</v>
      </c>
      <c r="AH105" s="38">
        <v>0</v>
      </c>
      <c r="AI105" s="38">
        <v>0</v>
      </c>
      <c r="AJ105" s="10"/>
      <c r="AK105" s="10"/>
      <c r="AL105" s="10"/>
      <c r="AM105" s="10"/>
      <c r="AN105" s="10"/>
      <c r="AO105" s="24">
        <v>0</v>
      </c>
      <c r="AP105" s="24">
        <v>0</v>
      </c>
      <c r="AQ105" s="24">
        <v>0</v>
      </c>
      <c r="AR105" s="24">
        <v>0</v>
      </c>
      <c r="AS105" s="24">
        <v>0</v>
      </c>
      <c r="AT105" s="24">
        <v>0</v>
      </c>
      <c r="AU105" s="24">
        <v>0</v>
      </c>
      <c r="AV105" s="24">
        <v>0</v>
      </c>
      <c r="AW105" s="24">
        <v>0</v>
      </c>
      <c r="AX105" s="24">
        <v>0</v>
      </c>
      <c r="AY105" s="24">
        <v>0</v>
      </c>
      <c r="AZ105" s="24">
        <v>0</v>
      </c>
      <c r="BA105" s="54">
        <v>0</v>
      </c>
      <c r="BB105" s="25">
        <v>0</v>
      </c>
      <c r="BC105" s="62">
        <v>0</v>
      </c>
      <c r="BD105" s="49" t="s">
        <v>63</v>
      </c>
    </row>
    <row r="106" ht="15" spans="1:56">
      <c r="A106" s="10"/>
      <c r="B106" s="10"/>
      <c r="C106" s="10"/>
      <c r="D106" s="10"/>
      <c r="E106" s="10"/>
      <c r="F106" s="10"/>
      <c r="G106" s="10"/>
      <c r="H106" s="10"/>
      <c r="I106" s="10"/>
      <c r="J106" s="10"/>
      <c r="K106" s="10"/>
      <c r="L106" s="10"/>
      <c r="M106" s="10"/>
      <c r="N106" s="10"/>
      <c r="O106" s="10"/>
      <c r="P106" s="10"/>
      <c r="Q106" s="10"/>
      <c r="R106" s="26" t="s">
        <v>13</v>
      </c>
      <c r="S106" s="24">
        <v>0</v>
      </c>
      <c r="T106" s="24">
        <f>SUM(AO106:BC106)</f>
        <v>20.87</v>
      </c>
      <c r="U106" s="25">
        <f>SUM(BA106:BC106)</f>
        <v>0</v>
      </c>
      <c r="V106" s="24">
        <f>SUM(AO106:AZ106)</f>
        <v>20.87</v>
      </c>
      <c r="W106" s="24">
        <f>SUM(AP106:AZ106)</f>
        <v>20.87</v>
      </c>
      <c r="X106" s="24">
        <f>SUM(AQ106:AZ106)</f>
        <v>20.87</v>
      </c>
      <c r="Y106" s="24">
        <f>SUM(AR106:AZ106)</f>
        <v>20.87</v>
      </c>
      <c r="Z106" s="24">
        <f>SUM(AS106:AZ106)</f>
        <v>20.87</v>
      </c>
      <c r="AA106" s="24">
        <f>SUM(AT106:AZ106)</f>
        <v>20.87</v>
      </c>
      <c r="AB106" s="24">
        <f>SUM(AU106:AZ106)</f>
        <v>20.87</v>
      </c>
      <c r="AC106" s="24">
        <f>SUM(AV106:AZ106)</f>
        <v>20.87</v>
      </c>
      <c r="AD106" s="24">
        <f>SUM(AW106:AZ106)</f>
        <v>20.87</v>
      </c>
      <c r="AE106" s="24">
        <f>SUM(AX106:AZ106)</f>
        <v>20.87</v>
      </c>
      <c r="AF106" s="24">
        <f>SUM(AY106:AZ106)</f>
        <v>0</v>
      </c>
      <c r="AG106" s="24">
        <f>SUM(AZ106:AZ106)</f>
        <v>0</v>
      </c>
      <c r="AH106" s="38">
        <v>0</v>
      </c>
      <c r="AI106" s="38">
        <v>0</v>
      </c>
      <c r="AJ106" s="10"/>
      <c r="AK106" s="10"/>
      <c r="AL106" s="10"/>
      <c r="AM106" s="10"/>
      <c r="AN106" s="10"/>
      <c r="AO106" s="24">
        <v>0</v>
      </c>
      <c r="AP106" s="24">
        <v>0</v>
      </c>
      <c r="AQ106" s="24">
        <v>0</v>
      </c>
      <c r="AR106" s="24">
        <v>0</v>
      </c>
      <c r="AS106" s="24">
        <v>0</v>
      </c>
      <c r="AT106" s="24">
        <v>0</v>
      </c>
      <c r="AU106" s="24">
        <v>0</v>
      </c>
      <c r="AV106" s="24">
        <v>0</v>
      </c>
      <c r="AW106" s="24">
        <v>0</v>
      </c>
      <c r="AX106" s="24">
        <v>20.87</v>
      </c>
      <c r="AY106" s="24">
        <v>0</v>
      </c>
      <c r="AZ106" s="24">
        <v>0</v>
      </c>
      <c r="BA106" s="54">
        <v>0</v>
      </c>
      <c r="BB106" s="25">
        <v>0</v>
      </c>
      <c r="BC106" s="62">
        <v>0</v>
      </c>
      <c r="BD106" s="49" t="s">
        <v>63</v>
      </c>
    </row>
    <row r="107" ht="15" spans="1:56">
      <c r="A107" s="10"/>
      <c r="B107" s="10"/>
      <c r="C107" s="10"/>
      <c r="D107" s="10"/>
      <c r="E107" s="10"/>
      <c r="F107" s="10"/>
      <c r="G107" s="10"/>
      <c r="H107" s="10"/>
      <c r="I107" s="10"/>
      <c r="J107" s="10"/>
      <c r="K107" s="10"/>
      <c r="L107" s="10"/>
      <c r="M107" s="10"/>
      <c r="N107" s="10"/>
      <c r="O107" s="10"/>
      <c r="P107" s="10"/>
      <c r="Q107" s="10"/>
      <c r="R107" s="26" t="s">
        <v>14</v>
      </c>
      <c r="S107" s="27">
        <f t="shared" ref="S107:AG107" si="100">SUM(S103:S106)</f>
        <v>123705</v>
      </c>
      <c r="T107" s="27">
        <f t="shared" si="100"/>
        <v>20.87</v>
      </c>
      <c r="U107" s="28">
        <f t="shared" si="100"/>
        <v>0</v>
      </c>
      <c r="V107" s="27">
        <f t="shared" si="100"/>
        <v>20.87</v>
      </c>
      <c r="W107" s="27">
        <f t="shared" si="100"/>
        <v>20.87</v>
      </c>
      <c r="X107" s="27">
        <f t="shared" si="100"/>
        <v>20.87</v>
      </c>
      <c r="Y107" s="27">
        <f t="shared" si="100"/>
        <v>20.87</v>
      </c>
      <c r="Z107" s="27">
        <f t="shared" si="100"/>
        <v>20.87</v>
      </c>
      <c r="AA107" s="27">
        <f t="shared" si="100"/>
        <v>20.87</v>
      </c>
      <c r="AB107" s="27">
        <f t="shared" si="100"/>
        <v>20.87</v>
      </c>
      <c r="AC107" s="27">
        <f t="shared" si="100"/>
        <v>20.87</v>
      </c>
      <c r="AD107" s="27">
        <f t="shared" si="100"/>
        <v>20.87</v>
      </c>
      <c r="AE107" s="27">
        <f t="shared" si="100"/>
        <v>20.87</v>
      </c>
      <c r="AF107" s="27">
        <f t="shared" si="100"/>
        <v>0</v>
      </c>
      <c r="AG107" s="27">
        <f t="shared" si="100"/>
        <v>0</v>
      </c>
      <c r="AH107" s="27">
        <v>0</v>
      </c>
      <c r="AI107" s="27">
        <f>SUM(AI103:AI106)</f>
        <v>0</v>
      </c>
      <c r="AJ107" s="10"/>
      <c r="AK107" s="10"/>
      <c r="AL107" s="10"/>
      <c r="AM107" s="10"/>
      <c r="AN107" s="10"/>
      <c r="AO107" s="27">
        <f t="shared" ref="AO107:AX107" si="101">SUM(AO103:AO106)</f>
        <v>0</v>
      </c>
      <c r="AP107" s="27">
        <f t="shared" si="101"/>
        <v>0</v>
      </c>
      <c r="AQ107" s="27">
        <f t="shared" si="101"/>
        <v>0</v>
      </c>
      <c r="AR107" s="27">
        <f t="shared" si="101"/>
        <v>0</v>
      </c>
      <c r="AS107" s="27">
        <f t="shared" si="101"/>
        <v>0</v>
      </c>
      <c r="AT107" s="27">
        <f t="shared" si="101"/>
        <v>0</v>
      </c>
      <c r="AU107" s="27">
        <f t="shared" si="101"/>
        <v>0</v>
      </c>
      <c r="AV107" s="27">
        <f t="shared" si="101"/>
        <v>0</v>
      </c>
      <c r="AW107" s="27">
        <f t="shared" si="101"/>
        <v>0</v>
      </c>
      <c r="AX107" s="27">
        <f t="shared" si="101"/>
        <v>20.87</v>
      </c>
      <c r="AY107" s="27">
        <v>0</v>
      </c>
      <c r="AZ107" s="27">
        <f>SUM(AZ103:AZ106)</f>
        <v>0</v>
      </c>
      <c r="BA107" s="56">
        <v>0</v>
      </c>
      <c r="BB107" s="28">
        <f>SUM(BB103:BB106)</f>
        <v>0</v>
      </c>
      <c r="BC107" s="60">
        <f>SUM(BC103:BC106)</f>
        <v>0</v>
      </c>
      <c r="BD107" s="50" t="s">
        <v>63</v>
      </c>
    </row>
    <row r="108" ht="15" spans="1:56">
      <c r="A108" s="10"/>
      <c r="B108" s="10"/>
      <c r="C108" s="10"/>
      <c r="D108" s="10"/>
      <c r="E108" s="10"/>
      <c r="F108" s="10"/>
      <c r="G108" s="10"/>
      <c r="H108" s="10"/>
      <c r="I108" s="10"/>
      <c r="J108" s="10"/>
      <c r="K108" s="10"/>
      <c r="L108" s="10"/>
      <c r="M108" s="10"/>
      <c r="N108" s="10"/>
      <c r="O108" s="10"/>
      <c r="P108" s="10"/>
      <c r="Q108" s="10"/>
      <c r="R108" s="26" t="s">
        <v>15</v>
      </c>
      <c r="S108" s="24">
        <f t="shared" ref="S108:AG108" si="102">S102-S103</f>
        <v>27238.4</v>
      </c>
      <c r="T108" s="24">
        <f t="shared" si="102"/>
        <v>10681.51</v>
      </c>
      <c r="U108" s="25">
        <f t="shared" si="102"/>
        <v>0</v>
      </c>
      <c r="V108" s="24">
        <f t="shared" si="102"/>
        <v>10681.51</v>
      </c>
      <c r="W108" s="24">
        <f t="shared" si="102"/>
        <v>10681.51</v>
      </c>
      <c r="X108" s="24">
        <f t="shared" si="102"/>
        <v>10681.51</v>
      </c>
      <c r="Y108" s="24">
        <f t="shared" si="102"/>
        <v>10681.51</v>
      </c>
      <c r="Z108" s="24">
        <f t="shared" si="102"/>
        <v>10681.51</v>
      </c>
      <c r="AA108" s="24">
        <f t="shared" si="102"/>
        <v>10681.51</v>
      </c>
      <c r="AB108" s="24">
        <f t="shared" si="102"/>
        <v>10681.51</v>
      </c>
      <c r="AC108" s="24">
        <f t="shared" si="102"/>
        <v>10681.51</v>
      </c>
      <c r="AD108" s="24">
        <f t="shared" si="102"/>
        <v>10681.51</v>
      </c>
      <c r="AE108" s="24">
        <f t="shared" si="102"/>
        <v>10681.51</v>
      </c>
      <c r="AF108" s="24">
        <f t="shared" si="102"/>
        <v>0</v>
      </c>
      <c r="AG108" s="24">
        <f t="shared" si="102"/>
        <v>0</v>
      </c>
      <c r="AH108" s="41">
        <v>0</v>
      </c>
      <c r="AI108" s="41">
        <v>0</v>
      </c>
      <c r="AJ108" s="10"/>
      <c r="AK108" s="10"/>
      <c r="AL108" s="10"/>
      <c r="AM108" s="10"/>
      <c r="AN108" s="10"/>
      <c r="AO108" s="24">
        <f t="shared" ref="AO108:AZ108" si="103">AO102-AO103</f>
        <v>0</v>
      </c>
      <c r="AP108" s="24">
        <f t="shared" si="103"/>
        <v>0</v>
      </c>
      <c r="AQ108" s="24">
        <f t="shared" si="103"/>
        <v>0</v>
      </c>
      <c r="AR108" s="24">
        <f t="shared" si="103"/>
        <v>0</v>
      </c>
      <c r="AS108" s="24">
        <f t="shared" si="103"/>
        <v>0</v>
      </c>
      <c r="AT108" s="24">
        <f t="shared" si="103"/>
        <v>0</v>
      </c>
      <c r="AU108" s="24">
        <f t="shared" si="103"/>
        <v>0</v>
      </c>
      <c r="AV108" s="24">
        <f t="shared" si="103"/>
        <v>0</v>
      </c>
      <c r="AW108" s="24">
        <f t="shared" si="103"/>
        <v>0</v>
      </c>
      <c r="AX108" s="24">
        <f t="shared" si="103"/>
        <v>10681.51</v>
      </c>
      <c r="AY108" s="24">
        <f t="shared" si="103"/>
        <v>0</v>
      </c>
      <c r="AZ108" s="24">
        <f t="shared" si="103"/>
        <v>0</v>
      </c>
      <c r="BA108" s="57">
        <v>0</v>
      </c>
      <c r="BB108" s="28">
        <v>0</v>
      </c>
      <c r="BC108" s="62">
        <v>0</v>
      </c>
      <c r="BD108" s="49" t="s">
        <v>63</v>
      </c>
    </row>
    <row r="109" ht="15" spans="1:56">
      <c r="A109" s="10"/>
      <c r="B109" s="10"/>
      <c r="C109" s="10"/>
      <c r="D109" s="10"/>
      <c r="E109" s="10"/>
      <c r="F109" s="10"/>
      <c r="G109" s="10"/>
      <c r="H109" s="10"/>
      <c r="I109" s="10"/>
      <c r="J109" s="10"/>
      <c r="K109" s="10"/>
      <c r="L109" s="10"/>
      <c r="M109" s="10"/>
      <c r="N109" s="10"/>
      <c r="O109" s="10"/>
      <c r="P109" s="10"/>
      <c r="Q109" s="10"/>
      <c r="R109" s="29" t="s">
        <v>16</v>
      </c>
      <c r="S109" s="30">
        <f t="shared" ref="S109:AG109" si="104">S108/S102</f>
        <v>0.18045439548864</v>
      </c>
      <c r="T109" s="30">
        <f t="shared" si="104"/>
        <v>1</v>
      </c>
      <c r="U109" s="31" t="e">
        <f t="shared" si="104"/>
        <v>#DIV/0!</v>
      </c>
      <c r="V109" s="30">
        <f t="shared" si="104"/>
        <v>1</v>
      </c>
      <c r="W109" s="30">
        <f t="shared" si="104"/>
        <v>1</v>
      </c>
      <c r="X109" s="30">
        <f t="shared" si="104"/>
        <v>1</v>
      </c>
      <c r="Y109" s="30">
        <f t="shared" si="104"/>
        <v>1</v>
      </c>
      <c r="Z109" s="30">
        <f t="shared" si="104"/>
        <v>1</v>
      </c>
      <c r="AA109" s="30">
        <f t="shared" si="104"/>
        <v>1</v>
      </c>
      <c r="AB109" s="30">
        <f t="shared" si="104"/>
        <v>1</v>
      </c>
      <c r="AC109" s="30">
        <f t="shared" si="104"/>
        <v>1</v>
      </c>
      <c r="AD109" s="30">
        <f t="shared" si="104"/>
        <v>1</v>
      </c>
      <c r="AE109" s="30">
        <f t="shared" si="104"/>
        <v>1</v>
      </c>
      <c r="AF109" s="30" t="e">
        <f t="shared" si="104"/>
        <v>#DIV/0!</v>
      </c>
      <c r="AG109" s="30" t="e">
        <f t="shared" si="104"/>
        <v>#DIV/0!</v>
      </c>
      <c r="AH109" s="42">
        <v>-0.547493961312651</v>
      </c>
      <c r="AI109" s="42" t="e">
        <f>AF109-S109</f>
        <v>#DIV/0!</v>
      </c>
      <c r="AJ109" s="10"/>
      <c r="AK109" s="10"/>
      <c r="AL109" s="10"/>
      <c r="AM109" s="10"/>
      <c r="AN109" s="10"/>
      <c r="AO109" s="30" t="e">
        <f t="shared" ref="AO109:AZ109" si="105">AO108/AO102</f>
        <v>#DIV/0!</v>
      </c>
      <c r="AP109" s="30" t="e">
        <f t="shared" si="105"/>
        <v>#DIV/0!</v>
      </c>
      <c r="AQ109" s="30" t="e">
        <f t="shared" si="105"/>
        <v>#DIV/0!</v>
      </c>
      <c r="AR109" s="30" t="e">
        <f t="shared" si="105"/>
        <v>#DIV/0!</v>
      </c>
      <c r="AS109" s="30" t="e">
        <f t="shared" si="105"/>
        <v>#DIV/0!</v>
      </c>
      <c r="AT109" s="30" t="e">
        <f t="shared" si="105"/>
        <v>#DIV/0!</v>
      </c>
      <c r="AU109" s="30" t="e">
        <f t="shared" si="105"/>
        <v>#DIV/0!</v>
      </c>
      <c r="AV109" s="30" t="e">
        <f t="shared" si="105"/>
        <v>#DIV/0!</v>
      </c>
      <c r="AW109" s="30" t="e">
        <f t="shared" si="105"/>
        <v>#DIV/0!</v>
      </c>
      <c r="AX109" s="30">
        <f t="shared" si="105"/>
        <v>1</v>
      </c>
      <c r="AY109" s="30" t="e">
        <f t="shared" si="105"/>
        <v>#DIV/0!</v>
      </c>
      <c r="AZ109" s="30" t="e">
        <f t="shared" si="105"/>
        <v>#DIV/0!</v>
      </c>
      <c r="BA109" s="58">
        <v>0</v>
      </c>
      <c r="BB109" s="52">
        <v>0</v>
      </c>
      <c r="BC109" s="62">
        <v>0</v>
      </c>
      <c r="BD109" s="49" t="s">
        <v>63</v>
      </c>
    </row>
    <row r="110" ht="15" spans="1:56">
      <c r="A110" s="10"/>
      <c r="B110" s="10"/>
      <c r="C110" s="10"/>
      <c r="D110" s="10"/>
      <c r="E110" s="10"/>
      <c r="F110" s="10"/>
      <c r="G110" s="10"/>
      <c r="H110" s="10"/>
      <c r="I110" s="10"/>
      <c r="J110" s="10"/>
      <c r="K110" s="10"/>
      <c r="L110" s="10"/>
      <c r="M110" s="10"/>
      <c r="N110" s="10"/>
      <c r="O110" s="10"/>
      <c r="P110" s="10"/>
      <c r="Q110" s="10"/>
      <c r="R110" s="26" t="s">
        <v>17</v>
      </c>
      <c r="S110" s="24">
        <f t="shared" ref="S110:AG110" si="106">S102-S107</f>
        <v>27238.4</v>
      </c>
      <c r="T110" s="24">
        <f t="shared" si="106"/>
        <v>10660.64</v>
      </c>
      <c r="U110" s="24">
        <f t="shared" si="106"/>
        <v>0</v>
      </c>
      <c r="V110" s="24">
        <f t="shared" si="106"/>
        <v>10660.64</v>
      </c>
      <c r="W110" s="24">
        <f t="shared" si="106"/>
        <v>10660.64</v>
      </c>
      <c r="X110" s="24">
        <f t="shared" si="106"/>
        <v>10660.64</v>
      </c>
      <c r="Y110" s="24">
        <f t="shared" si="106"/>
        <v>10660.64</v>
      </c>
      <c r="Z110" s="24">
        <f t="shared" si="106"/>
        <v>10660.64</v>
      </c>
      <c r="AA110" s="24">
        <f t="shared" si="106"/>
        <v>10660.64</v>
      </c>
      <c r="AB110" s="24">
        <f t="shared" si="106"/>
        <v>10660.64</v>
      </c>
      <c r="AC110" s="24">
        <f t="shared" si="106"/>
        <v>10660.64</v>
      </c>
      <c r="AD110" s="24">
        <f t="shared" si="106"/>
        <v>10660.64</v>
      </c>
      <c r="AE110" s="24">
        <f t="shared" si="106"/>
        <v>10660.64</v>
      </c>
      <c r="AF110" s="24">
        <f t="shared" si="106"/>
        <v>0</v>
      </c>
      <c r="AG110" s="24">
        <f t="shared" si="106"/>
        <v>0</v>
      </c>
      <c r="AH110" s="42">
        <v>0</v>
      </c>
      <c r="AI110" s="42">
        <v>0</v>
      </c>
      <c r="AJ110" s="10"/>
      <c r="AK110" s="10"/>
      <c r="AL110" s="10"/>
      <c r="AM110" s="10"/>
      <c r="AN110" s="10"/>
      <c r="AO110" s="24">
        <f t="shared" ref="AO110:BC110" si="107">AO102-AO107</f>
        <v>0</v>
      </c>
      <c r="AP110" s="24">
        <f t="shared" si="107"/>
        <v>0</v>
      </c>
      <c r="AQ110" s="24">
        <f t="shared" si="107"/>
        <v>0</v>
      </c>
      <c r="AR110" s="24">
        <f t="shared" si="107"/>
        <v>0</v>
      </c>
      <c r="AS110" s="24">
        <f t="shared" si="107"/>
        <v>0</v>
      </c>
      <c r="AT110" s="24">
        <f t="shared" si="107"/>
        <v>0</v>
      </c>
      <c r="AU110" s="24">
        <f t="shared" si="107"/>
        <v>0</v>
      </c>
      <c r="AV110" s="24">
        <f t="shared" si="107"/>
        <v>0</v>
      </c>
      <c r="AW110" s="24">
        <f t="shared" si="107"/>
        <v>0</v>
      </c>
      <c r="AX110" s="24">
        <f t="shared" si="107"/>
        <v>10660.64</v>
      </c>
      <c r="AY110" s="24">
        <f t="shared" si="107"/>
        <v>0</v>
      </c>
      <c r="AZ110" s="24">
        <f t="shared" si="107"/>
        <v>0</v>
      </c>
      <c r="BA110" s="24">
        <f t="shared" si="107"/>
        <v>0</v>
      </c>
      <c r="BB110" s="24">
        <f t="shared" si="107"/>
        <v>0</v>
      </c>
      <c r="BC110" s="24">
        <f t="shared" si="107"/>
        <v>0</v>
      </c>
      <c r="BD110" s="49" t="s">
        <v>63</v>
      </c>
    </row>
    <row r="111" ht="15" spans="1:56">
      <c r="A111" s="11"/>
      <c r="B111" s="11"/>
      <c r="C111" s="11"/>
      <c r="D111" s="11"/>
      <c r="E111" s="11"/>
      <c r="F111" s="11"/>
      <c r="G111" s="11"/>
      <c r="H111" s="11"/>
      <c r="I111" s="11"/>
      <c r="J111" s="11"/>
      <c r="K111" s="11"/>
      <c r="L111" s="11"/>
      <c r="M111" s="11"/>
      <c r="N111" s="11"/>
      <c r="O111" s="11"/>
      <c r="P111" s="11"/>
      <c r="Q111" s="11"/>
      <c r="R111" s="29" t="s">
        <v>18</v>
      </c>
      <c r="S111" s="30">
        <f t="shared" ref="S111:AG111" si="108">S110/S102</f>
        <v>0.18045439548864</v>
      </c>
      <c r="T111" s="30">
        <f t="shared" si="108"/>
        <v>0.998046156395491</v>
      </c>
      <c r="U111" s="31" t="e">
        <f t="shared" si="108"/>
        <v>#DIV/0!</v>
      </c>
      <c r="V111" s="30">
        <f t="shared" si="108"/>
        <v>0.998046156395491</v>
      </c>
      <c r="W111" s="30">
        <f t="shared" si="108"/>
        <v>0.998046156395491</v>
      </c>
      <c r="X111" s="30">
        <f t="shared" si="108"/>
        <v>0.998046156395491</v>
      </c>
      <c r="Y111" s="30">
        <f t="shared" si="108"/>
        <v>0.998046156395491</v>
      </c>
      <c r="Z111" s="30">
        <f t="shared" si="108"/>
        <v>0.998046156395491</v>
      </c>
      <c r="AA111" s="30">
        <f t="shared" si="108"/>
        <v>0.998046156395491</v>
      </c>
      <c r="AB111" s="30">
        <f t="shared" si="108"/>
        <v>0.998046156395491</v>
      </c>
      <c r="AC111" s="30">
        <f t="shared" si="108"/>
        <v>0.998046156395491</v>
      </c>
      <c r="AD111" s="30">
        <f t="shared" si="108"/>
        <v>0.998046156395491</v>
      </c>
      <c r="AE111" s="30">
        <f t="shared" si="108"/>
        <v>0.998046156395491</v>
      </c>
      <c r="AF111" s="30" t="e">
        <f t="shared" si="108"/>
        <v>#DIV/0!</v>
      </c>
      <c r="AG111" s="30" t="e">
        <f t="shared" si="108"/>
        <v>#DIV/0!</v>
      </c>
      <c r="AH111" s="42">
        <v>-0.162753720931157</v>
      </c>
      <c r="AI111" s="42" t="e">
        <f>AF111-S111</f>
        <v>#DIV/0!</v>
      </c>
      <c r="AJ111" s="11"/>
      <c r="AK111" s="11"/>
      <c r="AL111" s="11"/>
      <c r="AM111" s="11"/>
      <c r="AN111" s="11"/>
      <c r="AO111" s="30" t="e">
        <f t="shared" ref="AO111:AZ111" si="109">AO110/AO102</f>
        <v>#DIV/0!</v>
      </c>
      <c r="AP111" s="30" t="e">
        <f t="shared" si="109"/>
        <v>#DIV/0!</v>
      </c>
      <c r="AQ111" s="30" t="e">
        <f t="shared" si="109"/>
        <v>#DIV/0!</v>
      </c>
      <c r="AR111" s="30" t="e">
        <f t="shared" si="109"/>
        <v>#DIV/0!</v>
      </c>
      <c r="AS111" s="30" t="e">
        <f t="shared" si="109"/>
        <v>#DIV/0!</v>
      </c>
      <c r="AT111" s="30" t="e">
        <f t="shared" si="109"/>
        <v>#DIV/0!</v>
      </c>
      <c r="AU111" s="30" t="e">
        <f t="shared" si="109"/>
        <v>#DIV/0!</v>
      </c>
      <c r="AV111" s="30" t="e">
        <f t="shared" si="109"/>
        <v>#DIV/0!</v>
      </c>
      <c r="AW111" s="30" t="e">
        <f t="shared" si="109"/>
        <v>#DIV/0!</v>
      </c>
      <c r="AX111" s="30">
        <f t="shared" si="109"/>
        <v>0.998046156395491</v>
      </c>
      <c r="AY111" s="30" t="e">
        <f t="shared" si="109"/>
        <v>#DIV/0!</v>
      </c>
      <c r="AZ111" s="30" t="e">
        <f t="shared" si="109"/>
        <v>#DIV/0!</v>
      </c>
      <c r="BA111" s="58">
        <v>0</v>
      </c>
      <c r="BB111" s="52">
        <v>0</v>
      </c>
      <c r="BC111" s="62">
        <v>0</v>
      </c>
      <c r="BD111" s="49" t="s">
        <v>63</v>
      </c>
    </row>
  </sheetData>
  <autoFilter xmlns:etc="http://www.wps.cn/officeDocument/2017/etCustomData" ref="A1:BD111" etc:filterBottomFollowUsedRange="0">
    <extLst/>
  </autoFilter>
  <mergeCells count="243">
    <mergeCell ref="A2:A11"/>
    <mergeCell ref="A12:A21"/>
    <mergeCell ref="A22:A31"/>
    <mergeCell ref="A32:A41"/>
    <mergeCell ref="A42:A51"/>
    <mergeCell ref="A52:A61"/>
    <mergeCell ref="A62:A71"/>
    <mergeCell ref="A72:A81"/>
    <mergeCell ref="A82:A91"/>
    <mergeCell ref="A92:A101"/>
    <mergeCell ref="A102:A111"/>
    <mergeCell ref="B2:B11"/>
    <mergeCell ref="B12:B21"/>
    <mergeCell ref="B22:B31"/>
    <mergeCell ref="B32:B41"/>
    <mergeCell ref="B42:B51"/>
    <mergeCell ref="B52:B61"/>
    <mergeCell ref="B62:B71"/>
    <mergeCell ref="B72:B81"/>
    <mergeCell ref="B82:B91"/>
    <mergeCell ref="B92:B101"/>
    <mergeCell ref="B102:B111"/>
    <mergeCell ref="C2:C11"/>
    <mergeCell ref="C12:C21"/>
    <mergeCell ref="C22:C31"/>
    <mergeCell ref="C32:C41"/>
    <mergeCell ref="C42:C51"/>
    <mergeCell ref="C52:C61"/>
    <mergeCell ref="C62:C71"/>
    <mergeCell ref="C72:C81"/>
    <mergeCell ref="C82:C91"/>
    <mergeCell ref="C92:C101"/>
    <mergeCell ref="C102:C111"/>
    <mergeCell ref="D2:D11"/>
    <mergeCell ref="D12:D21"/>
    <mergeCell ref="D22:D31"/>
    <mergeCell ref="D32:D41"/>
    <mergeCell ref="D42:D51"/>
    <mergeCell ref="D52:D61"/>
    <mergeCell ref="D62:D71"/>
    <mergeCell ref="D72:D81"/>
    <mergeCell ref="D82:D91"/>
    <mergeCell ref="D92:D101"/>
    <mergeCell ref="D102:D111"/>
    <mergeCell ref="E2:E11"/>
    <mergeCell ref="E12:E21"/>
    <mergeCell ref="E22:E31"/>
    <mergeCell ref="E32:E41"/>
    <mergeCell ref="E42:E51"/>
    <mergeCell ref="E52:E61"/>
    <mergeCell ref="E62:E71"/>
    <mergeCell ref="E72:E81"/>
    <mergeCell ref="E82:E91"/>
    <mergeCell ref="E92:E101"/>
    <mergeCell ref="E102:E111"/>
    <mergeCell ref="F2:F11"/>
    <mergeCell ref="F12:F21"/>
    <mergeCell ref="F22:F31"/>
    <mergeCell ref="F32:F41"/>
    <mergeCell ref="F42:F51"/>
    <mergeCell ref="F52:F61"/>
    <mergeCell ref="F62:F71"/>
    <mergeCell ref="F72:F81"/>
    <mergeCell ref="F82:F91"/>
    <mergeCell ref="F92:F101"/>
    <mergeCell ref="F102:F111"/>
    <mergeCell ref="G2:G11"/>
    <mergeCell ref="G12:G21"/>
    <mergeCell ref="G22:G31"/>
    <mergeCell ref="G32:G41"/>
    <mergeCell ref="G42:G51"/>
    <mergeCell ref="G52:G61"/>
    <mergeCell ref="G62:G71"/>
    <mergeCell ref="G72:G81"/>
    <mergeCell ref="G82:G91"/>
    <mergeCell ref="G92:G101"/>
    <mergeCell ref="G102:G111"/>
    <mergeCell ref="H2:H11"/>
    <mergeCell ref="H12:H21"/>
    <mergeCell ref="H22:H31"/>
    <mergeCell ref="H32:H41"/>
    <mergeCell ref="H42:H51"/>
    <mergeCell ref="H52:H61"/>
    <mergeCell ref="H62:H71"/>
    <mergeCell ref="H72:H81"/>
    <mergeCell ref="H82:H91"/>
    <mergeCell ref="H92:H101"/>
    <mergeCell ref="H102:H111"/>
    <mergeCell ref="I2:I11"/>
    <mergeCell ref="I12:I21"/>
    <mergeCell ref="I22:I31"/>
    <mergeCell ref="I32:I41"/>
    <mergeCell ref="I42:I51"/>
    <mergeCell ref="I52:I61"/>
    <mergeCell ref="I62:I71"/>
    <mergeCell ref="I72:I81"/>
    <mergeCell ref="I82:I91"/>
    <mergeCell ref="I92:I101"/>
    <mergeCell ref="I102:I111"/>
    <mergeCell ref="J2:J11"/>
    <mergeCell ref="J12:J21"/>
    <mergeCell ref="J22:J31"/>
    <mergeCell ref="J32:J41"/>
    <mergeCell ref="J42:J51"/>
    <mergeCell ref="J52:J61"/>
    <mergeCell ref="J62:J71"/>
    <mergeCell ref="J72:J81"/>
    <mergeCell ref="J82:J91"/>
    <mergeCell ref="J92:J101"/>
    <mergeCell ref="J102:J111"/>
    <mergeCell ref="K2:K11"/>
    <mergeCell ref="K12:K21"/>
    <mergeCell ref="K22:K31"/>
    <mergeCell ref="K32:K41"/>
    <mergeCell ref="K42:K51"/>
    <mergeCell ref="K52:K61"/>
    <mergeCell ref="K62:K71"/>
    <mergeCell ref="K72:K81"/>
    <mergeCell ref="K82:K91"/>
    <mergeCell ref="K92:K101"/>
    <mergeCell ref="K102:K111"/>
    <mergeCell ref="L2:L11"/>
    <mergeCell ref="L12:L21"/>
    <mergeCell ref="L22:L31"/>
    <mergeCell ref="L32:L41"/>
    <mergeCell ref="L42:L51"/>
    <mergeCell ref="L52:L61"/>
    <mergeCell ref="L62:L71"/>
    <mergeCell ref="L72:L81"/>
    <mergeCell ref="L82:L91"/>
    <mergeCell ref="L92:L101"/>
    <mergeCell ref="L102:L111"/>
    <mergeCell ref="M2:M11"/>
    <mergeCell ref="M12:M21"/>
    <mergeCell ref="M22:M31"/>
    <mergeCell ref="M32:M41"/>
    <mergeCell ref="M42:M51"/>
    <mergeCell ref="M52:M61"/>
    <mergeCell ref="M62:M71"/>
    <mergeCell ref="M72:M81"/>
    <mergeCell ref="M82:M91"/>
    <mergeCell ref="M92:M101"/>
    <mergeCell ref="M102:M111"/>
    <mergeCell ref="N2:N11"/>
    <mergeCell ref="N12:N21"/>
    <mergeCell ref="N22:N31"/>
    <mergeCell ref="N32:N41"/>
    <mergeCell ref="N42:N51"/>
    <mergeCell ref="N52:N61"/>
    <mergeCell ref="N62:N71"/>
    <mergeCell ref="N72:N81"/>
    <mergeCell ref="N82:N91"/>
    <mergeCell ref="N92:N101"/>
    <mergeCell ref="N102:N111"/>
    <mergeCell ref="O2:O11"/>
    <mergeCell ref="O12:O21"/>
    <mergeCell ref="O22:O31"/>
    <mergeCell ref="O32:O41"/>
    <mergeCell ref="O42:O51"/>
    <mergeCell ref="O52:O61"/>
    <mergeCell ref="O62:O71"/>
    <mergeCell ref="O72:O81"/>
    <mergeCell ref="O82:O91"/>
    <mergeCell ref="O92:O101"/>
    <mergeCell ref="O102:O111"/>
    <mergeCell ref="P2:P11"/>
    <mergeCell ref="P12:P21"/>
    <mergeCell ref="P22:P31"/>
    <mergeCell ref="P32:P41"/>
    <mergeCell ref="P42:P51"/>
    <mergeCell ref="P52:P61"/>
    <mergeCell ref="P62:P71"/>
    <mergeCell ref="P72:P81"/>
    <mergeCell ref="P82:P91"/>
    <mergeCell ref="P92:P101"/>
    <mergeCell ref="P102:P111"/>
    <mergeCell ref="Q2:Q11"/>
    <mergeCell ref="Q12:Q21"/>
    <mergeCell ref="Q22:Q31"/>
    <mergeCell ref="Q32:Q41"/>
    <mergeCell ref="Q42:Q51"/>
    <mergeCell ref="Q52:Q61"/>
    <mergeCell ref="Q62:Q71"/>
    <mergeCell ref="Q72:Q81"/>
    <mergeCell ref="Q82:Q91"/>
    <mergeCell ref="Q92:Q101"/>
    <mergeCell ref="Q102:Q111"/>
    <mergeCell ref="AJ2:AJ11"/>
    <mergeCell ref="AJ12:AJ21"/>
    <mergeCell ref="AJ22:AJ31"/>
    <mergeCell ref="AJ32:AJ41"/>
    <mergeCell ref="AJ42:AJ51"/>
    <mergeCell ref="AJ52:AJ61"/>
    <mergeCell ref="AJ62:AJ71"/>
    <mergeCell ref="AJ72:AJ81"/>
    <mergeCell ref="AJ82:AJ91"/>
    <mergeCell ref="AJ92:AJ101"/>
    <mergeCell ref="AJ102:AJ111"/>
    <mergeCell ref="AK2:AK11"/>
    <mergeCell ref="AK12:AK21"/>
    <mergeCell ref="AK22:AK31"/>
    <mergeCell ref="AK32:AK41"/>
    <mergeCell ref="AK42:AK51"/>
    <mergeCell ref="AK52:AK61"/>
    <mergeCell ref="AK62:AK71"/>
    <mergeCell ref="AK72:AK81"/>
    <mergeCell ref="AK82:AK91"/>
    <mergeCell ref="AK92:AK101"/>
    <mergeCell ref="AK102:AK111"/>
    <mergeCell ref="AL2:AL11"/>
    <mergeCell ref="AL12:AL21"/>
    <mergeCell ref="AL22:AL31"/>
    <mergeCell ref="AL32:AL41"/>
    <mergeCell ref="AL42:AL51"/>
    <mergeCell ref="AL52:AL61"/>
    <mergeCell ref="AL62:AL71"/>
    <mergeCell ref="AL72:AL81"/>
    <mergeCell ref="AL82:AL91"/>
    <mergeCell ref="AL92:AL101"/>
    <mergeCell ref="AL102:AL111"/>
    <mergeCell ref="AM2:AM11"/>
    <mergeCell ref="AM12:AM21"/>
    <mergeCell ref="AM22:AM31"/>
    <mergeCell ref="AM32:AM41"/>
    <mergeCell ref="AM42:AM51"/>
    <mergeCell ref="AM52:AM61"/>
    <mergeCell ref="AM62:AM71"/>
    <mergeCell ref="AM72:AM81"/>
    <mergeCell ref="AM82:AM91"/>
    <mergeCell ref="AM92:AM101"/>
    <mergeCell ref="AM102:AM111"/>
    <mergeCell ref="AN2:AN11"/>
    <mergeCell ref="AN12:AN21"/>
    <mergeCell ref="AN22:AN31"/>
    <mergeCell ref="AN32:AN41"/>
    <mergeCell ref="AN42:AN51"/>
    <mergeCell ref="AN52:AN61"/>
    <mergeCell ref="AN62:AN71"/>
    <mergeCell ref="AN72:AN81"/>
    <mergeCell ref="AN82:AN91"/>
    <mergeCell ref="AN92:AN101"/>
    <mergeCell ref="AN102:AN111"/>
    <mergeCell ref="BD12:BD2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21"/>
  <sheetViews>
    <sheetView workbookViewId="0">
      <selection activeCell="A1" sqref="A1"/>
    </sheetView>
  </sheetViews>
  <sheetFormatPr defaultColWidth="9" defaultRowHeight="13.5"/>
  <sheetData>
    <row r="1" ht="61.9" spans="1:56">
      <c r="A1" s="1" t="s">
        <v>20</v>
      </c>
      <c r="B1" s="1" t="s">
        <v>1</v>
      </c>
      <c r="C1" s="1" t="s">
        <v>21</v>
      </c>
      <c r="D1" s="1" t="s">
        <v>22</v>
      </c>
      <c r="E1" s="1" t="s">
        <v>23</v>
      </c>
      <c r="F1" s="2" t="s">
        <v>24</v>
      </c>
      <c r="G1" s="1" t="s">
        <v>25</v>
      </c>
      <c r="H1" s="1" t="s">
        <v>26</v>
      </c>
      <c r="I1" s="1" t="s">
        <v>27</v>
      </c>
      <c r="J1" s="1" t="s">
        <v>28</v>
      </c>
      <c r="K1" s="1" t="s">
        <v>29</v>
      </c>
      <c r="L1" s="1" t="s">
        <v>30</v>
      </c>
      <c r="M1" s="1" t="s">
        <v>31</v>
      </c>
      <c r="N1" s="1" t="s">
        <v>32</v>
      </c>
      <c r="O1" s="1" t="s">
        <v>33</v>
      </c>
      <c r="P1" s="1" t="s">
        <v>34</v>
      </c>
      <c r="Q1" s="1" t="s">
        <v>35</v>
      </c>
      <c r="R1" s="1" t="s">
        <v>2</v>
      </c>
      <c r="S1" s="19" t="s">
        <v>3</v>
      </c>
      <c r="T1" s="20" t="s">
        <v>4</v>
      </c>
      <c r="U1" s="21" t="s">
        <v>36</v>
      </c>
      <c r="V1" s="22" t="s">
        <v>37</v>
      </c>
      <c r="W1" s="22" t="s">
        <v>38</v>
      </c>
      <c r="X1" s="22" t="s">
        <v>39</v>
      </c>
      <c r="Y1" s="22" t="s">
        <v>40</v>
      </c>
      <c r="Z1" s="22" t="s">
        <v>41</v>
      </c>
      <c r="AA1" s="22" t="s">
        <v>42</v>
      </c>
      <c r="AB1" s="22" t="s">
        <v>43</v>
      </c>
      <c r="AC1" s="22" t="s">
        <v>44</v>
      </c>
      <c r="AD1" s="22" t="s">
        <v>45</v>
      </c>
      <c r="AE1" s="22" t="s">
        <v>46</v>
      </c>
      <c r="AF1" s="2" t="s">
        <v>47</v>
      </c>
      <c r="AG1" s="22" t="s">
        <v>48</v>
      </c>
      <c r="AH1" s="34" t="s">
        <v>49</v>
      </c>
      <c r="AI1" s="34" t="s">
        <v>50</v>
      </c>
      <c r="AJ1" s="35" t="s">
        <v>51</v>
      </c>
      <c r="AK1" s="36" t="s">
        <v>52</v>
      </c>
      <c r="AL1" s="36" t="s">
        <v>53</v>
      </c>
      <c r="AM1" s="36" t="s">
        <v>54</v>
      </c>
      <c r="AN1" s="37" t="s">
        <v>55</v>
      </c>
      <c r="AO1" s="22">
        <v>202612</v>
      </c>
      <c r="AP1" s="22">
        <v>202611</v>
      </c>
      <c r="AQ1" s="22">
        <v>202610</v>
      </c>
      <c r="AR1" s="22">
        <v>202609</v>
      </c>
      <c r="AS1" s="22">
        <v>202608</v>
      </c>
      <c r="AT1" s="22">
        <v>202607</v>
      </c>
      <c r="AU1" s="22">
        <v>202606</v>
      </c>
      <c r="AV1" s="22">
        <v>202605</v>
      </c>
      <c r="AW1" s="22">
        <v>202604</v>
      </c>
      <c r="AX1" s="22">
        <v>202603</v>
      </c>
      <c r="AY1" s="22">
        <v>202602</v>
      </c>
      <c r="AZ1" s="22">
        <v>202601</v>
      </c>
      <c r="BA1" s="46" t="s">
        <v>56</v>
      </c>
      <c r="BB1" s="46" t="s">
        <v>57</v>
      </c>
      <c r="BC1" s="46" t="s">
        <v>58</v>
      </c>
      <c r="BD1" s="22" t="s">
        <v>59</v>
      </c>
    </row>
    <row r="2" ht="15" spans="1:56">
      <c r="A2" s="3" t="s">
        <v>60</v>
      </c>
      <c r="B2" s="4" t="s">
        <v>61</v>
      </c>
      <c r="C2" s="5">
        <v>44917</v>
      </c>
      <c r="D2" s="5">
        <v>46326</v>
      </c>
      <c r="E2" s="6"/>
      <c r="F2" s="7" t="s">
        <v>62</v>
      </c>
      <c r="G2" s="8">
        <v>0.727</v>
      </c>
      <c r="H2" s="9"/>
      <c r="I2" s="9"/>
      <c r="J2" s="9"/>
      <c r="K2" s="9"/>
      <c r="L2" s="9"/>
      <c r="M2" s="9"/>
      <c r="N2" s="9"/>
      <c r="O2" s="9"/>
      <c r="P2" s="6"/>
      <c r="Q2" s="9" t="s">
        <v>63</v>
      </c>
      <c r="R2" s="23" t="s">
        <v>9</v>
      </c>
      <c r="S2" s="24">
        <v>351886.79</v>
      </c>
      <c r="T2" s="24">
        <f>SUM(AO2:BC2)</f>
        <v>349989.63</v>
      </c>
      <c r="U2" s="25">
        <f>SUM(BA2:BC2)</f>
        <v>260990.67</v>
      </c>
      <c r="V2" s="24">
        <f>SUM(AO2:AZ2)</f>
        <v>88998.96</v>
      </c>
      <c r="W2" s="24">
        <f>SUM(AP2:AZ2)</f>
        <v>88998.96</v>
      </c>
      <c r="X2" s="24">
        <f>SUM(AQ2:AZ2)</f>
        <v>88998.96</v>
      </c>
      <c r="Y2" s="24">
        <f>SUM(AR2:AZ2)</f>
        <v>88998.96</v>
      </c>
      <c r="Z2" s="24">
        <f>SUM(AS2:AZ2)</f>
        <v>88998.96</v>
      </c>
      <c r="AA2" s="24">
        <f>SUM(AT2:AZ2)</f>
        <v>88998.96</v>
      </c>
      <c r="AB2" s="24">
        <f>SUM(AU2:AZ2)</f>
        <v>88998.96</v>
      </c>
      <c r="AC2" s="24">
        <f>SUM(AV2:AZ2)</f>
        <v>88998.96</v>
      </c>
      <c r="AD2" s="24">
        <f>SUM(AW2:AZ2)</f>
        <v>88998.96</v>
      </c>
      <c r="AE2" s="24">
        <f>SUM(AX2:AZ2)</f>
        <v>88998.96</v>
      </c>
      <c r="AF2" s="24">
        <f>SUM(AY2:AZ2)</f>
        <v>66560.5</v>
      </c>
      <c r="AG2" s="24">
        <f>SUM(AZ2:AZ2)</f>
        <v>0</v>
      </c>
      <c r="AH2" s="38">
        <v>0</v>
      </c>
      <c r="AI2" s="38">
        <v>0</v>
      </c>
      <c r="AJ2" s="39" t="s">
        <v>63</v>
      </c>
      <c r="AK2" s="4" t="s">
        <v>64</v>
      </c>
      <c r="AL2" s="40" t="s">
        <v>63</v>
      </c>
      <c r="AM2" s="40" t="s">
        <v>63</v>
      </c>
      <c r="AN2" s="7"/>
      <c r="AO2" s="24">
        <v>0</v>
      </c>
      <c r="AP2" s="24">
        <v>0</v>
      </c>
      <c r="AQ2" s="24">
        <v>0</v>
      </c>
      <c r="AR2" s="24">
        <v>0</v>
      </c>
      <c r="AS2" s="24">
        <v>0</v>
      </c>
      <c r="AT2" s="24">
        <v>0</v>
      </c>
      <c r="AU2" s="24">
        <v>0</v>
      </c>
      <c r="AV2" s="24">
        <v>0</v>
      </c>
      <c r="AW2" s="24">
        <v>0</v>
      </c>
      <c r="AX2" s="24">
        <v>22438.46</v>
      </c>
      <c r="AY2" s="24">
        <v>66560.5</v>
      </c>
      <c r="AZ2" s="24">
        <v>0</v>
      </c>
      <c r="BA2" s="47">
        <v>32200.04</v>
      </c>
      <c r="BB2" s="25">
        <v>7052.56</v>
      </c>
      <c r="BC2" s="48">
        <v>221738.07</v>
      </c>
      <c r="BD2" s="49" t="s">
        <v>63</v>
      </c>
    </row>
    <row r="3" ht="15" spans="1:56">
      <c r="A3" s="10"/>
      <c r="B3" s="10"/>
      <c r="C3" s="10"/>
      <c r="D3" s="10"/>
      <c r="E3" s="10"/>
      <c r="F3" s="10"/>
      <c r="G3" s="10"/>
      <c r="H3" s="10"/>
      <c r="I3" s="10"/>
      <c r="J3" s="10"/>
      <c r="K3" s="10"/>
      <c r="L3" s="10"/>
      <c r="M3" s="10"/>
      <c r="N3" s="10"/>
      <c r="O3" s="10"/>
      <c r="P3" s="10"/>
      <c r="Q3" s="10"/>
      <c r="R3" s="23" t="s">
        <v>10</v>
      </c>
      <c r="S3" s="24">
        <v>235685.1</v>
      </c>
      <c r="T3" s="24">
        <f>SUM(AO3:BC3)</f>
        <v>231683.38</v>
      </c>
      <c r="U3" s="25">
        <f>SUM(BA3:BC3)</f>
        <v>197558.85</v>
      </c>
      <c r="V3" s="24">
        <f>SUM(AO3:AZ3)</f>
        <v>34124.53</v>
      </c>
      <c r="W3" s="24">
        <f>SUM(AP3:AZ3)</f>
        <v>34124.53</v>
      </c>
      <c r="X3" s="24">
        <f>SUM(AQ3:AZ3)</f>
        <v>34124.53</v>
      </c>
      <c r="Y3" s="24">
        <f>SUM(AR3:AZ3)</f>
        <v>34124.53</v>
      </c>
      <c r="Z3" s="24">
        <f>SUM(AS3:AZ3)</f>
        <v>34124.53</v>
      </c>
      <c r="AA3" s="24">
        <f>SUM(AT3:AZ3)</f>
        <v>34124.53</v>
      </c>
      <c r="AB3" s="24">
        <f>SUM(AU3:AZ3)</f>
        <v>34124.53</v>
      </c>
      <c r="AC3" s="24">
        <f>SUM(AV3:AZ3)</f>
        <v>34124.53</v>
      </c>
      <c r="AD3" s="24">
        <f>SUM(AW3:AZ3)</f>
        <v>34124.53</v>
      </c>
      <c r="AE3" s="24">
        <f>SUM(AX3:AZ3)</f>
        <v>34124.53</v>
      </c>
      <c r="AF3" s="24">
        <f>SUM(AY3:AZ3)</f>
        <v>20617.93</v>
      </c>
      <c r="AG3" s="24">
        <f>SUM(AZ3:AZ3)</f>
        <v>20617.93</v>
      </c>
      <c r="AH3" s="38">
        <v>0</v>
      </c>
      <c r="AI3" s="38">
        <v>0</v>
      </c>
      <c r="AJ3" s="10"/>
      <c r="AK3" s="10"/>
      <c r="AL3" s="10"/>
      <c r="AM3" s="10"/>
      <c r="AN3" s="10"/>
      <c r="AO3" s="24">
        <v>0</v>
      </c>
      <c r="AP3" s="24">
        <v>0</v>
      </c>
      <c r="AQ3" s="24">
        <v>0</v>
      </c>
      <c r="AR3" s="24">
        <v>0</v>
      </c>
      <c r="AS3" s="24">
        <v>0</v>
      </c>
      <c r="AT3" s="24">
        <v>0</v>
      </c>
      <c r="AU3" s="24">
        <v>0</v>
      </c>
      <c r="AV3" s="24">
        <v>0</v>
      </c>
      <c r="AW3" s="24">
        <v>0</v>
      </c>
      <c r="AX3" s="24">
        <v>13506.6</v>
      </c>
      <c r="AY3" s="24">
        <v>0</v>
      </c>
      <c r="AZ3" s="24">
        <v>20617.93</v>
      </c>
      <c r="BA3" s="47">
        <v>91878.26</v>
      </c>
      <c r="BB3" s="25">
        <v>2631.75</v>
      </c>
      <c r="BC3" s="48">
        <v>103048.84</v>
      </c>
      <c r="BD3" s="49" t="s">
        <v>63</v>
      </c>
    </row>
    <row r="4" ht="15" spans="1:56">
      <c r="A4" s="10"/>
      <c r="B4" s="10"/>
      <c r="C4" s="10"/>
      <c r="D4" s="10"/>
      <c r="E4" s="10"/>
      <c r="F4" s="10"/>
      <c r="G4" s="10"/>
      <c r="H4" s="10"/>
      <c r="I4" s="10"/>
      <c r="J4" s="10"/>
      <c r="K4" s="10"/>
      <c r="L4" s="10"/>
      <c r="M4" s="10"/>
      <c r="N4" s="10"/>
      <c r="O4" s="10"/>
      <c r="P4" s="10"/>
      <c r="Q4" s="10"/>
      <c r="R4" s="26" t="s">
        <v>11</v>
      </c>
      <c r="S4" s="24">
        <v>0</v>
      </c>
      <c r="T4" s="24">
        <f>SUM(AO4:BC4)</f>
        <v>0</v>
      </c>
      <c r="U4" s="25">
        <f>SUM(BA4:BC4)</f>
        <v>0</v>
      </c>
      <c r="V4" s="24">
        <v>0</v>
      </c>
      <c r="W4" s="24">
        <v>0</v>
      </c>
      <c r="X4" s="24">
        <v>0</v>
      </c>
      <c r="Y4" s="24">
        <v>0</v>
      </c>
      <c r="Z4" s="24">
        <v>0</v>
      </c>
      <c r="AA4" s="24">
        <v>0</v>
      </c>
      <c r="AB4" s="24">
        <v>0</v>
      </c>
      <c r="AC4" s="24">
        <v>0</v>
      </c>
      <c r="AD4" s="24">
        <v>0</v>
      </c>
      <c r="AE4" s="24">
        <v>0</v>
      </c>
      <c r="AF4" s="24">
        <v>0</v>
      </c>
      <c r="AG4" s="24">
        <v>0</v>
      </c>
      <c r="AH4" s="38">
        <v>0</v>
      </c>
      <c r="AI4" s="38">
        <v>0</v>
      </c>
      <c r="AJ4" s="10"/>
      <c r="AK4" s="10"/>
      <c r="AL4" s="10"/>
      <c r="AM4" s="10"/>
      <c r="AN4" s="10"/>
      <c r="AO4" s="24">
        <v>0</v>
      </c>
      <c r="AP4" s="24">
        <v>0</v>
      </c>
      <c r="AQ4" s="24">
        <v>0</v>
      </c>
      <c r="AR4" s="24">
        <v>0</v>
      </c>
      <c r="AS4" s="24">
        <v>0</v>
      </c>
      <c r="AT4" s="24">
        <v>0</v>
      </c>
      <c r="AU4" s="24">
        <v>0</v>
      </c>
      <c r="AV4" s="24">
        <v>0</v>
      </c>
      <c r="AW4" s="24">
        <v>0</v>
      </c>
      <c r="AX4" s="24">
        <v>0</v>
      </c>
      <c r="AY4" s="24">
        <v>0</v>
      </c>
      <c r="AZ4" s="24">
        <v>0</v>
      </c>
      <c r="BA4" s="47">
        <v>0</v>
      </c>
      <c r="BB4" s="25">
        <v>0</v>
      </c>
      <c r="BC4" s="48">
        <v>0</v>
      </c>
      <c r="BD4" s="49" t="s">
        <v>63</v>
      </c>
    </row>
    <row r="5" ht="15" spans="1:56">
      <c r="A5" s="10"/>
      <c r="B5" s="10"/>
      <c r="C5" s="10"/>
      <c r="D5" s="10"/>
      <c r="E5" s="10"/>
      <c r="F5" s="10"/>
      <c r="G5" s="10"/>
      <c r="H5" s="10"/>
      <c r="I5" s="10"/>
      <c r="J5" s="10"/>
      <c r="K5" s="10"/>
      <c r="L5" s="10"/>
      <c r="M5" s="10"/>
      <c r="N5" s="10"/>
      <c r="O5" s="10"/>
      <c r="P5" s="10"/>
      <c r="Q5" s="10"/>
      <c r="R5" s="23" t="s">
        <v>12</v>
      </c>
      <c r="S5" s="24">
        <v>24000</v>
      </c>
      <c r="T5" s="24">
        <f>SUM(AO5:BC5)</f>
        <v>5630.59</v>
      </c>
      <c r="U5" s="25">
        <f>SUM(BA5:BC5)</f>
        <v>5630.59</v>
      </c>
      <c r="V5" s="24">
        <f>SUM(AO5:AZ5)</f>
        <v>0</v>
      </c>
      <c r="W5" s="24">
        <f>SUM(AP5:AZ5)</f>
        <v>0</v>
      </c>
      <c r="X5" s="24">
        <f>SUM(AQ5:AZ5)</f>
        <v>0</v>
      </c>
      <c r="Y5" s="24">
        <f>SUM(AR5:AZ5)</f>
        <v>0</v>
      </c>
      <c r="Z5" s="24">
        <f>SUM(AS5:AZ5)</f>
        <v>0</v>
      </c>
      <c r="AA5" s="24">
        <f>SUM(AT5:AZ5)</f>
        <v>0</v>
      </c>
      <c r="AB5" s="24">
        <f>SUM(AU5:AZ5)</f>
        <v>0</v>
      </c>
      <c r="AC5" s="24">
        <f>SUM(AV5:AZ5)</f>
        <v>0</v>
      </c>
      <c r="AD5" s="24">
        <f>SUM(AW5:AZ5)</f>
        <v>0</v>
      </c>
      <c r="AE5" s="24">
        <f>SUM(AX5:AZ5)</f>
        <v>0</v>
      </c>
      <c r="AF5" s="24">
        <f>SUM(AY5:AZ5)</f>
        <v>0</v>
      </c>
      <c r="AG5" s="24">
        <f>SUM(AZ5:AZ5)</f>
        <v>0</v>
      </c>
      <c r="AH5" s="38">
        <v>0</v>
      </c>
      <c r="AI5" s="38">
        <v>0</v>
      </c>
      <c r="AJ5" s="10"/>
      <c r="AK5" s="10"/>
      <c r="AL5" s="10"/>
      <c r="AM5" s="10"/>
      <c r="AN5" s="10"/>
      <c r="AO5" s="24">
        <v>0</v>
      </c>
      <c r="AP5" s="24">
        <v>0</v>
      </c>
      <c r="AQ5" s="24">
        <v>0</v>
      </c>
      <c r="AR5" s="24">
        <v>0</v>
      </c>
      <c r="AS5" s="24">
        <v>0</v>
      </c>
      <c r="AT5" s="24">
        <v>0</v>
      </c>
      <c r="AU5" s="24">
        <v>0</v>
      </c>
      <c r="AV5" s="24">
        <v>0</v>
      </c>
      <c r="AW5" s="24">
        <v>0</v>
      </c>
      <c r="AX5" s="24">
        <v>0</v>
      </c>
      <c r="AY5" s="24">
        <v>0</v>
      </c>
      <c r="AZ5" s="24">
        <v>0</v>
      </c>
      <c r="BA5" s="47">
        <v>306.5</v>
      </c>
      <c r="BB5" s="25">
        <v>0</v>
      </c>
      <c r="BC5" s="48">
        <v>5324.09</v>
      </c>
      <c r="BD5" s="49" t="s">
        <v>63</v>
      </c>
    </row>
    <row r="6" ht="15" spans="1:56">
      <c r="A6" s="10"/>
      <c r="B6" s="10"/>
      <c r="C6" s="10"/>
      <c r="D6" s="10"/>
      <c r="E6" s="10"/>
      <c r="F6" s="10"/>
      <c r="G6" s="10"/>
      <c r="H6" s="10"/>
      <c r="I6" s="10"/>
      <c r="J6" s="10"/>
      <c r="K6" s="10"/>
      <c r="L6" s="10"/>
      <c r="M6" s="10"/>
      <c r="N6" s="10"/>
      <c r="O6" s="10"/>
      <c r="P6" s="10"/>
      <c r="Q6" s="10"/>
      <c r="R6" s="23" t="s">
        <v>13</v>
      </c>
      <c r="S6" s="24">
        <v>6700</v>
      </c>
      <c r="T6" s="24">
        <f>SUM(AO6:BC6)</f>
        <v>56790.417</v>
      </c>
      <c r="U6" s="25">
        <f>SUM(BA6:BC6)</f>
        <v>37071.277</v>
      </c>
      <c r="V6" s="24">
        <f>SUM(AO6:AZ6)</f>
        <v>19719.14</v>
      </c>
      <c r="W6" s="24">
        <f>SUM(AP6:AZ6)</f>
        <v>19719.14</v>
      </c>
      <c r="X6" s="24">
        <f>SUM(AQ6:AZ6)</f>
        <v>19719.14</v>
      </c>
      <c r="Y6" s="24">
        <f>SUM(AR6:AZ6)</f>
        <v>19719.14</v>
      </c>
      <c r="Z6" s="24">
        <f>SUM(AS6:AZ6)</f>
        <v>19719.14</v>
      </c>
      <c r="AA6" s="24">
        <f>SUM(AT6:AZ6)</f>
        <v>19719.14</v>
      </c>
      <c r="AB6" s="24">
        <f>SUM(AU6:AZ6)</f>
        <v>19719.14</v>
      </c>
      <c r="AC6" s="24">
        <f>SUM(AV6:AZ6)</f>
        <v>19719.14</v>
      </c>
      <c r="AD6" s="24">
        <f>SUM(AW6:AZ6)</f>
        <v>19719.14</v>
      </c>
      <c r="AE6" s="24">
        <f>SUM(AX6:AZ6)</f>
        <v>19719.14</v>
      </c>
      <c r="AF6" s="24">
        <f>SUM(AY6:AZ6)</f>
        <v>-94.89</v>
      </c>
      <c r="AG6" s="24">
        <f>SUM(AZ6:AZ6)</f>
        <v>-82.99</v>
      </c>
      <c r="AH6" s="38">
        <v>0</v>
      </c>
      <c r="AI6" s="38">
        <v>0</v>
      </c>
      <c r="AJ6" s="10"/>
      <c r="AK6" s="10"/>
      <c r="AL6" s="10"/>
      <c r="AM6" s="10"/>
      <c r="AN6" s="10"/>
      <c r="AO6" s="24">
        <v>0</v>
      </c>
      <c r="AP6" s="24">
        <v>0</v>
      </c>
      <c r="AQ6" s="24">
        <v>0</v>
      </c>
      <c r="AR6" s="24">
        <v>0</v>
      </c>
      <c r="AS6" s="24">
        <v>0</v>
      </c>
      <c r="AT6" s="24">
        <v>0</v>
      </c>
      <c r="AU6" s="24">
        <v>0</v>
      </c>
      <c r="AV6" s="24">
        <v>0</v>
      </c>
      <c r="AW6" s="24">
        <v>0</v>
      </c>
      <c r="AX6" s="24">
        <v>19814.03</v>
      </c>
      <c r="AY6" s="24">
        <v>-11.9</v>
      </c>
      <c r="AZ6" s="24">
        <v>-82.99</v>
      </c>
      <c r="BA6" s="47">
        <v>2153.11</v>
      </c>
      <c r="BB6" s="25">
        <v>336.02</v>
      </c>
      <c r="BC6" s="48">
        <v>34582.147</v>
      </c>
      <c r="BD6" s="49" t="s">
        <v>63</v>
      </c>
    </row>
    <row r="7" ht="15" spans="1:56">
      <c r="A7" s="10"/>
      <c r="B7" s="10"/>
      <c r="C7" s="10"/>
      <c r="D7" s="10"/>
      <c r="E7" s="10"/>
      <c r="F7" s="10"/>
      <c r="G7" s="10"/>
      <c r="H7" s="10"/>
      <c r="I7" s="10"/>
      <c r="J7" s="10"/>
      <c r="K7" s="10"/>
      <c r="L7" s="10"/>
      <c r="M7" s="10"/>
      <c r="N7" s="10"/>
      <c r="O7" s="10"/>
      <c r="P7" s="10"/>
      <c r="Q7" s="10"/>
      <c r="R7" s="26" t="s">
        <v>14</v>
      </c>
      <c r="S7" s="27">
        <f t="shared" ref="S7:AI7" si="0">SUM(S3:S6)</f>
        <v>266385.1</v>
      </c>
      <c r="T7" s="27">
        <f t="shared" si="0"/>
        <v>294104.387</v>
      </c>
      <c r="U7" s="28">
        <f t="shared" si="0"/>
        <v>240260.717</v>
      </c>
      <c r="V7" s="27">
        <f t="shared" si="0"/>
        <v>53843.67</v>
      </c>
      <c r="W7" s="27">
        <f t="shared" si="0"/>
        <v>53843.67</v>
      </c>
      <c r="X7" s="27">
        <f t="shared" si="0"/>
        <v>53843.67</v>
      </c>
      <c r="Y7" s="27">
        <f t="shared" si="0"/>
        <v>53843.67</v>
      </c>
      <c r="Z7" s="27">
        <f t="shared" si="0"/>
        <v>53843.67</v>
      </c>
      <c r="AA7" s="27">
        <f t="shared" si="0"/>
        <v>53843.67</v>
      </c>
      <c r="AB7" s="27">
        <f t="shared" si="0"/>
        <v>53843.67</v>
      </c>
      <c r="AC7" s="27">
        <f t="shared" si="0"/>
        <v>53843.67</v>
      </c>
      <c r="AD7" s="27">
        <f t="shared" si="0"/>
        <v>53843.67</v>
      </c>
      <c r="AE7" s="27">
        <f t="shared" si="0"/>
        <v>53843.67</v>
      </c>
      <c r="AF7" s="27">
        <f t="shared" si="0"/>
        <v>20523.04</v>
      </c>
      <c r="AG7" s="27">
        <f t="shared" si="0"/>
        <v>20534.94</v>
      </c>
      <c r="AH7" s="27">
        <f t="shared" si="0"/>
        <v>0</v>
      </c>
      <c r="AI7" s="27">
        <f t="shared" si="0"/>
        <v>0</v>
      </c>
      <c r="AJ7" s="10"/>
      <c r="AK7" s="10"/>
      <c r="AL7" s="10"/>
      <c r="AM7" s="10"/>
      <c r="AN7" s="10"/>
      <c r="AO7" s="27">
        <f t="shared" ref="AO7:AX7" si="1">SUM(AO3:AO6)</f>
        <v>0</v>
      </c>
      <c r="AP7" s="27">
        <f t="shared" si="1"/>
        <v>0</v>
      </c>
      <c r="AQ7" s="27">
        <f t="shared" si="1"/>
        <v>0</v>
      </c>
      <c r="AR7" s="27">
        <f t="shared" si="1"/>
        <v>0</v>
      </c>
      <c r="AS7" s="27">
        <f t="shared" si="1"/>
        <v>0</v>
      </c>
      <c r="AT7" s="27">
        <f t="shared" si="1"/>
        <v>0</v>
      </c>
      <c r="AU7" s="27">
        <f t="shared" si="1"/>
        <v>0</v>
      </c>
      <c r="AV7" s="27">
        <f t="shared" si="1"/>
        <v>0</v>
      </c>
      <c r="AW7" s="27">
        <f t="shared" si="1"/>
        <v>0</v>
      </c>
      <c r="AX7" s="27">
        <f t="shared" si="1"/>
        <v>33320.63</v>
      </c>
      <c r="AY7" s="27">
        <v>-11.9</v>
      </c>
      <c r="AZ7" s="27">
        <f>SUM(AZ3:AZ6)</f>
        <v>20534.94</v>
      </c>
      <c r="BA7" s="28">
        <f>SUM(BA3:BA6)</f>
        <v>94337.87</v>
      </c>
      <c r="BB7" s="28">
        <f>SUM(BB3:BB6)</f>
        <v>2967.77</v>
      </c>
      <c r="BC7" s="28">
        <f>SUM(BC3:BC6)</f>
        <v>142955.077</v>
      </c>
      <c r="BD7" s="50" t="s">
        <v>63</v>
      </c>
    </row>
    <row r="8" ht="15" spans="1:56">
      <c r="A8" s="10"/>
      <c r="B8" s="10"/>
      <c r="C8" s="10"/>
      <c r="D8" s="10"/>
      <c r="E8" s="10"/>
      <c r="F8" s="10"/>
      <c r="G8" s="10"/>
      <c r="H8" s="10"/>
      <c r="I8" s="10"/>
      <c r="J8" s="10"/>
      <c r="K8" s="10"/>
      <c r="L8" s="10"/>
      <c r="M8" s="10"/>
      <c r="N8" s="10"/>
      <c r="O8" s="10"/>
      <c r="P8" s="10"/>
      <c r="Q8" s="10"/>
      <c r="R8" s="23" t="s">
        <v>15</v>
      </c>
      <c r="S8" s="24">
        <f t="shared" ref="S8:AG8" si="2">S2-S3</f>
        <v>116201.69</v>
      </c>
      <c r="T8" s="24">
        <f t="shared" si="2"/>
        <v>118306.25</v>
      </c>
      <c r="U8" s="25">
        <f t="shared" si="2"/>
        <v>63431.82</v>
      </c>
      <c r="V8" s="24">
        <f t="shared" si="2"/>
        <v>54874.43</v>
      </c>
      <c r="W8" s="24">
        <f t="shared" si="2"/>
        <v>54874.43</v>
      </c>
      <c r="X8" s="24">
        <f t="shared" si="2"/>
        <v>54874.43</v>
      </c>
      <c r="Y8" s="24">
        <f t="shared" si="2"/>
        <v>54874.43</v>
      </c>
      <c r="Z8" s="24">
        <f t="shared" si="2"/>
        <v>54874.43</v>
      </c>
      <c r="AA8" s="24">
        <f t="shared" si="2"/>
        <v>54874.43</v>
      </c>
      <c r="AB8" s="24">
        <f t="shared" si="2"/>
        <v>54874.43</v>
      </c>
      <c r="AC8" s="24">
        <f t="shared" si="2"/>
        <v>54874.43</v>
      </c>
      <c r="AD8" s="24">
        <f t="shared" si="2"/>
        <v>54874.43</v>
      </c>
      <c r="AE8" s="24">
        <f t="shared" si="2"/>
        <v>54874.43</v>
      </c>
      <c r="AF8" s="24">
        <f t="shared" si="2"/>
        <v>45942.57</v>
      </c>
      <c r="AG8" s="24">
        <f t="shared" si="2"/>
        <v>-20617.93</v>
      </c>
      <c r="AH8" s="41">
        <v>0</v>
      </c>
      <c r="AI8" s="41">
        <v>0</v>
      </c>
      <c r="AJ8" s="10"/>
      <c r="AK8" s="10"/>
      <c r="AL8" s="10"/>
      <c r="AM8" s="10"/>
      <c r="AN8" s="10"/>
      <c r="AO8" s="24">
        <f t="shared" ref="AO8:AZ8" si="3">AO2-AO3</f>
        <v>0</v>
      </c>
      <c r="AP8" s="24">
        <f t="shared" si="3"/>
        <v>0</v>
      </c>
      <c r="AQ8" s="24">
        <f t="shared" si="3"/>
        <v>0</v>
      </c>
      <c r="AR8" s="24">
        <f t="shared" si="3"/>
        <v>0</v>
      </c>
      <c r="AS8" s="24">
        <f t="shared" si="3"/>
        <v>0</v>
      </c>
      <c r="AT8" s="24">
        <f t="shared" si="3"/>
        <v>0</v>
      </c>
      <c r="AU8" s="24">
        <f t="shared" si="3"/>
        <v>0</v>
      </c>
      <c r="AV8" s="24">
        <f t="shared" si="3"/>
        <v>0</v>
      </c>
      <c r="AW8" s="24">
        <f t="shared" si="3"/>
        <v>0</v>
      </c>
      <c r="AX8" s="24">
        <f t="shared" si="3"/>
        <v>8931.86</v>
      </c>
      <c r="AY8" s="24">
        <f t="shared" si="3"/>
        <v>66560.5</v>
      </c>
      <c r="AZ8" s="24">
        <f t="shared" si="3"/>
        <v>-20617.93</v>
      </c>
      <c r="BA8" s="47">
        <v>-59678.22</v>
      </c>
      <c r="BB8" s="28">
        <v>4420.81</v>
      </c>
      <c r="BC8" s="51">
        <f>BC2-BC3</f>
        <v>118689.23</v>
      </c>
      <c r="BD8" s="49" t="s">
        <v>63</v>
      </c>
    </row>
    <row r="9" ht="15" spans="1:56">
      <c r="A9" s="10"/>
      <c r="B9" s="10"/>
      <c r="C9" s="10"/>
      <c r="D9" s="10"/>
      <c r="E9" s="10"/>
      <c r="F9" s="10"/>
      <c r="G9" s="10"/>
      <c r="H9" s="10"/>
      <c r="I9" s="10"/>
      <c r="J9" s="10"/>
      <c r="K9" s="10"/>
      <c r="L9" s="10"/>
      <c r="M9" s="10"/>
      <c r="N9" s="10"/>
      <c r="O9" s="10"/>
      <c r="P9" s="10"/>
      <c r="Q9" s="10"/>
      <c r="R9" s="29" t="s">
        <v>16</v>
      </c>
      <c r="S9" s="30">
        <f t="shared" ref="S9:AG9" si="4">S8/S2</f>
        <v>0.33022464412489</v>
      </c>
      <c r="T9" s="30">
        <f t="shared" si="4"/>
        <v>0.33802787242582</v>
      </c>
      <c r="U9" s="31">
        <f t="shared" si="4"/>
        <v>0.243042481173752</v>
      </c>
      <c r="V9" s="30">
        <f t="shared" si="4"/>
        <v>0.616573834121208</v>
      </c>
      <c r="W9" s="30">
        <f t="shared" si="4"/>
        <v>0.616573834121208</v>
      </c>
      <c r="X9" s="30">
        <f t="shared" si="4"/>
        <v>0.616573834121208</v>
      </c>
      <c r="Y9" s="30">
        <f t="shared" si="4"/>
        <v>0.616573834121208</v>
      </c>
      <c r="Z9" s="30">
        <f t="shared" si="4"/>
        <v>0.616573834121208</v>
      </c>
      <c r="AA9" s="30">
        <f t="shared" si="4"/>
        <v>0.616573834121208</v>
      </c>
      <c r="AB9" s="30">
        <f t="shared" si="4"/>
        <v>0.616573834121208</v>
      </c>
      <c r="AC9" s="30">
        <f t="shared" si="4"/>
        <v>0.616573834121208</v>
      </c>
      <c r="AD9" s="30">
        <f t="shared" si="4"/>
        <v>0.616573834121208</v>
      </c>
      <c r="AE9" s="30">
        <f t="shared" si="4"/>
        <v>0.616573834121208</v>
      </c>
      <c r="AF9" s="30">
        <f t="shared" si="4"/>
        <v>0.690237753622644</v>
      </c>
      <c r="AG9" s="30" t="e">
        <f t="shared" si="4"/>
        <v>#DIV/0!</v>
      </c>
      <c r="AH9" s="42">
        <f>T9-S9</f>
        <v>0.00780322830092994</v>
      </c>
      <c r="AI9" s="42">
        <f>AF9-S9</f>
        <v>0.360013109497754</v>
      </c>
      <c r="AJ9" s="10"/>
      <c r="AK9" s="10"/>
      <c r="AL9" s="10"/>
      <c r="AM9" s="10"/>
      <c r="AN9" s="10"/>
      <c r="AO9" s="30" t="e">
        <f t="shared" ref="AO9:AZ9" si="5">AO8/AO2</f>
        <v>#DIV/0!</v>
      </c>
      <c r="AP9" s="30" t="e">
        <f t="shared" si="5"/>
        <v>#DIV/0!</v>
      </c>
      <c r="AQ9" s="30" t="e">
        <f t="shared" si="5"/>
        <v>#DIV/0!</v>
      </c>
      <c r="AR9" s="30" t="e">
        <f t="shared" si="5"/>
        <v>#DIV/0!</v>
      </c>
      <c r="AS9" s="30" t="e">
        <f t="shared" si="5"/>
        <v>#DIV/0!</v>
      </c>
      <c r="AT9" s="30" t="e">
        <f t="shared" si="5"/>
        <v>#DIV/0!</v>
      </c>
      <c r="AU9" s="30" t="e">
        <f t="shared" si="5"/>
        <v>#DIV/0!</v>
      </c>
      <c r="AV9" s="30" t="e">
        <f t="shared" si="5"/>
        <v>#DIV/0!</v>
      </c>
      <c r="AW9" s="30" t="e">
        <f t="shared" si="5"/>
        <v>#DIV/0!</v>
      </c>
      <c r="AX9" s="30">
        <f t="shared" si="5"/>
        <v>0.398060294690456</v>
      </c>
      <c r="AY9" s="30">
        <f t="shared" si="5"/>
        <v>1</v>
      </c>
      <c r="AZ9" s="30" t="e">
        <f t="shared" si="5"/>
        <v>#DIV/0!</v>
      </c>
      <c r="BA9" s="31">
        <v>-1.85335856725644</v>
      </c>
      <c r="BB9" s="52">
        <v>0.626837630590878</v>
      </c>
      <c r="BC9" s="53">
        <f>BC8/BC2</f>
        <v>0.535267714741091</v>
      </c>
      <c r="BD9" s="49" t="s">
        <v>63</v>
      </c>
    </row>
    <row r="10" ht="15" spans="1:56">
      <c r="A10" s="10"/>
      <c r="B10" s="10"/>
      <c r="C10" s="10"/>
      <c r="D10" s="10"/>
      <c r="E10" s="10"/>
      <c r="F10" s="10"/>
      <c r="G10" s="10"/>
      <c r="H10" s="10"/>
      <c r="I10" s="10"/>
      <c r="J10" s="10"/>
      <c r="K10" s="10"/>
      <c r="L10" s="10"/>
      <c r="M10" s="10"/>
      <c r="N10" s="10"/>
      <c r="O10" s="10"/>
      <c r="P10" s="10"/>
      <c r="Q10" s="10"/>
      <c r="R10" s="23" t="s">
        <v>17</v>
      </c>
      <c r="S10" s="24">
        <f t="shared" ref="S10:AG10" si="6">S2-S7</f>
        <v>85501.69</v>
      </c>
      <c r="T10" s="24">
        <f t="shared" si="6"/>
        <v>55885.243</v>
      </c>
      <c r="U10" s="24">
        <f t="shared" si="6"/>
        <v>20729.953</v>
      </c>
      <c r="V10" s="24">
        <f t="shared" si="6"/>
        <v>35155.29</v>
      </c>
      <c r="W10" s="24">
        <f t="shared" si="6"/>
        <v>35155.29</v>
      </c>
      <c r="X10" s="24">
        <f t="shared" si="6"/>
        <v>35155.29</v>
      </c>
      <c r="Y10" s="24">
        <f t="shared" si="6"/>
        <v>35155.29</v>
      </c>
      <c r="Z10" s="24">
        <f t="shared" si="6"/>
        <v>35155.29</v>
      </c>
      <c r="AA10" s="24">
        <f t="shared" si="6"/>
        <v>35155.29</v>
      </c>
      <c r="AB10" s="24">
        <f t="shared" si="6"/>
        <v>35155.29</v>
      </c>
      <c r="AC10" s="24">
        <f t="shared" si="6"/>
        <v>35155.29</v>
      </c>
      <c r="AD10" s="24">
        <f t="shared" si="6"/>
        <v>35155.29</v>
      </c>
      <c r="AE10" s="24">
        <f t="shared" si="6"/>
        <v>35155.29</v>
      </c>
      <c r="AF10" s="24">
        <f t="shared" si="6"/>
        <v>46037.46</v>
      </c>
      <c r="AG10" s="24">
        <f t="shared" si="6"/>
        <v>-20534.94</v>
      </c>
      <c r="AH10" s="42">
        <v>0</v>
      </c>
      <c r="AI10" s="42">
        <v>0</v>
      </c>
      <c r="AJ10" s="10"/>
      <c r="AK10" s="10"/>
      <c r="AL10" s="10"/>
      <c r="AM10" s="10"/>
      <c r="AN10" s="10"/>
      <c r="AO10" s="24">
        <f t="shared" ref="AO10:BC10" si="7">AO2-AO7</f>
        <v>0</v>
      </c>
      <c r="AP10" s="24">
        <f t="shared" si="7"/>
        <v>0</v>
      </c>
      <c r="AQ10" s="24">
        <f t="shared" si="7"/>
        <v>0</v>
      </c>
      <c r="AR10" s="24">
        <f t="shared" si="7"/>
        <v>0</v>
      </c>
      <c r="AS10" s="24">
        <f t="shared" si="7"/>
        <v>0</v>
      </c>
      <c r="AT10" s="24">
        <f t="shared" si="7"/>
        <v>0</v>
      </c>
      <c r="AU10" s="24">
        <f t="shared" si="7"/>
        <v>0</v>
      </c>
      <c r="AV10" s="24">
        <f t="shared" si="7"/>
        <v>0</v>
      </c>
      <c r="AW10" s="24">
        <f t="shared" si="7"/>
        <v>0</v>
      </c>
      <c r="AX10" s="24">
        <f t="shared" si="7"/>
        <v>-10882.17</v>
      </c>
      <c r="AY10" s="24">
        <f t="shared" si="7"/>
        <v>66572.4</v>
      </c>
      <c r="AZ10" s="24">
        <f t="shared" si="7"/>
        <v>-20534.94</v>
      </c>
      <c r="BA10" s="24">
        <f t="shared" si="7"/>
        <v>-62137.83</v>
      </c>
      <c r="BB10" s="24">
        <f t="shared" si="7"/>
        <v>4084.79</v>
      </c>
      <c r="BC10" s="24">
        <f t="shared" si="7"/>
        <v>78782.993</v>
      </c>
      <c r="BD10" s="49" t="s">
        <v>63</v>
      </c>
    </row>
    <row r="11" ht="15" spans="1:56">
      <c r="A11" s="11"/>
      <c r="B11" s="11"/>
      <c r="C11" s="11"/>
      <c r="D11" s="11"/>
      <c r="E11" s="11"/>
      <c r="F11" s="11"/>
      <c r="G11" s="11"/>
      <c r="H11" s="11"/>
      <c r="I11" s="11"/>
      <c r="J11" s="11"/>
      <c r="K11" s="11"/>
      <c r="L11" s="11"/>
      <c r="M11" s="11"/>
      <c r="N11" s="11"/>
      <c r="O11" s="11"/>
      <c r="P11" s="11"/>
      <c r="Q11" s="11"/>
      <c r="R11" s="29" t="s">
        <v>18</v>
      </c>
      <c r="S11" s="30">
        <f t="shared" ref="S11:AG11" si="8">S10/S2</f>
        <v>0.242980675688337</v>
      </c>
      <c r="T11" s="30">
        <f t="shared" si="8"/>
        <v>0.159676853854213</v>
      </c>
      <c r="U11" s="31">
        <f t="shared" si="8"/>
        <v>0.0794279466005434</v>
      </c>
      <c r="V11" s="30">
        <f t="shared" si="8"/>
        <v>0.395007874249317</v>
      </c>
      <c r="W11" s="30">
        <f t="shared" si="8"/>
        <v>0.395007874249317</v>
      </c>
      <c r="X11" s="30">
        <f t="shared" si="8"/>
        <v>0.395007874249317</v>
      </c>
      <c r="Y11" s="30">
        <f t="shared" si="8"/>
        <v>0.395007874249317</v>
      </c>
      <c r="Z11" s="30">
        <f t="shared" si="8"/>
        <v>0.395007874249317</v>
      </c>
      <c r="AA11" s="30">
        <f t="shared" si="8"/>
        <v>0.395007874249317</v>
      </c>
      <c r="AB11" s="30">
        <f t="shared" si="8"/>
        <v>0.395007874249317</v>
      </c>
      <c r="AC11" s="30">
        <f t="shared" si="8"/>
        <v>0.395007874249317</v>
      </c>
      <c r="AD11" s="30">
        <f t="shared" si="8"/>
        <v>0.395007874249317</v>
      </c>
      <c r="AE11" s="30">
        <f t="shared" si="8"/>
        <v>0.395007874249317</v>
      </c>
      <c r="AF11" s="30">
        <f t="shared" si="8"/>
        <v>0.691663373922972</v>
      </c>
      <c r="AG11" s="30" t="e">
        <f t="shared" si="8"/>
        <v>#DIV/0!</v>
      </c>
      <c r="AH11" s="42">
        <f>T11-S11</f>
        <v>-0.0833038218341244</v>
      </c>
      <c r="AI11" s="42">
        <f>AF11-S11</f>
        <v>0.448682698234635</v>
      </c>
      <c r="AJ11" s="11"/>
      <c r="AK11" s="11"/>
      <c r="AL11" s="11"/>
      <c r="AM11" s="11"/>
      <c r="AN11" s="11"/>
      <c r="AO11" s="30" t="e">
        <f t="shared" ref="AO11:AZ11" si="9">AO10/AO2</f>
        <v>#DIV/0!</v>
      </c>
      <c r="AP11" s="30" t="e">
        <f t="shared" si="9"/>
        <v>#DIV/0!</v>
      </c>
      <c r="AQ11" s="30" t="e">
        <f t="shared" si="9"/>
        <v>#DIV/0!</v>
      </c>
      <c r="AR11" s="30" t="e">
        <f t="shared" si="9"/>
        <v>#DIV/0!</v>
      </c>
      <c r="AS11" s="30" t="e">
        <f t="shared" si="9"/>
        <v>#DIV/0!</v>
      </c>
      <c r="AT11" s="30" t="e">
        <f t="shared" si="9"/>
        <v>#DIV/0!</v>
      </c>
      <c r="AU11" s="30" t="e">
        <f t="shared" si="9"/>
        <v>#DIV/0!</v>
      </c>
      <c r="AV11" s="30" t="e">
        <f t="shared" si="9"/>
        <v>#DIV/0!</v>
      </c>
      <c r="AW11" s="30" t="e">
        <f t="shared" si="9"/>
        <v>#DIV/0!</v>
      </c>
      <c r="AX11" s="30">
        <f t="shared" si="9"/>
        <v>-0.484978470001952</v>
      </c>
      <c r="AY11" s="30">
        <f t="shared" si="9"/>
        <v>1.00017878471466</v>
      </c>
      <c r="AZ11" s="30" t="e">
        <f t="shared" si="9"/>
        <v>#DIV/0!</v>
      </c>
      <c r="BA11" s="31">
        <v>-1.92974387609456</v>
      </c>
      <c r="BB11" s="52">
        <v>0.579192520162891</v>
      </c>
      <c r="BC11" s="53">
        <f>BC10/BC2</f>
        <v>0.355297549942597</v>
      </c>
      <c r="BD11" s="49" t="s">
        <v>63</v>
      </c>
    </row>
    <row r="12" spans="1:56">
      <c r="A12" s="3" t="s">
        <v>95</v>
      </c>
      <c r="B12" s="4" t="s">
        <v>96</v>
      </c>
      <c r="C12" s="5">
        <v>44903</v>
      </c>
      <c r="D12" s="5">
        <v>46034</v>
      </c>
      <c r="E12" s="6"/>
      <c r="F12" s="7" t="s">
        <v>62</v>
      </c>
      <c r="G12" s="8"/>
      <c r="H12" s="9"/>
      <c r="I12" s="9"/>
      <c r="J12" s="9"/>
      <c r="K12" s="9"/>
      <c r="L12" s="9"/>
      <c r="M12" s="9"/>
      <c r="N12" s="9"/>
      <c r="O12" s="9"/>
      <c r="P12" s="6"/>
      <c r="Q12" s="9" t="s">
        <v>63</v>
      </c>
      <c r="R12" s="23" t="s">
        <v>9</v>
      </c>
      <c r="S12" s="24">
        <v>330094.34</v>
      </c>
      <c r="T12" s="24">
        <f>SUM(AO12:BC12)</f>
        <v>327730.977</v>
      </c>
      <c r="U12" s="25">
        <f>SUM(BA12:BC12)</f>
        <v>327731.107</v>
      </c>
      <c r="V12" s="24">
        <f>SUM(AO12:AZ12)</f>
        <v>-0.13</v>
      </c>
      <c r="W12" s="24">
        <f>SUM(AP12:AZ12)</f>
        <v>-0.13</v>
      </c>
      <c r="X12" s="24">
        <f>SUM(AQ12:AZ12)</f>
        <v>-0.13</v>
      </c>
      <c r="Y12" s="24">
        <f>SUM(AR12:AZ12)</f>
        <v>-0.13</v>
      </c>
      <c r="Z12" s="24">
        <f>SUM(AS12:AZ12)</f>
        <v>-0.13</v>
      </c>
      <c r="AA12" s="24">
        <f>SUM(AT12:AZ12)</f>
        <v>-0.13</v>
      </c>
      <c r="AB12" s="24">
        <f>SUM(AU12:AZ12)</f>
        <v>-0.13</v>
      </c>
      <c r="AC12" s="24">
        <f>SUM(AV12:AZ12)</f>
        <v>-0.13</v>
      </c>
      <c r="AD12" s="24">
        <f>SUM(AW12:AZ12)</f>
        <v>-0.13</v>
      </c>
      <c r="AE12" s="24">
        <f>SUM(AX12:AZ12)</f>
        <v>-0.13</v>
      </c>
      <c r="AF12" s="24">
        <f>SUM(AY12:AZ12)</f>
        <v>-0.13</v>
      </c>
      <c r="AG12" s="24">
        <f>SUM(AZ12:AZ12)</f>
        <v>-0.13</v>
      </c>
      <c r="AH12" s="38">
        <v>0</v>
      </c>
      <c r="AI12" s="38">
        <v>0</v>
      </c>
      <c r="AJ12" s="43" t="s">
        <v>63</v>
      </c>
      <c r="AK12" s="4" t="s">
        <v>97</v>
      </c>
      <c r="AL12" s="40" t="s">
        <v>63</v>
      </c>
      <c r="AM12" s="40" t="s">
        <v>63</v>
      </c>
      <c r="AN12" s="7"/>
      <c r="AO12" s="24">
        <v>0</v>
      </c>
      <c r="AP12" s="24">
        <v>0</v>
      </c>
      <c r="AQ12" s="24">
        <v>0</v>
      </c>
      <c r="AR12" s="24">
        <v>0</v>
      </c>
      <c r="AS12" s="24">
        <v>0</v>
      </c>
      <c r="AT12" s="24">
        <v>0</v>
      </c>
      <c r="AU12" s="24">
        <v>0</v>
      </c>
      <c r="AV12" s="24">
        <v>0</v>
      </c>
      <c r="AW12" s="24">
        <v>0</v>
      </c>
      <c r="AX12" s="24">
        <v>0</v>
      </c>
      <c r="AY12" s="24">
        <v>0</v>
      </c>
      <c r="AZ12" s="24">
        <v>-0.13</v>
      </c>
      <c r="BA12" s="54">
        <v>75260.57</v>
      </c>
      <c r="BB12" s="25">
        <v>47129.727</v>
      </c>
      <c r="BC12" s="48">
        <v>205340.81</v>
      </c>
      <c r="BD12" s="55" t="s">
        <v>69</v>
      </c>
    </row>
    <row r="13" spans="1:56">
      <c r="A13" s="10"/>
      <c r="B13" s="10"/>
      <c r="C13" s="10"/>
      <c r="D13" s="10"/>
      <c r="E13" s="10"/>
      <c r="F13" s="10"/>
      <c r="G13" s="10"/>
      <c r="H13" s="10"/>
      <c r="I13" s="10"/>
      <c r="J13" s="10"/>
      <c r="K13" s="10"/>
      <c r="L13" s="10"/>
      <c r="M13" s="10"/>
      <c r="N13" s="10"/>
      <c r="O13" s="10"/>
      <c r="P13" s="10"/>
      <c r="Q13" s="10"/>
      <c r="R13" s="23" t="s">
        <v>10</v>
      </c>
      <c r="S13" s="24">
        <v>207999</v>
      </c>
      <c r="T13" s="24">
        <f>SUM(AO13:BC13)</f>
        <v>131380.55</v>
      </c>
      <c r="U13" s="25">
        <f>SUM(BA13:BC13)</f>
        <v>131380.55</v>
      </c>
      <c r="V13" s="24">
        <f>SUM(AO13:AZ13)</f>
        <v>0</v>
      </c>
      <c r="W13" s="24">
        <f>SUM(AP13:AZ13)</f>
        <v>0</v>
      </c>
      <c r="X13" s="24">
        <f>SUM(AQ13:AZ13)</f>
        <v>0</v>
      </c>
      <c r="Y13" s="24">
        <f>SUM(AR13:AZ13)</f>
        <v>0</v>
      </c>
      <c r="Z13" s="24">
        <f>SUM(AS13:AZ13)</f>
        <v>0</v>
      </c>
      <c r="AA13" s="24">
        <f>SUM(AT13:AZ13)</f>
        <v>0</v>
      </c>
      <c r="AB13" s="24">
        <f>SUM(AU13:AZ13)</f>
        <v>0</v>
      </c>
      <c r="AC13" s="24">
        <f>SUM(AV13:AZ13)</f>
        <v>0</v>
      </c>
      <c r="AD13" s="24">
        <f>SUM(AW13:AZ13)</f>
        <v>0</v>
      </c>
      <c r="AE13" s="24">
        <f>SUM(AX13:AZ13)</f>
        <v>0</v>
      </c>
      <c r="AF13" s="24">
        <f>SUM(AY13:AZ13)</f>
        <v>0</v>
      </c>
      <c r="AG13" s="24">
        <f>SUM(AZ13:AZ13)</f>
        <v>0</v>
      </c>
      <c r="AH13" s="38">
        <v>0</v>
      </c>
      <c r="AI13" s="38">
        <v>0</v>
      </c>
      <c r="AJ13" s="10"/>
      <c r="AK13" s="10"/>
      <c r="AL13" s="10"/>
      <c r="AM13" s="10"/>
      <c r="AN13" s="10"/>
      <c r="AO13" s="24">
        <v>0</v>
      </c>
      <c r="AP13" s="24">
        <v>0</v>
      </c>
      <c r="AQ13" s="24">
        <v>0</v>
      </c>
      <c r="AR13" s="24">
        <v>0</v>
      </c>
      <c r="AS13" s="24">
        <v>0</v>
      </c>
      <c r="AT13" s="24">
        <v>0</v>
      </c>
      <c r="AU13" s="24">
        <v>0</v>
      </c>
      <c r="AV13" s="24">
        <v>0</v>
      </c>
      <c r="AW13" s="24">
        <v>0</v>
      </c>
      <c r="AX13" s="24">
        <v>0</v>
      </c>
      <c r="AY13" s="24">
        <v>0</v>
      </c>
      <c r="AZ13" s="24">
        <v>0</v>
      </c>
      <c r="BA13" s="54">
        <v>48896.58</v>
      </c>
      <c r="BB13" s="25">
        <v>1331.99</v>
      </c>
      <c r="BC13" s="48">
        <v>81151.98</v>
      </c>
      <c r="BD13" s="10"/>
    </row>
    <row r="14" spans="1:56">
      <c r="A14" s="10"/>
      <c r="B14" s="10"/>
      <c r="C14" s="10"/>
      <c r="D14" s="10"/>
      <c r="E14" s="10"/>
      <c r="F14" s="10"/>
      <c r="G14" s="10"/>
      <c r="H14" s="10"/>
      <c r="I14" s="10"/>
      <c r="J14" s="10"/>
      <c r="K14" s="10"/>
      <c r="L14" s="10"/>
      <c r="M14" s="10"/>
      <c r="N14" s="10"/>
      <c r="O14" s="10"/>
      <c r="P14" s="10"/>
      <c r="Q14" s="10"/>
      <c r="R14" s="26" t="s">
        <v>11</v>
      </c>
      <c r="S14" s="24">
        <v>0</v>
      </c>
      <c r="T14" s="24">
        <f>SUM(AO14:BC14)</f>
        <v>0</v>
      </c>
      <c r="U14" s="25">
        <f>SUM(BA14:BC14)</f>
        <v>0</v>
      </c>
      <c r="V14" s="24">
        <v>0</v>
      </c>
      <c r="W14" s="24">
        <v>0</v>
      </c>
      <c r="X14" s="24">
        <v>0</v>
      </c>
      <c r="Y14" s="24">
        <v>0</v>
      </c>
      <c r="Z14" s="24">
        <v>0</v>
      </c>
      <c r="AA14" s="24">
        <v>0</v>
      </c>
      <c r="AB14" s="24">
        <v>0</v>
      </c>
      <c r="AC14" s="24">
        <v>0</v>
      </c>
      <c r="AD14" s="24">
        <v>0</v>
      </c>
      <c r="AE14" s="24">
        <v>0</v>
      </c>
      <c r="AF14" s="24">
        <v>0</v>
      </c>
      <c r="AG14" s="24">
        <v>0</v>
      </c>
      <c r="AH14" s="38">
        <v>0</v>
      </c>
      <c r="AI14" s="38">
        <v>0</v>
      </c>
      <c r="AJ14" s="10"/>
      <c r="AK14" s="10"/>
      <c r="AL14" s="10"/>
      <c r="AM14" s="10"/>
      <c r="AN14" s="10"/>
      <c r="AO14" s="24">
        <v>0</v>
      </c>
      <c r="AP14" s="24">
        <v>0</v>
      </c>
      <c r="AQ14" s="24">
        <v>0</v>
      </c>
      <c r="AR14" s="24">
        <v>0</v>
      </c>
      <c r="AS14" s="24">
        <v>0</v>
      </c>
      <c r="AT14" s="24">
        <v>0</v>
      </c>
      <c r="AU14" s="24">
        <v>0</v>
      </c>
      <c r="AV14" s="24">
        <v>0</v>
      </c>
      <c r="AW14" s="24">
        <v>0</v>
      </c>
      <c r="AX14" s="24">
        <v>0</v>
      </c>
      <c r="AY14" s="24">
        <v>0</v>
      </c>
      <c r="AZ14" s="24">
        <v>0</v>
      </c>
      <c r="BA14" s="54">
        <v>0</v>
      </c>
      <c r="BB14" s="25">
        <v>0</v>
      </c>
      <c r="BC14" s="48">
        <v>0</v>
      </c>
      <c r="BD14" s="10"/>
    </row>
    <row r="15" spans="1:56">
      <c r="A15" s="10"/>
      <c r="B15" s="10"/>
      <c r="C15" s="10"/>
      <c r="D15" s="10"/>
      <c r="E15" s="10"/>
      <c r="F15" s="10"/>
      <c r="G15" s="10"/>
      <c r="H15" s="10"/>
      <c r="I15" s="10"/>
      <c r="J15" s="10"/>
      <c r="K15" s="10"/>
      <c r="L15" s="10"/>
      <c r="M15" s="10"/>
      <c r="N15" s="10"/>
      <c r="O15" s="10"/>
      <c r="P15" s="10"/>
      <c r="Q15" s="10"/>
      <c r="R15" s="23" t="s">
        <v>12</v>
      </c>
      <c r="S15" s="24">
        <v>17000</v>
      </c>
      <c r="T15" s="24">
        <f>SUM(AO15:BC15)</f>
        <v>4118.38</v>
      </c>
      <c r="U15" s="25">
        <f>SUM(BA15:BC15)</f>
        <v>4118.38</v>
      </c>
      <c r="V15" s="24">
        <f>SUM(AO15:AZ15)</f>
        <v>0</v>
      </c>
      <c r="W15" s="24">
        <f>SUM(AP15:AZ15)</f>
        <v>0</v>
      </c>
      <c r="X15" s="24">
        <f>SUM(AQ15:AZ15)</f>
        <v>0</v>
      </c>
      <c r="Y15" s="24">
        <f>SUM(AR15:AZ15)</f>
        <v>0</v>
      </c>
      <c r="Z15" s="24">
        <f>SUM(AS15:AZ15)</f>
        <v>0</v>
      </c>
      <c r="AA15" s="24">
        <f>SUM(AT15:AZ15)</f>
        <v>0</v>
      </c>
      <c r="AB15" s="24">
        <f>SUM(AU15:AZ15)</f>
        <v>0</v>
      </c>
      <c r="AC15" s="24">
        <f>SUM(AV15:AZ15)</f>
        <v>0</v>
      </c>
      <c r="AD15" s="24">
        <f>SUM(AW15:AZ15)</f>
        <v>0</v>
      </c>
      <c r="AE15" s="24">
        <f>SUM(AX15:AZ15)</f>
        <v>0</v>
      </c>
      <c r="AF15" s="24">
        <f>SUM(AY15:AZ15)</f>
        <v>0</v>
      </c>
      <c r="AG15" s="24">
        <f>SUM(AZ15:AZ15)</f>
        <v>0</v>
      </c>
      <c r="AH15" s="38">
        <v>0</v>
      </c>
      <c r="AI15" s="38">
        <v>0</v>
      </c>
      <c r="AJ15" s="10"/>
      <c r="AK15" s="10"/>
      <c r="AL15" s="10"/>
      <c r="AM15" s="10"/>
      <c r="AN15" s="10"/>
      <c r="AO15" s="24">
        <v>0</v>
      </c>
      <c r="AP15" s="24">
        <v>0</v>
      </c>
      <c r="AQ15" s="24">
        <v>0</v>
      </c>
      <c r="AR15" s="24">
        <v>0</v>
      </c>
      <c r="AS15" s="24">
        <v>0</v>
      </c>
      <c r="AT15" s="24">
        <v>0</v>
      </c>
      <c r="AU15" s="24">
        <v>0</v>
      </c>
      <c r="AV15" s="24">
        <v>0</v>
      </c>
      <c r="AW15" s="24">
        <v>0</v>
      </c>
      <c r="AX15" s="24">
        <v>0</v>
      </c>
      <c r="AY15" s="24">
        <v>0</v>
      </c>
      <c r="AZ15" s="24">
        <v>0</v>
      </c>
      <c r="BA15" s="54">
        <v>0</v>
      </c>
      <c r="BB15" s="25">
        <v>0</v>
      </c>
      <c r="BC15" s="48">
        <v>4118.38</v>
      </c>
      <c r="BD15" s="10"/>
    </row>
    <row r="16" spans="1:56">
      <c r="A16" s="10"/>
      <c r="B16" s="10"/>
      <c r="C16" s="10"/>
      <c r="D16" s="10"/>
      <c r="E16" s="10"/>
      <c r="F16" s="10"/>
      <c r="G16" s="10"/>
      <c r="H16" s="10"/>
      <c r="I16" s="10"/>
      <c r="J16" s="10"/>
      <c r="K16" s="10"/>
      <c r="L16" s="10"/>
      <c r="M16" s="10"/>
      <c r="N16" s="10"/>
      <c r="O16" s="10"/>
      <c r="P16" s="10"/>
      <c r="Q16" s="10"/>
      <c r="R16" s="23" t="s">
        <v>13</v>
      </c>
      <c r="S16" s="24">
        <v>10000</v>
      </c>
      <c r="T16" s="24">
        <f>SUM(AO16:BC16)</f>
        <v>5370.95</v>
      </c>
      <c r="U16" s="25">
        <f>SUM(BA16:BC16)</f>
        <v>5370.95</v>
      </c>
      <c r="V16" s="24">
        <f>SUM(AO16:AZ16)</f>
        <v>0</v>
      </c>
      <c r="W16" s="24">
        <f>SUM(AP16:AZ16)</f>
        <v>0</v>
      </c>
      <c r="X16" s="24">
        <f>SUM(AQ16:AZ16)</f>
        <v>0</v>
      </c>
      <c r="Y16" s="24">
        <f>SUM(AR16:AZ16)</f>
        <v>0</v>
      </c>
      <c r="Z16" s="24">
        <f>SUM(AS16:AZ16)</f>
        <v>0</v>
      </c>
      <c r="AA16" s="24">
        <f>SUM(AT16:AZ16)</f>
        <v>0</v>
      </c>
      <c r="AB16" s="24">
        <f>SUM(AU16:AZ16)</f>
        <v>0</v>
      </c>
      <c r="AC16" s="24">
        <f>SUM(AV16:AZ16)</f>
        <v>0</v>
      </c>
      <c r="AD16" s="24">
        <f>SUM(AW16:AZ16)</f>
        <v>0</v>
      </c>
      <c r="AE16" s="24">
        <f>SUM(AX16:AZ16)</f>
        <v>0</v>
      </c>
      <c r="AF16" s="24">
        <f>SUM(AY16:AZ16)</f>
        <v>0</v>
      </c>
      <c r="AG16" s="24">
        <f>SUM(AZ16:AZ16)</f>
        <v>0</v>
      </c>
      <c r="AH16" s="38">
        <v>0</v>
      </c>
      <c r="AI16" s="38">
        <v>0</v>
      </c>
      <c r="AJ16" s="10"/>
      <c r="AK16" s="10"/>
      <c r="AL16" s="10"/>
      <c r="AM16" s="10"/>
      <c r="AN16" s="10"/>
      <c r="AO16" s="24">
        <v>0</v>
      </c>
      <c r="AP16" s="24">
        <v>0</v>
      </c>
      <c r="AQ16" s="24">
        <v>0</v>
      </c>
      <c r="AR16" s="24">
        <v>0</v>
      </c>
      <c r="AS16" s="24">
        <v>0</v>
      </c>
      <c r="AT16" s="24">
        <v>0</v>
      </c>
      <c r="AU16" s="24">
        <v>0</v>
      </c>
      <c r="AV16" s="24">
        <v>0</v>
      </c>
      <c r="AW16" s="24">
        <v>0</v>
      </c>
      <c r="AX16" s="24">
        <v>0</v>
      </c>
      <c r="AY16" s="24">
        <v>0</v>
      </c>
      <c r="AZ16" s="24">
        <v>0</v>
      </c>
      <c r="BA16" s="54">
        <v>-322.66</v>
      </c>
      <c r="BB16" s="25">
        <v>10.03</v>
      </c>
      <c r="BC16" s="48">
        <v>5683.58</v>
      </c>
      <c r="BD16" s="10"/>
    </row>
    <row r="17" spans="1:56">
      <c r="A17" s="10"/>
      <c r="B17" s="10"/>
      <c r="C17" s="10"/>
      <c r="D17" s="10"/>
      <c r="E17" s="10"/>
      <c r="F17" s="10"/>
      <c r="G17" s="10"/>
      <c r="H17" s="10"/>
      <c r="I17" s="10"/>
      <c r="J17" s="10"/>
      <c r="K17" s="10"/>
      <c r="L17" s="10"/>
      <c r="M17" s="10"/>
      <c r="N17" s="10"/>
      <c r="O17" s="10"/>
      <c r="P17" s="10"/>
      <c r="Q17" s="10"/>
      <c r="R17" s="26" t="s">
        <v>14</v>
      </c>
      <c r="S17" s="27">
        <f t="shared" ref="S17:AI17" si="10">SUM(S13:S16)</f>
        <v>234999</v>
      </c>
      <c r="T17" s="27">
        <f t="shared" si="10"/>
        <v>140869.88</v>
      </c>
      <c r="U17" s="28">
        <f t="shared" si="10"/>
        <v>140869.88</v>
      </c>
      <c r="V17" s="27">
        <f t="shared" si="10"/>
        <v>0</v>
      </c>
      <c r="W17" s="27">
        <f t="shared" si="10"/>
        <v>0</v>
      </c>
      <c r="X17" s="27">
        <f t="shared" si="10"/>
        <v>0</v>
      </c>
      <c r="Y17" s="27">
        <f t="shared" si="10"/>
        <v>0</v>
      </c>
      <c r="Z17" s="27">
        <f t="shared" si="10"/>
        <v>0</v>
      </c>
      <c r="AA17" s="27">
        <f t="shared" si="10"/>
        <v>0</v>
      </c>
      <c r="AB17" s="27">
        <f t="shared" si="10"/>
        <v>0</v>
      </c>
      <c r="AC17" s="27">
        <f t="shared" si="10"/>
        <v>0</v>
      </c>
      <c r="AD17" s="27">
        <f t="shared" si="10"/>
        <v>0</v>
      </c>
      <c r="AE17" s="27">
        <f t="shared" si="10"/>
        <v>0</v>
      </c>
      <c r="AF17" s="27">
        <f t="shared" si="10"/>
        <v>0</v>
      </c>
      <c r="AG17" s="27">
        <f t="shared" si="10"/>
        <v>0</v>
      </c>
      <c r="AH17" s="27">
        <f t="shared" si="10"/>
        <v>0</v>
      </c>
      <c r="AI17" s="27">
        <f t="shared" si="10"/>
        <v>0</v>
      </c>
      <c r="AJ17" s="10"/>
      <c r="AK17" s="10"/>
      <c r="AL17" s="10"/>
      <c r="AM17" s="10"/>
      <c r="AN17" s="10"/>
      <c r="AO17" s="27">
        <f t="shared" ref="AO17:AX17" si="11">SUM(AO13:AO16)</f>
        <v>0</v>
      </c>
      <c r="AP17" s="27">
        <f t="shared" si="11"/>
        <v>0</v>
      </c>
      <c r="AQ17" s="27">
        <f t="shared" si="11"/>
        <v>0</v>
      </c>
      <c r="AR17" s="27">
        <f t="shared" si="11"/>
        <v>0</v>
      </c>
      <c r="AS17" s="27">
        <f t="shared" si="11"/>
        <v>0</v>
      </c>
      <c r="AT17" s="27">
        <f t="shared" si="11"/>
        <v>0</v>
      </c>
      <c r="AU17" s="27">
        <f t="shared" si="11"/>
        <v>0</v>
      </c>
      <c r="AV17" s="27">
        <f t="shared" si="11"/>
        <v>0</v>
      </c>
      <c r="AW17" s="27">
        <f t="shared" si="11"/>
        <v>0</v>
      </c>
      <c r="AX17" s="27">
        <f t="shared" si="11"/>
        <v>0</v>
      </c>
      <c r="AY17" s="27">
        <v>0</v>
      </c>
      <c r="AZ17" s="27">
        <f>SUM(AZ13:AZ16)</f>
        <v>0</v>
      </c>
      <c r="BA17" s="56">
        <v>48573.92</v>
      </c>
      <c r="BB17" s="28">
        <f>SUM(BB13:BB16)</f>
        <v>1342.02</v>
      </c>
      <c r="BC17" s="28">
        <f>SUM(BC13:BC16)</f>
        <v>90953.94</v>
      </c>
      <c r="BD17" s="10"/>
    </row>
    <row r="18" spans="1:56">
      <c r="A18" s="10"/>
      <c r="B18" s="10"/>
      <c r="C18" s="10"/>
      <c r="D18" s="10"/>
      <c r="E18" s="10"/>
      <c r="F18" s="10"/>
      <c r="G18" s="10"/>
      <c r="H18" s="10"/>
      <c r="I18" s="10"/>
      <c r="J18" s="10"/>
      <c r="K18" s="10"/>
      <c r="L18" s="10"/>
      <c r="M18" s="10"/>
      <c r="N18" s="10"/>
      <c r="O18" s="10"/>
      <c r="P18" s="10"/>
      <c r="Q18" s="10"/>
      <c r="R18" s="23" t="s">
        <v>15</v>
      </c>
      <c r="S18" s="24">
        <f t="shared" ref="S18:AG18" si="12">S12-S13</f>
        <v>122095.34</v>
      </c>
      <c r="T18" s="24">
        <f t="shared" si="12"/>
        <v>196350.427</v>
      </c>
      <c r="U18" s="25">
        <f t="shared" si="12"/>
        <v>196350.557</v>
      </c>
      <c r="V18" s="24">
        <f t="shared" si="12"/>
        <v>-0.13</v>
      </c>
      <c r="W18" s="24">
        <f t="shared" si="12"/>
        <v>-0.13</v>
      </c>
      <c r="X18" s="24">
        <f t="shared" si="12"/>
        <v>-0.13</v>
      </c>
      <c r="Y18" s="24">
        <f t="shared" si="12"/>
        <v>-0.13</v>
      </c>
      <c r="Z18" s="24">
        <f t="shared" si="12"/>
        <v>-0.13</v>
      </c>
      <c r="AA18" s="24">
        <f t="shared" si="12"/>
        <v>-0.13</v>
      </c>
      <c r="AB18" s="24">
        <f t="shared" si="12"/>
        <v>-0.13</v>
      </c>
      <c r="AC18" s="24">
        <f t="shared" si="12"/>
        <v>-0.13</v>
      </c>
      <c r="AD18" s="24">
        <f t="shared" si="12"/>
        <v>-0.13</v>
      </c>
      <c r="AE18" s="24">
        <f t="shared" si="12"/>
        <v>-0.13</v>
      </c>
      <c r="AF18" s="24">
        <f t="shared" si="12"/>
        <v>-0.13</v>
      </c>
      <c r="AG18" s="24">
        <f t="shared" si="12"/>
        <v>-0.13</v>
      </c>
      <c r="AH18" s="41">
        <v>0</v>
      </c>
      <c r="AI18" s="41">
        <v>0</v>
      </c>
      <c r="AJ18" s="10"/>
      <c r="AK18" s="10"/>
      <c r="AL18" s="10"/>
      <c r="AM18" s="10"/>
      <c r="AN18" s="10"/>
      <c r="AO18" s="24">
        <f t="shared" ref="AO18:AZ18" si="13">AO12-AO13</f>
        <v>0</v>
      </c>
      <c r="AP18" s="24">
        <f t="shared" si="13"/>
        <v>0</v>
      </c>
      <c r="AQ18" s="24">
        <f t="shared" si="13"/>
        <v>0</v>
      </c>
      <c r="AR18" s="24">
        <f t="shared" si="13"/>
        <v>0</v>
      </c>
      <c r="AS18" s="24">
        <f t="shared" si="13"/>
        <v>0</v>
      </c>
      <c r="AT18" s="24">
        <f t="shared" si="13"/>
        <v>0</v>
      </c>
      <c r="AU18" s="24">
        <f t="shared" si="13"/>
        <v>0</v>
      </c>
      <c r="AV18" s="24">
        <f t="shared" si="13"/>
        <v>0</v>
      </c>
      <c r="AW18" s="24">
        <f t="shared" si="13"/>
        <v>0</v>
      </c>
      <c r="AX18" s="24">
        <f t="shared" si="13"/>
        <v>0</v>
      </c>
      <c r="AY18" s="24">
        <f t="shared" si="13"/>
        <v>0</v>
      </c>
      <c r="AZ18" s="24">
        <f t="shared" si="13"/>
        <v>-0.13</v>
      </c>
      <c r="BA18" s="57">
        <v>26363.99</v>
      </c>
      <c r="BB18" s="28">
        <v>45797.737</v>
      </c>
      <c r="BC18" s="51">
        <f>BC12-BC13</f>
        <v>124188.83</v>
      </c>
      <c r="BD18" s="10"/>
    </row>
    <row r="19" spans="1:56">
      <c r="A19" s="10"/>
      <c r="B19" s="10"/>
      <c r="C19" s="10"/>
      <c r="D19" s="10"/>
      <c r="E19" s="10"/>
      <c r="F19" s="10"/>
      <c r="G19" s="10"/>
      <c r="H19" s="10"/>
      <c r="I19" s="10"/>
      <c r="J19" s="10"/>
      <c r="K19" s="10"/>
      <c r="L19" s="10"/>
      <c r="M19" s="10"/>
      <c r="N19" s="10"/>
      <c r="O19" s="10"/>
      <c r="P19" s="10"/>
      <c r="Q19" s="10"/>
      <c r="R19" s="29" t="s">
        <v>16</v>
      </c>
      <c r="S19" s="30">
        <f t="shared" ref="S19:AG19" si="14">S18/S12</f>
        <v>0.369880137902395</v>
      </c>
      <c r="T19" s="30">
        <f t="shared" si="14"/>
        <v>0.599120744695428</v>
      </c>
      <c r="U19" s="31">
        <f t="shared" si="14"/>
        <v>0.599120903710858</v>
      </c>
      <c r="V19" s="30">
        <f t="shared" si="14"/>
        <v>1</v>
      </c>
      <c r="W19" s="30">
        <f t="shared" si="14"/>
        <v>1</v>
      </c>
      <c r="X19" s="30">
        <f t="shared" si="14"/>
        <v>1</v>
      </c>
      <c r="Y19" s="30">
        <f t="shared" si="14"/>
        <v>1</v>
      </c>
      <c r="Z19" s="30">
        <f t="shared" si="14"/>
        <v>1</v>
      </c>
      <c r="AA19" s="30">
        <f t="shared" si="14"/>
        <v>1</v>
      </c>
      <c r="AB19" s="30">
        <f t="shared" si="14"/>
        <v>1</v>
      </c>
      <c r="AC19" s="30">
        <f t="shared" si="14"/>
        <v>1</v>
      </c>
      <c r="AD19" s="30">
        <f t="shared" si="14"/>
        <v>1</v>
      </c>
      <c r="AE19" s="30">
        <f t="shared" si="14"/>
        <v>1</v>
      </c>
      <c r="AF19" s="30">
        <f t="shared" si="14"/>
        <v>1</v>
      </c>
      <c r="AG19" s="30">
        <f t="shared" si="14"/>
        <v>1</v>
      </c>
      <c r="AH19" s="42">
        <f>T19-S19</f>
        <v>0.229240606793033</v>
      </c>
      <c r="AI19" s="42">
        <f>AF19-S19</f>
        <v>0.630119862097605</v>
      </c>
      <c r="AJ19" s="10"/>
      <c r="AK19" s="10"/>
      <c r="AL19" s="10"/>
      <c r="AM19" s="10"/>
      <c r="AN19" s="10"/>
      <c r="AO19" s="30" t="e">
        <f t="shared" ref="AO19:AZ19" si="15">AO18/AO12</f>
        <v>#DIV/0!</v>
      </c>
      <c r="AP19" s="30" t="e">
        <f t="shared" si="15"/>
        <v>#DIV/0!</v>
      </c>
      <c r="AQ19" s="30" t="e">
        <f t="shared" si="15"/>
        <v>#DIV/0!</v>
      </c>
      <c r="AR19" s="30" t="e">
        <f t="shared" si="15"/>
        <v>#DIV/0!</v>
      </c>
      <c r="AS19" s="30" t="e">
        <f t="shared" si="15"/>
        <v>#DIV/0!</v>
      </c>
      <c r="AT19" s="30" t="e">
        <f t="shared" si="15"/>
        <v>#DIV/0!</v>
      </c>
      <c r="AU19" s="30" t="e">
        <f t="shared" si="15"/>
        <v>#DIV/0!</v>
      </c>
      <c r="AV19" s="30" t="e">
        <f t="shared" si="15"/>
        <v>#DIV/0!</v>
      </c>
      <c r="AW19" s="30" t="e">
        <f t="shared" si="15"/>
        <v>#DIV/0!</v>
      </c>
      <c r="AX19" s="30" t="e">
        <f t="shared" si="15"/>
        <v>#DIV/0!</v>
      </c>
      <c r="AY19" s="30" t="e">
        <f t="shared" si="15"/>
        <v>#DIV/0!</v>
      </c>
      <c r="AZ19" s="30">
        <f t="shared" si="15"/>
        <v>1</v>
      </c>
      <c r="BA19" s="58">
        <v>0.350302821251553</v>
      </c>
      <c r="BB19" s="52">
        <v>0.971737795128752</v>
      </c>
      <c r="BC19" s="53">
        <f>BC18/BC12</f>
        <v>0.604793708566748</v>
      </c>
      <c r="BD19" s="10"/>
    </row>
    <row r="20" spans="1:56">
      <c r="A20" s="10"/>
      <c r="B20" s="10"/>
      <c r="C20" s="10"/>
      <c r="D20" s="10"/>
      <c r="E20" s="10"/>
      <c r="F20" s="10"/>
      <c r="G20" s="10"/>
      <c r="H20" s="10"/>
      <c r="I20" s="10"/>
      <c r="J20" s="10"/>
      <c r="K20" s="10"/>
      <c r="L20" s="10"/>
      <c r="M20" s="10"/>
      <c r="N20" s="10"/>
      <c r="O20" s="10"/>
      <c r="P20" s="10"/>
      <c r="Q20" s="10"/>
      <c r="R20" s="23" t="s">
        <v>17</v>
      </c>
      <c r="S20" s="24">
        <f t="shared" ref="S20:AG20" si="16">S12-S17</f>
        <v>95095.34</v>
      </c>
      <c r="T20" s="24">
        <f t="shared" si="16"/>
        <v>186861.097</v>
      </c>
      <c r="U20" s="24">
        <f t="shared" si="16"/>
        <v>186861.227</v>
      </c>
      <c r="V20" s="24">
        <f t="shared" si="16"/>
        <v>-0.13</v>
      </c>
      <c r="W20" s="24">
        <f t="shared" si="16"/>
        <v>-0.13</v>
      </c>
      <c r="X20" s="24">
        <f t="shared" si="16"/>
        <v>-0.13</v>
      </c>
      <c r="Y20" s="24">
        <f t="shared" si="16"/>
        <v>-0.13</v>
      </c>
      <c r="Z20" s="24">
        <f t="shared" si="16"/>
        <v>-0.13</v>
      </c>
      <c r="AA20" s="24">
        <f t="shared" si="16"/>
        <v>-0.13</v>
      </c>
      <c r="AB20" s="24">
        <f t="shared" si="16"/>
        <v>-0.13</v>
      </c>
      <c r="AC20" s="24">
        <f t="shared" si="16"/>
        <v>-0.13</v>
      </c>
      <c r="AD20" s="24">
        <f t="shared" si="16"/>
        <v>-0.13</v>
      </c>
      <c r="AE20" s="24">
        <f t="shared" si="16"/>
        <v>-0.13</v>
      </c>
      <c r="AF20" s="24">
        <f t="shared" si="16"/>
        <v>-0.13</v>
      </c>
      <c r="AG20" s="24">
        <f t="shared" si="16"/>
        <v>-0.13</v>
      </c>
      <c r="AH20" s="42">
        <v>0</v>
      </c>
      <c r="AI20" s="42">
        <v>0</v>
      </c>
      <c r="AJ20" s="10"/>
      <c r="AK20" s="10"/>
      <c r="AL20" s="10"/>
      <c r="AM20" s="10"/>
      <c r="AN20" s="10"/>
      <c r="AO20" s="24">
        <f t="shared" ref="AO20:BC20" si="17">AO12-AO17</f>
        <v>0</v>
      </c>
      <c r="AP20" s="24">
        <f t="shared" si="17"/>
        <v>0</v>
      </c>
      <c r="AQ20" s="24">
        <f t="shared" si="17"/>
        <v>0</v>
      </c>
      <c r="AR20" s="24">
        <f t="shared" si="17"/>
        <v>0</v>
      </c>
      <c r="AS20" s="24">
        <f t="shared" si="17"/>
        <v>0</v>
      </c>
      <c r="AT20" s="24">
        <f t="shared" si="17"/>
        <v>0</v>
      </c>
      <c r="AU20" s="24">
        <f t="shared" si="17"/>
        <v>0</v>
      </c>
      <c r="AV20" s="24">
        <f t="shared" si="17"/>
        <v>0</v>
      </c>
      <c r="AW20" s="24">
        <f t="shared" si="17"/>
        <v>0</v>
      </c>
      <c r="AX20" s="24">
        <f t="shared" si="17"/>
        <v>0</v>
      </c>
      <c r="AY20" s="24">
        <f t="shared" si="17"/>
        <v>0</v>
      </c>
      <c r="AZ20" s="24">
        <f t="shared" si="17"/>
        <v>-0.13</v>
      </c>
      <c r="BA20" s="24">
        <f t="shared" si="17"/>
        <v>26686.65</v>
      </c>
      <c r="BB20" s="24">
        <f t="shared" si="17"/>
        <v>45787.707</v>
      </c>
      <c r="BC20" s="24">
        <f t="shared" si="17"/>
        <v>114386.87</v>
      </c>
      <c r="BD20" s="10"/>
    </row>
    <row r="21" spans="1:56">
      <c r="A21" s="11"/>
      <c r="B21" s="11"/>
      <c r="C21" s="11"/>
      <c r="D21" s="11"/>
      <c r="E21" s="11"/>
      <c r="F21" s="11"/>
      <c r="G21" s="11"/>
      <c r="H21" s="11"/>
      <c r="I21" s="11"/>
      <c r="J21" s="11"/>
      <c r="K21" s="11"/>
      <c r="L21" s="11"/>
      <c r="M21" s="11"/>
      <c r="N21" s="11"/>
      <c r="O21" s="11"/>
      <c r="P21" s="11"/>
      <c r="Q21" s="11"/>
      <c r="R21" s="29" t="s">
        <v>18</v>
      </c>
      <c r="S21" s="30">
        <f t="shared" ref="S21:AG21" si="18">S20/S12</f>
        <v>0.28808533948204</v>
      </c>
      <c r="T21" s="30">
        <f t="shared" si="18"/>
        <v>0.570166112189023</v>
      </c>
      <c r="U21" s="31">
        <f t="shared" si="18"/>
        <v>0.570166282689791</v>
      </c>
      <c r="V21" s="30">
        <f t="shared" si="18"/>
        <v>1</v>
      </c>
      <c r="W21" s="30">
        <f t="shared" si="18"/>
        <v>1</v>
      </c>
      <c r="X21" s="30">
        <f t="shared" si="18"/>
        <v>1</v>
      </c>
      <c r="Y21" s="30">
        <f t="shared" si="18"/>
        <v>1</v>
      </c>
      <c r="Z21" s="30">
        <f t="shared" si="18"/>
        <v>1</v>
      </c>
      <c r="AA21" s="30">
        <f t="shared" si="18"/>
        <v>1</v>
      </c>
      <c r="AB21" s="30">
        <f t="shared" si="18"/>
        <v>1</v>
      </c>
      <c r="AC21" s="30">
        <f t="shared" si="18"/>
        <v>1</v>
      </c>
      <c r="AD21" s="30">
        <f t="shared" si="18"/>
        <v>1</v>
      </c>
      <c r="AE21" s="30">
        <f t="shared" si="18"/>
        <v>1</v>
      </c>
      <c r="AF21" s="30">
        <f t="shared" si="18"/>
        <v>1</v>
      </c>
      <c r="AG21" s="30">
        <f t="shared" si="18"/>
        <v>1</v>
      </c>
      <c r="AH21" s="42">
        <f>T21-S21</f>
        <v>0.282080772706982</v>
      </c>
      <c r="AI21" s="42">
        <f>AF21-S21</f>
        <v>0.71191466051796</v>
      </c>
      <c r="AJ21" s="11"/>
      <c r="AK21" s="11"/>
      <c r="AL21" s="11"/>
      <c r="AM21" s="11"/>
      <c r="AN21" s="11"/>
      <c r="AO21" s="30" t="e">
        <f t="shared" ref="AO21:AZ21" si="19">AO20/AO12</f>
        <v>#DIV/0!</v>
      </c>
      <c r="AP21" s="30" t="e">
        <f t="shared" si="19"/>
        <v>#DIV/0!</v>
      </c>
      <c r="AQ21" s="30" t="e">
        <f t="shared" si="19"/>
        <v>#DIV/0!</v>
      </c>
      <c r="AR21" s="30" t="e">
        <f t="shared" si="19"/>
        <v>#DIV/0!</v>
      </c>
      <c r="AS21" s="30" t="e">
        <f t="shared" si="19"/>
        <v>#DIV/0!</v>
      </c>
      <c r="AT21" s="30" t="e">
        <f t="shared" si="19"/>
        <v>#DIV/0!</v>
      </c>
      <c r="AU21" s="30" t="e">
        <f t="shared" si="19"/>
        <v>#DIV/0!</v>
      </c>
      <c r="AV21" s="30" t="e">
        <f t="shared" si="19"/>
        <v>#DIV/0!</v>
      </c>
      <c r="AW21" s="30" t="e">
        <f t="shared" si="19"/>
        <v>#DIV/0!</v>
      </c>
      <c r="AX21" s="30" t="e">
        <f t="shared" si="19"/>
        <v>#DIV/0!</v>
      </c>
      <c r="AY21" s="30" t="e">
        <f t="shared" si="19"/>
        <v>#DIV/0!</v>
      </c>
      <c r="AZ21" s="30">
        <f t="shared" si="19"/>
        <v>1</v>
      </c>
      <c r="BA21" s="58">
        <v>0.354590059575685</v>
      </c>
      <c r="BB21" s="52">
        <v>0.971524978279632</v>
      </c>
      <c r="BC21" s="53">
        <f>BC20/BC12</f>
        <v>0.557058628530783</v>
      </c>
      <c r="BD21" s="11"/>
    </row>
    <row r="22" spans="1:56">
      <c r="A22" s="12" t="s">
        <v>65</v>
      </c>
      <c r="B22" s="13" t="s">
        <v>66</v>
      </c>
      <c r="C22" s="14">
        <v>45748</v>
      </c>
      <c r="D22" s="14">
        <v>46112</v>
      </c>
      <c r="E22" s="6"/>
      <c r="F22" s="7" t="s">
        <v>62</v>
      </c>
      <c r="G22" s="8"/>
      <c r="H22" s="15"/>
      <c r="I22" s="18"/>
      <c r="J22" s="18"/>
      <c r="K22" s="18"/>
      <c r="L22" s="9"/>
      <c r="M22" s="9"/>
      <c r="N22" s="9"/>
      <c r="O22" s="9"/>
      <c r="P22" s="6"/>
      <c r="Q22" s="9" t="s">
        <v>63</v>
      </c>
      <c r="R22" s="32" t="s">
        <v>9</v>
      </c>
      <c r="S22" s="24">
        <v>150943.4</v>
      </c>
      <c r="T22" s="24">
        <f>SUM(AO22:BC22)</f>
        <v>149808.61</v>
      </c>
      <c r="U22" s="25">
        <f>SUM(BA22:BC22)</f>
        <v>112589.72</v>
      </c>
      <c r="V22" s="24">
        <f>SUM(AO22:AZ22)</f>
        <v>37218.89</v>
      </c>
      <c r="W22" s="24">
        <f>SUM(AP22:AZ22)</f>
        <v>37218.89</v>
      </c>
      <c r="X22" s="24">
        <f>SUM(AQ22:AZ22)</f>
        <v>37218.89</v>
      </c>
      <c r="Y22" s="24">
        <f>SUM(AR22:AZ22)</f>
        <v>37218.89</v>
      </c>
      <c r="Z22" s="24">
        <f>SUM(AS22:AZ22)</f>
        <v>37218.89</v>
      </c>
      <c r="AA22" s="24">
        <f>SUM(AT22:AZ22)</f>
        <v>37218.89</v>
      </c>
      <c r="AB22" s="24">
        <f>SUM(AU22:AZ22)</f>
        <v>37218.89</v>
      </c>
      <c r="AC22" s="24">
        <f>SUM(AV22:AZ22)</f>
        <v>37218.89</v>
      </c>
      <c r="AD22" s="24">
        <f>SUM(AW22:AZ22)</f>
        <v>37218.89</v>
      </c>
      <c r="AE22" s="24">
        <f>SUM(AX22:AZ22)</f>
        <v>37218.89</v>
      </c>
      <c r="AF22" s="24">
        <f>SUM(AY22:AZ22)</f>
        <v>24398.94</v>
      </c>
      <c r="AG22" s="24">
        <f>SUM(AZ22:AZ22)</f>
        <v>12819.77</v>
      </c>
      <c r="AH22" s="38">
        <v>0</v>
      </c>
      <c r="AI22" s="38">
        <v>0</v>
      </c>
      <c r="AJ22" s="43" t="s">
        <v>63</v>
      </c>
      <c r="AK22" s="43" t="s">
        <v>67</v>
      </c>
      <c r="AL22" s="43" t="s">
        <v>63</v>
      </c>
      <c r="AM22" s="43" t="s">
        <v>68</v>
      </c>
      <c r="AN22" s="7"/>
      <c r="AO22" s="24">
        <v>0</v>
      </c>
      <c r="AP22" s="24">
        <v>0</v>
      </c>
      <c r="AQ22" s="24">
        <v>0</v>
      </c>
      <c r="AR22" s="24">
        <v>0</v>
      </c>
      <c r="AS22" s="24">
        <v>0</v>
      </c>
      <c r="AT22" s="24">
        <v>0</v>
      </c>
      <c r="AU22" s="24">
        <v>0</v>
      </c>
      <c r="AV22" s="24">
        <v>0</v>
      </c>
      <c r="AW22" s="24">
        <v>0</v>
      </c>
      <c r="AX22" s="24">
        <v>12819.95</v>
      </c>
      <c r="AY22" s="24">
        <v>11579.17</v>
      </c>
      <c r="AZ22" s="24">
        <v>12819.77</v>
      </c>
      <c r="BA22" s="54">
        <v>112589.72</v>
      </c>
      <c r="BB22" s="25">
        <v>0</v>
      </c>
      <c r="BC22" s="59">
        <v>0</v>
      </c>
      <c r="BD22" s="55" t="s">
        <v>69</v>
      </c>
    </row>
    <row r="23" spans="1:56">
      <c r="A23" s="10"/>
      <c r="B23" s="10"/>
      <c r="C23" s="10"/>
      <c r="D23" s="10"/>
      <c r="E23" s="10"/>
      <c r="F23" s="10"/>
      <c r="G23" s="10"/>
      <c r="H23" s="16"/>
      <c r="I23" s="16"/>
      <c r="J23" s="16"/>
      <c r="K23" s="16"/>
      <c r="L23" s="10"/>
      <c r="M23" s="10"/>
      <c r="N23" s="10"/>
      <c r="O23" s="10"/>
      <c r="P23" s="10"/>
      <c r="Q23" s="10"/>
      <c r="R23" s="26" t="s">
        <v>10</v>
      </c>
      <c r="S23" s="24">
        <v>123201.71</v>
      </c>
      <c r="T23" s="24">
        <f>SUM(AO23:BC23)</f>
        <v>129265.38</v>
      </c>
      <c r="U23" s="25">
        <f>SUM(BA23:BC23)</f>
        <v>112560.11</v>
      </c>
      <c r="V23" s="24">
        <f>SUM(AO23:AZ23)</f>
        <v>16705.27</v>
      </c>
      <c r="W23" s="24">
        <f>SUM(AP23:AZ23)</f>
        <v>16705.27</v>
      </c>
      <c r="X23" s="24">
        <f>SUM(AQ23:AZ23)</f>
        <v>16705.27</v>
      </c>
      <c r="Y23" s="24">
        <f>SUM(AR23:AZ23)</f>
        <v>16705.27</v>
      </c>
      <c r="Z23" s="24">
        <f>SUM(AS23:AZ23)</f>
        <v>16705.27</v>
      </c>
      <c r="AA23" s="24">
        <f>SUM(AT23:AZ23)</f>
        <v>16705.27</v>
      </c>
      <c r="AB23" s="24">
        <f>SUM(AU23:AZ23)</f>
        <v>16705.27</v>
      </c>
      <c r="AC23" s="24">
        <f>SUM(AV23:AZ23)</f>
        <v>16705.27</v>
      </c>
      <c r="AD23" s="24">
        <f>SUM(AW23:AZ23)</f>
        <v>16705.27</v>
      </c>
      <c r="AE23" s="24">
        <f>SUM(AX23:AZ23)</f>
        <v>16705.27</v>
      </c>
      <c r="AF23" s="24">
        <f>SUM(AY23:AZ23)</f>
        <v>7039.31</v>
      </c>
      <c r="AG23" s="24">
        <f>SUM(AZ23:AZ23)</f>
        <v>7039.31</v>
      </c>
      <c r="AH23" s="38">
        <v>0</v>
      </c>
      <c r="AI23" s="38">
        <v>0</v>
      </c>
      <c r="AJ23" s="10"/>
      <c r="AK23" s="10"/>
      <c r="AL23" s="10"/>
      <c r="AM23" s="10"/>
      <c r="AN23" s="10"/>
      <c r="AO23" s="24">
        <v>0</v>
      </c>
      <c r="AP23" s="24">
        <v>0</v>
      </c>
      <c r="AQ23" s="24">
        <v>0</v>
      </c>
      <c r="AR23" s="24">
        <v>0</v>
      </c>
      <c r="AS23" s="24">
        <v>0</v>
      </c>
      <c r="AT23" s="24">
        <v>0</v>
      </c>
      <c r="AU23" s="24">
        <v>0</v>
      </c>
      <c r="AV23" s="24">
        <v>0</v>
      </c>
      <c r="AW23" s="24">
        <v>0</v>
      </c>
      <c r="AX23" s="24">
        <v>9665.96</v>
      </c>
      <c r="AY23" s="24">
        <v>0</v>
      </c>
      <c r="AZ23" s="24">
        <v>7039.31</v>
      </c>
      <c r="BA23" s="54">
        <v>112560.11</v>
      </c>
      <c r="BB23" s="25">
        <v>0</v>
      </c>
      <c r="BC23" s="59">
        <v>0</v>
      </c>
      <c r="BD23" s="10"/>
    </row>
    <row r="24" spans="1:56">
      <c r="A24" s="10"/>
      <c r="B24" s="10"/>
      <c r="C24" s="10"/>
      <c r="D24" s="10"/>
      <c r="E24" s="10"/>
      <c r="F24" s="10"/>
      <c r="G24" s="10"/>
      <c r="H24" s="16"/>
      <c r="I24" s="16"/>
      <c r="J24" s="16"/>
      <c r="K24" s="16"/>
      <c r="L24" s="10"/>
      <c r="M24" s="10"/>
      <c r="N24" s="10"/>
      <c r="O24" s="10"/>
      <c r="P24" s="10"/>
      <c r="Q24" s="10"/>
      <c r="R24" s="26" t="s">
        <v>11</v>
      </c>
      <c r="S24" s="24">
        <v>0</v>
      </c>
      <c r="T24" s="24">
        <f>SUM(AO24:BC24)</f>
        <v>30547.72</v>
      </c>
      <c r="U24" s="25">
        <f>SUM(BA24:BC24)</f>
        <v>0</v>
      </c>
      <c r="V24" s="24">
        <v>0</v>
      </c>
      <c r="W24" s="24">
        <v>0</v>
      </c>
      <c r="X24" s="24">
        <v>0</v>
      </c>
      <c r="Y24" s="24">
        <v>0</v>
      </c>
      <c r="Z24" s="24">
        <v>0</v>
      </c>
      <c r="AA24" s="24">
        <v>0</v>
      </c>
      <c r="AB24" s="24">
        <v>0</v>
      </c>
      <c r="AC24" s="24">
        <v>0</v>
      </c>
      <c r="AD24" s="24">
        <v>0</v>
      </c>
      <c r="AE24" s="24">
        <v>0</v>
      </c>
      <c r="AF24" s="24">
        <v>0</v>
      </c>
      <c r="AG24" s="24">
        <v>0</v>
      </c>
      <c r="AH24" s="38">
        <v>0</v>
      </c>
      <c r="AI24" s="38">
        <v>0</v>
      </c>
      <c r="AJ24" s="10"/>
      <c r="AK24" s="10"/>
      <c r="AL24" s="10"/>
      <c r="AM24" s="10"/>
      <c r="AN24" s="10"/>
      <c r="AO24" s="24">
        <v>0</v>
      </c>
      <c r="AP24" s="24">
        <v>0</v>
      </c>
      <c r="AQ24" s="24">
        <v>0</v>
      </c>
      <c r="AR24" s="24">
        <v>0</v>
      </c>
      <c r="AS24" s="24">
        <v>0</v>
      </c>
      <c r="AT24" s="24">
        <v>0</v>
      </c>
      <c r="AU24" s="24">
        <v>0</v>
      </c>
      <c r="AV24" s="24">
        <v>0</v>
      </c>
      <c r="AW24" s="24">
        <v>0</v>
      </c>
      <c r="AX24" s="24">
        <v>11909.61</v>
      </c>
      <c r="AY24" s="24">
        <v>18638.11</v>
      </c>
      <c r="AZ24" s="24">
        <v>0</v>
      </c>
      <c r="BA24" s="54">
        <v>0</v>
      </c>
      <c r="BB24" s="25">
        <v>0</v>
      </c>
      <c r="BC24" s="59">
        <v>0</v>
      </c>
      <c r="BD24" s="10"/>
    </row>
    <row r="25" spans="1:56">
      <c r="A25" s="10"/>
      <c r="B25" s="10"/>
      <c r="C25" s="10"/>
      <c r="D25" s="10"/>
      <c r="E25" s="10"/>
      <c r="F25" s="10"/>
      <c r="G25" s="10"/>
      <c r="H25" s="16"/>
      <c r="I25" s="16"/>
      <c r="J25" s="16"/>
      <c r="K25" s="16"/>
      <c r="L25" s="10"/>
      <c r="M25" s="10"/>
      <c r="N25" s="10"/>
      <c r="O25" s="10"/>
      <c r="P25" s="10"/>
      <c r="Q25" s="10"/>
      <c r="R25" s="26" t="s">
        <v>12</v>
      </c>
      <c r="S25" s="24">
        <v>0</v>
      </c>
      <c r="T25" s="24">
        <f>SUM(AO25:BC25)</f>
        <v>0</v>
      </c>
      <c r="U25" s="25">
        <f>SUM(BA25:BC25)</f>
        <v>0</v>
      </c>
      <c r="V25" s="24">
        <f>SUM(AO25:AZ25)</f>
        <v>0</v>
      </c>
      <c r="W25" s="24">
        <f>SUM(AP25:AZ25)</f>
        <v>0</v>
      </c>
      <c r="X25" s="24">
        <f>SUM(AQ25:AZ25)</f>
        <v>0</v>
      </c>
      <c r="Y25" s="24">
        <f>SUM(AR25:AZ25)</f>
        <v>0</v>
      </c>
      <c r="Z25" s="24">
        <f>SUM(AS25:AZ25)</f>
        <v>0</v>
      </c>
      <c r="AA25" s="24">
        <f>SUM(AT25:AZ25)</f>
        <v>0</v>
      </c>
      <c r="AB25" s="24">
        <f>SUM(AU25:AZ25)</f>
        <v>0</v>
      </c>
      <c r="AC25" s="24">
        <f>SUM(AV25:AZ25)</f>
        <v>0</v>
      </c>
      <c r="AD25" s="24">
        <f>SUM(AW25:AZ25)</f>
        <v>0</v>
      </c>
      <c r="AE25" s="24">
        <f>SUM(AX25:AZ25)</f>
        <v>0</v>
      </c>
      <c r="AF25" s="24">
        <f>SUM(AY25:AZ25)</f>
        <v>0</v>
      </c>
      <c r="AG25" s="24">
        <f>SUM(AZ25:AZ25)</f>
        <v>0</v>
      </c>
      <c r="AH25" s="38">
        <v>0</v>
      </c>
      <c r="AI25" s="38">
        <v>0</v>
      </c>
      <c r="AJ25" s="10"/>
      <c r="AK25" s="10"/>
      <c r="AL25" s="10"/>
      <c r="AM25" s="10"/>
      <c r="AN25" s="10"/>
      <c r="AO25" s="24">
        <v>0</v>
      </c>
      <c r="AP25" s="24">
        <v>0</v>
      </c>
      <c r="AQ25" s="24">
        <v>0</v>
      </c>
      <c r="AR25" s="24">
        <v>0</v>
      </c>
      <c r="AS25" s="24">
        <v>0</v>
      </c>
      <c r="AT25" s="24">
        <v>0</v>
      </c>
      <c r="AU25" s="24">
        <v>0</v>
      </c>
      <c r="AV25" s="24">
        <v>0</v>
      </c>
      <c r="AW25" s="24">
        <v>0</v>
      </c>
      <c r="AX25" s="24">
        <v>0</v>
      </c>
      <c r="AY25" s="24">
        <v>0</v>
      </c>
      <c r="AZ25" s="24">
        <v>0</v>
      </c>
      <c r="BA25" s="54">
        <v>0</v>
      </c>
      <c r="BB25" s="25">
        <v>0</v>
      </c>
      <c r="BC25" s="59">
        <v>0</v>
      </c>
      <c r="BD25" s="10"/>
    </row>
    <row r="26" spans="1:56">
      <c r="A26" s="10"/>
      <c r="B26" s="10"/>
      <c r="C26" s="10"/>
      <c r="D26" s="10"/>
      <c r="E26" s="10"/>
      <c r="F26" s="10"/>
      <c r="G26" s="10"/>
      <c r="H26" s="16"/>
      <c r="I26" s="16"/>
      <c r="J26" s="16"/>
      <c r="K26" s="16"/>
      <c r="L26" s="10"/>
      <c r="M26" s="10"/>
      <c r="N26" s="10"/>
      <c r="O26" s="10"/>
      <c r="P26" s="10"/>
      <c r="Q26" s="10"/>
      <c r="R26" s="26" t="s">
        <v>13</v>
      </c>
      <c r="S26" s="24">
        <v>0</v>
      </c>
      <c r="T26" s="24">
        <f>SUM(AO26:BC26)</f>
        <v>-827.92</v>
      </c>
      <c r="U26" s="25">
        <f>SUM(BA26:BC26)</f>
        <v>-790.7</v>
      </c>
      <c r="V26" s="24">
        <f>SUM(AO26:AZ26)</f>
        <v>-37.22</v>
      </c>
      <c r="W26" s="24">
        <f>SUM(AP26:AZ26)</f>
        <v>-37.22</v>
      </c>
      <c r="X26" s="24">
        <f>SUM(AQ26:AZ26)</f>
        <v>-37.22</v>
      </c>
      <c r="Y26" s="24">
        <f>SUM(AR26:AZ26)</f>
        <v>-37.22</v>
      </c>
      <c r="Z26" s="24">
        <f>SUM(AS26:AZ26)</f>
        <v>-37.22</v>
      </c>
      <c r="AA26" s="24">
        <f>SUM(AT26:AZ26)</f>
        <v>-37.22</v>
      </c>
      <c r="AB26" s="24">
        <f>SUM(AU26:AZ26)</f>
        <v>-37.22</v>
      </c>
      <c r="AC26" s="24">
        <f>SUM(AV26:AZ26)</f>
        <v>-37.22</v>
      </c>
      <c r="AD26" s="24">
        <f>SUM(AW26:AZ26)</f>
        <v>-37.22</v>
      </c>
      <c r="AE26" s="24">
        <f>SUM(AX26:AZ26)</f>
        <v>-37.22</v>
      </c>
      <c r="AF26" s="24">
        <f>SUM(AY26:AZ26)</f>
        <v>-37.22</v>
      </c>
      <c r="AG26" s="24">
        <f>SUM(AZ26:AZ26)</f>
        <v>-24.4</v>
      </c>
      <c r="AH26" s="38">
        <v>0</v>
      </c>
      <c r="AI26" s="38">
        <v>0</v>
      </c>
      <c r="AJ26" s="10"/>
      <c r="AK26" s="10"/>
      <c r="AL26" s="10"/>
      <c r="AM26" s="10"/>
      <c r="AN26" s="10"/>
      <c r="AO26" s="24">
        <v>0</v>
      </c>
      <c r="AP26" s="24">
        <v>0</v>
      </c>
      <c r="AQ26" s="24">
        <v>0</v>
      </c>
      <c r="AR26" s="24">
        <v>0</v>
      </c>
      <c r="AS26" s="24">
        <v>0</v>
      </c>
      <c r="AT26" s="24">
        <v>0</v>
      </c>
      <c r="AU26" s="24">
        <v>0</v>
      </c>
      <c r="AV26" s="24">
        <v>0</v>
      </c>
      <c r="AW26" s="24">
        <v>0</v>
      </c>
      <c r="AX26" s="24">
        <v>0</v>
      </c>
      <c r="AY26" s="24">
        <v>-12.82</v>
      </c>
      <c r="AZ26" s="24">
        <v>-24.4</v>
      </c>
      <c r="BA26" s="54">
        <v>-790.7</v>
      </c>
      <c r="BB26" s="25">
        <v>0</v>
      </c>
      <c r="BC26" s="59">
        <v>0</v>
      </c>
      <c r="BD26" s="10"/>
    </row>
    <row r="27" spans="1:56">
      <c r="A27" s="10"/>
      <c r="B27" s="10"/>
      <c r="C27" s="10"/>
      <c r="D27" s="10"/>
      <c r="E27" s="10"/>
      <c r="F27" s="10"/>
      <c r="G27" s="10"/>
      <c r="H27" s="16"/>
      <c r="I27" s="16"/>
      <c r="J27" s="16"/>
      <c r="K27" s="16"/>
      <c r="L27" s="10"/>
      <c r="M27" s="10"/>
      <c r="N27" s="10"/>
      <c r="O27" s="10"/>
      <c r="P27" s="10"/>
      <c r="Q27" s="10"/>
      <c r="R27" s="26" t="s">
        <v>14</v>
      </c>
      <c r="S27" s="27">
        <f t="shared" ref="S27:AI27" si="20">SUM(S23:S26)</f>
        <v>123201.71</v>
      </c>
      <c r="T27" s="27">
        <f t="shared" si="20"/>
        <v>158985.18</v>
      </c>
      <c r="U27" s="28">
        <f t="shared" si="20"/>
        <v>111769.41</v>
      </c>
      <c r="V27" s="27">
        <f t="shared" si="20"/>
        <v>16668.05</v>
      </c>
      <c r="W27" s="27">
        <f t="shared" si="20"/>
        <v>16668.05</v>
      </c>
      <c r="X27" s="27">
        <f t="shared" si="20"/>
        <v>16668.05</v>
      </c>
      <c r="Y27" s="27">
        <f t="shared" si="20"/>
        <v>16668.05</v>
      </c>
      <c r="Z27" s="27">
        <f t="shared" si="20"/>
        <v>16668.05</v>
      </c>
      <c r="AA27" s="27">
        <f t="shared" si="20"/>
        <v>16668.05</v>
      </c>
      <c r="AB27" s="27">
        <f t="shared" si="20"/>
        <v>16668.05</v>
      </c>
      <c r="AC27" s="27">
        <f t="shared" si="20"/>
        <v>16668.05</v>
      </c>
      <c r="AD27" s="27">
        <f t="shared" si="20"/>
        <v>16668.05</v>
      </c>
      <c r="AE27" s="27">
        <f t="shared" si="20"/>
        <v>16668.05</v>
      </c>
      <c r="AF27" s="27">
        <f t="shared" si="20"/>
        <v>7002.09</v>
      </c>
      <c r="AG27" s="27">
        <f t="shared" si="20"/>
        <v>7014.91</v>
      </c>
      <c r="AH27" s="27">
        <f t="shared" si="20"/>
        <v>0</v>
      </c>
      <c r="AI27" s="27">
        <f t="shared" si="20"/>
        <v>0</v>
      </c>
      <c r="AJ27" s="10"/>
      <c r="AK27" s="10"/>
      <c r="AL27" s="10"/>
      <c r="AM27" s="10"/>
      <c r="AN27" s="10"/>
      <c r="AO27" s="27">
        <f t="shared" ref="AO27:AX27" si="21">SUM(AO23:AO26)</f>
        <v>0</v>
      </c>
      <c r="AP27" s="27">
        <f t="shared" si="21"/>
        <v>0</v>
      </c>
      <c r="AQ27" s="27">
        <f t="shared" si="21"/>
        <v>0</v>
      </c>
      <c r="AR27" s="27">
        <f t="shared" si="21"/>
        <v>0</v>
      </c>
      <c r="AS27" s="27">
        <f t="shared" si="21"/>
        <v>0</v>
      </c>
      <c r="AT27" s="27">
        <f t="shared" si="21"/>
        <v>0</v>
      </c>
      <c r="AU27" s="27">
        <f t="shared" si="21"/>
        <v>0</v>
      </c>
      <c r="AV27" s="27">
        <f t="shared" si="21"/>
        <v>0</v>
      </c>
      <c r="AW27" s="27">
        <f t="shared" si="21"/>
        <v>0</v>
      </c>
      <c r="AX27" s="27">
        <f t="shared" si="21"/>
        <v>21575.57</v>
      </c>
      <c r="AY27" s="27">
        <v>-12.82</v>
      </c>
      <c r="AZ27" s="27">
        <f>SUM(AZ23:AZ26)</f>
        <v>7014.91</v>
      </c>
      <c r="BA27" s="56">
        <v>111769.41</v>
      </c>
      <c r="BB27" s="28">
        <f>SUM(BB23:BB26)</f>
        <v>0</v>
      </c>
      <c r="BC27" s="60">
        <f>SUM(BC23:BC26)</f>
        <v>0</v>
      </c>
      <c r="BD27" s="10"/>
    </row>
    <row r="28" spans="1:56">
      <c r="A28" s="10"/>
      <c r="B28" s="10"/>
      <c r="C28" s="10"/>
      <c r="D28" s="10"/>
      <c r="E28" s="10"/>
      <c r="F28" s="10"/>
      <c r="G28" s="10"/>
      <c r="H28" s="16"/>
      <c r="I28" s="16"/>
      <c r="J28" s="16"/>
      <c r="K28" s="16"/>
      <c r="L28" s="10"/>
      <c r="M28" s="10"/>
      <c r="N28" s="10"/>
      <c r="O28" s="10"/>
      <c r="P28" s="10"/>
      <c r="Q28" s="10"/>
      <c r="R28" s="26" t="s">
        <v>15</v>
      </c>
      <c r="S28" s="24">
        <f t="shared" ref="S28:AG28" si="22">S22-S23</f>
        <v>27741.69</v>
      </c>
      <c r="T28" s="24">
        <f t="shared" si="22"/>
        <v>20543.23</v>
      </c>
      <c r="U28" s="25">
        <f t="shared" si="22"/>
        <v>29.6100000000006</v>
      </c>
      <c r="V28" s="24">
        <f t="shared" si="22"/>
        <v>20513.62</v>
      </c>
      <c r="W28" s="24">
        <f t="shared" si="22"/>
        <v>20513.62</v>
      </c>
      <c r="X28" s="24">
        <f t="shared" si="22"/>
        <v>20513.62</v>
      </c>
      <c r="Y28" s="24">
        <f t="shared" si="22"/>
        <v>20513.62</v>
      </c>
      <c r="Z28" s="24">
        <f t="shared" si="22"/>
        <v>20513.62</v>
      </c>
      <c r="AA28" s="24">
        <f t="shared" si="22"/>
        <v>20513.62</v>
      </c>
      <c r="AB28" s="24">
        <f t="shared" si="22"/>
        <v>20513.62</v>
      </c>
      <c r="AC28" s="24">
        <f t="shared" si="22"/>
        <v>20513.62</v>
      </c>
      <c r="AD28" s="24">
        <f t="shared" si="22"/>
        <v>20513.62</v>
      </c>
      <c r="AE28" s="24">
        <f t="shared" si="22"/>
        <v>20513.62</v>
      </c>
      <c r="AF28" s="24">
        <f t="shared" si="22"/>
        <v>17359.63</v>
      </c>
      <c r="AG28" s="24">
        <f t="shared" si="22"/>
        <v>5780.46</v>
      </c>
      <c r="AH28" s="41">
        <v>0</v>
      </c>
      <c r="AI28" s="41">
        <v>0</v>
      </c>
      <c r="AJ28" s="10"/>
      <c r="AK28" s="10"/>
      <c r="AL28" s="10"/>
      <c r="AM28" s="10"/>
      <c r="AN28" s="10"/>
      <c r="AO28" s="24">
        <f t="shared" ref="AO28:AZ28" si="23">AO22-AO23</f>
        <v>0</v>
      </c>
      <c r="AP28" s="24">
        <f t="shared" si="23"/>
        <v>0</v>
      </c>
      <c r="AQ28" s="24">
        <f t="shared" si="23"/>
        <v>0</v>
      </c>
      <c r="AR28" s="24">
        <f t="shared" si="23"/>
        <v>0</v>
      </c>
      <c r="AS28" s="24">
        <f t="shared" si="23"/>
        <v>0</v>
      </c>
      <c r="AT28" s="24">
        <f t="shared" si="23"/>
        <v>0</v>
      </c>
      <c r="AU28" s="24">
        <f t="shared" si="23"/>
        <v>0</v>
      </c>
      <c r="AV28" s="24">
        <f t="shared" si="23"/>
        <v>0</v>
      </c>
      <c r="AW28" s="24">
        <f t="shared" si="23"/>
        <v>0</v>
      </c>
      <c r="AX28" s="24">
        <f t="shared" si="23"/>
        <v>3153.99</v>
      </c>
      <c r="AY28" s="24">
        <f t="shared" si="23"/>
        <v>11579.17</v>
      </c>
      <c r="AZ28" s="24">
        <f t="shared" si="23"/>
        <v>5780.46</v>
      </c>
      <c r="BA28" s="57">
        <v>29.609999999986</v>
      </c>
      <c r="BB28" s="28">
        <v>0</v>
      </c>
      <c r="BC28" s="59">
        <v>0</v>
      </c>
      <c r="BD28" s="10"/>
    </row>
    <row r="29" spans="1:56">
      <c r="A29" s="10"/>
      <c r="B29" s="10"/>
      <c r="C29" s="10"/>
      <c r="D29" s="10"/>
      <c r="E29" s="10"/>
      <c r="F29" s="10"/>
      <c r="G29" s="10"/>
      <c r="H29" s="16"/>
      <c r="I29" s="16"/>
      <c r="J29" s="16"/>
      <c r="K29" s="16"/>
      <c r="L29" s="10"/>
      <c r="M29" s="10"/>
      <c r="N29" s="10"/>
      <c r="O29" s="10"/>
      <c r="P29" s="10"/>
      <c r="Q29" s="10"/>
      <c r="R29" s="29" t="s">
        <v>16</v>
      </c>
      <c r="S29" s="30">
        <f t="shared" ref="S29:AG29" si="24">S28/S22</f>
        <v>0.183788691655283</v>
      </c>
      <c r="T29" s="30">
        <f t="shared" si="24"/>
        <v>0.137129835194386</v>
      </c>
      <c r="U29" s="31">
        <f t="shared" si="24"/>
        <v>0.000262990262343672</v>
      </c>
      <c r="V29" s="30">
        <f t="shared" si="24"/>
        <v>0.55116152039999</v>
      </c>
      <c r="W29" s="30">
        <f t="shared" si="24"/>
        <v>0.55116152039999</v>
      </c>
      <c r="X29" s="30">
        <f t="shared" si="24"/>
        <v>0.55116152039999</v>
      </c>
      <c r="Y29" s="30">
        <f t="shared" si="24"/>
        <v>0.55116152039999</v>
      </c>
      <c r="Z29" s="30">
        <f t="shared" si="24"/>
        <v>0.55116152039999</v>
      </c>
      <c r="AA29" s="30">
        <f t="shared" si="24"/>
        <v>0.55116152039999</v>
      </c>
      <c r="AB29" s="30">
        <f t="shared" si="24"/>
        <v>0.55116152039999</v>
      </c>
      <c r="AC29" s="30">
        <f t="shared" si="24"/>
        <v>0.55116152039999</v>
      </c>
      <c r="AD29" s="30">
        <f t="shared" si="24"/>
        <v>0.55116152039999</v>
      </c>
      <c r="AE29" s="30">
        <f t="shared" si="24"/>
        <v>0.55116152039999</v>
      </c>
      <c r="AF29" s="30">
        <f t="shared" si="24"/>
        <v>0.711491154943616</v>
      </c>
      <c r="AG29" s="30">
        <f t="shared" si="24"/>
        <v>0.450902005262185</v>
      </c>
      <c r="AH29" s="42">
        <f>T29-S29</f>
        <v>-0.0466588564608971</v>
      </c>
      <c r="AI29" s="42">
        <f>AF29-S29</f>
        <v>0.527702463288334</v>
      </c>
      <c r="AJ29" s="10"/>
      <c r="AK29" s="10"/>
      <c r="AL29" s="10"/>
      <c r="AM29" s="10"/>
      <c r="AN29" s="10"/>
      <c r="AO29" s="30" t="e">
        <f t="shared" ref="AO29:AZ29" si="25">AO28/AO22</f>
        <v>#DIV/0!</v>
      </c>
      <c r="AP29" s="30" t="e">
        <f t="shared" si="25"/>
        <v>#DIV/0!</v>
      </c>
      <c r="AQ29" s="30" t="e">
        <f t="shared" si="25"/>
        <v>#DIV/0!</v>
      </c>
      <c r="AR29" s="30" t="e">
        <f t="shared" si="25"/>
        <v>#DIV/0!</v>
      </c>
      <c r="AS29" s="30" t="e">
        <f t="shared" si="25"/>
        <v>#DIV/0!</v>
      </c>
      <c r="AT29" s="30" t="e">
        <f t="shared" si="25"/>
        <v>#DIV/0!</v>
      </c>
      <c r="AU29" s="30" t="e">
        <f t="shared" si="25"/>
        <v>#DIV/0!</v>
      </c>
      <c r="AV29" s="30" t="e">
        <f t="shared" si="25"/>
        <v>#DIV/0!</v>
      </c>
      <c r="AW29" s="30" t="e">
        <f t="shared" si="25"/>
        <v>#DIV/0!</v>
      </c>
      <c r="AX29" s="30">
        <f t="shared" si="25"/>
        <v>0.246022020366694</v>
      </c>
      <c r="AY29" s="30">
        <f t="shared" si="25"/>
        <v>1</v>
      </c>
      <c r="AZ29" s="30">
        <f t="shared" si="25"/>
        <v>0.450902005262185</v>
      </c>
      <c r="BA29" s="58">
        <v>0.000262990262343543</v>
      </c>
      <c r="BB29" s="52">
        <v>0</v>
      </c>
      <c r="BC29" s="59">
        <v>0</v>
      </c>
      <c r="BD29" s="10"/>
    </row>
    <row r="30" spans="1:56">
      <c r="A30" s="10"/>
      <c r="B30" s="10"/>
      <c r="C30" s="10"/>
      <c r="D30" s="10"/>
      <c r="E30" s="10"/>
      <c r="F30" s="10"/>
      <c r="G30" s="10"/>
      <c r="H30" s="16"/>
      <c r="I30" s="16"/>
      <c r="J30" s="16"/>
      <c r="K30" s="16"/>
      <c r="L30" s="10"/>
      <c r="M30" s="10"/>
      <c r="N30" s="10"/>
      <c r="O30" s="10"/>
      <c r="P30" s="10"/>
      <c r="Q30" s="10"/>
      <c r="R30" s="26" t="s">
        <v>17</v>
      </c>
      <c r="S30" s="24">
        <f t="shared" ref="S30:AG30" si="26">S22-S27</f>
        <v>27741.69</v>
      </c>
      <c r="T30" s="24">
        <f t="shared" si="26"/>
        <v>-9176.57000000001</v>
      </c>
      <c r="U30" s="24">
        <f t="shared" si="26"/>
        <v>820.309999999998</v>
      </c>
      <c r="V30" s="24">
        <f t="shared" si="26"/>
        <v>20550.84</v>
      </c>
      <c r="W30" s="24">
        <f t="shared" si="26"/>
        <v>20550.84</v>
      </c>
      <c r="X30" s="24">
        <f t="shared" si="26"/>
        <v>20550.84</v>
      </c>
      <c r="Y30" s="24">
        <f t="shared" si="26"/>
        <v>20550.84</v>
      </c>
      <c r="Z30" s="24">
        <f t="shared" si="26"/>
        <v>20550.84</v>
      </c>
      <c r="AA30" s="24">
        <f t="shared" si="26"/>
        <v>20550.84</v>
      </c>
      <c r="AB30" s="24">
        <f t="shared" si="26"/>
        <v>20550.84</v>
      </c>
      <c r="AC30" s="24">
        <f t="shared" si="26"/>
        <v>20550.84</v>
      </c>
      <c r="AD30" s="24">
        <f t="shared" si="26"/>
        <v>20550.84</v>
      </c>
      <c r="AE30" s="24">
        <f t="shared" si="26"/>
        <v>20550.84</v>
      </c>
      <c r="AF30" s="24">
        <f t="shared" si="26"/>
        <v>17396.85</v>
      </c>
      <c r="AG30" s="24">
        <f t="shared" si="26"/>
        <v>5804.86</v>
      </c>
      <c r="AH30" s="42">
        <v>0</v>
      </c>
      <c r="AI30" s="42">
        <v>0</v>
      </c>
      <c r="AJ30" s="10"/>
      <c r="AK30" s="10"/>
      <c r="AL30" s="10"/>
      <c r="AM30" s="10"/>
      <c r="AN30" s="10"/>
      <c r="AO30" s="24">
        <f t="shared" ref="AO30:BC30" si="27">AO22-AO27</f>
        <v>0</v>
      </c>
      <c r="AP30" s="24">
        <f t="shared" si="27"/>
        <v>0</v>
      </c>
      <c r="AQ30" s="24">
        <f t="shared" si="27"/>
        <v>0</v>
      </c>
      <c r="AR30" s="24">
        <f t="shared" si="27"/>
        <v>0</v>
      </c>
      <c r="AS30" s="24">
        <f t="shared" si="27"/>
        <v>0</v>
      </c>
      <c r="AT30" s="24">
        <f t="shared" si="27"/>
        <v>0</v>
      </c>
      <c r="AU30" s="24">
        <f t="shared" si="27"/>
        <v>0</v>
      </c>
      <c r="AV30" s="24">
        <f t="shared" si="27"/>
        <v>0</v>
      </c>
      <c r="AW30" s="24">
        <f t="shared" si="27"/>
        <v>0</v>
      </c>
      <c r="AX30" s="24">
        <f t="shared" si="27"/>
        <v>-8755.62</v>
      </c>
      <c r="AY30" s="24">
        <f t="shared" si="27"/>
        <v>11591.99</v>
      </c>
      <c r="AZ30" s="24">
        <f t="shared" si="27"/>
        <v>5804.86</v>
      </c>
      <c r="BA30" s="24">
        <f t="shared" si="27"/>
        <v>820.309999999998</v>
      </c>
      <c r="BB30" s="24">
        <f t="shared" si="27"/>
        <v>0</v>
      </c>
      <c r="BC30" s="24">
        <f t="shared" si="27"/>
        <v>0</v>
      </c>
      <c r="BD30" s="10"/>
    </row>
    <row r="31" spans="1:56">
      <c r="A31" s="11"/>
      <c r="B31" s="11"/>
      <c r="C31" s="11"/>
      <c r="D31" s="11"/>
      <c r="E31" s="11"/>
      <c r="F31" s="11"/>
      <c r="G31" s="11"/>
      <c r="H31" s="17"/>
      <c r="I31" s="17"/>
      <c r="J31" s="17"/>
      <c r="K31" s="17"/>
      <c r="L31" s="11"/>
      <c r="M31" s="11"/>
      <c r="N31" s="11"/>
      <c r="O31" s="11"/>
      <c r="P31" s="11"/>
      <c r="Q31" s="11"/>
      <c r="R31" s="29" t="s">
        <v>18</v>
      </c>
      <c r="S31" s="30">
        <f t="shared" ref="S31:AG31" si="28">S30/S22</f>
        <v>0.183788691655283</v>
      </c>
      <c r="T31" s="30">
        <f t="shared" si="28"/>
        <v>-0.0612552910009646</v>
      </c>
      <c r="U31" s="31">
        <f t="shared" si="28"/>
        <v>0.00728583391094673</v>
      </c>
      <c r="V31" s="30">
        <f t="shared" si="28"/>
        <v>0.552161550223556</v>
      </c>
      <c r="W31" s="30">
        <f t="shared" si="28"/>
        <v>0.552161550223556</v>
      </c>
      <c r="X31" s="30">
        <f t="shared" si="28"/>
        <v>0.552161550223556</v>
      </c>
      <c r="Y31" s="30">
        <f t="shared" si="28"/>
        <v>0.552161550223556</v>
      </c>
      <c r="Z31" s="30">
        <f t="shared" si="28"/>
        <v>0.552161550223556</v>
      </c>
      <c r="AA31" s="30">
        <f t="shared" si="28"/>
        <v>0.552161550223556</v>
      </c>
      <c r="AB31" s="30">
        <f t="shared" si="28"/>
        <v>0.552161550223556</v>
      </c>
      <c r="AC31" s="30">
        <f t="shared" si="28"/>
        <v>0.552161550223556</v>
      </c>
      <c r="AD31" s="30">
        <f t="shared" si="28"/>
        <v>0.552161550223556</v>
      </c>
      <c r="AE31" s="30">
        <f t="shared" si="28"/>
        <v>0.552161550223556</v>
      </c>
      <c r="AF31" s="30">
        <f t="shared" si="28"/>
        <v>0.713016631050365</v>
      </c>
      <c r="AG31" s="30">
        <f t="shared" si="28"/>
        <v>0.452805315539982</v>
      </c>
      <c r="AH31" s="42">
        <f>T31-S31</f>
        <v>-0.245043982656247</v>
      </c>
      <c r="AI31" s="42">
        <f>AF31-S31</f>
        <v>0.529227939395083</v>
      </c>
      <c r="AJ31" s="11"/>
      <c r="AK31" s="11"/>
      <c r="AL31" s="11"/>
      <c r="AM31" s="11"/>
      <c r="AN31" s="11"/>
      <c r="AO31" s="30" t="e">
        <f t="shared" ref="AO31:AZ31" si="29">AO30/AO22</f>
        <v>#DIV/0!</v>
      </c>
      <c r="AP31" s="30" t="e">
        <f t="shared" si="29"/>
        <v>#DIV/0!</v>
      </c>
      <c r="AQ31" s="30" t="e">
        <f t="shared" si="29"/>
        <v>#DIV/0!</v>
      </c>
      <c r="AR31" s="30" t="e">
        <f t="shared" si="29"/>
        <v>#DIV/0!</v>
      </c>
      <c r="AS31" s="30" t="e">
        <f t="shared" si="29"/>
        <v>#DIV/0!</v>
      </c>
      <c r="AT31" s="30" t="e">
        <f t="shared" si="29"/>
        <v>#DIV/0!</v>
      </c>
      <c r="AU31" s="30" t="e">
        <f t="shared" si="29"/>
        <v>#DIV/0!</v>
      </c>
      <c r="AV31" s="30" t="e">
        <f t="shared" si="29"/>
        <v>#DIV/0!</v>
      </c>
      <c r="AW31" s="30" t="e">
        <f t="shared" si="29"/>
        <v>#DIV/0!</v>
      </c>
      <c r="AX31" s="30">
        <f t="shared" si="29"/>
        <v>-0.682968342310227</v>
      </c>
      <c r="AY31" s="30">
        <f t="shared" si="29"/>
        <v>1.0011071605305</v>
      </c>
      <c r="AZ31" s="30">
        <f t="shared" si="29"/>
        <v>0.452805315539982</v>
      </c>
      <c r="BA31" s="58">
        <v>0.00728583391094663</v>
      </c>
      <c r="BB31" s="52">
        <v>0</v>
      </c>
      <c r="BC31" s="59">
        <v>0</v>
      </c>
      <c r="BD31" s="11"/>
    </row>
    <row r="32" ht="15" spans="1:56">
      <c r="A32" s="12" t="s">
        <v>70</v>
      </c>
      <c r="B32" s="13" t="s">
        <v>71</v>
      </c>
      <c r="C32" s="14">
        <v>45807</v>
      </c>
      <c r="D32" s="14">
        <v>46275</v>
      </c>
      <c r="E32" s="6"/>
      <c r="F32" s="7">
        <v>0.81</v>
      </c>
      <c r="G32" s="8">
        <v>0</v>
      </c>
      <c r="H32" s="13"/>
      <c r="I32" s="13"/>
      <c r="J32" s="9"/>
      <c r="K32" s="9"/>
      <c r="L32" s="9"/>
      <c r="M32" s="9"/>
      <c r="N32" s="9"/>
      <c r="O32" s="9"/>
      <c r="P32" s="6"/>
      <c r="Q32" s="9" t="s">
        <v>63</v>
      </c>
      <c r="R32" s="32" t="s">
        <v>9</v>
      </c>
      <c r="S32" s="24">
        <v>181603.77</v>
      </c>
      <c r="T32" s="24">
        <f>SUM(AO32:BC32)</f>
        <v>180238.51</v>
      </c>
      <c r="U32" s="25">
        <f>SUM(BA32:BC32)</f>
        <v>139982.95</v>
      </c>
      <c r="V32" s="24">
        <f>SUM(AO32:AZ32)</f>
        <v>40255.56</v>
      </c>
      <c r="W32" s="24">
        <f>SUM(AP32:AZ32)</f>
        <v>40255.56</v>
      </c>
      <c r="X32" s="24">
        <f>SUM(AQ32:AZ32)</f>
        <v>40255.56</v>
      </c>
      <c r="Y32" s="24">
        <f>SUM(AR32:AZ32)</f>
        <v>40255.56</v>
      </c>
      <c r="Z32" s="24">
        <f>SUM(AS32:AZ32)</f>
        <v>40255.56</v>
      </c>
      <c r="AA32" s="24">
        <f>SUM(AT32:AZ32)</f>
        <v>40255.56</v>
      </c>
      <c r="AB32" s="24">
        <f>SUM(AU32:AZ32)</f>
        <v>40255.56</v>
      </c>
      <c r="AC32" s="24">
        <f>SUM(AV32:AZ32)</f>
        <v>40255.56</v>
      </c>
      <c r="AD32" s="24">
        <f>SUM(AW32:AZ32)</f>
        <v>40255.56</v>
      </c>
      <c r="AE32" s="24">
        <f>SUM(AX32:AZ32)</f>
        <v>40255.56</v>
      </c>
      <c r="AF32" s="24">
        <f>SUM(AY32:AZ32)</f>
        <v>40255.56</v>
      </c>
      <c r="AG32" s="24">
        <f>SUM(AZ32:AZ32)</f>
        <v>3848.19</v>
      </c>
      <c r="AH32" s="38">
        <v>0</v>
      </c>
      <c r="AI32" s="38">
        <v>0</v>
      </c>
      <c r="AJ32" s="43" t="s">
        <v>63</v>
      </c>
      <c r="AK32" s="8" t="s">
        <v>72</v>
      </c>
      <c r="AL32" s="43" t="s">
        <v>73</v>
      </c>
      <c r="AM32" s="43" t="s">
        <v>63</v>
      </c>
      <c r="AN32" s="44"/>
      <c r="AO32" s="24">
        <v>0</v>
      </c>
      <c r="AP32" s="24">
        <v>0</v>
      </c>
      <c r="AQ32" s="24">
        <v>0</v>
      </c>
      <c r="AR32" s="24">
        <v>0</v>
      </c>
      <c r="AS32" s="24">
        <v>0</v>
      </c>
      <c r="AT32" s="24">
        <v>0</v>
      </c>
      <c r="AU32" s="24">
        <v>0</v>
      </c>
      <c r="AV32" s="24">
        <v>0</v>
      </c>
      <c r="AW32" s="24">
        <v>0</v>
      </c>
      <c r="AX32" s="24">
        <v>0</v>
      </c>
      <c r="AY32" s="24">
        <v>36407.37</v>
      </c>
      <c r="AZ32" s="24">
        <v>3848.19</v>
      </c>
      <c r="BA32" s="61">
        <v>139982.95</v>
      </c>
      <c r="BB32" s="25">
        <v>0</v>
      </c>
      <c r="BC32" s="59">
        <v>0</v>
      </c>
      <c r="BD32" s="49" t="s">
        <v>63</v>
      </c>
    </row>
    <row r="33" ht="15" spans="1:56">
      <c r="A33" s="10"/>
      <c r="B33" s="10"/>
      <c r="C33" s="10"/>
      <c r="D33" s="10"/>
      <c r="E33" s="10"/>
      <c r="F33" s="10"/>
      <c r="G33" s="10"/>
      <c r="H33" s="10"/>
      <c r="I33" s="10"/>
      <c r="J33" s="10"/>
      <c r="K33" s="10"/>
      <c r="L33" s="10"/>
      <c r="M33" s="10"/>
      <c r="N33" s="10"/>
      <c r="O33" s="10"/>
      <c r="P33" s="10"/>
      <c r="Q33" s="10"/>
      <c r="R33" s="26" t="s">
        <v>10</v>
      </c>
      <c r="S33" s="24">
        <v>148783.99</v>
      </c>
      <c r="T33" s="24">
        <f>SUM(AO33:BC33)</f>
        <v>172338.83</v>
      </c>
      <c r="U33" s="25">
        <f>SUM(BA33:BC33)</f>
        <v>154415.59</v>
      </c>
      <c r="V33" s="24">
        <f>SUM(AO33:AZ33)</f>
        <v>17923.24</v>
      </c>
      <c r="W33" s="24">
        <f>SUM(AP33:AZ33)</f>
        <v>17923.24</v>
      </c>
      <c r="X33" s="24">
        <f>SUM(AQ33:AZ33)</f>
        <v>17923.24</v>
      </c>
      <c r="Y33" s="24">
        <f>SUM(AR33:AZ33)</f>
        <v>17923.24</v>
      </c>
      <c r="Z33" s="24">
        <f>SUM(AS33:AZ33)</f>
        <v>17923.24</v>
      </c>
      <c r="AA33" s="24">
        <f>SUM(AT33:AZ33)</f>
        <v>17923.24</v>
      </c>
      <c r="AB33" s="24">
        <f>SUM(AU33:AZ33)</f>
        <v>17923.24</v>
      </c>
      <c r="AC33" s="24">
        <f>SUM(AV33:AZ33)</f>
        <v>17923.24</v>
      </c>
      <c r="AD33" s="24">
        <f>SUM(AW33:AZ33)</f>
        <v>17923.24</v>
      </c>
      <c r="AE33" s="24">
        <f>SUM(AX33:AZ33)</f>
        <v>17923.24</v>
      </c>
      <c r="AF33" s="24">
        <f>SUM(AY33:AZ33)</f>
        <v>17923.23</v>
      </c>
      <c r="AG33" s="24">
        <f>SUM(AZ33:AZ33)</f>
        <v>0</v>
      </c>
      <c r="AH33" s="38">
        <v>0</v>
      </c>
      <c r="AI33" s="38">
        <v>0</v>
      </c>
      <c r="AJ33" s="10"/>
      <c r="AK33" s="10"/>
      <c r="AL33" s="10"/>
      <c r="AM33" s="10"/>
      <c r="AN33" s="10"/>
      <c r="AO33" s="24">
        <v>0</v>
      </c>
      <c r="AP33" s="24">
        <v>0</v>
      </c>
      <c r="AQ33" s="24">
        <v>0</v>
      </c>
      <c r="AR33" s="24">
        <v>0</v>
      </c>
      <c r="AS33" s="24">
        <v>0</v>
      </c>
      <c r="AT33" s="24">
        <v>0</v>
      </c>
      <c r="AU33" s="24">
        <v>0</v>
      </c>
      <c r="AV33" s="24">
        <v>0</v>
      </c>
      <c r="AW33" s="24">
        <v>0</v>
      </c>
      <c r="AX33" s="24">
        <v>0.01</v>
      </c>
      <c r="AY33" s="24">
        <v>17923.23</v>
      </c>
      <c r="AZ33" s="24">
        <v>0</v>
      </c>
      <c r="BA33" s="61">
        <v>154415.59</v>
      </c>
      <c r="BB33" s="25">
        <v>0</v>
      </c>
      <c r="BC33" s="59">
        <v>0</v>
      </c>
      <c r="BD33" s="49" t="s">
        <v>63</v>
      </c>
    </row>
    <row r="34" ht="15" spans="1:56">
      <c r="A34" s="10"/>
      <c r="B34" s="10"/>
      <c r="C34" s="10"/>
      <c r="D34" s="10"/>
      <c r="E34" s="10"/>
      <c r="F34" s="10"/>
      <c r="G34" s="10"/>
      <c r="H34" s="10"/>
      <c r="I34" s="10"/>
      <c r="J34" s="10"/>
      <c r="K34" s="10"/>
      <c r="L34" s="10"/>
      <c r="M34" s="10"/>
      <c r="N34" s="10"/>
      <c r="O34" s="10"/>
      <c r="P34" s="10"/>
      <c r="Q34" s="10"/>
      <c r="R34" s="26" t="s">
        <v>11</v>
      </c>
      <c r="S34" s="24">
        <v>0</v>
      </c>
      <c r="T34" s="24">
        <f>SUM(AO34:BC34)</f>
        <v>0</v>
      </c>
      <c r="U34" s="25">
        <f>SUM(BA34:BC34)</f>
        <v>0</v>
      </c>
      <c r="V34" s="24">
        <v>0</v>
      </c>
      <c r="W34" s="24">
        <v>0</v>
      </c>
      <c r="X34" s="24">
        <v>0</v>
      </c>
      <c r="Y34" s="24">
        <v>0</v>
      </c>
      <c r="Z34" s="24">
        <v>0</v>
      </c>
      <c r="AA34" s="24">
        <v>0</v>
      </c>
      <c r="AB34" s="24">
        <v>0</v>
      </c>
      <c r="AC34" s="24">
        <v>0</v>
      </c>
      <c r="AD34" s="24">
        <v>0</v>
      </c>
      <c r="AE34" s="24">
        <v>0</v>
      </c>
      <c r="AF34" s="24">
        <v>0</v>
      </c>
      <c r="AG34" s="24">
        <v>0</v>
      </c>
      <c r="AH34" s="38">
        <v>0</v>
      </c>
      <c r="AI34" s="38">
        <v>0</v>
      </c>
      <c r="AJ34" s="10"/>
      <c r="AK34" s="10"/>
      <c r="AL34" s="10"/>
      <c r="AM34" s="10"/>
      <c r="AN34" s="10"/>
      <c r="AO34" s="24">
        <v>0</v>
      </c>
      <c r="AP34" s="24">
        <v>0</v>
      </c>
      <c r="AQ34" s="24">
        <v>0</v>
      </c>
      <c r="AR34" s="24">
        <v>0</v>
      </c>
      <c r="AS34" s="24">
        <v>0</v>
      </c>
      <c r="AT34" s="24">
        <v>0</v>
      </c>
      <c r="AU34" s="24">
        <v>0</v>
      </c>
      <c r="AV34" s="24">
        <v>0</v>
      </c>
      <c r="AW34" s="24">
        <v>0</v>
      </c>
      <c r="AX34" s="24">
        <v>0</v>
      </c>
      <c r="AY34" s="24">
        <v>0</v>
      </c>
      <c r="AZ34" s="24">
        <v>0</v>
      </c>
      <c r="BA34" s="61">
        <v>0</v>
      </c>
      <c r="BB34" s="25">
        <v>0</v>
      </c>
      <c r="BC34" s="59">
        <v>0</v>
      </c>
      <c r="BD34" s="49" t="s">
        <v>63</v>
      </c>
    </row>
    <row r="35" ht="15" spans="1:56">
      <c r="A35" s="10"/>
      <c r="B35" s="10"/>
      <c r="C35" s="10"/>
      <c r="D35" s="10"/>
      <c r="E35" s="10"/>
      <c r="F35" s="10"/>
      <c r="G35" s="10"/>
      <c r="H35" s="10"/>
      <c r="I35" s="10"/>
      <c r="J35" s="10"/>
      <c r="K35" s="10"/>
      <c r="L35" s="10"/>
      <c r="M35" s="10"/>
      <c r="N35" s="10"/>
      <c r="O35" s="10"/>
      <c r="P35" s="10"/>
      <c r="Q35" s="10"/>
      <c r="R35" s="26" t="s">
        <v>12</v>
      </c>
      <c r="S35" s="24">
        <v>0</v>
      </c>
      <c r="T35" s="24">
        <f>SUM(AO35:BC35)</f>
        <v>0</v>
      </c>
      <c r="U35" s="25">
        <f>SUM(BA35:BC35)</f>
        <v>0</v>
      </c>
      <c r="V35" s="24">
        <f>SUM(AO35:AZ35)</f>
        <v>0</v>
      </c>
      <c r="W35" s="24">
        <f>SUM(AP35:AZ35)</f>
        <v>0</v>
      </c>
      <c r="X35" s="24">
        <f>SUM(AQ35:AZ35)</f>
        <v>0</v>
      </c>
      <c r="Y35" s="24">
        <f>SUM(AR35:AZ35)</f>
        <v>0</v>
      </c>
      <c r="Z35" s="24">
        <f>SUM(AS35:AZ35)</f>
        <v>0</v>
      </c>
      <c r="AA35" s="24">
        <f>SUM(AT35:AZ35)</f>
        <v>0</v>
      </c>
      <c r="AB35" s="24">
        <f>SUM(AU35:AZ35)</f>
        <v>0</v>
      </c>
      <c r="AC35" s="24">
        <f>SUM(AV35:AZ35)</f>
        <v>0</v>
      </c>
      <c r="AD35" s="24">
        <f>SUM(AW35:AZ35)</f>
        <v>0</v>
      </c>
      <c r="AE35" s="24">
        <f>SUM(AX35:AZ35)</f>
        <v>0</v>
      </c>
      <c r="AF35" s="24">
        <f>SUM(AY35:AZ35)</f>
        <v>0</v>
      </c>
      <c r="AG35" s="24">
        <f>SUM(AZ35:AZ35)</f>
        <v>0</v>
      </c>
      <c r="AH35" s="38">
        <v>0</v>
      </c>
      <c r="AI35" s="38">
        <v>0</v>
      </c>
      <c r="AJ35" s="10"/>
      <c r="AK35" s="10"/>
      <c r="AL35" s="10"/>
      <c r="AM35" s="10"/>
      <c r="AN35" s="10"/>
      <c r="AO35" s="24">
        <v>0</v>
      </c>
      <c r="AP35" s="24">
        <v>0</v>
      </c>
      <c r="AQ35" s="24">
        <v>0</v>
      </c>
      <c r="AR35" s="24">
        <v>0</v>
      </c>
      <c r="AS35" s="24">
        <v>0</v>
      </c>
      <c r="AT35" s="24">
        <v>0</v>
      </c>
      <c r="AU35" s="24">
        <v>0</v>
      </c>
      <c r="AV35" s="24">
        <v>0</v>
      </c>
      <c r="AW35" s="24">
        <v>0</v>
      </c>
      <c r="AX35" s="24">
        <v>0</v>
      </c>
      <c r="AY35" s="24">
        <v>0</v>
      </c>
      <c r="AZ35" s="24">
        <v>0</v>
      </c>
      <c r="BA35" s="61">
        <v>0</v>
      </c>
      <c r="BB35" s="25">
        <v>0</v>
      </c>
      <c r="BC35" s="59">
        <v>0</v>
      </c>
      <c r="BD35" s="49" t="s">
        <v>63</v>
      </c>
    </row>
    <row r="36" ht="15" spans="1:56">
      <c r="A36" s="10"/>
      <c r="B36" s="10"/>
      <c r="C36" s="10"/>
      <c r="D36" s="10"/>
      <c r="E36" s="10"/>
      <c r="F36" s="10"/>
      <c r="G36" s="10"/>
      <c r="H36" s="10"/>
      <c r="I36" s="10"/>
      <c r="J36" s="10"/>
      <c r="K36" s="10"/>
      <c r="L36" s="10"/>
      <c r="M36" s="10"/>
      <c r="N36" s="10"/>
      <c r="O36" s="10"/>
      <c r="P36" s="10"/>
      <c r="Q36" s="10"/>
      <c r="R36" s="26" t="s">
        <v>13</v>
      </c>
      <c r="S36" s="24">
        <v>0</v>
      </c>
      <c r="T36" s="24">
        <f>SUM(AO36:BC36)</f>
        <v>-231.65</v>
      </c>
      <c r="U36" s="25">
        <f>SUM(BA36:BC36)</f>
        <v>-195.24</v>
      </c>
      <c r="V36" s="24">
        <f>SUM(AO36:AZ36)</f>
        <v>-36.41</v>
      </c>
      <c r="W36" s="24">
        <f>SUM(AP36:AZ36)</f>
        <v>-36.41</v>
      </c>
      <c r="X36" s="24">
        <f>SUM(AQ36:AZ36)</f>
        <v>-36.41</v>
      </c>
      <c r="Y36" s="24">
        <f>SUM(AR36:AZ36)</f>
        <v>-36.41</v>
      </c>
      <c r="Z36" s="24">
        <f>SUM(AS36:AZ36)</f>
        <v>-36.41</v>
      </c>
      <c r="AA36" s="24">
        <f>SUM(AT36:AZ36)</f>
        <v>-36.41</v>
      </c>
      <c r="AB36" s="24">
        <f>SUM(AU36:AZ36)</f>
        <v>-36.41</v>
      </c>
      <c r="AC36" s="24">
        <f>SUM(AV36:AZ36)</f>
        <v>-36.41</v>
      </c>
      <c r="AD36" s="24">
        <f>SUM(AW36:AZ36)</f>
        <v>-36.41</v>
      </c>
      <c r="AE36" s="24">
        <f>SUM(AX36:AZ36)</f>
        <v>-36.41</v>
      </c>
      <c r="AF36" s="24">
        <f>SUM(AY36:AZ36)</f>
        <v>-36.41</v>
      </c>
      <c r="AG36" s="24">
        <f>SUM(AZ36:AZ36)</f>
        <v>-36.41</v>
      </c>
      <c r="AH36" s="38">
        <v>0</v>
      </c>
      <c r="AI36" s="38">
        <v>0</v>
      </c>
      <c r="AJ36" s="10"/>
      <c r="AK36" s="10"/>
      <c r="AL36" s="10"/>
      <c r="AM36" s="10"/>
      <c r="AN36" s="10"/>
      <c r="AO36" s="24">
        <v>0</v>
      </c>
      <c r="AP36" s="24">
        <v>0</v>
      </c>
      <c r="AQ36" s="24">
        <v>0</v>
      </c>
      <c r="AR36" s="24">
        <v>0</v>
      </c>
      <c r="AS36" s="24">
        <v>0</v>
      </c>
      <c r="AT36" s="24">
        <v>0</v>
      </c>
      <c r="AU36" s="24">
        <v>0</v>
      </c>
      <c r="AV36" s="24">
        <v>0</v>
      </c>
      <c r="AW36" s="24">
        <v>0</v>
      </c>
      <c r="AX36" s="24">
        <v>0</v>
      </c>
      <c r="AY36" s="24">
        <v>0</v>
      </c>
      <c r="AZ36" s="24">
        <v>-36.41</v>
      </c>
      <c r="BA36" s="61">
        <v>-195.24</v>
      </c>
      <c r="BB36" s="25">
        <v>0</v>
      </c>
      <c r="BC36" s="59">
        <v>0</v>
      </c>
      <c r="BD36" s="49" t="s">
        <v>63</v>
      </c>
    </row>
    <row r="37" ht="15" spans="1:56">
      <c r="A37" s="10"/>
      <c r="B37" s="10"/>
      <c r="C37" s="10"/>
      <c r="D37" s="10"/>
      <c r="E37" s="10"/>
      <c r="F37" s="10"/>
      <c r="G37" s="10"/>
      <c r="H37" s="10"/>
      <c r="I37" s="10"/>
      <c r="J37" s="10"/>
      <c r="K37" s="10"/>
      <c r="L37" s="10"/>
      <c r="M37" s="10"/>
      <c r="N37" s="10"/>
      <c r="O37" s="10"/>
      <c r="P37" s="10"/>
      <c r="Q37" s="10"/>
      <c r="R37" s="26" t="s">
        <v>14</v>
      </c>
      <c r="S37" s="27">
        <f t="shared" ref="S37:AI37" si="30">SUM(S33:S36)</f>
        <v>148783.99</v>
      </c>
      <c r="T37" s="27">
        <f t="shared" si="30"/>
        <v>172107.18</v>
      </c>
      <c r="U37" s="28">
        <f t="shared" si="30"/>
        <v>154220.35</v>
      </c>
      <c r="V37" s="27">
        <f t="shared" si="30"/>
        <v>17886.83</v>
      </c>
      <c r="W37" s="27">
        <f t="shared" si="30"/>
        <v>17886.83</v>
      </c>
      <c r="X37" s="27">
        <f t="shared" si="30"/>
        <v>17886.83</v>
      </c>
      <c r="Y37" s="27">
        <f t="shared" si="30"/>
        <v>17886.83</v>
      </c>
      <c r="Z37" s="27">
        <f t="shared" si="30"/>
        <v>17886.83</v>
      </c>
      <c r="AA37" s="27">
        <f t="shared" si="30"/>
        <v>17886.83</v>
      </c>
      <c r="AB37" s="27">
        <f t="shared" si="30"/>
        <v>17886.83</v>
      </c>
      <c r="AC37" s="27">
        <f t="shared" si="30"/>
        <v>17886.83</v>
      </c>
      <c r="AD37" s="27">
        <f t="shared" si="30"/>
        <v>17886.83</v>
      </c>
      <c r="AE37" s="27">
        <f t="shared" si="30"/>
        <v>17886.83</v>
      </c>
      <c r="AF37" s="27">
        <f t="shared" si="30"/>
        <v>17886.82</v>
      </c>
      <c r="AG37" s="27">
        <f t="shared" si="30"/>
        <v>-36.41</v>
      </c>
      <c r="AH37" s="27">
        <f t="shared" si="30"/>
        <v>0</v>
      </c>
      <c r="AI37" s="27">
        <f t="shared" si="30"/>
        <v>0</v>
      </c>
      <c r="AJ37" s="10"/>
      <c r="AK37" s="10"/>
      <c r="AL37" s="10"/>
      <c r="AM37" s="10"/>
      <c r="AN37" s="10"/>
      <c r="AO37" s="27">
        <f t="shared" ref="AO37:AX37" si="31">SUM(AO33:AO36)</f>
        <v>0</v>
      </c>
      <c r="AP37" s="27">
        <f t="shared" si="31"/>
        <v>0</v>
      </c>
      <c r="AQ37" s="27">
        <f t="shared" si="31"/>
        <v>0</v>
      </c>
      <c r="AR37" s="27">
        <f t="shared" si="31"/>
        <v>0</v>
      </c>
      <c r="AS37" s="27">
        <f t="shared" si="31"/>
        <v>0</v>
      </c>
      <c r="AT37" s="27">
        <f t="shared" si="31"/>
        <v>0</v>
      </c>
      <c r="AU37" s="27">
        <f t="shared" si="31"/>
        <v>0</v>
      </c>
      <c r="AV37" s="27">
        <f t="shared" si="31"/>
        <v>0</v>
      </c>
      <c r="AW37" s="27">
        <f t="shared" si="31"/>
        <v>0</v>
      </c>
      <c r="AX37" s="27">
        <f t="shared" si="31"/>
        <v>0.01</v>
      </c>
      <c r="AY37" s="27">
        <v>17923.23</v>
      </c>
      <c r="AZ37" s="27">
        <f>SUM(AZ33:AZ36)</f>
        <v>-36.41</v>
      </c>
      <c r="BA37" s="56">
        <v>154220.35</v>
      </c>
      <c r="BB37" s="28">
        <f>SUM(BB33:BB36)</f>
        <v>0</v>
      </c>
      <c r="BC37" s="60">
        <f>SUM(BC33:BC36)</f>
        <v>0</v>
      </c>
      <c r="BD37" s="50" t="s">
        <v>63</v>
      </c>
    </row>
    <row r="38" ht="15" spans="1:56">
      <c r="A38" s="10"/>
      <c r="B38" s="10"/>
      <c r="C38" s="10"/>
      <c r="D38" s="10"/>
      <c r="E38" s="10"/>
      <c r="F38" s="10"/>
      <c r="G38" s="10"/>
      <c r="H38" s="10"/>
      <c r="I38" s="10"/>
      <c r="J38" s="10"/>
      <c r="K38" s="10"/>
      <c r="L38" s="10"/>
      <c r="M38" s="10"/>
      <c r="N38" s="10"/>
      <c r="O38" s="10"/>
      <c r="P38" s="10"/>
      <c r="Q38" s="10"/>
      <c r="R38" s="26" t="s">
        <v>15</v>
      </c>
      <c r="S38" s="24">
        <f t="shared" ref="S38:AG38" si="32">S32-S33</f>
        <v>32819.78</v>
      </c>
      <c r="T38" s="24">
        <f t="shared" si="32"/>
        <v>7899.68000000002</v>
      </c>
      <c r="U38" s="25">
        <f t="shared" si="32"/>
        <v>-14432.64</v>
      </c>
      <c r="V38" s="24">
        <f t="shared" si="32"/>
        <v>22332.32</v>
      </c>
      <c r="W38" s="24">
        <f t="shared" si="32"/>
        <v>22332.32</v>
      </c>
      <c r="X38" s="24">
        <f t="shared" si="32"/>
        <v>22332.32</v>
      </c>
      <c r="Y38" s="24">
        <f t="shared" si="32"/>
        <v>22332.32</v>
      </c>
      <c r="Z38" s="24">
        <f t="shared" si="32"/>
        <v>22332.32</v>
      </c>
      <c r="AA38" s="24">
        <f t="shared" si="32"/>
        <v>22332.32</v>
      </c>
      <c r="AB38" s="24">
        <f t="shared" si="32"/>
        <v>22332.32</v>
      </c>
      <c r="AC38" s="24">
        <f t="shared" si="32"/>
        <v>22332.32</v>
      </c>
      <c r="AD38" s="24">
        <f t="shared" si="32"/>
        <v>22332.32</v>
      </c>
      <c r="AE38" s="24">
        <f t="shared" si="32"/>
        <v>22332.32</v>
      </c>
      <c r="AF38" s="24">
        <f t="shared" si="32"/>
        <v>22332.33</v>
      </c>
      <c r="AG38" s="24">
        <f t="shared" si="32"/>
        <v>3848.19</v>
      </c>
      <c r="AH38" s="41">
        <v>0</v>
      </c>
      <c r="AI38" s="41">
        <v>0</v>
      </c>
      <c r="AJ38" s="10"/>
      <c r="AK38" s="10"/>
      <c r="AL38" s="10"/>
      <c r="AM38" s="10"/>
      <c r="AN38" s="10"/>
      <c r="AO38" s="24">
        <f t="shared" ref="AO38:AZ38" si="33">AO32-AO33</f>
        <v>0</v>
      </c>
      <c r="AP38" s="24">
        <f t="shared" si="33"/>
        <v>0</v>
      </c>
      <c r="AQ38" s="24">
        <f t="shared" si="33"/>
        <v>0</v>
      </c>
      <c r="AR38" s="24">
        <f t="shared" si="33"/>
        <v>0</v>
      </c>
      <c r="AS38" s="24">
        <f t="shared" si="33"/>
        <v>0</v>
      </c>
      <c r="AT38" s="24">
        <f t="shared" si="33"/>
        <v>0</v>
      </c>
      <c r="AU38" s="24">
        <f t="shared" si="33"/>
        <v>0</v>
      </c>
      <c r="AV38" s="24">
        <f t="shared" si="33"/>
        <v>0</v>
      </c>
      <c r="AW38" s="24">
        <f t="shared" si="33"/>
        <v>0</v>
      </c>
      <c r="AX38" s="24">
        <f t="shared" si="33"/>
        <v>-0.01</v>
      </c>
      <c r="AY38" s="24">
        <f t="shared" si="33"/>
        <v>18484.14</v>
      </c>
      <c r="AZ38" s="24">
        <f t="shared" si="33"/>
        <v>3848.19</v>
      </c>
      <c r="BA38" s="61">
        <v>-14432.64</v>
      </c>
      <c r="BB38" s="28">
        <v>0</v>
      </c>
      <c r="BC38" s="59">
        <v>0</v>
      </c>
      <c r="BD38" s="49" t="s">
        <v>63</v>
      </c>
    </row>
    <row r="39" ht="15" spans="1:56">
      <c r="A39" s="10"/>
      <c r="B39" s="10"/>
      <c r="C39" s="10"/>
      <c r="D39" s="10"/>
      <c r="E39" s="10"/>
      <c r="F39" s="10"/>
      <c r="G39" s="10"/>
      <c r="H39" s="10"/>
      <c r="I39" s="10"/>
      <c r="J39" s="10"/>
      <c r="K39" s="10"/>
      <c r="L39" s="10"/>
      <c r="M39" s="10"/>
      <c r="N39" s="10"/>
      <c r="O39" s="10"/>
      <c r="P39" s="10"/>
      <c r="Q39" s="10"/>
      <c r="R39" s="29" t="s">
        <v>16</v>
      </c>
      <c r="S39" s="30">
        <f t="shared" ref="S39:AG39" si="34">S38/S32</f>
        <v>0.180721909022043</v>
      </c>
      <c r="T39" s="30">
        <f t="shared" si="34"/>
        <v>0.0438290352045188</v>
      </c>
      <c r="U39" s="31">
        <f t="shared" si="34"/>
        <v>-0.103102842167564</v>
      </c>
      <c r="V39" s="30">
        <f t="shared" si="34"/>
        <v>0.554763615262091</v>
      </c>
      <c r="W39" s="30">
        <f t="shared" si="34"/>
        <v>0.554763615262091</v>
      </c>
      <c r="X39" s="30">
        <f t="shared" si="34"/>
        <v>0.554763615262091</v>
      </c>
      <c r="Y39" s="30">
        <f t="shared" si="34"/>
        <v>0.554763615262091</v>
      </c>
      <c r="Z39" s="30">
        <f t="shared" si="34"/>
        <v>0.554763615262091</v>
      </c>
      <c r="AA39" s="30">
        <f t="shared" si="34"/>
        <v>0.554763615262091</v>
      </c>
      <c r="AB39" s="30">
        <f t="shared" si="34"/>
        <v>0.554763615262091</v>
      </c>
      <c r="AC39" s="30">
        <f t="shared" si="34"/>
        <v>0.554763615262091</v>
      </c>
      <c r="AD39" s="30">
        <f t="shared" si="34"/>
        <v>0.554763615262091</v>
      </c>
      <c r="AE39" s="30">
        <f t="shared" si="34"/>
        <v>0.554763615262091</v>
      </c>
      <c r="AF39" s="30">
        <f t="shared" si="34"/>
        <v>0.554763863674981</v>
      </c>
      <c r="AG39" s="30">
        <f t="shared" si="34"/>
        <v>1</v>
      </c>
      <c r="AH39" s="42">
        <f>T39-S39</f>
        <v>-0.136892873817524</v>
      </c>
      <c r="AI39" s="42">
        <f>AF39-S39</f>
        <v>0.374041954652938</v>
      </c>
      <c r="AJ39" s="10"/>
      <c r="AK39" s="10"/>
      <c r="AL39" s="10"/>
      <c r="AM39" s="10"/>
      <c r="AN39" s="10"/>
      <c r="AO39" s="30" t="e">
        <f t="shared" ref="AO39:AZ39" si="35">AO38/AO32</f>
        <v>#DIV/0!</v>
      </c>
      <c r="AP39" s="30" t="e">
        <f t="shared" si="35"/>
        <v>#DIV/0!</v>
      </c>
      <c r="AQ39" s="30" t="e">
        <f t="shared" si="35"/>
        <v>#DIV/0!</v>
      </c>
      <c r="AR39" s="30" t="e">
        <f t="shared" si="35"/>
        <v>#DIV/0!</v>
      </c>
      <c r="AS39" s="30" t="e">
        <f t="shared" si="35"/>
        <v>#DIV/0!</v>
      </c>
      <c r="AT39" s="30" t="e">
        <f t="shared" si="35"/>
        <v>#DIV/0!</v>
      </c>
      <c r="AU39" s="30" t="e">
        <f t="shared" si="35"/>
        <v>#DIV/0!</v>
      </c>
      <c r="AV39" s="30" t="e">
        <f t="shared" si="35"/>
        <v>#DIV/0!</v>
      </c>
      <c r="AW39" s="30" t="e">
        <f t="shared" si="35"/>
        <v>#DIV/0!</v>
      </c>
      <c r="AX39" s="30" t="e">
        <f t="shared" si="35"/>
        <v>#DIV/0!</v>
      </c>
      <c r="AY39" s="30">
        <f t="shared" si="35"/>
        <v>0.507703247996216</v>
      </c>
      <c r="AZ39" s="30">
        <f t="shared" si="35"/>
        <v>1</v>
      </c>
      <c r="BA39" s="58">
        <v>-0.103102842167564</v>
      </c>
      <c r="BB39" s="52">
        <v>0</v>
      </c>
      <c r="BC39" s="59">
        <v>0</v>
      </c>
      <c r="BD39" s="49" t="s">
        <v>63</v>
      </c>
    </row>
    <row r="40" ht="15" spans="1:56">
      <c r="A40" s="10"/>
      <c r="B40" s="10"/>
      <c r="C40" s="10"/>
      <c r="D40" s="10"/>
      <c r="E40" s="10"/>
      <c r="F40" s="10"/>
      <c r="G40" s="10"/>
      <c r="H40" s="10"/>
      <c r="I40" s="10"/>
      <c r="J40" s="10"/>
      <c r="K40" s="10"/>
      <c r="L40" s="10"/>
      <c r="M40" s="10"/>
      <c r="N40" s="10"/>
      <c r="O40" s="10"/>
      <c r="P40" s="10"/>
      <c r="Q40" s="10"/>
      <c r="R40" s="26" t="s">
        <v>17</v>
      </c>
      <c r="S40" s="24">
        <f t="shared" ref="S40:AG40" si="36">S32-S37</f>
        <v>32819.78</v>
      </c>
      <c r="T40" s="24">
        <f t="shared" si="36"/>
        <v>8131.33000000002</v>
      </c>
      <c r="U40" s="24">
        <f t="shared" si="36"/>
        <v>-14237.4</v>
      </c>
      <c r="V40" s="24">
        <f t="shared" si="36"/>
        <v>22368.73</v>
      </c>
      <c r="W40" s="24">
        <f t="shared" si="36"/>
        <v>22368.73</v>
      </c>
      <c r="X40" s="24">
        <f t="shared" si="36"/>
        <v>22368.73</v>
      </c>
      <c r="Y40" s="24">
        <f t="shared" si="36"/>
        <v>22368.73</v>
      </c>
      <c r="Z40" s="24">
        <f t="shared" si="36"/>
        <v>22368.73</v>
      </c>
      <c r="AA40" s="24">
        <f t="shared" si="36"/>
        <v>22368.73</v>
      </c>
      <c r="AB40" s="24">
        <f t="shared" si="36"/>
        <v>22368.73</v>
      </c>
      <c r="AC40" s="24">
        <f t="shared" si="36"/>
        <v>22368.73</v>
      </c>
      <c r="AD40" s="24">
        <f t="shared" si="36"/>
        <v>22368.73</v>
      </c>
      <c r="AE40" s="24">
        <f t="shared" si="36"/>
        <v>22368.73</v>
      </c>
      <c r="AF40" s="24">
        <f t="shared" si="36"/>
        <v>22368.74</v>
      </c>
      <c r="AG40" s="24">
        <f t="shared" si="36"/>
        <v>3884.6</v>
      </c>
      <c r="AH40" s="42">
        <v>0</v>
      </c>
      <c r="AI40" s="42">
        <v>0</v>
      </c>
      <c r="AJ40" s="10"/>
      <c r="AK40" s="10"/>
      <c r="AL40" s="10"/>
      <c r="AM40" s="10"/>
      <c r="AN40" s="10"/>
      <c r="AO40" s="24">
        <f t="shared" ref="AO40:BC40" si="37">AO32-AO37</f>
        <v>0</v>
      </c>
      <c r="AP40" s="24">
        <f t="shared" si="37"/>
        <v>0</v>
      </c>
      <c r="AQ40" s="24">
        <f t="shared" si="37"/>
        <v>0</v>
      </c>
      <c r="AR40" s="24">
        <f t="shared" si="37"/>
        <v>0</v>
      </c>
      <c r="AS40" s="24">
        <f t="shared" si="37"/>
        <v>0</v>
      </c>
      <c r="AT40" s="24">
        <f t="shared" si="37"/>
        <v>0</v>
      </c>
      <c r="AU40" s="24">
        <f t="shared" si="37"/>
        <v>0</v>
      </c>
      <c r="AV40" s="24">
        <f t="shared" si="37"/>
        <v>0</v>
      </c>
      <c r="AW40" s="24">
        <f t="shared" si="37"/>
        <v>0</v>
      </c>
      <c r="AX40" s="24">
        <f t="shared" si="37"/>
        <v>-0.01</v>
      </c>
      <c r="AY40" s="24">
        <f t="shared" si="37"/>
        <v>18484.14</v>
      </c>
      <c r="AZ40" s="24">
        <f t="shared" si="37"/>
        <v>3884.6</v>
      </c>
      <c r="BA40" s="24">
        <f t="shared" si="37"/>
        <v>-14237.4</v>
      </c>
      <c r="BB40" s="24">
        <f t="shared" si="37"/>
        <v>0</v>
      </c>
      <c r="BC40" s="24">
        <f t="shared" si="37"/>
        <v>0</v>
      </c>
      <c r="BD40" s="49" t="s">
        <v>63</v>
      </c>
    </row>
    <row r="41" ht="15" spans="1:56">
      <c r="A41" s="11"/>
      <c r="B41" s="11"/>
      <c r="C41" s="11"/>
      <c r="D41" s="11"/>
      <c r="E41" s="11"/>
      <c r="F41" s="11"/>
      <c r="G41" s="11"/>
      <c r="H41" s="11"/>
      <c r="I41" s="11"/>
      <c r="J41" s="11"/>
      <c r="K41" s="11"/>
      <c r="L41" s="11"/>
      <c r="M41" s="11"/>
      <c r="N41" s="11"/>
      <c r="O41" s="11"/>
      <c r="P41" s="11"/>
      <c r="Q41" s="11"/>
      <c r="R41" s="29" t="s">
        <v>18</v>
      </c>
      <c r="S41" s="30">
        <f t="shared" ref="S41:AG41" si="38">S40/S32</f>
        <v>0.180721909022043</v>
      </c>
      <c r="T41" s="30">
        <f t="shared" si="38"/>
        <v>0.0451142766326687</v>
      </c>
      <c r="U41" s="31">
        <f t="shared" si="38"/>
        <v>-0.101708100879428</v>
      </c>
      <c r="V41" s="30">
        <f t="shared" si="38"/>
        <v>0.555668086594746</v>
      </c>
      <c r="W41" s="30">
        <f t="shared" si="38"/>
        <v>0.555668086594746</v>
      </c>
      <c r="X41" s="30">
        <f t="shared" si="38"/>
        <v>0.555668086594746</v>
      </c>
      <c r="Y41" s="30">
        <f t="shared" si="38"/>
        <v>0.555668086594746</v>
      </c>
      <c r="Z41" s="30">
        <f t="shared" si="38"/>
        <v>0.555668086594746</v>
      </c>
      <c r="AA41" s="30">
        <f t="shared" si="38"/>
        <v>0.555668086594746</v>
      </c>
      <c r="AB41" s="30">
        <f t="shared" si="38"/>
        <v>0.555668086594746</v>
      </c>
      <c r="AC41" s="30">
        <f t="shared" si="38"/>
        <v>0.555668086594746</v>
      </c>
      <c r="AD41" s="30">
        <f t="shared" si="38"/>
        <v>0.555668086594746</v>
      </c>
      <c r="AE41" s="30">
        <f t="shared" si="38"/>
        <v>0.555668086594746</v>
      </c>
      <c r="AF41" s="30">
        <f t="shared" si="38"/>
        <v>0.555668335007636</v>
      </c>
      <c r="AG41" s="30">
        <f t="shared" si="38"/>
        <v>1.00946159103371</v>
      </c>
      <c r="AH41" s="42">
        <f>T41-S41</f>
        <v>-0.135607632389374</v>
      </c>
      <c r="AI41" s="42">
        <f>AF41-S41</f>
        <v>0.374946425985593</v>
      </c>
      <c r="AJ41" s="11"/>
      <c r="AK41" s="11"/>
      <c r="AL41" s="11"/>
      <c r="AM41" s="11"/>
      <c r="AN41" s="11"/>
      <c r="AO41" s="30" t="e">
        <f t="shared" ref="AO41:AZ41" si="39">AO40/AO32</f>
        <v>#DIV/0!</v>
      </c>
      <c r="AP41" s="30" t="e">
        <f t="shared" si="39"/>
        <v>#DIV/0!</v>
      </c>
      <c r="AQ41" s="30" t="e">
        <f t="shared" si="39"/>
        <v>#DIV/0!</v>
      </c>
      <c r="AR41" s="30" t="e">
        <f t="shared" si="39"/>
        <v>#DIV/0!</v>
      </c>
      <c r="AS41" s="30" t="e">
        <f t="shared" si="39"/>
        <v>#DIV/0!</v>
      </c>
      <c r="AT41" s="30" t="e">
        <f t="shared" si="39"/>
        <v>#DIV/0!</v>
      </c>
      <c r="AU41" s="30" t="e">
        <f t="shared" si="39"/>
        <v>#DIV/0!</v>
      </c>
      <c r="AV41" s="30" t="e">
        <f t="shared" si="39"/>
        <v>#DIV/0!</v>
      </c>
      <c r="AW41" s="30" t="e">
        <f t="shared" si="39"/>
        <v>#DIV/0!</v>
      </c>
      <c r="AX41" s="30" t="e">
        <f t="shared" si="39"/>
        <v>#DIV/0!</v>
      </c>
      <c r="AY41" s="30">
        <f t="shared" si="39"/>
        <v>0.507703247996216</v>
      </c>
      <c r="AZ41" s="30">
        <f t="shared" si="39"/>
        <v>1.00946159103371</v>
      </c>
      <c r="BA41" s="58">
        <v>-0.101708100879428</v>
      </c>
      <c r="BB41" s="52">
        <v>0</v>
      </c>
      <c r="BC41" s="59">
        <v>0</v>
      </c>
      <c r="BD41" s="49" t="s">
        <v>63</v>
      </c>
    </row>
    <row r="42" ht="15" spans="1:56">
      <c r="A42" s="12" t="s">
        <v>74</v>
      </c>
      <c r="B42" s="13" t="s">
        <v>75</v>
      </c>
      <c r="C42" s="14">
        <v>45839</v>
      </c>
      <c r="D42" s="14">
        <v>46203</v>
      </c>
      <c r="E42" s="6"/>
      <c r="F42" s="7" t="s">
        <v>62</v>
      </c>
      <c r="G42" s="9">
        <v>0</v>
      </c>
      <c r="H42" s="9"/>
      <c r="I42" s="9"/>
      <c r="J42" s="9"/>
      <c r="K42" s="9"/>
      <c r="L42" s="9"/>
      <c r="M42" s="9"/>
      <c r="N42" s="9"/>
      <c r="O42" s="9"/>
      <c r="P42" s="6"/>
      <c r="Q42" s="9" t="s">
        <v>63</v>
      </c>
      <c r="R42" s="32" t="s">
        <v>9</v>
      </c>
      <c r="S42" s="24">
        <v>188679.25</v>
      </c>
      <c r="T42" s="24">
        <f>SUM(AO42:BC42)</f>
        <v>152129.83</v>
      </c>
      <c r="U42" s="25">
        <f>SUM(BA42:BC42)</f>
        <v>127263.98</v>
      </c>
      <c r="V42" s="24">
        <f>SUM(AO42:AZ42)</f>
        <v>24865.85</v>
      </c>
      <c r="W42" s="24">
        <f>SUM(AP42:AZ42)</f>
        <v>24865.85</v>
      </c>
      <c r="X42" s="24">
        <f>SUM(AQ42:AZ42)</f>
        <v>24865.85</v>
      </c>
      <c r="Y42" s="24">
        <f>SUM(AR42:AZ42)</f>
        <v>24865.85</v>
      </c>
      <c r="Z42" s="24">
        <f>SUM(AS42:AZ42)</f>
        <v>24865.85</v>
      </c>
      <c r="AA42" s="24">
        <f>SUM(AT42:AZ42)</f>
        <v>24865.85</v>
      </c>
      <c r="AB42" s="24">
        <f>SUM(AU42:AZ42)</f>
        <v>24865.85</v>
      </c>
      <c r="AC42" s="24">
        <f>SUM(AV42:AZ42)</f>
        <v>24865.85</v>
      </c>
      <c r="AD42" s="24">
        <f>SUM(AW42:AZ42)</f>
        <v>24865.85</v>
      </c>
      <c r="AE42" s="24">
        <f>SUM(AX42:AZ42)</f>
        <v>24865.85</v>
      </c>
      <c r="AF42" s="24">
        <f>SUM(AY42:AZ42)</f>
        <v>15256.79</v>
      </c>
      <c r="AG42" s="24">
        <f>SUM(AZ42:AZ42)</f>
        <v>7201.51</v>
      </c>
      <c r="AH42" s="38">
        <v>0</v>
      </c>
      <c r="AI42" s="38">
        <v>0</v>
      </c>
      <c r="AJ42" s="13" t="s">
        <v>63</v>
      </c>
      <c r="AK42" s="43" t="s">
        <v>76</v>
      </c>
      <c r="AL42" s="43" t="s">
        <v>77</v>
      </c>
      <c r="AM42" s="43" t="s">
        <v>63</v>
      </c>
      <c r="AN42" s="45"/>
      <c r="AO42" s="24">
        <v>0</v>
      </c>
      <c r="AP42" s="24">
        <v>0</v>
      </c>
      <c r="AQ42" s="24">
        <v>0</v>
      </c>
      <c r="AR42" s="24">
        <v>0</v>
      </c>
      <c r="AS42" s="24">
        <v>0</v>
      </c>
      <c r="AT42" s="24">
        <v>0</v>
      </c>
      <c r="AU42" s="24">
        <v>0</v>
      </c>
      <c r="AV42" s="24">
        <v>0</v>
      </c>
      <c r="AW42" s="24">
        <v>0</v>
      </c>
      <c r="AX42" s="24">
        <v>9609.06</v>
      </c>
      <c r="AY42" s="24">
        <v>8055.28</v>
      </c>
      <c r="AZ42" s="24">
        <v>7201.51</v>
      </c>
      <c r="BA42" s="54">
        <v>127263.98</v>
      </c>
      <c r="BB42" s="25">
        <v>0</v>
      </c>
      <c r="BC42" s="62">
        <v>0</v>
      </c>
      <c r="BD42" s="49" t="s">
        <v>63</v>
      </c>
    </row>
    <row r="43" ht="15" spans="1:56">
      <c r="A43" s="10"/>
      <c r="B43" s="10"/>
      <c r="C43" s="10"/>
      <c r="D43" s="10"/>
      <c r="E43" s="10"/>
      <c r="F43" s="10"/>
      <c r="G43" s="10"/>
      <c r="H43" s="10"/>
      <c r="I43" s="10"/>
      <c r="J43" s="10"/>
      <c r="K43" s="10"/>
      <c r="L43" s="10"/>
      <c r="M43" s="10"/>
      <c r="N43" s="10"/>
      <c r="O43" s="10"/>
      <c r="P43" s="10"/>
      <c r="Q43" s="10"/>
      <c r="R43" s="26" t="s">
        <v>10</v>
      </c>
      <c r="S43" s="24">
        <v>154705.8</v>
      </c>
      <c r="T43" s="24">
        <f>SUM(AO43:BC43)</f>
        <v>174002.79</v>
      </c>
      <c r="U43" s="25">
        <f>SUM(BA43:BC43)</f>
        <v>174002.79</v>
      </c>
      <c r="V43" s="24">
        <f>SUM(AO43:AZ43)</f>
        <v>0</v>
      </c>
      <c r="W43" s="24">
        <f>SUM(AP43:AZ43)</f>
        <v>0</v>
      </c>
      <c r="X43" s="24">
        <f>SUM(AQ43:AZ43)</f>
        <v>0</v>
      </c>
      <c r="Y43" s="24">
        <f>SUM(AR43:AZ43)</f>
        <v>0</v>
      </c>
      <c r="Z43" s="24">
        <f>SUM(AS43:AZ43)</f>
        <v>0</v>
      </c>
      <c r="AA43" s="24">
        <f>SUM(AT43:AZ43)</f>
        <v>0</v>
      </c>
      <c r="AB43" s="24">
        <f>SUM(AU43:AZ43)</f>
        <v>0</v>
      </c>
      <c r="AC43" s="24">
        <f>SUM(AV43:AZ43)</f>
        <v>0</v>
      </c>
      <c r="AD43" s="24">
        <f>SUM(AW43:AZ43)</f>
        <v>0</v>
      </c>
      <c r="AE43" s="24">
        <f>SUM(AX43:AZ43)</f>
        <v>0</v>
      </c>
      <c r="AF43" s="24">
        <f>SUM(AY43:AZ43)</f>
        <v>0</v>
      </c>
      <c r="AG43" s="24">
        <f>SUM(AZ43:AZ43)</f>
        <v>0</v>
      </c>
      <c r="AH43" s="38">
        <v>0</v>
      </c>
      <c r="AI43" s="38">
        <v>0</v>
      </c>
      <c r="AJ43" s="10"/>
      <c r="AK43" s="10"/>
      <c r="AL43" s="10"/>
      <c r="AM43" s="10"/>
      <c r="AN43" s="10"/>
      <c r="AO43" s="24">
        <v>0</v>
      </c>
      <c r="AP43" s="24">
        <v>0</v>
      </c>
      <c r="AQ43" s="24">
        <v>0</v>
      </c>
      <c r="AR43" s="24">
        <v>0</v>
      </c>
      <c r="AS43" s="24">
        <v>0</v>
      </c>
      <c r="AT43" s="24">
        <v>0</v>
      </c>
      <c r="AU43" s="24">
        <v>0</v>
      </c>
      <c r="AV43" s="24">
        <v>0</v>
      </c>
      <c r="AW43" s="24">
        <v>0</v>
      </c>
      <c r="AX43" s="24">
        <v>0</v>
      </c>
      <c r="AY43" s="24">
        <v>0</v>
      </c>
      <c r="AZ43" s="24">
        <v>0</v>
      </c>
      <c r="BA43" s="54">
        <v>174002.79</v>
      </c>
      <c r="BB43" s="25">
        <v>0</v>
      </c>
      <c r="BC43" s="62">
        <v>0</v>
      </c>
      <c r="BD43" s="49" t="s">
        <v>63</v>
      </c>
    </row>
    <row r="44" ht="15" spans="1:56">
      <c r="A44" s="10"/>
      <c r="B44" s="10"/>
      <c r="C44" s="10"/>
      <c r="D44" s="10"/>
      <c r="E44" s="10"/>
      <c r="F44" s="10"/>
      <c r="G44" s="10"/>
      <c r="H44" s="10"/>
      <c r="I44" s="10"/>
      <c r="J44" s="10"/>
      <c r="K44" s="10"/>
      <c r="L44" s="10"/>
      <c r="M44" s="10"/>
      <c r="N44" s="10"/>
      <c r="O44" s="10"/>
      <c r="P44" s="10"/>
      <c r="Q44" s="10"/>
      <c r="R44" s="26" t="s">
        <v>11</v>
      </c>
      <c r="S44" s="24">
        <v>0</v>
      </c>
      <c r="T44" s="24">
        <f>SUM(AO44:BC44)</f>
        <v>0</v>
      </c>
      <c r="U44" s="25">
        <f>SUM(BA44:BC44)</f>
        <v>0</v>
      </c>
      <c r="V44" s="24">
        <v>0</v>
      </c>
      <c r="W44" s="24">
        <v>0</v>
      </c>
      <c r="X44" s="24">
        <v>0</v>
      </c>
      <c r="Y44" s="24">
        <v>0</v>
      </c>
      <c r="Z44" s="24">
        <v>0</v>
      </c>
      <c r="AA44" s="24">
        <v>0</v>
      </c>
      <c r="AB44" s="24">
        <v>0</v>
      </c>
      <c r="AC44" s="24">
        <v>0</v>
      </c>
      <c r="AD44" s="24">
        <v>0</v>
      </c>
      <c r="AE44" s="24">
        <v>0</v>
      </c>
      <c r="AF44" s="24">
        <v>0</v>
      </c>
      <c r="AG44" s="24">
        <v>0</v>
      </c>
      <c r="AH44" s="38">
        <v>0</v>
      </c>
      <c r="AI44" s="38">
        <v>0</v>
      </c>
      <c r="AJ44" s="10"/>
      <c r="AK44" s="10"/>
      <c r="AL44" s="10"/>
      <c r="AM44" s="10"/>
      <c r="AN44" s="10"/>
      <c r="AO44" s="24">
        <v>0</v>
      </c>
      <c r="AP44" s="24">
        <v>0</v>
      </c>
      <c r="AQ44" s="24">
        <v>0</v>
      </c>
      <c r="AR44" s="24">
        <v>0</v>
      </c>
      <c r="AS44" s="24">
        <v>0</v>
      </c>
      <c r="AT44" s="24">
        <v>0</v>
      </c>
      <c r="AU44" s="24">
        <v>0</v>
      </c>
      <c r="AV44" s="24">
        <v>0</v>
      </c>
      <c r="AW44" s="24">
        <v>0</v>
      </c>
      <c r="AX44" s="24">
        <v>0</v>
      </c>
      <c r="AY44" s="24">
        <v>0</v>
      </c>
      <c r="AZ44" s="24">
        <v>0</v>
      </c>
      <c r="BA44" s="54">
        <v>0</v>
      </c>
      <c r="BB44" s="25">
        <v>0</v>
      </c>
      <c r="BC44" s="62">
        <v>0</v>
      </c>
      <c r="BD44" s="49" t="s">
        <v>63</v>
      </c>
    </row>
    <row r="45" ht="15" spans="1:56">
      <c r="A45" s="10"/>
      <c r="B45" s="10"/>
      <c r="C45" s="10"/>
      <c r="D45" s="10"/>
      <c r="E45" s="10"/>
      <c r="F45" s="10"/>
      <c r="G45" s="10"/>
      <c r="H45" s="10"/>
      <c r="I45" s="10"/>
      <c r="J45" s="10"/>
      <c r="K45" s="10"/>
      <c r="L45" s="10"/>
      <c r="M45" s="10"/>
      <c r="N45" s="10"/>
      <c r="O45" s="10"/>
      <c r="P45" s="10"/>
      <c r="Q45" s="10"/>
      <c r="R45" s="26" t="s">
        <v>12</v>
      </c>
      <c r="S45" s="24">
        <v>0</v>
      </c>
      <c r="T45" s="24">
        <f>SUM(AO45:BC45)</f>
        <v>0</v>
      </c>
      <c r="U45" s="25">
        <f>SUM(BA45:BC45)</f>
        <v>0</v>
      </c>
      <c r="V45" s="24">
        <f>SUM(AO45:AZ45)</f>
        <v>0</v>
      </c>
      <c r="W45" s="24">
        <f>SUM(AP45:AZ45)</f>
        <v>0</v>
      </c>
      <c r="X45" s="24">
        <f>SUM(AQ45:AZ45)</f>
        <v>0</v>
      </c>
      <c r="Y45" s="24">
        <f>SUM(AR45:AZ45)</f>
        <v>0</v>
      </c>
      <c r="Z45" s="24">
        <f>SUM(AS45:AZ45)</f>
        <v>0</v>
      </c>
      <c r="AA45" s="24">
        <f>SUM(AT45:AZ45)</f>
        <v>0</v>
      </c>
      <c r="AB45" s="24">
        <f>SUM(AU45:AZ45)</f>
        <v>0</v>
      </c>
      <c r="AC45" s="24">
        <f>SUM(AV45:AZ45)</f>
        <v>0</v>
      </c>
      <c r="AD45" s="24">
        <f>SUM(AW45:AZ45)</f>
        <v>0</v>
      </c>
      <c r="AE45" s="24">
        <f>SUM(AX45:AZ45)</f>
        <v>0</v>
      </c>
      <c r="AF45" s="24">
        <f>SUM(AY45:AZ45)</f>
        <v>0</v>
      </c>
      <c r="AG45" s="24">
        <f>SUM(AZ45:AZ45)</f>
        <v>0</v>
      </c>
      <c r="AH45" s="38">
        <v>0</v>
      </c>
      <c r="AI45" s="38">
        <v>0</v>
      </c>
      <c r="AJ45" s="10"/>
      <c r="AK45" s="10"/>
      <c r="AL45" s="10"/>
      <c r="AM45" s="10"/>
      <c r="AN45" s="10"/>
      <c r="AO45" s="24">
        <v>0</v>
      </c>
      <c r="AP45" s="24">
        <v>0</v>
      </c>
      <c r="AQ45" s="24">
        <v>0</v>
      </c>
      <c r="AR45" s="24">
        <v>0</v>
      </c>
      <c r="AS45" s="24">
        <v>0</v>
      </c>
      <c r="AT45" s="24">
        <v>0</v>
      </c>
      <c r="AU45" s="24">
        <v>0</v>
      </c>
      <c r="AV45" s="24">
        <v>0</v>
      </c>
      <c r="AW45" s="24">
        <v>0</v>
      </c>
      <c r="AX45" s="24">
        <v>0</v>
      </c>
      <c r="AY45" s="24">
        <v>0</v>
      </c>
      <c r="AZ45" s="24">
        <v>0</v>
      </c>
      <c r="BA45" s="54">
        <v>0</v>
      </c>
      <c r="BB45" s="25">
        <v>0</v>
      </c>
      <c r="BC45" s="62">
        <v>0</v>
      </c>
      <c r="BD45" s="49" t="s">
        <v>63</v>
      </c>
    </row>
    <row r="46" ht="15" spans="1:56">
      <c r="A46" s="10"/>
      <c r="B46" s="10"/>
      <c r="C46" s="10"/>
      <c r="D46" s="10"/>
      <c r="E46" s="10"/>
      <c r="F46" s="10"/>
      <c r="G46" s="10"/>
      <c r="H46" s="10"/>
      <c r="I46" s="10"/>
      <c r="J46" s="10"/>
      <c r="K46" s="10"/>
      <c r="L46" s="10"/>
      <c r="M46" s="10"/>
      <c r="N46" s="10"/>
      <c r="O46" s="10"/>
      <c r="P46" s="10"/>
      <c r="Q46" s="10"/>
      <c r="R46" s="26" t="s">
        <v>13</v>
      </c>
      <c r="S46" s="24">
        <v>0</v>
      </c>
      <c r="T46" s="24">
        <f>SUM(AO46:BC46)</f>
        <v>242.2</v>
      </c>
      <c r="U46" s="25">
        <f>SUM(BA46:BC46)</f>
        <v>374.87</v>
      </c>
      <c r="V46" s="24">
        <f>SUM(AO46:AZ46)</f>
        <v>-132.67</v>
      </c>
      <c r="W46" s="24">
        <f>SUM(AP46:AZ46)</f>
        <v>-132.67</v>
      </c>
      <c r="X46" s="24">
        <f>SUM(AQ46:AZ46)</f>
        <v>-132.67</v>
      </c>
      <c r="Y46" s="24">
        <f>SUM(AR46:AZ46)</f>
        <v>-132.67</v>
      </c>
      <c r="Z46" s="24">
        <f>SUM(AS46:AZ46)</f>
        <v>-132.67</v>
      </c>
      <c r="AA46" s="24">
        <f>SUM(AT46:AZ46)</f>
        <v>-132.67</v>
      </c>
      <c r="AB46" s="24">
        <f>SUM(AU46:AZ46)</f>
        <v>-132.67</v>
      </c>
      <c r="AC46" s="24">
        <f>SUM(AV46:AZ46)</f>
        <v>-132.67</v>
      </c>
      <c r="AD46" s="24">
        <f>SUM(AW46:AZ46)</f>
        <v>-132.67</v>
      </c>
      <c r="AE46" s="24">
        <f>SUM(AX46:AZ46)</f>
        <v>-132.67</v>
      </c>
      <c r="AF46" s="24">
        <f>SUM(AY46:AZ46)</f>
        <v>-97.54</v>
      </c>
      <c r="AG46" s="24">
        <f>SUM(AZ46:AZ46)</f>
        <v>-52.8</v>
      </c>
      <c r="AH46" s="38">
        <v>0</v>
      </c>
      <c r="AI46" s="38">
        <v>0</v>
      </c>
      <c r="AJ46" s="10"/>
      <c r="AK46" s="10"/>
      <c r="AL46" s="10"/>
      <c r="AM46" s="10"/>
      <c r="AN46" s="10"/>
      <c r="AO46" s="24">
        <v>0</v>
      </c>
      <c r="AP46" s="24">
        <v>0</v>
      </c>
      <c r="AQ46" s="24">
        <v>0</v>
      </c>
      <c r="AR46" s="24">
        <v>0</v>
      </c>
      <c r="AS46" s="24">
        <v>0</v>
      </c>
      <c r="AT46" s="24">
        <v>0</v>
      </c>
      <c r="AU46" s="24">
        <v>0</v>
      </c>
      <c r="AV46" s="24">
        <v>0</v>
      </c>
      <c r="AW46" s="24">
        <v>0</v>
      </c>
      <c r="AX46" s="24">
        <v>-35.13</v>
      </c>
      <c r="AY46" s="24">
        <v>-44.74</v>
      </c>
      <c r="AZ46" s="24">
        <v>-52.8</v>
      </c>
      <c r="BA46" s="54">
        <v>374.87</v>
      </c>
      <c r="BB46" s="25">
        <v>0</v>
      </c>
      <c r="BC46" s="62">
        <v>0</v>
      </c>
      <c r="BD46" s="49" t="s">
        <v>63</v>
      </c>
    </row>
    <row r="47" ht="15" spans="1:56">
      <c r="A47" s="10"/>
      <c r="B47" s="10"/>
      <c r="C47" s="10"/>
      <c r="D47" s="10"/>
      <c r="E47" s="10"/>
      <c r="F47" s="10"/>
      <c r="G47" s="10"/>
      <c r="H47" s="10"/>
      <c r="I47" s="10"/>
      <c r="J47" s="10"/>
      <c r="K47" s="10"/>
      <c r="L47" s="10"/>
      <c r="M47" s="10"/>
      <c r="N47" s="10"/>
      <c r="O47" s="10"/>
      <c r="P47" s="10"/>
      <c r="Q47" s="10"/>
      <c r="R47" s="26" t="s">
        <v>14</v>
      </c>
      <c r="S47" s="27">
        <f t="shared" ref="S47:AI47" si="40">SUM(S43:S46)</f>
        <v>154705.8</v>
      </c>
      <c r="T47" s="27">
        <f t="shared" si="40"/>
        <v>174244.99</v>
      </c>
      <c r="U47" s="28">
        <f t="shared" si="40"/>
        <v>174377.66</v>
      </c>
      <c r="V47" s="27">
        <f t="shared" si="40"/>
        <v>-132.67</v>
      </c>
      <c r="W47" s="27">
        <f t="shared" si="40"/>
        <v>-132.67</v>
      </c>
      <c r="X47" s="27">
        <f t="shared" si="40"/>
        <v>-132.67</v>
      </c>
      <c r="Y47" s="27">
        <f t="shared" si="40"/>
        <v>-132.67</v>
      </c>
      <c r="Z47" s="27">
        <f t="shared" si="40"/>
        <v>-132.67</v>
      </c>
      <c r="AA47" s="27">
        <f t="shared" si="40"/>
        <v>-132.67</v>
      </c>
      <c r="AB47" s="27">
        <f t="shared" si="40"/>
        <v>-132.67</v>
      </c>
      <c r="AC47" s="27">
        <f t="shared" si="40"/>
        <v>-132.67</v>
      </c>
      <c r="AD47" s="27">
        <f t="shared" si="40"/>
        <v>-132.67</v>
      </c>
      <c r="AE47" s="27">
        <f t="shared" si="40"/>
        <v>-132.67</v>
      </c>
      <c r="AF47" s="27">
        <f t="shared" si="40"/>
        <v>-97.54</v>
      </c>
      <c r="AG47" s="27">
        <f t="shared" si="40"/>
        <v>-52.8</v>
      </c>
      <c r="AH47" s="27">
        <f t="shared" si="40"/>
        <v>0</v>
      </c>
      <c r="AI47" s="27">
        <f t="shared" si="40"/>
        <v>0</v>
      </c>
      <c r="AJ47" s="10"/>
      <c r="AK47" s="10"/>
      <c r="AL47" s="10"/>
      <c r="AM47" s="10"/>
      <c r="AN47" s="10"/>
      <c r="AO47" s="27">
        <f t="shared" ref="AO47:AX47" si="41">SUM(AO43:AO46)</f>
        <v>0</v>
      </c>
      <c r="AP47" s="27">
        <f t="shared" si="41"/>
        <v>0</v>
      </c>
      <c r="AQ47" s="27">
        <f t="shared" si="41"/>
        <v>0</v>
      </c>
      <c r="AR47" s="27">
        <f t="shared" si="41"/>
        <v>0</v>
      </c>
      <c r="AS47" s="27">
        <f t="shared" si="41"/>
        <v>0</v>
      </c>
      <c r="AT47" s="27">
        <f t="shared" si="41"/>
        <v>0</v>
      </c>
      <c r="AU47" s="27">
        <f t="shared" si="41"/>
        <v>0</v>
      </c>
      <c r="AV47" s="27">
        <f t="shared" si="41"/>
        <v>0</v>
      </c>
      <c r="AW47" s="27">
        <f t="shared" si="41"/>
        <v>0</v>
      </c>
      <c r="AX47" s="27">
        <f t="shared" si="41"/>
        <v>-35.13</v>
      </c>
      <c r="AY47" s="27">
        <v>-44.74</v>
      </c>
      <c r="AZ47" s="27">
        <f>SUM(AZ43:AZ46)</f>
        <v>-52.8</v>
      </c>
      <c r="BA47" s="56">
        <v>174377.66</v>
      </c>
      <c r="BB47" s="28">
        <f>SUM(BB43:BB46)</f>
        <v>0</v>
      </c>
      <c r="BC47" s="60">
        <f>SUM(BC43:BC46)</f>
        <v>0</v>
      </c>
      <c r="BD47" s="50" t="s">
        <v>63</v>
      </c>
    </row>
    <row r="48" ht="15" spans="1:56">
      <c r="A48" s="10"/>
      <c r="B48" s="10"/>
      <c r="C48" s="10"/>
      <c r="D48" s="10"/>
      <c r="E48" s="10"/>
      <c r="F48" s="10"/>
      <c r="G48" s="10"/>
      <c r="H48" s="10"/>
      <c r="I48" s="10"/>
      <c r="J48" s="10"/>
      <c r="K48" s="10"/>
      <c r="L48" s="10"/>
      <c r="M48" s="10"/>
      <c r="N48" s="10"/>
      <c r="O48" s="10"/>
      <c r="P48" s="10"/>
      <c r="Q48" s="10"/>
      <c r="R48" s="26" t="s">
        <v>15</v>
      </c>
      <c r="S48" s="27">
        <f t="shared" ref="S48:AG48" si="42">S42-S43</f>
        <v>33973.45</v>
      </c>
      <c r="T48" s="24">
        <f t="shared" si="42"/>
        <v>-21872.96</v>
      </c>
      <c r="U48" s="25">
        <f t="shared" si="42"/>
        <v>-46738.81</v>
      </c>
      <c r="V48" s="24">
        <f t="shared" si="42"/>
        <v>24865.85</v>
      </c>
      <c r="W48" s="24">
        <f t="shared" si="42"/>
        <v>24865.85</v>
      </c>
      <c r="X48" s="24">
        <f t="shared" si="42"/>
        <v>24865.85</v>
      </c>
      <c r="Y48" s="24">
        <f t="shared" si="42"/>
        <v>24865.85</v>
      </c>
      <c r="Z48" s="24">
        <f t="shared" si="42"/>
        <v>24865.85</v>
      </c>
      <c r="AA48" s="24">
        <f t="shared" si="42"/>
        <v>24865.85</v>
      </c>
      <c r="AB48" s="24">
        <f t="shared" si="42"/>
        <v>24865.85</v>
      </c>
      <c r="AC48" s="24">
        <f t="shared" si="42"/>
        <v>24865.85</v>
      </c>
      <c r="AD48" s="24">
        <f t="shared" si="42"/>
        <v>24865.85</v>
      </c>
      <c r="AE48" s="24">
        <f t="shared" si="42"/>
        <v>24865.85</v>
      </c>
      <c r="AF48" s="24">
        <f t="shared" si="42"/>
        <v>15256.79</v>
      </c>
      <c r="AG48" s="24">
        <f t="shared" si="42"/>
        <v>7201.51</v>
      </c>
      <c r="AH48" s="41">
        <v>0</v>
      </c>
      <c r="AI48" s="41">
        <v>0</v>
      </c>
      <c r="AJ48" s="10"/>
      <c r="AK48" s="10"/>
      <c r="AL48" s="10"/>
      <c r="AM48" s="10"/>
      <c r="AN48" s="10"/>
      <c r="AO48" s="24">
        <f t="shared" ref="AO48:AZ48" si="43">AO42-AO43</f>
        <v>0</v>
      </c>
      <c r="AP48" s="24">
        <f t="shared" si="43"/>
        <v>0</v>
      </c>
      <c r="AQ48" s="24">
        <f t="shared" si="43"/>
        <v>0</v>
      </c>
      <c r="AR48" s="24">
        <f t="shared" si="43"/>
        <v>0</v>
      </c>
      <c r="AS48" s="24">
        <f t="shared" si="43"/>
        <v>0</v>
      </c>
      <c r="AT48" s="24">
        <f t="shared" si="43"/>
        <v>0</v>
      </c>
      <c r="AU48" s="24">
        <f t="shared" si="43"/>
        <v>0</v>
      </c>
      <c r="AV48" s="24">
        <f t="shared" si="43"/>
        <v>0</v>
      </c>
      <c r="AW48" s="24">
        <f t="shared" si="43"/>
        <v>0</v>
      </c>
      <c r="AX48" s="24">
        <f t="shared" si="43"/>
        <v>9609.06</v>
      </c>
      <c r="AY48" s="24">
        <f t="shared" si="43"/>
        <v>8055.28</v>
      </c>
      <c r="AZ48" s="24">
        <f t="shared" si="43"/>
        <v>7201.51</v>
      </c>
      <c r="BA48" s="57">
        <v>-46738.81</v>
      </c>
      <c r="BB48" s="28">
        <v>0</v>
      </c>
      <c r="BC48" s="62">
        <v>0</v>
      </c>
      <c r="BD48" s="49" t="s">
        <v>63</v>
      </c>
    </row>
    <row r="49" ht="15" spans="1:56">
      <c r="A49" s="10"/>
      <c r="B49" s="10"/>
      <c r="C49" s="10"/>
      <c r="D49" s="10"/>
      <c r="E49" s="10"/>
      <c r="F49" s="10"/>
      <c r="G49" s="10"/>
      <c r="H49" s="10"/>
      <c r="I49" s="10"/>
      <c r="J49" s="10"/>
      <c r="K49" s="10"/>
      <c r="L49" s="10"/>
      <c r="M49" s="10"/>
      <c r="N49" s="10"/>
      <c r="O49" s="10"/>
      <c r="P49" s="10"/>
      <c r="Q49" s="10"/>
      <c r="R49" s="29" t="s">
        <v>16</v>
      </c>
      <c r="S49" s="33">
        <f t="shared" ref="S49:AG49" si="44">S48/S42</f>
        <v>0.180059280498518</v>
      </c>
      <c r="T49" s="30">
        <f t="shared" si="44"/>
        <v>-0.143778245200169</v>
      </c>
      <c r="U49" s="31">
        <f t="shared" si="44"/>
        <v>-0.367258748311973</v>
      </c>
      <c r="V49" s="30">
        <f t="shared" si="44"/>
        <v>1</v>
      </c>
      <c r="W49" s="30">
        <f t="shared" si="44"/>
        <v>1</v>
      </c>
      <c r="X49" s="30">
        <f t="shared" si="44"/>
        <v>1</v>
      </c>
      <c r="Y49" s="30">
        <f t="shared" si="44"/>
        <v>1</v>
      </c>
      <c r="Z49" s="30">
        <f t="shared" si="44"/>
        <v>1</v>
      </c>
      <c r="AA49" s="30">
        <f t="shared" si="44"/>
        <v>1</v>
      </c>
      <c r="AB49" s="30">
        <f t="shared" si="44"/>
        <v>1</v>
      </c>
      <c r="AC49" s="30">
        <f t="shared" si="44"/>
        <v>1</v>
      </c>
      <c r="AD49" s="30">
        <f t="shared" si="44"/>
        <v>1</v>
      </c>
      <c r="AE49" s="30">
        <f t="shared" si="44"/>
        <v>1</v>
      </c>
      <c r="AF49" s="30">
        <f t="shared" si="44"/>
        <v>1</v>
      </c>
      <c r="AG49" s="30">
        <f t="shared" si="44"/>
        <v>1</v>
      </c>
      <c r="AH49" s="42">
        <f>T49-S49</f>
        <v>-0.323837525698687</v>
      </c>
      <c r="AI49" s="42">
        <f>AF49-S49</f>
        <v>0.819940719501482</v>
      </c>
      <c r="AJ49" s="10"/>
      <c r="AK49" s="10"/>
      <c r="AL49" s="10"/>
      <c r="AM49" s="10"/>
      <c r="AN49" s="10"/>
      <c r="AO49" s="30" t="e">
        <f t="shared" ref="AO49:AZ49" si="45">AO48/AO42</f>
        <v>#DIV/0!</v>
      </c>
      <c r="AP49" s="30" t="e">
        <f t="shared" si="45"/>
        <v>#DIV/0!</v>
      </c>
      <c r="AQ49" s="30" t="e">
        <f t="shared" si="45"/>
        <v>#DIV/0!</v>
      </c>
      <c r="AR49" s="30" t="e">
        <f t="shared" si="45"/>
        <v>#DIV/0!</v>
      </c>
      <c r="AS49" s="30" t="e">
        <f t="shared" si="45"/>
        <v>#DIV/0!</v>
      </c>
      <c r="AT49" s="30" t="e">
        <f t="shared" si="45"/>
        <v>#DIV/0!</v>
      </c>
      <c r="AU49" s="30" t="e">
        <f t="shared" si="45"/>
        <v>#DIV/0!</v>
      </c>
      <c r="AV49" s="30" t="e">
        <f t="shared" si="45"/>
        <v>#DIV/0!</v>
      </c>
      <c r="AW49" s="30" t="e">
        <f t="shared" si="45"/>
        <v>#DIV/0!</v>
      </c>
      <c r="AX49" s="30">
        <f t="shared" si="45"/>
        <v>1</v>
      </c>
      <c r="AY49" s="30">
        <f t="shared" si="45"/>
        <v>1</v>
      </c>
      <c r="AZ49" s="30">
        <f t="shared" si="45"/>
        <v>1</v>
      </c>
      <c r="BA49" s="58">
        <v>-0.367258748311973</v>
      </c>
      <c r="BB49" s="52">
        <v>0</v>
      </c>
      <c r="BC49" s="62">
        <v>0</v>
      </c>
      <c r="BD49" s="49" t="s">
        <v>63</v>
      </c>
    </row>
    <row r="50" ht="15" spans="1:56">
      <c r="A50" s="10"/>
      <c r="B50" s="10"/>
      <c r="C50" s="10"/>
      <c r="D50" s="10"/>
      <c r="E50" s="10"/>
      <c r="F50" s="10"/>
      <c r="G50" s="10"/>
      <c r="H50" s="10"/>
      <c r="I50" s="10"/>
      <c r="J50" s="10"/>
      <c r="K50" s="10"/>
      <c r="L50" s="10"/>
      <c r="M50" s="10"/>
      <c r="N50" s="10"/>
      <c r="O50" s="10"/>
      <c r="P50" s="10"/>
      <c r="Q50" s="10"/>
      <c r="R50" s="26" t="s">
        <v>17</v>
      </c>
      <c r="S50" s="24">
        <f t="shared" ref="S50:AG50" si="46">S42-S47</f>
        <v>33973.45</v>
      </c>
      <c r="T50" s="24">
        <f t="shared" si="46"/>
        <v>-22115.16</v>
      </c>
      <c r="U50" s="24">
        <f t="shared" si="46"/>
        <v>-47113.68</v>
      </c>
      <c r="V50" s="24">
        <f t="shared" si="46"/>
        <v>24998.52</v>
      </c>
      <c r="W50" s="24">
        <f t="shared" si="46"/>
        <v>24998.52</v>
      </c>
      <c r="X50" s="24">
        <f t="shared" si="46"/>
        <v>24998.52</v>
      </c>
      <c r="Y50" s="24">
        <f t="shared" si="46"/>
        <v>24998.52</v>
      </c>
      <c r="Z50" s="24">
        <f t="shared" si="46"/>
        <v>24998.52</v>
      </c>
      <c r="AA50" s="24">
        <f t="shared" si="46"/>
        <v>24998.52</v>
      </c>
      <c r="AB50" s="24">
        <f t="shared" si="46"/>
        <v>24998.52</v>
      </c>
      <c r="AC50" s="24">
        <f t="shared" si="46"/>
        <v>24998.52</v>
      </c>
      <c r="AD50" s="24">
        <f t="shared" si="46"/>
        <v>24998.52</v>
      </c>
      <c r="AE50" s="24">
        <f t="shared" si="46"/>
        <v>24998.52</v>
      </c>
      <c r="AF50" s="24">
        <f t="shared" si="46"/>
        <v>15354.33</v>
      </c>
      <c r="AG50" s="24">
        <f t="shared" si="46"/>
        <v>7254.31</v>
      </c>
      <c r="AH50" s="42">
        <v>0</v>
      </c>
      <c r="AI50" s="42">
        <v>0</v>
      </c>
      <c r="AJ50" s="10"/>
      <c r="AK50" s="10"/>
      <c r="AL50" s="10"/>
      <c r="AM50" s="10"/>
      <c r="AN50" s="10"/>
      <c r="AO50" s="24">
        <f t="shared" ref="AO50:BC50" si="47">AO42-AO47</f>
        <v>0</v>
      </c>
      <c r="AP50" s="24">
        <f t="shared" si="47"/>
        <v>0</v>
      </c>
      <c r="AQ50" s="24">
        <f t="shared" si="47"/>
        <v>0</v>
      </c>
      <c r="AR50" s="24">
        <f t="shared" si="47"/>
        <v>0</v>
      </c>
      <c r="AS50" s="24">
        <f t="shared" si="47"/>
        <v>0</v>
      </c>
      <c r="AT50" s="24">
        <f t="shared" si="47"/>
        <v>0</v>
      </c>
      <c r="AU50" s="24">
        <f t="shared" si="47"/>
        <v>0</v>
      </c>
      <c r="AV50" s="24">
        <f t="shared" si="47"/>
        <v>0</v>
      </c>
      <c r="AW50" s="24">
        <f t="shared" si="47"/>
        <v>0</v>
      </c>
      <c r="AX50" s="24">
        <f t="shared" si="47"/>
        <v>9644.19</v>
      </c>
      <c r="AY50" s="24">
        <f t="shared" si="47"/>
        <v>8100.02</v>
      </c>
      <c r="AZ50" s="24">
        <f t="shared" si="47"/>
        <v>7254.31</v>
      </c>
      <c r="BA50" s="24">
        <f t="shared" si="47"/>
        <v>-47113.68</v>
      </c>
      <c r="BB50" s="24">
        <f t="shared" si="47"/>
        <v>0</v>
      </c>
      <c r="BC50" s="24">
        <f t="shared" si="47"/>
        <v>0</v>
      </c>
      <c r="BD50" s="49" t="s">
        <v>63</v>
      </c>
    </row>
    <row r="51" ht="15" spans="1:56">
      <c r="A51" s="11"/>
      <c r="B51" s="11"/>
      <c r="C51" s="11"/>
      <c r="D51" s="11"/>
      <c r="E51" s="11"/>
      <c r="F51" s="11"/>
      <c r="G51" s="11"/>
      <c r="H51" s="11"/>
      <c r="I51" s="11"/>
      <c r="J51" s="11"/>
      <c r="K51" s="11"/>
      <c r="L51" s="11"/>
      <c r="M51" s="11"/>
      <c r="N51" s="11"/>
      <c r="O51" s="11"/>
      <c r="P51" s="11"/>
      <c r="Q51" s="11"/>
      <c r="R51" s="29" t="s">
        <v>18</v>
      </c>
      <c r="S51" s="33">
        <f t="shared" ref="S51:AG51" si="48">S50/S42</f>
        <v>0.180059280498518</v>
      </c>
      <c r="T51" s="30">
        <f t="shared" si="48"/>
        <v>-0.145370306402104</v>
      </c>
      <c r="U51" s="31">
        <f t="shared" si="48"/>
        <v>-0.37020435790237</v>
      </c>
      <c r="V51" s="30">
        <f t="shared" si="48"/>
        <v>1.00533542991693</v>
      </c>
      <c r="W51" s="30">
        <f t="shared" si="48"/>
        <v>1.00533542991693</v>
      </c>
      <c r="X51" s="30">
        <f t="shared" si="48"/>
        <v>1.00533542991693</v>
      </c>
      <c r="Y51" s="30">
        <f t="shared" si="48"/>
        <v>1.00533542991693</v>
      </c>
      <c r="Z51" s="30">
        <f t="shared" si="48"/>
        <v>1.00533542991693</v>
      </c>
      <c r="AA51" s="30">
        <f t="shared" si="48"/>
        <v>1.00533542991693</v>
      </c>
      <c r="AB51" s="30">
        <f t="shared" si="48"/>
        <v>1.00533542991693</v>
      </c>
      <c r="AC51" s="30">
        <f t="shared" si="48"/>
        <v>1.00533542991693</v>
      </c>
      <c r="AD51" s="30">
        <f t="shared" si="48"/>
        <v>1.00533542991693</v>
      </c>
      <c r="AE51" s="30">
        <f t="shared" si="48"/>
        <v>1.00533542991693</v>
      </c>
      <c r="AF51" s="30">
        <f t="shared" si="48"/>
        <v>1.0063932190192</v>
      </c>
      <c r="AG51" s="30">
        <f t="shared" si="48"/>
        <v>1.00733179569285</v>
      </c>
      <c r="AH51" s="42">
        <f>T51-S51</f>
        <v>-0.325429586900622</v>
      </c>
      <c r="AI51" s="42">
        <f>AF51-S51</f>
        <v>0.826333938520686</v>
      </c>
      <c r="AJ51" s="11"/>
      <c r="AK51" s="11"/>
      <c r="AL51" s="11"/>
      <c r="AM51" s="11"/>
      <c r="AN51" s="11"/>
      <c r="AO51" s="30" t="e">
        <f t="shared" ref="AO51:AZ51" si="49">AO50/AO42</f>
        <v>#DIV/0!</v>
      </c>
      <c r="AP51" s="30" t="e">
        <f t="shared" si="49"/>
        <v>#DIV/0!</v>
      </c>
      <c r="AQ51" s="30" t="e">
        <f t="shared" si="49"/>
        <v>#DIV/0!</v>
      </c>
      <c r="AR51" s="30" t="e">
        <f t="shared" si="49"/>
        <v>#DIV/0!</v>
      </c>
      <c r="AS51" s="30" t="e">
        <f t="shared" si="49"/>
        <v>#DIV/0!</v>
      </c>
      <c r="AT51" s="30" t="e">
        <f t="shared" si="49"/>
        <v>#DIV/0!</v>
      </c>
      <c r="AU51" s="30" t="e">
        <f t="shared" si="49"/>
        <v>#DIV/0!</v>
      </c>
      <c r="AV51" s="30" t="e">
        <f t="shared" si="49"/>
        <v>#DIV/0!</v>
      </c>
      <c r="AW51" s="30" t="e">
        <f t="shared" si="49"/>
        <v>#DIV/0!</v>
      </c>
      <c r="AX51" s="30">
        <f t="shared" si="49"/>
        <v>1.00365592472104</v>
      </c>
      <c r="AY51" s="30">
        <f t="shared" si="49"/>
        <v>1.00555412102373</v>
      </c>
      <c r="AZ51" s="30">
        <f t="shared" si="49"/>
        <v>1.00733179569285</v>
      </c>
      <c r="BA51" s="58">
        <v>-0.370204357902369</v>
      </c>
      <c r="BB51" s="52">
        <v>0</v>
      </c>
      <c r="BC51" s="62">
        <v>0</v>
      </c>
      <c r="BD51" s="49" t="s">
        <v>63</v>
      </c>
    </row>
    <row r="52" ht="15" spans="1:56">
      <c r="A52" s="12" t="s">
        <v>78</v>
      </c>
      <c r="B52" s="13" t="s">
        <v>79</v>
      </c>
      <c r="C52" s="14">
        <v>45870</v>
      </c>
      <c r="D52" s="14">
        <v>46234</v>
      </c>
      <c r="E52" s="6"/>
      <c r="F52" s="7">
        <v>5</v>
      </c>
      <c r="G52" s="9">
        <v>5</v>
      </c>
      <c r="H52" s="9"/>
      <c r="I52" s="9"/>
      <c r="J52" s="9"/>
      <c r="K52" s="9"/>
      <c r="L52" s="9"/>
      <c r="M52" s="9"/>
      <c r="N52" s="9"/>
      <c r="O52" s="9"/>
      <c r="P52" s="6"/>
      <c r="Q52" s="9" t="s">
        <v>63</v>
      </c>
      <c r="R52" s="32" t="s">
        <v>9</v>
      </c>
      <c r="S52" s="24">
        <v>1000000</v>
      </c>
      <c r="T52" s="24">
        <f>SUM(AO52:BC52)</f>
        <v>658235</v>
      </c>
      <c r="U52" s="25">
        <f>SUM(BA52:BC52)</f>
        <v>411660</v>
      </c>
      <c r="V52" s="24">
        <f>SUM(AO52:AZ52)</f>
        <v>246575</v>
      </c>
      <c r="W52" s="24">
        <f>SUM(AP52:AZ52)</f>
        <v>246575</v>
      </c>
      <c r="X52" s="24">
        <f>SUM(AQ52:AZ52)</f>
        <v>246575</v>
      </c>
      <c r="Y52" s="24">
        <f>SUM(AR52:AZ52)</f>
        <v>246575</v>
      </c>
      <c r="Z52" s="24">
        <f>SUM(AS52:AZ52)</f>
        <v>246575</v>
      </c>
      <c r="AA52" s="24">
        <f>SUM(AT52:AZ52)</f>
        <v>246575</v>
      </c>
      <c r="AB52" s="24">
        <f>SUM(AU52:AZ52)</f>
        <v>246575</v>
      </c>
      <c r="AC52" s="24">
        <f>SUM(AV52:AZ52)</f>
        <v>246575</v>
      </c>
      <c r="AD52" s="24">
        <f>SUM(AW52:AZ52)</f>
        <v>246575</v>
      </c>
      <c r="AE52" s="24">
        <f>SUM(AX52:AZ52)</f>
        <v>246575</v>
      </c>
      <c r="AF52" s="24">
        <f>SUM(AY52:AZ52)</f>
        <v>161644</v>
      </c>
      <c r="AG52" s="24">
        <f>SUM(AZ52:AZ52)</f>
        <v>84932</v>
      </c>
      <c r="AH52" s="38">
        <v>0</v>
      </c>
      <c r="AI52" s="38">
        <v>0</v>
      </c>
      <c r="AJ52" s="13" t="s">
        <v>63</v>
      </c>
      <c r="AK52" s="43" t="s">
        <v>63</v>
      </c>
      <c r="AL52" s="43" t="s">
        <v>63</v>
      </c>
      <c r="AM52" s="43" t="s">
        <v>63</v>
      </c>
      <c r="AN52" s="7"/>
      <c r="AO52" s="24">
        <v>0</v>
      </c>
      <c r="AP52" s="24">
        <v>0</v>
      </c>
      <c r="AQ52" s="24">
        <v>0</v>
      </c>
      <c r="AR52" s="24">
        <v>0</v>
      </c>
      <c r="AS52" s="24">
        <v>0</v>
      </c>
      <c r="AT52" s="24">
        <v>0</v>
      </c>
      <c r="AU52" s="24">
        <v>0</v>
      </c>
      <c r="AV52" s="24">
        <v>0</v>
      </c>
      <c r="AW52" s="24">
        <v>0</v>
      </c>
      <c r="AX52" s="24">
        <v>84931</v>
      </c>
      <c r="AY52" s="24">
        <v>76712</v>
      </c>
      <c r="AZ52" s="24">
        <v>84932</v>
      </c>
      <c r="BA52" s="54">
        <v>411660</v>
      </c>
      <c r="BB52" s="25">
        <v>0</v>
      </c>
      <c r="BC52" s="62">
        <v>0</v>
      </c>
      <c r="BD52" s="49" t="s">
        <v>63</v>
      </c>
    </row>
    <row r="53" ht="15" spans="1:56">
      <c r="A53" s="10"/>
      <c r="B53" s="10"/>
      <c r="C53" s="10"/>
      <c r="D53" s="10"/>
      <c r="E53" s="10"/>
      <c r="F53" s="10"/>
      <c r="G53" s="10"/>
      <c r="H53" s="10"/>
      <c r="I53" s="10"/>
      <c r="J53" s="10"/>
      <c r="K53" s="10"/>
      <c r="L53" s="10"/>
      <c r="M53" s="10"/>
      <c r="N53" s="10"/>
      <c r="O53" s="10"/>
      <c r="P53" s="10"/>
      <c r="Q53" s="10"/>
      <c r="R53" s="26" t="s">
        <v>10</v>
      </c>
      <c r="S53" s="24">
        <v>783494.65</v>
      </c>
      <c r="T53" s="24">
        <f>SUM(AO53:BC53)</f>
        <v>572477.37</v>
      </c>
      <c r="U53" s="25">
        <f>SUM(BA53:BC53)</f>
        <v>331483.93</v>
      </c>
      <c r="V53" s="24">
        <f>SUM(AO53:AZ53)</f>
        <v>240993.44</v>
      </c>
      <c r="W53" s="24">
        <f>SUM(AP53:AZ53)</f>
        <v>240993.44</v>
      </c>
      <c r="X53" s="24">
        <f>SUM(AQ53:AZ53)</f>
        <v>240993.44</v>
      </c>
      <c r="Y53" s="24">
        <f>SUM(AR53:AZ53)</f>
        <v>240993.44</v>
      </c>
      <c r="Z53" s="24">
        <f>SUM(AS53:AZ53)</f>
        <v>240993.44</v>
      </c>
      <c r="AA53" s="24">
        <f>SUM(AT53:AZ53)</f>
        <v>240993.44</v>
      </c>
      <c r="AB53" s="24">
        <f>SUM(AU53:AZ53)</f>
        <v>240993.44</v>
      </c>
      <c r="AC53" s="24">
        <f>SUM(AV53:AZ53)</f>
        <v>240993.44</v>
      </c>
      <c r="AD53" s="24">
        <f>SUM(AW53:AZ53)</f>
        <v>240993.44</v>
      </c>
      <c r="AE53" s="24">
        <f>SUM(AX53:AZ53)</f>
        <v>240993.44</v>
      </c>
      <c r="AF53" s="24">
        <f>SUM(AY53:AZ53)</f>
        <v>153789.65</v>
      </c>
      <c r="AG53" s="24">
        <f>SUM(AZ53:AZ53)</f>
        <v>66585.86</v>
      </c>
      <c r="AH53" s="38">
        <v>0</v>
      </c>
      <c r="AI53" s="38">
        <v>0</v>
      </c>
      <c r="AJ53" s="10"/>
      <c r="AK53" s="10"/>
      <c r="AL53" s="10"/>
      <c r="AM53" s="10"/>
      <c r="AN53" s="10"/>
      <c r="AO53" s="24">
        <v>0</v>
      </c>
      <c r="AP53" s="24">
        <v>0</v>
      </c>
      <c r="AQ53" s="24">
        <v>0</v>
      </c>
      <c r="AR53" s="24">
        <v>0</v>
      </c>
      <c r="AS53" s="24">
        <v>0</v>
      </c>
      <c r="AT53" s="24">
        <v>0</v>
      </c>
      <c r="AU53" s="24">
        <v>0</v>
      </c>
      <c r="AV53" s="24">
        <v>0</v>
      </c>
      <c r="AW53" s="24">
        <v>0</v>
      </c>
      <c r="AX53" s="24">
        <v>87203.79</v>
      </c>
      <c r="AY53" s="24">
        <v>87203.79</v>
      </c>
      <c r="AZ53" s="24">
        <v>66585.86</v>
      </c>
      <c r="BA53" s="54">
        <v>331483.93</v>
      </c>
      <c r="BB53" s="25">
        <v>0</v>
      </c>
      <c r="BC53" s="62">
        <v>0</v>
      </c>
      <c r="BD53" s="49" t="s">
        <v>63</v>
      </c>
    </row>
    <row r="54" ht="15" spans="1:56">
      <c r="A54" s="10"/>
      <c r="B54" s="10"/>
      <c r="C54" s="10"/>
      <c r="D54" s="10"/>
      <c r="E54" s="10"/>
      <c r="F54" s="10"/>
      <c r="G54" s="10"/>
      <c r="H54" s="10"/>
      <c r="I54" s="10"/>
      <c r="J54" s="10"/>
      <c r="K54" s="10"/>
      <c r="L54" s="10"/>
      <c r="M54" s="10"/>
      <c r="N54" s="10"/>
      <c r="O54" s="10"/>
      <c r="P54" s="10"/>
      <c r="Q54" s="10"/>
      <c r="R54" s="26" t="s">
        <v>11</v>
      </c>
      <c r="S54" s="24">
        <v>0</v>
      </c>
      <c r="T54" s="24">
        <f>SUM(AO54:BC54)</f>
        <v>0</v>
      </c>
      <c r="U54" s="25">
        <f>SUM(BA54:BC54)</f>
        <v>0</v>
      </c>
      <c r="V54" s="24">
        <v>0</v>
      </c>
      <c r="W54" s="24">
        <v>0</v>
      </c>
      <c r="X54" s="24">
        <v>0</v>
      </c>
      <c r="Y54" s="24">
        <v>0</v>
      </c>
      <c r="Z54" s="24">
        <v>0</v>
      </c>
      <c r="AA54" s="24">
        <v>0</v>
      </c>
      <c r="AB54" s="24">
        <v>0</v>
      </c>
      <c r="AC54" s="24">
        <v>0</v>
      </c>
      <c r="AD54" s="24">
        <v>0</v>
      </c>
      <c r="AE54" s="24">
        <v>0</v>
      </c>
      <c r="AF54" s="24">
        <v>0</v>
      </c>
      <c r="AG54" s="24">
        <v>0</v>
      </c>
      <c r="AH54" s="38">
        <v>0</v>
      </c>
      <c r="AI54" s="38">
        <v>0</v>
      </c>
      <c r="AJ54" s="10"/>
      <c r="AK54" s="10"/>
      <c r="AL54" s="10"/>
      <c r="AM54" s="10"/>
      <c r="AN54" s="10"/>
      <c r="AO54" s="24">
        <v>0</v>
      </c>
      <c r="AP54" s="24">
        <v>0</v>
      </c>
      <c r="AQ54" s="24">
        <v>0</v>
      </c>
      <c r="AR54" s="24">
        <v>0</v>
      </c>
      <c r="AS54" s="24">
        <v>0</v>
      </c>
      <c r="AT54" s="24">
        <v>0</v>
      </c>
      <c r="AU54" s="24">
        <v>0</v>
      </c>
      <c r="AV54" s="24">
        <v>0</v>
      </c>
      <c r="AW54" s="24">
        <v>0</v>
      </c>
      <c r="AX54" s="24">
        <v>0</v>
      </c>
      <c r="AY54" s="24">
        <v>0</v>
      </c>
      <c r="AZ54" s="24">
        <v>0</v>
      </c>
      <c r="BA54" s="54">
        <v>0</v>
      </c>
      <c r="BB54" s="25">
        <v>0</v>
      </c>
      <c r="BC54" s="62">
        <v>0</v>
      </c>
      <c r="BD54" s="49" t="s">
        <v>63</v>
      </c>
    </row>
    <row r="55" ht="15" spans="1:56">
      <c r="A55" s="10"/>
      <c r="B55" s="10"/>
      <c r="C55" s="10"/>
      <c r="D55" s="10"/>
      <c r="E55" s="10"/>
      <c r="F55" s="10"/>
      <c r="G55" s="10"/>
      <c r="H55" s="10"/>
      <c r="I55" s="10"/>
      <c r="J55" s="10"/>
      <c r="K55" s="10"/>
      <c r="L55" s="10"/>
      <c r="M55" s="10"/>
      <c r="N55" s="10"/>
      <c r="O55" s="10"/>
      <c r="P55" s="10"/>
      <c r="Q55" s="10"/>
      <c r="R55" s="26" t="s">
        <v>12</v>
      </c>
      <c r="S55" s="24">
        <v>25000</v>
      </c>
      <c r="T55" s="24">
        <f>SUM(AO55:BC55)</f>
        <v>0</v>
      </c>
      <c r="U55" s="25">
        <f>SUM(BA55:BC55)</f>
        <v>0</v>
      </c>
      <c r="V55" s="24">
        <f>SUM(AO55:AZ55)</f>
        <v>0</v>
      </c>
      <c r="W55" s="24">
        <f>SUM(AP55:AZ55)</f>
        <v>0</v>
      </c>
      <c r="X55" s="24">
        <f>SUM(AQ55:AZ55)</f>
        <v>0</v>
      </c>
      <c r="Y55" s="24">
        <f>SUM(AR55:AZ55)</f>
        <v>0</v>
      </c>
      <c r="Z55" s="24">
        <f>SUM(AS55:AZ55)</f>
        <v>0</v>
      </c>
      <c r="AA55" s="24">
        <f>SUM(AT55:AZ55)</f>
        <v>0</v>
      </c>
      <c r="AB55" s="24">
        <f>SUM(AU55:AZ55)</f>
        <v>0</v>
      </c>
      <c r="AC55" s="24">
        <f>SUM(AV55:AZ55)</f>
        <v>0</v>
      </c>
      <c r="AD55" s="24">
        <f>SUM(AW55:AZ55)</f>
        <v>0</v>
      </c>
      <c r="AE55" s="24">
        <f>SUM(AX55:AZ55)</f>
        <v>0</v>
      </c>
      <c r="AF55" s="24">
        <f>SUM(AY55:AZ55)</f>
        <v>0</v>
      </c>
      <c r="AG55" s="24">
        <f>SUM(AZ55:AZ55)</f>
        <v>0</v>
      </c>
      <c r="AH55" s="38">
        <v>0</v>
      </c>
      <c r="AI55" s="38">
        <v>0</v>
      </c>
      <c r="AJ55" s="10"/>
      <c r="AK55" s="10"/>
      <c r="AL55" s="10"/>
      <c r="AM55" s="10"/>
      <c r="AN55" s="10"/>
      <c r="AO55" s="24">
        <v>0</v>
      </c>
      <c r="AP55" s="24">
        <v>0</v>
      </c>
      <c r="AQ55" s="24">
        <v>0</v>
      </c>
      <c r="AR55" s="24">
        <v>0</v>
      </c>
      <c r="AS55" s="24">
        <v>0</v>
      </c>
      <c r="AT55" s="24">
        <v>0</v>
      </c>
      <c r="AU55" s="24">
        <v>0</v>
      </c>
      <c r="AV55" s="24">
        <v>0</v>
      </c>
      <c r="AW55" s="24">
        <v>0</v>
      </c>
      <c r="AX55" s="24">
        <v>0</v>
      </c>
      <c r="AY55" s="24">
        <v>0</v>
      </c>
      <c r="AZ55" s="24">
        <v>0</v>
      </c>
      <c r="BA55" s="54">
        <v>0</v>
      </c>
      <c r="BB55" s="25">
        <v>0</v>
      </c>
      <c r="BC55" s="62">
        <v>0</v>
      </c>
      <c r="BD55" s="49" t="s">
        <v>63</v>
      </c>
    </row>
    <row r="56" ht="15" spans="1:56">
      <c r="A56" s="10"/>
      <c r="B56" s="10"/>
      <c r="C56" s="10"/>
      <c r="D56" s="10"/>
      <c r="E56" s="10"/>
      <c r="F56" s="10"/>
      <c r="G56" s="10"/>
      <c r="H56" s="10"/>
      <c r="I56" s="10"/>
      <c r="J56" s="10"/>
      <c r="K56" s="10"/>
      <c r="L56" s="10"/>
      <c r="M56" s="10"/>
      <c r="N56" s="10"/>
      <c r="O56" s="10"/>
      <c r="P56" s="10"/>
      <c r="Q56" s="10"/>
      <c r="R56" s="26" t="s">
        <v>13</v>
      </c>
      <c r="S56" s="24">
        <v>35000</v>
      </c>
      <c r="T56" s="24">
        <f>SUM(AO56:BC56)</f>
        <v>-4391.79</v>
      </c>
      <c r="U56" s="25">
        <f>SUM(BA56:BC56)</f>
        <v>-3142.47</v>
      </c>
      <c r="V56" s="24">
        <f>SUM(AO56:AZ56)</f>
        <v>-1249.32</v>
      </c>
      <c r="W56" s="24">
        <f>SUM(AP56:AZ56)</f>
        <v>-1249.32</v>
      </c>
      <c r="X56" s="24">
        <f>SUM(AQ56:AZ56)</f>
        <v>-1249.32</v>
      </c>
      <c r="Y56" s="24">
        <f>SUM(AR56:AZ56)</f>
        <v>-1249.32</v>
      </c>
      <c r="Z56" s="24">
        <f>SUM(AS56:AZ56)</f>
        <v>-1249.32</v>
      </c>
      <c r="AA56" s="24">
        <f>SUM(AT56:AZ56)</f>
        <v>-1249.32</v>
      </c>
      <c r="AB56" s="24">
        <f>SUM(AU56:AZ56)</f>
        <v>-1249.32</v>
      </c>
      <c r="AC56" s="24">
        <f>SUM(AV56:AZ56)</f>
        <v>-1249.32</v>
      </c>
      <c r="AD56" s="24">
        <f>SUM(AW56:AZ56)</f>
        <v>-1249.32</v>
      </c>
      <c r="AE56" s="24">
        <f>SUM(AX56:AZ56)</f>
        <v>-1249.32</v>
      </c>
      <c r="AF56" s="24">
        <f>SUM(AY56:AZ56)</f>
        <v>-915.07</v>
      </c>
      <c r="AG56" s="24">
        <f>SUM(AZ56:AZ56)</f>
        <v>-495.89</v>
      </c>
      <c r="AH56" s="38">
        <v>0</v>
      </c>
      <c r="AI56" s="38">
        <v>0</v>
      </c>
      <c r="AJ56" s="10"/>
      <c r="AK56" s="10"/>
      <c r="AL56" s="10"/>
      <c r="AM56" s="10"/>
      <c r="AN56" s="10"/>
      <c r="AO56" s="24">
        <v>0</v>
      </c>
      <c r="AP56" s="24">
        <v>0</v>
      </c>
      <c r="AQ56" s="24">
        <v>0</v>
      </c>
      <c r="AR56" s="24">
        <v>0</v>
      </c>
      <c r="AS56" s="24">
        <v>0</v>
      </c>
      <c r="AT56" s="24">
        <v>0</v>
      </c>
      <c r="AU56" s="24">
        <v>0</v>
      </c>
      <c r="AV56" s="24">
        <v>0</v>
      </c>
      <c r="AW56" s="24">
        <v>0</v>
      </c>
      <c r="AX56" s="24">
        <v>-334.25</v>
      </c>
      <c r="AY56" s="24">
        <v>-419.18</v>
      </c>
      <c r="AZ56" s="24">
        <v>-495.89</v>
      </c>
      <c r="BA56" s="54">
        <v>-3142.47</v>
      </c>
      <c r="BB56" s="25">
        <v>0</v>
      </c>
      <c r="BC56" s="62">
        <v>0</v>
      </c>
      <c r="BD56" s="49" t="s">
        <v>63</v>
      </c>
    </row>
    <row r="57" ht="15" spans="1:56">
      <c r="A57" s="10"/>
      <c r="B57" s="10"/>
      <c r="C57" s="10"/>
      <c r="D57" s="10"/>
      <c r="E57" s="10"/>
      <c r="F57" s="10"/>
      <c r="G57" s="10"/>
      <c r="H57" s="10"/>
      <c r="I57" s="10"/>
      <c r="J57" s="10"/>
      <c r="K57" s="10"/>
      <c r="L57" s="10"/>
      <c r="M57" s="10"/>
      <c r="N57" s="10"/>
      <c r="O57" s="10"/>
      <c r="P57" s="10"/>
      <c r="Q57" s="10"/>
      <c r="R57" s="26" t="s">
        <v>14</v>
      </c>
      <c r="S57" s="27">
        <f t="shared" ref="S57:AI57" si="50">SUM(S53:S56)</f>
        <v>843494.65</v>
      </c>
      <c r="T57" s="27">
        <f t="shared" si="50"/>
        <v>568085.58</v>
      </c>
      <c r="U57" s="28">
        <f t="shared" si="50"/>
        <v>328341.46</v>
      </c>
      <c r="V57" s="27">
        <f t="shared" si="50"/>
        <v>239744.12</v>
      </c>
      <c r="W57" s="27">
        <f t="shared" si="50"/>
        <v>239744.12</v>
      </c>
      <c r="X57" s="27">
        <f t="shared" si="50"/>
        <v>239744.12</v>
      </c>
      <c r="Y57" s="27">
        <f t="shared" si="50"/>
        <v>239744.12</v>
      </c>
      <c r="Z57" s="27">
        <f t="shared" si="50"/>
        <v>239744.12</v>
      </c>
      <c r="AA57" s="27">
        <f t="shared" si="50"/>
        <v>239744.12</v>
      </c>
      <c r="AB57" s="27">
        <f t="shared" si="50"/>
        <v>239744.12</v>
      </c>
      <c r="AC57" s="27">
        <f t="shared" si="50"/>
        <v>239744.12</v>
      </c>
      <c r="AD57" s="27">
        <f t="shared" si="50"/>
        <v>239744.12</v>
      </c>
      <c r="AE57" s="27">
        <f t="shared" si="50"/>
        <v>239744.12</v>
      </c>
      <c r="AF57" s="27">
        <f t="shared" si="50"/>
        <v>152874.58</v>
      </c>
      <c r="AG57" s="27">
        <f t="shared" si="50"/>
        <v>66089.97</v>
      </c>
      <c r="AH57" s="27">
        <f t="shared" si="50"/>
        <v>0</v>
      </c>
      <c r="AI57" s="27">
        <f t="shared" si="50"/>
        <v>0</v>
      </c>
      <c r="AJ57" s="10"/>
      <c r="AK57" s="10"/>
      <c r="AL57" s="10"/>
      <c r="AM57" s="10"/>
      <c r="AN57" s="10"/>
      <c r="AO57" s="27">
        <f t="shared" ref="AO57:AX57" si="51">SUM(AO53:AO56)</f>
        <v>0</v>
      </c>
      <c r="AP57" s="27">
        <f t="shared" si="51"/>
        <v>0</v>
      </c>
      <c r="AQ57" s="27">
        <f t="shared" si="51"/>
        <v>0</v>
      </c>
      <c r="AR57" s="27">
        <f t="shared" si="51"/>
        <v>0</v>
      </c>
      <c r="AS57" s="27">
        <f t="shared" si="51"/>
        <v>0</v>
      </c>
      <c r="AT57" s="27">
        <f t="shared" si="51"/>
        <v>0</v>
      </c>
      <c r="AU57" s="27">
        <f t="shared" si="51"/>
        <v>0</v>
      </c>
      <c r="AV57" s="27">
        <f t="shared" si="51"/>
        <v>0</v>
      </c>
      <c r="AW57" s="27">
        <f t="shared" si="51"/>
        <v>0</v>
      </c>
      <c r="AX57" s="27">
        <f t="shared" si="51"/>
        <v>86869.54</v>
      </c>
      <c r="AY57" s="27">
        <v>86784.61</v>
      </c>
      <c r="AZ57" s="27">
        <f>SUM(AZ53:AZ56)</f>
        <v>66089.97</v>
      </c>
      <c r="BA57" s="56">
        <v>328341.46</v>
      </c>
      <c r="BB57" s="28">
        <f>SUM(BB53:BB56)</f>
        <v>0</v>
      </c>
      <c r="BC57" s="60">
        <f>SUM(BC53:BC56)</f>
        <v>0</v>
      </c>
      <c r="BD57" s="50" t="s">
        <v>63</v>
      </c>
    </row>
    <row r="58" ht="15" spans="1:56">
      <c r="A58" s="10"/>
      <c r="B58" s="10"/>
      <c r="C58" s="10"/>
      <c r="D58" s="10"/>
      <c r="E58" s="10"/>
      <c r="F58" s="10"/>
      <c r="G58" s="10"/>
      <c r="H58" s="10"/>
      <c r="I58" s="10"/>
      <c r="J58" s="10"/>
      <c r="K58" s="10"/>
      <c r="L58" s="10"/>
      <c r="M58" s="10"/>
      <c r="N58" s="10"/>
      <c r="O58" s="10"/>
      <c r="P58" s="10"/>
      <c r="Q58" s="10"/>
      <c r="R58" s="26" t="s">
        <v>15</v>
      </c>
      <c r="S58" s="24">
        <f t="shared" ref="S58:AG58" si="52">S52-S53</f>
        <v>216505.35</v>
      </c>
      <c r="T58" s="24">
        <f t="shared" si="52"/>
        <v>85757.63</v>
      </c>
      <c r="U58" s="25">
        <f t="shared" si="52"/>
        <v>80176.07</v>
      </c>
      <c r="V58" s="24">
        <f t="shared" si="52"/>
        <v>5581.56</v>
      </c>
      <c r="W58" s="24">
        <f t="shared" si="52"/>
        <v>5581.56</v>
      </c>
      <c r="X58" s="24">
        <f t="shared" si="52"/>
        <v>5581.56</v>
      </c>
      <c r="Y58" s="24">
        <f t="shared" si="52"/>
        <v>5581.56</v>
      </c>
      <c r="Z58" s="24">
        <f t="shared" si="52"/>
        <v>5581.56</v>
      </c>
      <c r="AA58" s="24">
        <f t="shared" si="52"/>
        <v>5581.56</v>
      </c>
      <c r="AB58" s="24">
        <f t="shared" si="52"/>
        <v>5581.56</v>
      </c>
      <c r="AC58" s="24">
        <f t="shared" si="52"/>
        <v>5581.56</v>
      </c>
      <c r="AD58" s="24">
        <f t="shared" si="52"/>
        <v>5581.56</v>
      </c>
      <c r="AE58" s="24">
        <f t="shared" si="52"/>
        <v>5581.56</v>
      </c>
      <c r="AF58" s="24">
        <f t="shared" si="52"/>
        <v>7854.35000000001</v>
      </c>
      <c r="AG58" s="24">
        <f t="shared" si="52"/>
        <v>18346.14</v>
      </c>
      <c r="AH58" s="41">
        <v>0</v>
      </c>
      <c r="AI58" s="41">
        <v>0</v>
      </c>
      <c r="AJ58" s="10"/>
      <c r="AK58" s="10"/>
      <c r="AL58" s="10"/>
      <c r="AM58" s="10"/>
      <c r="AN58" s="10"/>
      <c r="AO58" s="24">
        <f t="shared" ref="AO58:AZ58" si="53">AO52-AO53</f>
        <v>0</v>
      </c>
      <c r="AP58" s="24">
        <f t="shared" si="53"/>
        <v>0</v>
      </c>
      <c r="AQ58" s="24">
        <f t="shared" si="53"/>
        <v>0</v>
      </c>
      <c r="AR58" s="24">
        <f t="shared" si="53"/>
        <v>0</v>
      </c>
      <c r="AS58" s="24">
        <f t="shared" si="53"/>
        <v>0</v>
      </c>
      <c r="AT58" s="24">
        <f t="shared" si="53"/>
        <v>0</v>
      </c>
      <c r="AU58" s="24">
        <f t="shared" si="53"/>
        <v>0</v>
      </c>
      <c r="AV58" s="24">
        <f t="shared" si="53"/>
        <v>0</v>
      </c>
      <c r="AW58" s="24">
        <f t="shared" si="53"/>
        <v>0</v>
      </c>
      <c r="AX58" s="24">
        <f t="shared" si="53"/>
        <v>-2272.78999999999</v>
      </c>
      <c r="AY58" s="24">
        <f t="shared" si="53"/>
        <v>-10491.79</v>
      </c>
      <c r="AZ58" s="24">
        <f t="shared" si="53"/>
        <v>18346.14</v>
      </c>
      <c r="BA58" s="57">
        <v>80176.07</v>
      </c>
      <c r="BB58" s="28">
        <v>0</v>
      </c>
      <c r="BC58" s="62">
        <v>0</v>
      </c>
      <c r="BD58" s="49" t="s">
        <v>63</v>
      </c>
    </row>
    <row r="59" ht="15" spans="1:56">
      <c r="A59" s="10"/>
      <c r="B59" s="10"/>
      <c r="C59" s="10"/>
      <c r="D59" s="10"/>
      <c r="E59" s="10"/>
      <c r="F59" s="10"/>
      <c r="G59" s="10"/>
      <c r="H59" s="10"/>
      <c r="I59" s="10"/>
      <c r="J59" s="10"/>
      <c r="K59" s="10"/>
      <c r="L59" s="10"/>
      <c r="M59" s="10"/>
      <c r="N59" s="10"/>
      <c r="O59" s="10"/>
      <c r="P59" s="10"/>
      <c r="Q59" s="10"/>
      <c r="R59" s="29" t="s">
        <v>16</v>
      </c>
      <c r="S59" s="30">
        <f t="shared" ref="S59:AG59" si="54">S58/S52</f>
        <v>0.21650535</v>
      </c>
      <c r="T59" s="30">
        <f t="shared" si="54"/>
        <v>0.130284214604207</v>
      </c>
      <c r="U59" s="31">
        <f t="shared" si="54"/>
        <v>0.194762838264587</v>
      </c>
      <c r="V59" s="30">
        <f t="shared" si="54"/>
        <v>0.0226363581060529</v>
      </c>
      <c r="W59" s="30">
        <f t="shared" si="54"/>
        <v>0.0226363581060529</v>
      </c>
      <c r="X59" s="30">
        <f t="shared" si="54"/>
        <v>0.0226363581060529</v>
      </c>
      <c r="Y59" s="30">
        <f t="shared" si="54"/>
        <v>0.0226363581060529</v>
      </c>
      <c r="Z59" s="30">
        <f t="shared" si="54"/>
        <v>0.0226363581060529</v>
      </c>
      <c r="AA59" s="30">
        <f t="shared" si="54"/>
        <v>0.0226363581060529</v>
      </c>
      <c r="AB59" s="30">
        <f t="shared" si="54"/>
        <v>0.0226363581060529</v>
      </c>
      <c r="AC59" s="30">
        <f t="shared" si="54"/>
        <v>0.0226363581060529</v>
      </c>
      <c r="AD59" s="30">
        <f t="shared" si="54"/>
        <v>0.0226363581060529</v>
      </c>
      <c r="AE59" s="30">
        <f t="shared" si="54"/>
        <v>0.0226363581060529</v>
      </c>
      <c r="AF59" s="30">
        <f t="shared" si="54"/>
        <v>0.0485904209249957</v>
      </c>
      <c r="AG59" s="30">
        <f t="shared" si="54"/>
        <v>0.216009748975651</v>
      </c>
      <c r="AH59" s="42">
        <f>T59-S59</f>
        <v>-0.0862211353957933</v>
      </c>
      <c r="AI59" s="42">
        <f>AF59-S59</f>
        <v>-0.167914929075004</v>
      </c>
      <c r="AJ59" s="10"/>
      <c r="AK59" s="10"/>
      <c r="AL59" s="10"/>
      <c r="AM59" s="10"/>
      <c r="AN59" s="10"/>
      <c r="AO59" s="30" t="e">
        <f t="shared" ref="AO59:AZ59" si="55">AO58/AO52</f>
        <v>#DIV/0!</v>
      </c>
      <c r="AP59" s="30" t="e">
        <f t="shared" si="55"/>
        <v>#DIV/0!</v>
      </c>
      <c r="AQ59" s="30" t="e">
        <f t="shared" si="55"/>
        <v>#DIV/0!</v>
      </c>
      <c r="AR59" s="30" t="e">
        <f t="shared" si="55"/>
        <v>#DIV/0!</v>
      </c>
      <c r="AS59" s="30" t="e">
        <f t="shared" si="55"/>
        <v>#DIV/0!</v>
      </c>
      <c r="AT59" s="30" t="e">
        <f t="shared" si="55"/>
        <v>#DIV/0!</v>
      </c>
      <c r="AU59" s="30" t="e">
        <f t="shared" si="55"/>
        <v>#DIV/0!</v>
      </c>
      <c r="AV59" s="30" t="e">
        <f t="shared" si="55"/>
        <v>#DIV/0!</v>
      </c>
      <c r="AW59" s="30" t="e">
        <f t="shared" si="55"/>
        <v>#DIV/0!</v>
      </c>
      <c r="AX59" s="30">
        <f t="shared" si="55"/>
        <v>-0.0267604290541733</v>
      </c>
      <c r="AY59" s="30">
        <f t="shared" si="55"/>
        <v>-0.136768562936698</v>
      </c>
      <c r="AZ59" s="30">
        <f t="shared" si="55"/>
        <v>0.216009748975651</v>
      </c>
      <c r="BA59" s="58">
        <v>0.194762838264587</v>
      </c>
      <c r="BB59" s="52">
        <v>0</v>
      </c>
      <c r="BC59" s="62">
        <v>0</v>
      </c>
      <c r="BD59" s="49" t="s">
        <v>63</v>
      </c>
    </row>
    <row r="60" ht="15" spans="1:56">
      <c r="A60" s="10"/>
      <c r="B60" s="10"/>
      <c r="C60" s="10"/>
      <c r="D60" s="10"/>
      <c r="E60" s="10"/>
      <c r="F60" s="10"/>
      <c r="G60" s="10"/>
      <c r="H60" s="10"/>
      <c r="I60" s="10"/>
      <c r="J60" s="10"/>
      <c r="K60" s="10"/>
      <c r="L60" s="10"/>
      <c r="M60" s="10"/>
      <c r="N60" s="10"/>
      <c r="O60" s="10"/>
      <c r="P60" s="10"/>
      <c r="Q60" s="10"/>
      <c r="R60" s="26" t="s">
        <v>17</v>
      </c>
      <c r="S60" s="24">
        <f t="shared" ref="S60:AG60" si="56">S52-S57</f>
        <v>156505.35</v>
      </c>
      <c r="T60" s="24">
        <f t="shared" si="56"/>
        <v>90149.42</v>
      </c>
      <c r="U60" s="24">
        <f t="shared" si="56"/>
        <v>83318.54</v>
      </c>
      <c r="V60" s="24">
        <f t="shared" si="56"/>
        <v>6830.88</v>
      </c>
      <c r="W60" s="24">
        <f t="shared" si="56"/>
        <v>6830.88</v>
      </c>
      <c r="X60" s="24">
        <f t="shared" si="56"/>
        <v>6830.88</v>
      </c>
      <c r="Y60" s="24">
        <f t="shared" si="56"/>
        <v>6830.88</v>
      </c>
      <c r="Z60" s="24">
        <f t="shared" si="56"/>
        <v>6830.88</v>
      </c>
      <c r="AA60" s="24">
        <f t="shared" si="56"/>
        <v>6830.88</v>
      </c>
      <c r="AB60" s="24">
        <f t="shared" si="56"/>
        <v>6830.88</v>
      </c>
      <c r="AC60" s="24">
        <f t="shared" si="56"/>
        <v>6830.88</v>
      </c>
      <c r="AD60" s="24">
        <f t="shared" si="56"/>
        <v>6830.88</v>
      </c>
      <c r="AE60" s="24">
        <f t="shared" si="56"/>
        <v>6830.88</v>
      </c>
      <c r="AF60" s="24">
        <f t="shared" si="56"/>
        <v>8769.42000000001</v>
      </c>
      <c r="AG60" s="24">
        <f t="shared" si="56"/>
        <v>18842.03</v>
      </c>
      <c r="AH60" s="42">
        <v>0</v>
      </c>
      <c r="AI60" s="42">
        <v>0</v>
      </c>
      <c r="AJ60" s="10"/>
      <c r="AK60" s="10"/>
      <c r="AL60" s="10"/>
      <c r="AM60" s="10"/>
      <c r="AN60" s="10"/>
      <c r="AO60" s="24">
        <f t="shared" ref="AO60:BC60" si="57">AO52-AO57</f>
        <v>0</v>
      </c>
      <c r="AP60" s="24">
        <f t="shared" si="57"/>
        <v>0</v>
      </c>
      <c r="AQ60" s="24">
        <f t="shared" si="57"/>
        <v>0</v>
      </c>
      <c r="AR60" s="24">
        <f t="shared" si="57"/>
        <v>0</v>
      </c>
      <c r="AS60" s="24">
        <f t="shared" si="57"/>
        <v>0</v>
      </c>
      <c r="AT60" s="24">
        <f t="shared" si="57"/>
        <v>0</v>
      </c>
      <c r="AU60" s="24">
        <f t="shared" si="57"/>
        <v>0</v>
      </c>
      <c r="AV60" s="24">
        <f t="shared" si="57"/>
        <v>0</v>
      </c>
      <c r="AW60" s="24">
        <f t="shared" si="57"/>
        <v>0</v>
      </c>
      <c r="AX60" s="24">
        <f t="shared" si="57"/>
        <v>-1938.53999999999</v>
      </c>
      <c r="AY60" s="24">
        <f t="shared" si="57"/>
        <v>-10072.61</v>
      </c>
      <c r="AZ60" s="24">
        <f t="shared" si="57"/>
        <v>18842.03</v>
      </c>
      <c r="BA60" s="24">
        <f t="shared" si="57"/>
        <v>83318.54</v>
      </c>
      <c r="BB60" s="24">
        <f t="shared" si="57"/>
        <v>0</v>
      </c>
      <c r="BC60" s="24">
        <f t="shared" si="57"/>
        <v>0</v>
      </c>
      <c r="BD60" s="49" t="s">
        <v>63</v>
      </c>
    </row>
    <row r="61" ht="15" spans="1:56">
      <c r="A61" s="11"/>
      <c r="B61" s="11"/>
      <c r="C61" s="11"/>
      <c r="D61" s="11"/>
      <c r="E61" s="11"/>
      <c r="F61" s="11"/>
      <c r="G61" s="11"/>
      <c r="H61" s="11"/>
      <c r="I61" s="11"/>
      <c r="J61" s="11"/>
      <c r="K61" s="11"/>
      <c r="L61" s="11"/>
      <c r="M61" s="11"/>
      <c r="N61" s="11"/>
      <c r="O61" s="11"/>
      <c r="P61" s="11"/>
      <c r="Q61" s="11"/>
      <c r="R61" s="29" t="s">
        <v>18</v>
      </c>
      <c r="S61" s="30">
        <f t="shared" ref="S61:AG61" si="58">S60/S52</f>
        <v>0.15650535</v>
      </c>
      <c r="T61" s="30">
        <f t="shared" si="58"/>
        <v>0.1369562846096</v>
      </c>
      <c r="U61" s="31">
        <f t="shared" si="58"/>
        <v>0.202396492250887</v>
      </c>
      <c r="V61" s="30">
        <f t="shared" si="58"/>
        <v>0.0277030518097942</v>
      </c>
      <c r="W61" s="30">
        <f t="shared" si="58"/>
        <v>0.0277030518097942</v>
      </c>
      <c r="X61" s="30">
        <f t="shared" si="58"/>
        <v>0.0277030518097942</v>
      </c>
      <c r="Y61" s="30">
        <f t="shared" si="58"/>
        <v>0.0277030518097942</v>
      </c>
      <c r="Z61" s="30">
        <f t="shared" si="58"/>
        <v>0.0277030518097942</v>
      </c>
      <c r="AA61" s="30">
        <f t="shared" si="58"/>
        <v>0.0277030518097942</v>
      </c>
      <c r="AB61" s="30">
        <f t="shared" si="58"/>
        <v>0.0277030518097942</v>
      </c>
      <c r="AC61" s="30">
        <f t="shared" si="58"/>
        <v>0.0277030518097942</v>
      </c>
      <c r="AD61" s="30">
        <f t="shared" si="58"/>
        <v>0.0277030518097942</v>
      </c>
      <c r="AE61" s="30">
        <f t="shared" si="58"/>
        <v>0.0277030518097942</v>
      </c>
      <c r="AF61" s="30">
        <f t="shared" si="58"/>
        <v>0.0542514414392122</v>
      </c>
      <c r="AG61" s="30">
        <f t="shared" si="58"/>
        <v>0.221848419912401</v>
      </c>
      <c r="AH61" s="42">
        <f>T61-S61</f>
        <v>-0.0195490653904</v>
      </c>
      <c r="AI61" s="42">
        <f>AF61-S61</f>
        <v>-0.102253908560788</v>
      </c>
      <c r="AJ61" s="11"/>
      <c r="AK61" s="11"/>
      <c r="AL61" s="11"/>
      <c r="AM61" s="11"/>
      <c r="AN61" s="11"/>
      <c r="AO61" s="30" t="e">
        <f t="shared" ref="AO61:AZ61" si="59">AO60/AO52</f>
        <v>#DIV/0!</v>
      </c>
      <c r="AP61" s="30" t="e">
        <f t="shared" si="59"/>
        <v>#DIV/0!</v>
      </c>
      <c r="AQ61" s="30" t="e">
        <f t="shared" si="59"/>
        <v>#DIV/0!</v>
      </c>
      <c r="AR61" s="30" t="e">
        <f t="shared" si="59"/>
        <v>#DIV/0!</v>
      </c>
      <c r="AS61" s="30" t="e">
        <f t="shared" si="59"/>
        <v>#DIV/0!</v>
      </c>
      <c r="AT61" s="30" t="e">
        <f t="shared" si="59"/>
        <v>#DIV/0!</v>
      </c>
      <c r="AU61" s="30" t="e">
        <f t="shared" si="59"/>
        <v>#DIV/0!</v>
      </c>
      <c r="AV61" s="30" t="e">
        <f t="shared" si="59"/>
        <v>#DIV/0!</v>
      </c>
      <c r="AW61" s="30" t="e">
        <f t="shared" si="59"/>
        <v>#DIV/0!</v>
      </c>
      <c r="AX61" s="30">
        <f t="shared" si="59"/>
        <v>-0.022824881374292</v>
      </c>
      <c r="AY61" s="30">
        <f t="shared" si="59"/>
        <v>-0.131304228803838</v>
      </c>
      <c r="AZ61" s="30">
        <f t="shared" si="59"/>
        <v>0.221848419912401</v>
      </c>
      <c r="BA61" s="58">
        <v>0.202396492250887</v>
      </c>
      <c r="BB61" s="52">
        <v>0</v>
      </c>
      <c r="BC61" s="62">
        <v>0</v>
      </c>
      <c r="BD61" s="49" t="s">
        <v>63</v>
      </c>
    </row>
    <row r="62" ht="15" spans="1:56">
      <c r="A62" s="12" t="s">
        <v>80</v>
      </c>
      <c r="B62" s="13" t="s">
        <v>81</v>
      </c>
      <c r="C62" s="14">
        <v>45809</v>
      </c>
      <c r="D62" s="14">
        <v>46173</v>
      </c>
      <c r="E62" s="6"/>
      <c r="F62" s="7">
        <v>0.75</v>
      </c>
      <c r="G62" s="9">
        <v>0.5</v>
      </c>
      <c r="H62" s="9"/>
      <c r="I62" s="9"/>
      <c r="J62" s="9"/>
      <c r="K62" s="9"/>
      <c r="L62" s="9"/>
      <c r="M62" s="9"/>
      <c r="N62" s="9"/>
      <c r="O62" s="9"/>
      <c r="P62" s="6"/>
      <c r="Q62" s="9" t="s">
        <v>63</v>
      </c>
      <c r="R62" s="32" t="s">
        <v>9</v>
      </c>
      <c r="S62" s="24">
        <v>435000</v>
      </c>
      <c r="T62" s="24">
        <f>SUM(AO62:BC62)</f>
        <v>435000</v>
      </c>
      <c r="U62" s="25">
        <f>SUM(BA62:BC62)</f>
        <v>435000</v>
      </c>
      <c r="V62" s="24">
        <f>SUM(AO62:AZ62)</f>
        <v>0</v>
      </c>
      <c r="W62" s="24">
        <f>SUM(AP62:AZ62)</f>
        <v>0</v>
      </c>
      <c r="X62" s="24">
        <f>SUM(AQ62:AZ62)</f>
        <v>0</v>
      </c>
      <c r="Y62" s="24">
        <f>SUM(AR62:AZ62)</f>
        <v>0</v>
      </c>
      <c r="Z62" s="24">
        <f>SUM(AS62:AZ62)</f>
        <v>0</v>
      </c>
      <c r="AA62" s="24">
        <f>SUM(AT62:AZ62)</f>
        <v>0</v>
      </c>
      <c r="AB62" s="24">
        <f>SUM(AU62:AZ62)</f>
        <v>0</v>
      </c>
      <c r="AC62" s="24">
        <f>SUM(AV62:AZ62)</f>
        <v>0</v>
      </c>
      <c r="AD62" s="24">
        <f>SUM(AW62:AZ62)</f>
        <v>0</v>
      </c>
      <c r="AE62" s="24">
        <f>SUM(AX62:AZ62)</f>
        <v>0</v>
      </c>
      <c r="AF62" s="24">
        <f>SUM(AY62:AZ62)</f>
        <v>0</v>
      </c>
      <c r="AG62" s="24">
        <f>SUM(AZ62:AZ62)</f>
        <v>0</v>
      </c>
      <c r="AH62" s="38">
        <v>0</v>
      </c>
      <c r="AI62" s="38">
        <v>0</v>
      </c>
      <c r="AJ62" s="13" t="s">
        <v>63</v>
      </c>
      <c r="AK62" s="43" t="s">
        <v>82</v>
      </c>
      <c r="AL62" s="13" t="s">
        <v>83</v>
      </c>
      <c r="AM62" s="43" t="s">
        <v>63</v>
      </c>
      <c r="AN62" s="7"/>
      <c r="AO62" s="24">
        <v>0</v>
      </c>
      <c r="AP62" s="24">
        <v>0</v>
      </c>
      <c r="AQ62" s="24">
        <v>0</v>
      </c>
      <c r="AR62" s="24">
        <v>0</v>
      </c>
      <c r="AS62" s="24">
        <v>0</v>
      </c>
      <c r="AT62" s="24">
        <v>0</v>
      </c>
      <c r="AU62" s="24">
        <v>0</v>
      </c>
      <c r="AV62" s="24">
        <v>0</v>
      </c>
      <c r="AW62" s="24">
        <v>0</v>
      </c>
      <c r="AX62" s="24">
        <v>0</v>
      </c>
      <c r="AY62" s="24">
        <v>0</v>
      </c>
      <c r="AZ62" s="24">
        <v>0</v>
      </c>
      <c r="BA62" s="54">
        <v>435000</v>
      </c>
      <c r="BB62" s="25">
        <v>0</v>
      </c>
      <c r="BC62" s="62">
        <v>0</v>
      </c>
      <c r="BD62" s="49" t="s">
        <v>63</v>
      </c>
    </row>
    <row r="63" ht="15" spans="1:56">
      <c r="A63" s="10"/>
      <c r="B63" s="10"/>
      <c r="C63" s="10"/>
      <c r="D63" s="10"/>
      <c r="E63" s="10"/>
      <c r="F63" s="10"/>
      <c r="G63" s="10"/>
      <c r="H63" s="10"/>
      <c r="I63" s="10"/>
      <c r="J63" s="10"/>
      <c r="K63" s="10"/>
      <c r="L63" s="10"/>
      <c r="M63" s="10"/>
      <c r="N63" s="10"/>
      <c r="O63" s="10"/>
      <c r="P63" s="10"/>
      <c r="Q63" s="10"/>
      <c r="R63" s="26" t="s">
        <v>10</v>
      </c>
      <c r="S63" s="24">
        <v>354384.65</v>
      </c>
      <c r="T63" s="24">
        <f>SUM(AO63:BC63)</f>
        <v>345708.9</v>
      </c>
      <c r="U63" s="25">
        <f>SUM(BA63:BC63)</f>
        <v>317303.07</v>
      </c>
      <c r="V63" s="24">
        <f>SUM(AO63:AZ63)</f>
        <v>28405.83</v>
      </c>
      <c r="W63" s="24">
        <f>SUM(AP63:AZ63)</f>
        <v>28405.83</v>
      </c>
      <c r="X63" s="24">
        <f>SUM(AQ63:AZ63)</f>
        <v>28405.83</v>
      </c>
      <c r="Y63" s="24">
        <f>SUM(AR63:AZ63)</f>
        <v>28405.83</v>
      </c>
      <c r="Z63" s="24">
        <f>SUM(AS63:AZ63)</f>
        <v>28405.83</v>
      </c>
      <c r="AA63" s="24">
        <f>SUM(AT63:AZ63)</f>
        <v>28405.83</v>
      </c>
      <c r="AB63" s="24">
        <f>SUM(AU63:AZ63)</f>
        <v>28405.83</v>
      </c>
      <c r="AC63" s="24">
        <f>SUM(AV63:AZ63)</f>
        <v>28405.83</v>
      </c>
      <c r="AD63" s="24">
        <f>SUM(AW63:AZ63)</f>
        <v>28405.83</v>
      </c>
      <c r="AE63" s="24">
        <f>SUM(AX63:AZ63)</f>
        <v>28405.83</v>
      </c>
      <c r="AF63" s="24">
        <f>SUM(AY63:AZ63)</f>
        <v>28405.83</v>
      </c>
      <c r="AG63" s="24">
        <f>SUM(AZ63:AZ63)</f>
        <v>0</v>
      </c>
      <c r="AH63" s="38">
        <v>0</v>
      </c>
      <c r="AI63" s="38">
        <v>0</v>
      </c>
      <c r="AJ63" s="10"/>
      <c r="AK63" s="10"/>
      <c r="AL63" s="10"/>
      <c r="AM63" s="10"/>
      <c r="AN63" s="10"/>
      <c r="AO63" s="24">
        <v>0</v>
      </c>
      <c r="AP63" s="24">
        <v>0</v>
      </c>
      <c r="AQ63" s="24">
        <v>0</v>
      </c>
      <c r="AR63" s="24">
        <v>0</v>
      </c>
      <c r="AS63" s="24">
        <v>0</v>
      </c>
      <c r="AT63" s="24">
        <v>0</v>
      </c>
      <c r="AU63" s="24">
        <v>0</v>
      </c>
      <c r="AV63" s="24">
        <v>0</v>
      </c>
      <c r="AW63" s="24">
        <v>0</v>
      </c>
      <c r="AX63" s="24">
        <v>0</v>
      </c>
      <c r="AY63" s="24">
        <v>28405.83</v>
      </c>
      <c r="AZ63" s="24">
        <v>0</v>
      </c>
      <c r="BA63" s="54">
        <v>317303.07</v>
      </c>
      <c r="BB63" s="25">
        <v>0</v>
      </c>
      <c r="BC63" s="62">
        <v>0</v>
      </c>
      <c r="BD63" s="49" t="s">
        <v>63</v>
      </c>
    </row>
    <row r="64" ht="15" spans="1:56">
      <c r="A64" s="10"/>
      <c r="B64" s="10"/>
      <c r="C64" s="10"/>
      <c r="D64" s="10"/>
      <c r="E64" s="10"/>
      <c r="F64" s="10"/>
      <c r="G64" s="10"/>
      <c r="H64" s="10"/>
      <c r="I64" s="10"/>
      <c r="J64" s="10"/>
      <c r="K64" s="10"/>
      <c r="L64" s="10"/>
      <c r="M64" s="10"/>
      <c r="N64" s="10"/>
      <c r="O64" s="10"/>
      <c r="P64" s="10"/>
      <c r="Q64" s="10"/>
      <c r="R64" s="26" t="s">
        <v>11</v>
      </c>
      <c r="S64" s="24">
        <v>0</v>
      </c>
      <c r="T64" s="24">
        <f>SUM(AO64:BC64)</f>
        <v>0</v>
      </c>
      <c r="U64" s="25">
        <f>SUM(BA64:BC64)</f>
        <v>0</v>
      </c>
      <c r="V64" s="24">
        <v>0</v>
      </c>
      <c r="W64" s="24">
        <v>0</v>
      </c>
      <c r="X64" s="24">
        <v>0</v>
      </c>
      <c r="Y64" s="24">
        <v>0</v>
      </c>
      <c r="Z64" s="24">
        <v>0</v>
      </c>
      <c r="AA64" s="24">
        <v>0</v>
      </c>
      <c r="AB64" s="24">
        <v>0</v>
      </c>
      <c r="AC64" s="24">
        <v>0</v>
      </c>
      <c r="AD64" s="24">
        <v>0</v>
      </c>
      <c r="AE64" s="24">
        <v>0</v>
      </c>
      <c r="AF64" s="24">
        <v>0</v>
      </c>
      <c r="AG64" s="24">
        <v>0</v>
      </c>
      <c r="AH64" s="38">
        <v>0</v>
      </c>
      <c r="AI64" s="38">
        <v>0</v>
      </c>
      <c r="AJ64" s="10"/>
      <c r="AK64" s="10"/>
      <c r="AL64" s="10"/>
      <c r="AM64" s="10"/>
      <c r="AN64" s="10"/>
      <c r="AO64" s="24">
        <v>0</v>
      </c>
      <c r="AP64" s="24">
        <v>0</v>
      </c>
      <c r="AQ64" s="24">
        <v>0</v>
      </c>
      <c r="AR64" s="24">
        <v>0</v>
      </c>
      <c r="AS64" s="24">
        <v>0</v>
      </c>
      <c r="AT64" s="24">
        <v>0</v>
      </c>
      <c r="AU64" s="24">
        <v>0</v>
      </c>
      <c r="AV64" s="24">
        <v>0</v>
      </c>
      <c r="AW64" s="24">
        <v>0</v>
      </c>
      <c r="AX64" s="24">
        <v>0</v>
      </c>
      <c r="AY64" s="24">
        <v>0</v>
      </c>
      <c r="AZ64" s="24">
        <v>0</v>
      </c>
      <c r="BA64" s="54">
        <v>0</v>
      </c>
      <c r="BB64" s="25">
        <v>0</v>
      </c>
      <c r="BC64" s="62">
        <v>0</v>
      </c>
      <c r="BD64" s="49" t="s">
        <v>63</v>
      </c>
    </row>
    <row r="65" ht="15" spans="1:56">
      <c r="A65" s="10"/>
      <c r="B65" s="10"/>
      <c r="C65" s="10"/>
      <c r="D65" s="10"/>
      <c r="E65" s="10"/>
      <c r="F65" s="10"/>
      <c r="G65" s="10"/>
      <c r="H65" s="10"/>
      <c r="I65" s="10"/>
      <c r="J65" s="10"/>
      <c r="K65" s="10"/>
      <c r="L65" s="10"/>
      <c r="M65" s="10"/>
      <c r="N65" s="10"/>
      <c r="O65" s="10"/>
      <c r="P65" s="10"/>
      <c r="Q65" s="10"/>
      <c r="R65" s="26" t="s">
        <v>12</v>
      </c>
      <c r="S65" s="24">
        <v>13000</v>
      </c>
      <c r="T65" s="24">
        <f>SUM(AO65:BC65)</f>
        <v>0</v>
      </c>
      <c r="U65" s="25">
        <f>SUM(BA65:BC65)</f>
        <v>0</v>
      </c>
      <c r="V65" s="24">
        <f>SUM(AO65:AZ65)</f>
        <v>0</v>
      </c>
      <c r="W65" s="24">
        <f>SUM(AP65:AZ65)</f>
        <v>0</v>
      </c>
      <c r="X65" s="24">
        <f>SUM(AQ65:AZ65)</f>
        <v>0</v>
      </c>
      <c r="Y65" s="24">
        <f>SUM(AR65:AZ65)</f>
        <v>0</v>
      </c>
      <c r="Z65" s="24">
        <f>SUM(AS65:AZ65)</f>
        <v>0</v>
      </c>
      <c r="AA65" s="24">
        <f>SUM(AT65:AZ65)</f>
        <v>0</v>
      </c>
      <c r="AB65" s="24">
        <f>SUM(AU65:AZ65)</f>
        <v>0</v>
      </c>
      <c r="AC65" s="24">
        <f>SUM(AV65:AZ65)</f>
        <v>0</v>
      </c>
      <c r="AD65" s="24">
        <f>SUM(AW65:AZ65)</f>
        <v>0</v>
      </c>
      <c r="AE65" s="24">
        <f>SUM(AX65:AZ65)</f>
        <v>0</v>
      </c>
      <c r="AF65" s="24">
        <f>SUM(AY65:AZ65)</f>
        <v>0</v>
      </c>
      <c r="AG65" s="24">
        <f>SUM(AZ65:AZ65)</f>
        <v>0</v>
      </c>
      <c r="AH65" s="38">
        <v>0</v>
      </c>
      <c r="AI65" s="38">
        <v>0</v>
      </c>
      <c r="AJ65" s="10"/>
      <c r="AK65" s="10"/>
      <c r="AL65" s="10"/>
      <c r="AM65" s="10"/>
      <c r="AN65" s="10"/>
      <c r="AO65" s="24">
        <v>0</v>
      </c>
      <c r="AP65" s="24">
        <v>0</v>
      </c>
      <c r="AQ65" s="24">
        <v>0</v>
      </c>
      <c r="AR65" s="24">
        <v>0</v>
      </c>
      <c r="AS65" s="24">
        <v>0</v>
      </c>
      <c r="AT65" s="24">
        <v>0</v>
      </c>
      <c r="AU65" s="24">
        <v>0</v>
      </c>
      <c r="AV65" s="24">
        <v>0</v>
      </c>
      <c r="AW65" s="24">
        <v>0</v>
      </c>
      <c r="AX65" s="24">
        <v>0</v>
      </c>
      <c r="AY65" s="24">
        <v>0</v>
      </c>
      <c r="AZ65" s="24">
        <v>0</v>
      </c>
      <c r="BA65" s="54">
        <v>0</v>
      </c>
      <c r="BB65" s="25">
        <v>0</v>
      </c>
      <c r="BC65" s="62">
        <v>0</v>
      </c>
      <c r="BD65" s="49" t="s">
        <v>63</v>
      </c>
    </row>
    <row r="66" ht="15" spans="1:56">
      <c r="A66" s="10"/>
      <c r="B66" s="10"/>
      <c r="C66" s="10"/>
      <c r="D66" s="10"/>
      <c r="E66" s="10"/>
      <c r="F66" s="10"/>
      <c r="G66" s="10"/>
      <c r="H66" s="10"/>
      <c r="I66" s="10"/>
      <c r="J66" s="10"/>
      <c r="K66" s="10"/>
      <c r="L66" s="10"/>
      <c r="M66" s="10"/>
      <c r="N66" s="10"/>
      <c r="O66" s="10"/>
      <c r="P66" s="10"/>
      <c r="Q66" s="10"/>
      <c r="R66" s="26" t="s">
        <v>13</v>
      </c>
      <c r="S66" s="24">
        <v>0</v>
      </c>
      <c r="T66" s="24">
        <f>SUM(AO66:BC66)</f>
        <v>-28405.83</v>
      </c>
      <c r="U66" s="25">
        <f>SUM(BA66:BC66)</f>
        <v>0</v>
      </c>
      <c r="V66" s="24">
        <f>SUM(AO66:AZ66)</f>
        <v>-28405.83</v>
      </c>
      <c r="W66" s="24">
        <f>SUM(AP66:AZ66)</f>
        <v>-28405.83</v>
      </c>
      <c r="X66" s="24">
        <f>SUM(AQ66:AZ66)</f>
        <v>-28405.83</v>
      </c>
      <c r="Y66" s="24">
        <f>SUM(AR66:AZ66)</f>
        <v>-28405.83</v>
      </c>
      <c r="Z66" s="24">
        <f>SUM(AS66:AZ66)</f>
        <v>-28405.83</v>
      </c>
      <c r="AA66" s="24">
        <f>SUM(AT66:AZ66)</f>
        <v>-28405.83</v>
      </c>
      <c r="AB66" s="24">
        <f>SUM(AU66:AZ66)</f>
        <v>-28405.83</v>
      </c>
      <c r="AC66" s="24">
        <f>SUM(AV66:AZ66)</f>
        <v>-28405.83</v>
      </c>
      <c r="AD66" s="24">
        <f>SUM(AW66:AZ66)</f>
        <v>-28405.83</v>
      </c>
      <c r="AE66" s="24">
        <f>SUM(AX66:AZ66)</f>
        <v>-28405.83</v>
      </c>
      <c r="AF66" s="24">
        <f>SUM(AY66:AZ66)</f>
        <v>-28405.83</v>
      </c>
      <c r="AG66" s="24">
        <f>SUM(AZ66:AZ66)</f>
        <v>0</v>
      </c>
      <c r="AH66" s="38">
        <v>0</v>
      </c>
      <c r="AI66" s="38">
        <v>0</v>
      </c>
      <c r="AJ66" s="10"/>
      <c r="AK66" s="10"/>
      <c r="AL66" s="10"/>
      <c r="AM66" s="10"/>
      <c r="AN66" s="10"/>
      <c r="AO66" s="24">
        <v>0</v>
      </c>
      <c r="AP66" s="24">
        <v>0</v>
      </c>
      <c r="AQ66" s="24">
        <v>0</v>
      </c>
      <c r="AR66" s="24">
        <v>0</v>
      </c>
      <c r="AS66" s="24">
        <v>0</v>
      </c>
      <c r="AT66" s="24">
        <v>0</v>
      </c>
      <c r="AU66" s="24">
        <v>0</v>
      </c>
      <c r="AV66" s="24">
        <v>0</v>
      </c>
      <c r="AW66" s="24">
        <v>0</v>
      </c>
      <c r="AX66" s="24">
        <v>0</v>
      </c>
      <c r="AY66" s="24">
        <v>-28405.83</v>
      </c>
      <c r="AZ66" s="24">
        <v>0</v>
      </c>
      <c r="BA66" s="54">
        <v>0</v>
      </c>
      <c r="BB66" s="25">
        <v>0</v>
      </c>
      <c r="BC66" s="62">
        <v>0</v>
      </c>
      <c r="BD66" s="49" t="s">
        <v>63</v>
      </c>
    </row>
    <row r="67" ht="15" spans="1:56">
      <c r="A67" s="10"/>
      <c r="B67" s="10"/>
      <c r="C67" s="10"/>
      <c r="D67" s="10"/>
      <c r="E67" s="10"/>
      <c r="F67" s="10"/>
      <c r="G67" s="10"/>
      <c r="H67" s="10"/>
      <c r="I67" s="10"/>
      <c r="J67" s="10"/>
      <c r="K67" s="10"/>
      <c r="L67" s="10"/>
      <c r="M67" s="10"/>
      <c r="N67" s="10"/>
      <c r="O67" s="10"/>
      <c r="P67" s="10"/>
      <c r="Q67" s="10"/>
      <c r="R67" s="26" t="s">
        <v>14</v>
      </c>
      <c r="S67" s="27">
        <f t="shared" ref="S67:AI67" si="60">SUM(S63:S66)</f>
        <v>367384.65</v>
      </c>
      <c r="T67" s="27">
        <f t="shared" si="60"/>
        <v>317303.07</v>
      </c>
      <c r="U67" s="28">
        <f t="shared" si="60"/>
        <v>317303.07</v>
      </c>
      <c r="V67" s="27">
        <f t="shared" si="60"/>
        <v>0</v>
      </c>
      <c r="W67" s="27">
        <f t="shared" si="60"/>
        <v>0</v>
      </c>
      <c r="X67" s="27">
        <f t="shared" si="60"/>
        <v>0</v>
      </c>
      <c r="Y67" s="27">
        <f t="shared" si="60"/>
        <v>0</v>
      </c>
      <c r="Z67" s="27">
        <f t="shared" si="60"/>
        <v>0</v>
      </c>
      <c r="AA67" s="27">
        <f t="shared" si="60"/>
        <v>0</v>
      </c>
      <c r="AB67" s="27">
        <f t="shared" si="60"/>
        <v>0</v>
      </c>
      <c r="AC67" s="27">
        <f t="shared" si="60"/>
        <v>0</v>
      </c>
      <c r="AD67" s="27">
        <f t="shared" si="60"/>
        <v>0</v>
      </c>
      <c r="AE67" s="27">
        <f t="shared" si="60"/>
        <v>0</v>
      </c>
      <c r="AF67" s="27">
        <f t="shared" si="60"/>
        <v>0</v>
      </c>
      <c r="AG67" s="27">
        <f t="shared" si="60"/>
        <v>0</v>
      </c>
      <c r="AH67" s="27">
        <f t="shared" si="60"/>
        <v>0</v>
      </c>
      <c r="AI67" s="27">
        <f t="shared" si="60"/>
        <v>0</v>
      </c>
      <c r="AJ67" s="10"/>
      <c r="AK67" s="10"/>
      <c r="AL67" s="10"/>
      <c r="AM67" s="10"/>
      <c r="AN67" s="10"/>
      <c r="AO67" s="27">
        <f t="shared" ref="AO67:AX67" si="61">SUM(AO63:AO66)</f>
        <v>0</v>
      </c>
      <c r="AP67" s="27">
        <f t="shared" si="61"/>
        <v>0</v>
      </c>
      <c r="AQ67" s="27">
        <f t="shared" si="61"/>
        <v>0</v>
      </c>
      <c r="AR67" s="27">
        <f t="shared" si="61"/>
        <v>0</v>
      </c>
      <c r="AS67" s="27">
        <f t="shared" si="61"/>
        <v>0</v>
      </c>
      <c r="AT67" s="27">
        <f t="shared" si="61"/>
        <v>0</v>
      </c>
      <c r="AU67" s="27">
        <f t="shared" si="61"/>
        <v>0</v>
      </c>
      <c r="AV67" s="27">
        <f t="shared" si="61"/>
        <v>0</v>
      </c>
      <c r="AW67" s="27">
        <f t="shared" si="61"/>
        <v>0</v>
      </c>
      <c r="AX67" s="27">
        <f t="shared" si="61"/>
        <v>0</v>
      </c>
      <c r="AY67" s="27">
        <v>0</v>
      </c>
      <c r="AZ67" s="27">
        <f>SUM(AZ63:AZ66)</f>
        <v>0</v>
      </c>
      <c r="BA67" s="56">
        <v>317303.07</v>
      </c>
      <c r="BB67" s="28">
        <f>SUM(BB63:BB66)</f>
        <v>0</v>
      </c>
      <c r="BC67" s="60">
        <f>SUM(BC63:BC66)</f>
        <v>0</v>
      </c>
      <c r="BD67" s="50" t="s">
        <v>63</v>
      </c>
    </row>
    <row r="68" ht="15" spans="1:56">
      <c r="A68" s="10"/>
      <c r="B68" s="10"/>
      <c r="C68" s="10"/>
      <c r="D68" s="10"/>
      <c r="E68" s="10"/>
      <c r="F68" s="10"/>
      <c r="G68" s="10"/>
      <c r="H68" s="10"/>
      <c r="I68" s="10"/>
      <c r="J68" s="10"/>
      <c r="K68" s="10"/>
      <c r="L68" s="10"/>
      <c r="M68" s="10"/>
      <c r="N68" s="10"/>
      <c r="O68" s="10"/>
      <c r="P68" s="10"/>
      <c r="Q68" s="10"/>
      <c r="R68" s="26" t="s">
        <v>15</v>
      </c>
      <c r="S68" s="24">
        <f t="shared" ref="S68:AG68" si="62">S62-S63</f>
        <v>80615.35</v>
      </c>
      <c r="T68" s="24">
        <f t="shared" si="62"/>
        <v>89291.1</v>
      </c>
      <c r="U68" s="25">
        <f t="shared" si="62"/>
        <v>117696.93</v>
      </c>
      <c r="V68" s="24">
        <f t="shared" si="62"/>
        <v>-28405.83</v>
      </c>
      <c r="W68" s="24">
        <f t="shared" si="62"/>
        <v>-28405.83</v>
      </c>
      <c r="X68" s="24">
        <f t="shared" si="62"/>
        <v>-28405.83</v>
      </c>
      <c r="Y68" s="24">
        <f t="shared" si="62"/>
        <v>-28405.83</v>
      </c>
      <c r="Z68" s="24">
        <f t="shared" si="62"/>
        <v>-28405.83</v>
      </c>
      <c r="AA68" s="24">
        <f t="shared" si="62"/>
        <v>-28405.83</v>
      </c>
      <c r="AB68" s="24">
        <f t="shared" si="62"/>
        <v>-28405.83</v>
      </c>
      <c r="AC68" s="24">
        <f t="shared" si="62"/>
        <v>-28405.83</v>
      </c>
      <c r="AD68" s="24">
        <f t="shared" si="62"/>
        <v>-28405.83</v>
      </c>
      <c r="AE68" s="24">
        <f t="shared" si="62"/>
        <v>-28405.83</v>
      </c>
      <c r="AF68" s="24">
        <f t="shared" si="62"/>
        <v>-28405.83</v>
      </c>
      <c r="AG68" s="24">
        <f t="shared" si="62"/>
        <v>0</v>
      </c>
      <c r="AH68" s="41">
        <v>0</v>
      </c>
      <c r="AI68" s="41">
        <v>0</v>
      </c>
      <c r="AJ68" s="10"/>
      <c r="AK68" s="10"/>
      <c r="AL68" s="10"/>
      <c r="AM68" s="10"/>
      <c r="AN68" s="10"/>
      <c r="AO68" s="24">
        <f t="shared" ref="AO68:AZ68" si="63">AO62-AO63</f>
        <v>0</v>
      </c>
      <c r="AP68" s="24">
        <f t="shared" si="63"/>
        <v>0</v>
      </c>
      <c r="AQ68" s="24">
        <f t="shared" si="63"/>
        <v>0</v>
      </c>
      <c r="AR68" s="24">
        <f t="shared" si="63"/>
        <v>0</v>
      </c>
      <c r="AS68" s="24">
        <f t="shared" si="63"/>
        <v>0</v>
      </c>
      <c r="AT68" s="24">
        <f t="shared" si="63"/>
        <v>0</v>
      </c>
      <c r="AU68" s="24">
        <f t="shared" si="63"/>
        <v>0</v>
      </c>
      <c r="AV68" s="24">
        <f t="shared" si="63"/>
        <v>0</v>
      </c>
      <c r="AW68" s="24">
        <f t="shared" si="63"/>
        <v>0</v>
      </c>
      <c r="AX68" s="24">
        <f t="shared" si="63"/>
        <v>0</v>
      </c>
      <c r="AY68" s="24">
        <f t="shared" si="63"/>
        <v>-28405.83</v>
      </c>
      <c r="AZ68" s="24">
        <f t="shared" si="63"/>
        <v>0</v>
      </c>
      <c r="BA68" s="57">
        <v>117696.93</v>
      </c>
      <c r="BB68" s="28">
        <v>0</v>
      </c>
      <c r="BC68" s="62">
        <v>0</v>
      </c>
      <c r="BD68" s="49" t="s">
        <v>63</v>
      </c>
    </row>
    <row r="69" ht="15" spans="1:56">
      <c r="A69" s="10"/>
      <c r="B69" s="10"/>
      <c r="C69" s="10"/>
      <c r="D69" s="10"/>
      <c r="E69" s="10"/>
      <c r="F69" s="10"/>
      <c r="G69" s="10"/>
      <c r="H69" s="10"/>
      <c r="I69" s="10"/>
      <c r="J69" s="10"/>
      <c r="K69" s="10"/>
      <c r="L69" s="10"/>
      <c r="M69" s="10"/>
      <c r="N69" s="10"/>
      <c r="O69" s="10"/>
      <c r="P69" s="10"/>
      <c r="Q69" s="10"/>
      <c r="R69" s="29" t="s">
        <v>16</v>
      </c>
      <c r="S69" s="30">
        <f t="shared" ref="S69:AG69" si="64">S68/S62</f>
        <v>0.185322643678161</v>
      </c>
      <c r="T69" s="30">
        <f t="shared" si="64"/>
        <v>0.205266896551724</v>
      </c>
      <c r="U69" s="31">
        <f t="shared" si="64"/>
        <v>0.270567655172414</v>
      </c>
      <c r="V69" s="30" t="e">
        <f t="shared" si="64"/>
        <v>#DIV/0!</v>
      </c>
      <c r="W69" s="30" t="e">
        <f t="shared" si="64"/>
        <v>#DIV/0!</v>
      </c>
      <c r="X69" s="30" t="e">
        <f t="shared" si="64"/>
        <v>#DIV/0!</v>
      </c>
      <c r="Y69" s="30" t="e">
        <f t="shared" si="64"/>
        <v>#DIV/0!</v>
      </c>
      <c r="Z69" s="30" t="e">
        <f t="shared" si="64"/>
        <v>#DIV/0!</v>
      </c>
      <c r="AA69" s="30" t="e">
        <f t="shared" si="64"/>
        <v>#DIV/0!</v>
      </c>
      <c r="AB69" s="30" t="e">
        <f t="shared" si="64"/>
        <v>#DIV/0!</v>
      </c>
      <c r="AC69" s="30" t="e">
        <f t="shared" si="64"/>
        <v>#DIV/0!</v>
      </c>
      <c r="AD69" s="30" t="e">
        <f t="shared" si="64"/>
        <v>#DIV/0!</v>
      </c>
      <c r="AE69" s="30" t="e">
        <f t="shared" si="64"/>
        <v>#DIV/0!</v>
      </c>
      <c r="AF69" s="30" t="e">
        <f t="shared" si="64"/>
        <v>#DIV/0!</v>
      </c>
      <c r="AG69" s="30" t="e">
        <f t="shared" si="64"/>
        <v>#DIV/0!</v>
      </c>
      <c r="AH69" s="42">
        <f>T69-S69</f>
        <v>0.0199442528735632</v>
      </c>
      <c r="AI69" s="42" t="e">
        <f>AF69-S69</f>
        <v>#DIV/0!</v>
      </c>
      <c r="AJ69" s="10"/>
      <c r="AK69" s="10"/>
      <c r="AL69" s="10"/>
      <c r="AM69" s="10"/>
      <c r="AN69" s="10"/>
      <c r="AO69" s="30" t="e">
        <f t="shared" ref="AO69:AZ69" si="65">AO68/AO62</f>
        <v>#DIV/0!</v>
      </c>
      <c r="AP69" s="30" t="e">
        <f t="shared" si="65"/>
        <v>#DIV/0!</v>
      </c>
      <c r="AQ69" s="30" t="e">
        <f t="shared" si="65"/>
        <v>#DIV/0!</v>
      </c>
      <c r="AR69" s="30" t="e">
        <f t="shared" si="65"/>
        <v>#DIV/0!</v>
      </c>
      <c r="AS69" s="30" t="e">
        <f t="shared" si="65"/>
        <v>#DIV/0!</v>
      </c>
      <c r="AT69" s="30" t="e">
        <f t="shared" si="65"/>
        <v>#DIV/0!</v>
      </c>
      <c r="AU69" s="30" t="e">
        <f t="shared" si="65"/>
        <v>#DIV/0!</v>
      </c>
      <c r="AV69" s="30" t="e">
        <f t="shared" si="65"/>
        <v>#DIV/0!</v>
      </c>
      <c r="AW69" s="30" t="e">
        <f t="shared" si="65"/>
        <v>#DIV/0!</v>
      </c>
      <c r="AX69" s="30" t="e">
        <f t="shared" si="65"/>
        <v>#DIV/0!</v>
      </c>
      <c r="AY69" s="30" t="e">
        <f t="shared" si="65"/>
        <v>#DIV/0!</v>
      </c>
      <c r="AZ69" s="30" t="e">
        <f t="shared" si="65"/>
        <v>#DIV/0!</v>
      </c>
      <c r="BA69" s="58">
        <v>0.270567655172414</v>
      </c>
      <c r="BB69" s="52">
        <v>0</v>
      </c>
      <c r="BC69" s="62">
        <v>0</v>
      </c>
      <c r="BD69" s="49" t="s">
        <v>63</v>
      </c>
    </row>
    <row r="70" ht="15" spans="1:56">
      <c r="A70" s="10"/>
      <c r="B70" s="10"/>
      <c r="C70" s="10"/>
      <c r="D70" s="10"/>
      <c r="E70" s="10"/>
      <c r="F70" s="10"/>
      <c r="G70" s="10"/>
      <c r="H70" s="10"/>
      <c r="I70" s="10"/>
      <c r="J70" s="10"/>
      <c r="K70" s="10"/>
      <c r="L70" s="10"/>
      <c r="M70" s="10"/>
      <c r="N70" s="10"/>
      <c r="O70" s="10"/>
      <c r="P70" s="10"/>
      <c r="Q70" s="10"/>
      <c r="R70" s="26" t="s">
        <v>17</v>
      </c>
      <c r="S70" s="24">
        <f t="shared" ref="S70:AG70" si="66">S62-S67</f>
        <v>67615.35</v>
      </c>
      <c r="T70" s="24">
        <f t="shared" si="66"/>
        <v>117696.93</v>
      </c>
      <c r="U70" s="24">
        <f t="shared" si="66"/>
        <v>117696.93</v>
      </c>
      <c r="V70" s="24">
        <f t="shared" si="66"/>
        <v>0</v>
      </c>
      <c r="W70" s="24">
        <f t="shared" si="66"/>
        <v>0</v>
      </c>
      <c r="X70" s="24">
        <f t="shared" si="66"/>
        <v>0</v>
      </c>
      <c r="Y70" s="24">
        <f t="shared" si="66"/>
        <v>0</v>
      </c>
      <c r="Z70" s="24">
        <f t="shared" si="66"/>
        <v>0</v>
      </c>
      <c r="AA70" s="24">
        <f t="shared" si="66"/>
        <v>0</v>
      </c>
      <c r="AB70" s="24">
        <f t="shared" si="66"/>
        <v>0</v>
      </c>
      <c r="AC70" s="24">
        <f t="shared" si="66"/>
        <v>0</v>
      </c>
      <c r="AD70" s="24">
        <f t="shared" si="66"/>
        <v>0</v>
      </c>
      <c r="AE70" s="24">
        <f t="shared" si="66"/>
        <v>0</v>
      </c>
      <c r="AF70" s="24">
        <f t="shared" si="66"/>
        <v>0</v>
      </c>
      <c r="AG70" s="24">
        <f t="shared" si="66"/>
        <v>0</v>
      </c>
      <c r="AH70" s="42">
        <v>0</v>
      </c>
      <c r="AI70" s="42">
        <v>0</v>
      </c>
      <c r="AJ70" s="10"/>
      <c r="AK70" s="10"/>
      <c r="AL70" s="10"/>
      <c r="AM70" s="10"/>
      <c r="AN70" s="10"/>
      <c r="AO70" s="24">
        <f t="shared" ref="AO70:BC70" si="67">AO62-AO67</f>
        <v>0</v>
      </c>
      <c r="AP70" s="24">
        <f t="shared" si="67"/>
        <v>0</v>
      </c>
      <c r="AQ70" s="24">
        <f t="shared" si="67"/>
        <v>0</v>
      </c>
      <c r="AR70" s="24">
        <f t="shared" si="67"/>
        <v>0</v>
      </c>
      <c r="AS70" s="24">
        <f t="shared" si="67"/>
        <v>0</v>
      </c>
      <c r="AT70" s="24">
        <f t="shared" si="67"/>
        <v>0</v>
      </c>
      <c r="AU70" s="24">
        <f t="shared" si="67"/>
        <v>0</v>
      </c>
      <c r="AV70" s="24">
        <f t="shared" si="67"/>
        <v>0</v>
      </c>
      <c r="AW70" s="24">
        <f t="shared" si="67"/>
        <v>0</v>
      </c>
      <c r="AX70" s="24">
        <f t="shared" si="67"/>
        <v>0</v>
      </c>
      <c r="AY70" s="24">
        <f t="shared" si="67"/>
        <v>0</v>
      </c>
      <c r="AZ70" s="24">
        <f t="shared" si="67"/>
        <v>0</v>
      </c>
      <c r="BA70" s="24">
        <f t="shared" si="67"/>
        <v>117696.93</v>
      </c>
      <c r="BB70" s="24">
        <f t="shared" si="67"/>
        <v>0</v>
      </c>
      <c r="BC70" s="24">
        <f t="shared" si="67"/>
        <v>0</v>
      </c>
      <c r="BD70" s="49" t="s">
        <v>63</v>
      </c>
    </row>
    <row r="71" ht="15" spans="1:56">
      <c r="A71" s="11"/>
      <c r="B71" s="11"/>
      <c r="C71" s="11"/>
      <c r="D71" s="11"/>
      <c r="E71" s="11"/>
      <c r="F71" s="11"/>
      <c r="G71" s="11"/>
      <c r="H71" s="11"/>
      <c r="I71" s="11"/>
      <c r="J71" s="11"/>
      <c r="K71" s="11"/>
      <c r="L71" s="11"/>
      <c r="M71" s="11"/>
      <c r="N71" s="11"/>
      <c r="O71" s="11"/>
      <c r="P71" s="11"/>
      <c r="Q71" s="11"/>
      <c r="R71" s="29" t="s">
        <v>18</v>
      </c>
      <c r="S71" s="30">
        <f t="shared" ref="S71:AG71" si="68">S70/S62</f>
        <v>0.155437586206896</v>
      </c>
      <c r="T71" s="30">
        <f t="shared" si="68"/>
        <v>0.270567655172414</v>
      </c>
      <c r="U71" s="31">
        <f t="shared" si="68"/>
        <v>0.270567655172414</v>
      </c>
      <c r="V71" s="30" t="e">
        <f t="shared" si="68"/>
        <v>#DIV/0!</v>
      </c>
      <c r="W71" s="30" t="e">
        <f t="shared" si="68"/>
        <v>#DIV/0!</v>
      </c>
      <c r="X71" s="30" t="e">
        <f t="shared" si="68"/>
        <v>#DIV/0!</v>
      </c>
      <c r="Y71" s="30" t="e">
        <f t="shared" si="68"/>
        <v>#DIV/0!</v>
      </c>
      <c r="Z71" s="30" t="e">
        <f t="shared" si="68"/>
        <v>#DIV/0!</v>
      </c>
      <c r="AA71" s="30" t="e">
        <f t="shared" si="68"/>
        <v>#DIV/0!</v>
      </c>
      <c r="AB71" s="30" t="e">
        <f t="shared" si="68"/>
        <v>#DIV/0!</v>
      </c>
      <c r="AC71" s="30" t="e">
        <f t="shared" si="68"/>
        <v>#DIV/0!</v>
      </c>
      <c r="AD71" s="30" t="e">
        <f t="shared" si="68"/>
        <v>#DIV/0!</v>
      </c>
      <c r="AE71" s="30" t="e">
        <f t="shared" si="68"/>
        <v>#DIV/0!</v>
      </c>
      <c r="AF71" s="30" t="e">
        <f t="shared" si="68"/>
        <v>#DIV/0!</v>
      </c>
      <c r="AG71" s="30" t="e">
        <f t="shared" si="68"/>
        <v>#DIV/0!</v>
      </c>
      <c r="AH71" s="42">
        <f>T71-S71</f>
        <v>0.115130068965517</v>
      </c>
      <c r="AI71" s="42" t="e">
        <f>AF71-S71</f>
        <v>#DIV/0!</v>
      </c>
      <c r="AJ71" s="11"/>
      <c r="AK71" s="11"/>
      <c r="AL71" s="11"/>
      <c r="AM71" s="11"/>
      <c r="AN71" s="11"/>
      <c r="AO71" s="30" t="e">
        <f t="shared" ref="AO71:AZ71" si="69">AO70/AO62</f>
        <v>#DIV/0!</v>
      </c>
      <c r="AP71" s="30" t="e">
        <f t="shared" si="69"/>
        <v>#DIV/0!</v>
      </c>
      <c r="AQ71" s="30" t="e">
        <f t="shared" si="69"/>
        <v>#DIV/0!</v>
      </c>
      <c r="AR71" s="30" t="e">
        <f t="shared" si="69"/>
        <v>#DIV/0!</v>
      </c>
      <c r="AS71" s="30" t="e">
        <f t="shared" si="69"/>
        <v>#DIV/0!</v>
      </c>
      <c r="AT71" s="30" t="e">
        <f t="shared" si="69"/>
        <v>#DIV/0!</v>
      </c>
      <c r="AU71" s="30" t="e">
        <f t="shared" si="69"/>
        <v>#DIV/0!</v>
      </c>
      <c r="AV71" s="30" t="e">
        <f t="shared" si="69"/>
        <v>#DIV/0!</v>
      </c>
      <c r="AW71" s="30" t="e">
        <f t="shared" si="69"/>
        <v>#DIV/0!</v>
      </c>
      <c r="AX71" s="30" t="e">
        <f t="shared" si="69"/>
        <v>#DIV/0!</v>
      </c>
      <c r="AY71" s="30" t="e">
        <f t="shared" si="69"/>
        <v>#DIV/0!</v>
      </c>
      <c r="AZ71" s="30" t="e">
        <f t="shared" si="69"/>
        <v>#DIV/0!</v>
      </c>
      <c r="BA71" s="58">
        <v>0.270567655172414</v>
      </c>
      <c r="BB71" s="52">
        <v>0</v>
      </c>
      <c r="BC71" s="62">
        <v>0</v>
      </c>
      <c r="BD71" s="49" t="s">
        <v>63</v>
      </c>
    </row>
    <row r="72" ht="15" spans="1:56">
      <c r="A72" s="12" t="s">
        <v>84</v>
      </c>
      <c r="B72" s="13" t="s">
        <v>85</v>
      </c>
      <c r="C72" s="14">
        <v>45962</v>
      </c>
      <c r="D72" s="14">
        <v>46271</v>
      </c>
      <c r="E72" s="6"/>
      <c r="F72" s="7">
        <v>0.19</v>
      </c>
      <c r="G72" s="9">
        <v>1</v>
      </c>
      <c r="H72" s="9"/>
      <c r="I72" s="9"/>
      <c r="J72" s="9"/>
      <c r="K72" s="9"/>
      <c r="L72" s="9"/>
      <c r="M72" s="9"/>
      <c r="N72" s="9"/>
      <c r="O72" s="9"/>
      <c r="P72" s="6"/>
      <c r="Q72" s="9" t="s">
        <v>63</v>
      </c>
      <c r="R72" s="32" t="s">
        <v>9</v>
      </c>
      <c r="S72" s="24">
        <v>80188.68</v>
      </c>
      <c r="T72" s="24">
        <f>SUM(AO72:BC72)</f>
        <v>38758.25</v>
      </c>
      <c r="U72" s="25">
        <f>SUM(BA72:BC72)</f>
        <v>15477.62</v>
      </c>
      <c r="V72" s="24">
        <f>SUM(AO72:AZ72)</f>
        <v>23280.63</v>
      </c>
      <c r="W72" s="24">
        <f>SUM(AP72:AZ72)</f>
        <v>23280.63</v>
      </c>
      <c r="X72" s="24">
        <f>SUM(AQ72:AZ72)</f>
        <v>23280.63</v>
      </c>
      <c r="Y72" s="24">
        <f>SUM(AR72:AZ72)</f>
        <v>23280.63</v>
      </c>
      <c r="Z72" s="24">
        <f>SUM(AS72:AZ72)</f>
        <v>23280.63</v>
      </c>
      <c r="AA72" s="24">
        <f>SUM(AT72:AZ72)</f>
        <v>23280.63</v>
      </c>
      <c r="AB72" s="24">
        <f>SUM(AU72:AZ72)</f>
        <v>23280.63</v>
      </c>
      <c r="AC72" s="24">
        <f>SUM(AV72:AZ72)</f>
        <v>23280.63</v>
      </c>
      <c r="AD72" s="24">
        <f>SUM(AW72:AZ72)</f>
        <v>23280.63</v>
      </c>
      <c r="AE72" s="24">
        <f>SUM(AX72:AZ72)</f>
        <v>23280.63</v>
      </c>
      <c r="AF72" s="24">
        <f>SUM(AY72:AZ72)</f>
        <v>15261.76</v>
      </c>
      <c r="AG72" s="24">
        <f>SUM(AZ72:AZ72)</f>
        <v>8018.87</v>
      </c>
      <c r="AH72" s="38">
        <v>0</v>
      </c>
      <c r="AI72" s="38">
        <v>0</v>
      </c>
      <c r="AJ72" s="13" t="s">
        <v>63</v>
      </c>
      <c r="AK72" s="43" t="s">
        <v>86</v>
      </c>
      <c r="AL72" s="43" t="s">
        <v>63</v>
      </c>
      <c r="AM72" s="43" t="s">
        <v>63</v>
      </c>
      <c r="AN72" s="7"/>
      <c r="AO72" s="24">
        <v>0</v>
      </c>
      <c r="AP72" s="24">
        <v>0</v>
      </c>
      <c r="AQ72" s="24">
        <v>0</v>
      </c>
      <c r="AR72" s="24">
        <v>0</v>
      </c>
      <c r="AS72" s="24">
        <v>0</v>
      </c>
      <c r="AT72" s="24">
        <v>0</v>
      </c>
      <c r="AU72" s="24">
        <v>0</v>
      </c>
      <c r="AV72" s="24">
        <v>0</v>
      </c>
      <c r="AW72" s="24">
        <v>0</v>
      </c>
      <c r="AX72" s="24">
        <v>8018.87</v>
      </c>
      <c r="AY72" s="24">
        <v>7242.89</v>
      </c>
      <c r="AZ72" s="24">
        <v>8018.87</v>
      </c>
      <c r="BA72" s="54">
        <v>15477.62</v>
      </c>
      <c r="BB72" s="25">
        <v>0</v>
      </c>
      <c r="BC72" s="62">
        <v>0</v>
      </c>
      <c r="BD72" s="49" t="s">
        <v>63</v>
      </c>
    </row>
    <row r="73" ht="15" spans="1:56">
      <c r="A73" s="10"/>
      <c r="B73" s="10"/>
      <c r="C73" s="10"/>
      <c r="D73" s="10"/>
      <c r="E73" s="10"/>
      <c r="F73" s="10"/>
      <c r="G73" s="10"/>
      <c r="H73" s="10"/>
      <c r="I73" s="10"/>
      <c r="J73" s="10"/>
      <c r="K73" s="10"/>
      <c r="L73" s="10"/>
      <c r="M73" s="10"/>
      <c r="N73" s="10"/>
      <c r="O73" s="10"/>
      <c r="P73" s="10"/>
      <c r="Q73" s="10"/>
      <c r="R73" s="26" t="s">
        <v>10</v>
      </c>
      <c r="S73" s="24">
        <v>64941.27</v>
      </c>
      <c r="T73" s="24">
        <f>SUM(AO73:BC73)</f>
        <v>48254.88</v>
      </c>
      <c r="U73" s="25">
        <f>SUM(BA73:BC73)</f>
        <v>0</v>
      </c>
      <c r="V73" s="24">
        <f>SUM(AO73:AZ73)</f>
        <v>48254.88</v>
      </c>
      <c r="W73" s="24">
        <f>SUM(AP73:AZ73)</f>
        <v>48254.88</v>
      </c>
      <c r="X73" s="24">
        <f>SUM(AQ73:AZ73)</f>
        <v>48254.88</v>
      </c>
      <c r="Y73" s="24">
        <f>SUM(AR73:AZ73)</f>
        <v>48254.88</v>
      </c>
      <c r="Z73" s="24">
        <f>SUM(AS73:AZ73)</f>
        <v>48254.88</v>
      </c>
      <c r="AA73" s="24">
        <f>SUM(AT73:AZ73)</f>
        <v>48254.88</v>
      </c>
      <c r="AB73" s="24">
        <f>SUM(AU73:AZ73)</f>
        <v>48254.88</v>
      </c>
      <c r="AC73" s="24">
        <f>SUM(AV73:AZ73)</f>
        <v>48254.88</v>
      </c>
      <c r="AD73" s="24">
        <f>SUM(AW73:AZ73)</f>
        <v>48254.88</v>
      </c>
      <c r="AE73" s="24">
        <f>SUM(AX73:AZ73)</f>
        <v>48254.88</v>
      </c>
      <c r="AF73" s="24">
        <f>SUM(AY73:AZ73)</f>
        <v>26195.52</v>
      </c>
      <c r="AG73" s="24">
        <f>SUM(AZ73:AZ73)</f>
        <v>22059.37</v>
      </c>
      <c r="AH73" s="38">
        <v>0</v>
      </c>
      <c r="AI73" s="38">
        <v>0</v>
      </c>
      <c r="AJ73" s="10"/>
      <c r="AK73" s="10"/>
      <c r="AL73" s="10"/>
      <c r="AM73" s="10"/>
      <c r="AN73" s="10"/>
      <c r="AO73" s="24">
        <v>0</v>
      </c>
      <c r="AP73" s="24">
        <v>0</v>
      </c>
      <c r="AQ73" s="24">
        <v>0</v>
      </c>
      <c r="AR73" s="24">
        <v>0</v>
      </c>
      <c r="AS73" s="24">
        <v>0</v>
      </c>
      <c r="AT73" s="24">
        <v>0</v>
      </c>
      <c r="AU73" s="24">
        <v>0</v>
      </c>
      <c r="AV73" s="24">
        <v>0</v>
      </c>
      <c r="AW73" s="24">
        <v>0</v>
      </c>
      <c r="AX73" s="24">
        <v>22059.36</v>
      </c>
      <c r="AY73" s="24">
        <v>4136.15</v>
      </c>
      <c r="AZ73" s="24">
        <v>22059.37</v>
      </c>
      <c r="BA73" s="54">
        <v>0</v>
      </c>
      <c r="BB73" s="25">
        <v>0</v>
      </c>
      <c r="BC73" s="62">
        <v>0</v>
      </c>
      <c r="BD73" s="49" t="s">
        <v>63</v>
      </c>
    </row>
    <row r="74" ht="15" spans="1:56">
      <c r="A74" s="10"/>
      <c r="B74" s="10"/>
      <c r="C74" s="10"/>
      <c r="D74" s="10"/>
      <c r="E74" s="10"/>
      <c r="F74" s="10"/>
      <c r="G74" s="10"/>
      <c r="H74" s="10"/>
      <c r="I74" s="10"/>
      <c r="J74" s="10"/>
      <c r="K74" s="10"/>
      <c r="L74" s="10"/>
      <c r="M74" s="10"/>
      <c r="N74" s="10"/>
      <c r="O74" s="10"/>
      <c r="P74" s="10"/>
      <c r="Q74" s="10"/>
      <c r="R74" s="26" t="s">
        <v>11</v>
      </c>
      <c r="S74" s="24">
        <v>0</v>
      </c>
      <c r="T74" s="24">
        <f>SUM(AO74:BC74)</f>
        <v>0</v>
      </c>
      <c r="U74" s="25">
        <f>SUM(BA74:BC74)</f>
        <v>0</v>
      </c>
      <c r="V74" s="24">
        <v>0</v>
      </c>
      <c r="W74" s="24">
        <v>0</v>
      </c>
      <c r="X74" s="24">
        <v>0</v>
      </c>
      <c r="Y74" s="24">
        <v>0</v>
      </c>
      <c r="Z74" s="24">
        <v>0</v>
      </c>
      <c r="AA74" s="24">
        <v>0</v>
      </c>
      <c r="AB74" s="24">
        <v>0</v>
      </c>
      <c r="AC74" s="24">
        <v>0</v>
      </c>
      <c r="AD74" s="24">
        <v>0</v>
      </c>
      <c r="AE74" s="24">
        <v>0</v>
      </c>
      <c r="AF74" s="24">
        <v>0</v>
      </c>
      <c r="AG74" s="24">
        <v>0</v>
      </c>
      <c r="AH74" s="38">
        <v>0</v>
      </c>
      <c r="AI74" s="38">
        <v>0</v>
      </c>
      <c r="AJ74" s="10"/>
      <c r="AK74" s="10"/>
      <c r="AL74" s="10"/>
      <c r="AM74" s="10"/>
      <c r="AN74" s="10"/>
      <c r="AO74" s="24">
        <v>0</v>
      </c>
      <c r="AP74" s="24">
        <v>0</v>
      </c>
      <c r="AQ74" s="24">
        <v>0</v>
      </c>
      <c r="AR74" s="24">
        <v>0</v>
      </c>
      <c r="AS74" s="24">
        <v>0</v>
      </c>
      <c r="AT74" s="24">
        <v>0</v>
      </c>
      <c r="AU74" s="24">
        <v>0</v>
      </c>
      <c r="AV74" s="24">
        <v>0</v>
      </c>
      <c r="AW74" s="24">
        <v>0</v>
      </c>
      <c r="AX74" s="24">
        <v>0</v>
      </c>
      <c r="AY74" s="24">
        <v>0</v>
      </c>
      <c r="AZ74" s="24">
        <v>0</v>
      </c>
      <c r="BA74" s="54">
        <v>0</v>
      </c>
      <c r="BB74" s="25">
        <v>0</v>
      </c>
      <c r="BC74" s="62">
        <v>0</v>
      </c>
      <c r="BD74" s="49" t="s">
        <v>63</v>
      </c>
    </row>
    <row r="75" ht="15" spans="1:56">
      <c r="A75" s="10"/>
      <c r="B75" s="10"/>
      <c r="C75" s="10"/>
      <c r="D75" s="10"/>
      <c r="E75" s="10"/>
      <c r="F75" s="10"/>
      <c r="G75" s="10"/>
      <c r="H75" s="10"/>
      <c r="I75" s="10"/>
      <c r="J75" s="10"/>
      <c r="K75" s="10"/>
      <c r="L75" s="10"/>
      <c r="M75" s="10"/>
      <c r="N75" s="10"/>
      <c r="O75" s="10"/>
      <c r="P75" s="10"/>
      <c r="Q75" s="10"/>
      <c r="R75" s="26" t="s">
        <v>12</v>
      </c>
      <c r="S75" s="24">
        <v>0</v>
      </c>
      <c r="T75" s="24">
        <f>SUM(AO75:BC75)</f>
        <v>0</v>
      </c>
      <c r="U75" s="25">
        <f>SUM(BA75:BC75)</f>
        <v>0</v>
      </c>
      <c r="V75" s="24">
        <f>SUM(AO75:AZ75)</f>
        <v>0</v>
      </c>
      <c r="W75" s="24">
        <f>SUM(AP75:AZ75)</f>
        <v>0</v>
      </c>
      <c r="X75" s="24">
        <f>SUM(AQ75:AZ75)</f>
        <v>0</v>
      </c>
      <c r="Y75" s="24">
        <f>SUM(AR75:AZ75)</f>
        <v>0</v>
      </c>
      <c r="Z75" s="24">
        <f>SUM(AS75:AZ75)</f>
        <v>0</v>
      </c>
      <c r="AA75" s="24">
        <f>SUM(AT75:AZ75)</f>
        <v>0</v>
      </c>
      <c r="AB75" s="24">
        <f>SUM(AU75:AZ75)</f>
        <v>0</v>
      </c>
      <c r="AC75" s="24">
        <f>SUM(AV75:AZ75)</f>
        <v>0</v>
      </c>
      <c r="AD75" s="24">
        <f>SUM(AW75:AZ75)</f>
        <v>0</v>
      </c>
      <c r="AE75" s="24">
        <f>SUM(AX75:AZ75)</f>
        <v>0</v>
      </c>
      <c r="AF75" s="24">
        <f>SUM(AY75:AZ75)</f>
        <v>0</v>
      </c>
      <c r="AG75" s="24">
        <f>SUM(AZ75:AZ75)</f>
        <v>0</v>
      </c>
      <c r="AH75" s="38">
        <v>0</v>
      </c>
      <c r="AI75" s="38">
        <v>0</v>
      </c>
      <c r="AJ75" s="10"/>
      <c r="AK75" s="10"/>
      <c r="AL75" s="10"/>
      <c r="AM75" s="10"/>
      <c r="AN75" s="10"/>
      <c r="AO75" s="24">
        <v>0</v>
      </c>
      <c r="AP75" s="24">
        <v>0</v>
      </c>
      <c r="AQ75" s="24">
        <v>0</v>
      </c>
      <c r="AR75" s="24">
        <v>0</v>
      </c>
      <c r="AS75" s="24">
        <v>0</v>
      </c>
      <c r="AT75" s="24">
        <v>0</v>
      </c>
      <c r="AU75" s="24">
        <v>0</v>
      </c>
      <c r="AV75" s="24">
        <v>0</v>
      </c>
      <c r="AW75" s="24">
        <v>0</v>
      </c>
      <c r="AX75" s="24">
        <v>0</v>
      </c>
      <c r="AY75" s="24">
        <v>0</v>
      </c>
      <c r="AZ75" s="24">
        <v>0</v>
      </c>
      <c r="BA75" s="54">
        <v>0</v>
      </c>
      <c r="BB75" s="25">
        <v>0</v>
      </c>
      <c r="BC75" s="62">
        <v>0</v>
      </c>
      <c r="BD75" s="49" t="s">
        <v>63</v>
      </c>
    </row>
    <row r="76" ht="15" spans="1:56">
      <c r="A76" s="10"/>
      <c r="B76" s="10"/>
      <c r="C76" s="10"/>
      <c r="D76" s="10"/>
      <c r="E76" s="10"/>
      <c r="F76" s="10"/>
      <c r="G76" s="10"/>
      <c r="H76" s="10"/>
      <c r="I76" s="10"/>
      <c r="J76" s="10"/>
      <c r="K76" s="10"/>
      <c r="L76" s="10"/>
      <c r="M76" s="10"/>
      <c r="N76" s="10"/>
      <c r="O76" s="10"/>
      <c r="P76" s="10"/>
      <c r="Q76" s="10"/>
      <c r="R76" s="26" t="s">
        <v>13</v>
      </c>
      <c r="S76" s="24">
        <v>0</v>
      </c>
      <c r="T76" s="24">
        <f>SUM(AO76:BC76)</f>
        <v>-72.95</v>
      </c>
      <c r="U76" s="25">
        <f>SUM(BA76:BC76)</f>
        <v>-56.65</v>
      </c>
      <c r="V76" s="24">
        <f>SUM(AO76:AZ76)</f>
        <v>-16.3</v>
      </c>
      <c r="W76" s="24">
        <f>SUM(AP76:AZ76)</f>
        <v>-16.3</v>
      </c>
      <c r="X76" s="24">
        <f>SUM(AQ76:AZ76)</f>
        <v>-16.3</v>
      </c>
      <c r="Y76" s="24">
        <f>SUM(AR76:AZ76)</f>
        <v>-16.3</v>
      </c>
      <c r="Z76" s="24">
        <f>SUM(AS76:AZ76)</f>
        <v>-16.3</v>
      </c>
      <c r="AA76" s="24">
        <f>SUM(AT76:AZ76)</f>
        <v>-16.3</v>
      </c>
      <c r="AB76" s="24">
        <f>SUM(AU76:AZ76)</f>
        <v>-16.3</v>
      </c>
      <c r="AC76" s="24">
        <f>SUM(AV76:AZ76)</f>
        <v>-16.3</v>
      </c>
      <c r="AD76" s="24">
        <f>SUM(AW76:AZ76)</f>
        <v>-16.3</v>
      </c>
      <c r="AE76" s="24">
        <f>SUM(AX76:AZ76)</f>
        <v>-16.3</v>
      </c>
      <c r="AF76" s="24">
        <f>SUM(AY76:AZ76)</f>
        <v>-16.3</v>
      </c>
      <c r="AG76" s="24">
        <f>SUM(AZ76:AZ76)</f>
        <v>-16.3</v>
      </c>
      <c r="AH76" s="38">
        <v>0</v>
      </c>
      <c r="AI76" s="38">
        <v>0</v>
      </c>
      <c r="AJ76" s="10"/>
      <c r="AK76" s="10"/>
      <c r="AL76" s="10"/>
      <c r="AM76" s="10"/>
      <c r="AN76" s="10"/>
      <c r="AO76" s="24">
        <v>0</v>
      </c>
      <c r="AP76" s="24">
        <v>0</v>
      </c>
      <c r="AQ76" s="24">
        <v>0</v>
      </c>
      <c r="AR76" s="24">
        <v>0</v>
      </c>
      <c r="AS76" s="24">
        <v>0</v>
      </c>
      <c r="AT76" s="24">
        <v>0</v>
      </c>
      <c r="AU76" s="24">
        <v>0</v>
      </c>
      <c r="AV76" s="24">
        <v>0</v>
      </c>
      <c r="AW76" s="24">
        <v>0</v>
      </c>
      <c r="AX76" s="24">
        <v>0</v>
      </c>
      <c r="AY76" s="24">
        <v>0</v>
      </c>
      <c r="AZ76" s="24">
        <v>-16.3</v>
      </c>
      <c r="BA76" s="54">
        <v>-56.65</v>
      </c>
      <c r="BB76" s="25">
        <v>0</v>
      </c>
      <c r="BC76" s="62">
        <v>0</v>
      </c>
      <c r="BD76" s="49" t="s">
        <v>63</v>
      </c>
    </row>
    <row r="77" ht="15" spans="1:56">
      <c r="A77" s="10"/>
      <c r="B77" s="10"/>
      <c r="C77" s="10"/>
      <c r="D77" s="10"/>
      <c r="E77" s="10"/>
      <c r="F77" s="10"/>
      <c r="G77" s="10"/>
      <c r="H77" s="10"/>
      <c r="I77" s="10"/>
      <c r="J77" s="10"/>
      <c r="K77" s="10"/>
      <c r="L77" s="10"/>
      <c r="M77" s="10"/>
      <c r="N77" s="10"/>
      <c r="O77" s="10"/>
      <c r="P77" s="10"/>
      <c r="Q77" s="10"/>
      <c r="R77" s="26" t="s">
        <v>14</v>
      </c>
      <c r="S77" s="27">
        <f t="shared" ref="S77:AI77" si="70">SUM(S73:S76)</f>
        <v>64941.27</v>
      </c>
      <c r="T77" s="27">
        <f t="shared" si="70"/>
        <v>48181.93</v>
      </c>
      <c r="U77" s="28">
        <f t="shared" si="70"/>
        <v>-56.65</v>
      </c>
      <c r="V77" s="27">
        <f t="shared" si="70"/>
        <v>48238.58</v>
      </c>
      <c r="W77" s="27">
        <f t="shared" si="70"/>
        <v>48238.58</v>
      </c>
      <c r="X77" s="27">
        <f t="shared" si="70"/>
        <v>48238.58</v>
      </c>
      <c r="Y77" s="27">
        <f t="shared" si="70"/>
        <v>48238.58</v>
      </c>
      <c r="Z77" s="27">
        <f t="shared" si="70"/>
        <v>48238.58</v>
      </c>
      <c r="AA77" s="27">
        <f t="shared" si="70"/>
        <v>48238.58</v>
      </c>
      <c r="AB77" s="27">
        <f t="shared" si="70"/>
        <v>48238.58</v>
      </c>
      <c r="AC77" s="27">
        <f t="shared" si="70"/>
        <v>48238.58</v>
      </c>
      <c r="AD77" s="27">
        <f t="shared" si="70"/>
        <v>48238.58</v>
      </c>
      <c r="AE77" s="27">
        <f t="shared" si="70"/>
        <v>48238.58</v>
      </c>
      <c r="AF77" s="27">
        <f t="shared" si="70"/>
        <v>26179.22</v>
      </c>
      <c r="AG77" s="27">
        <f t="shared" si="70"/>
        <v>22043.07</v>
      </c>
      <c r="AH77" s="27">
        <f t="shared" si="70"/>
        <v>0</v>
      </c>
      <c r="AI77" s="27">
        <f t="shared" si="70"/>
        <v>0</v>
      </c>
      <c r="AJ77" s="10"/>
      <c r="AK77" s="10"/>
      <c r="AL77" s="10"/>
      <c r="AM77" s="10"/>
      <c r="AN77" s="10"/>
      <c r="AO77" s="27">
        <f t="shared" ref="AO77:AX77" si="71">SUM(AO73:AO76)</f>
        <v>0</v>
      </c>
      <c r="AP77" s="27">
        <f t="shared" si="71"/>
        <v>0</v>
      </c>
      <c r="AQ77" s="27">
        <f t="shared" si="71"/>
        <v>0</v>
      </c>
      <c r="AR77" s="27">
        <f t="shared" si="71"/>
        <v>0</v>
      </c>
      <c r="AS77" s="27">
        <f t="shared" si="71"/>
        <v>0</v>
      </c>
      <c r="AT77" s="27">
        <f t="shared" si="71"/>
        <v>0</v>
      </c>
      <c r="AU77" s="27">
        <f t="shared" si="71"/>
        <v>0</v>
      </c>
      <c r="AV77" s="27">
        <f t="shared" si="71"/>
        <v>0</v>
      </c>
      <c r="AW77" s="27">
        <f t="shared" si="71"/>
        <v>0</v>
      </c>
      <c r="AX77" s="27">
        <f t="shared" si="71"/>
        <v>22059.36</v>
      </c>
      <c r="AY77" s="27">
        <v>4136.15</v>
      </c>
      <c r="AZ77" s="27">
        <f>SUM(AZ73:AZ76)</f>
        <v>22043.07</v>
      </c>
      <c r="BA77" s="56">
        <v>-56.65</v>
      </c>
      <c r="BB77" s="28">
        <f>SUM(BB73:BB76)</f>
        <v>0</v>
      </c>
      <c r="BC77" s="60">
        <f>SUM(BC73:BC76)</f>
        <v>0</v>
      </c>
      <c r="BD77" s="50" t="s">
        <v>63</v>
      </c>
    </row>
    <row r="78" ht="15" spans="1:56">
      <c r="A78" s="10"/>
      <c r="B78" s="10"/>
      <c r="C78" s="10"/>
      <c r="D78" s="10"/>
      <c r="E78" s="10"/>
      <c r="F78" s="10"/>
      <c r="G78" s="10"/>
      <c r="H78" s="10"/>
      <c r="I78" s="10"/>
      <c r="J78" s="10"/>
      <c r="K78" s="10"/>
      <c r="L78" s="10"/>
      <c r="M78" s="10"/>
      <c r="N78" s="10"/>
      <c r="O78" s="10"/>
      <c r="P78" s="10"/>
      <c r="Q78" s="10"/>
      <c r="R78" s="26" t="s">
        <v>15</v>
      </c>
      <c r="S78" s="24">
        <f t="shared" ref="S78:AG78" si="72">S72-S73</f>
        <v>15247.41</v>
      </c>
      <c r="T78" s="24">
        <f t="shared" si="72"/>
        <v>-9496.63</v>
      </c>
      <c r="U78" s="25">
        <f t="shared" si="72"/>
        <v>15477.62</v>
      </c>
      <c r="V78" s="24">
        <f t="shared" si="72"/>
        <v>-24974.25</v>
      </c>
      <c r="W78" s="24">
        <f t="shared" si="72"/>
        <v>-24974.25</v>
      </c>
      <c r="X78" s="24">
        <f t="shared" si="72"/>
        <v>-24974.25</v>
      </c>
      <c r="Y78" s="24">
        <f t="shared" si="72"/>
        <v>-24974.25</v>
      </c>
      <c r="Z78" s="24">
        <f t="shared" si="72"/>
        <v>-24974.25</v>
      </c>
      <c r="AA78" s="24">
        <f t="shared" si="72"/>
        <v>-24974.25</v>
      </c>
      <c r="AB78" s="24">
        <f t="shared" si="72"/>
        <v>-24974.25</v>
      </c>
      <c r="AC78" s="24">
        <f t="shared" si="72"/>
        <v>-24974.25</v>
      </c>
      <c r="AD78" s="24">
        <f t="shared" si="72"/>
        <v>-24974.25</v>
      </c>
      <c r="AE78" s="24">
        <f t="shared" si="72"/>
        <v>-24974.25</v>
      </c>
      <c r="AF78" s="24">
        <f t="shared" si="72"/>
        <v>-10933.76</v>
      </c>
      <c r="AG78" s="24">
        <f t="shared" si="72"/>
        <v>-14040.5</v>
      </c>
      <c r="AH78" s="41">
        <v>0</v>
      </c>
      <c r="AI78" s="41">
        <v>0</v>
      </c>
      <c r="AJ78" s="10"/>
      <c r="AK78" s="10"/>
      <c r="AL78" s="10"/>
      <c r="AM78" s="10"/>
      <c r="AN78" s="10"/>
      <c r="AO78" s="24">
        <f t="shared" ref="AO78:AZ78" si="73">AO72-AO73</f>
        <v>0</v>
      </c>
      <c r="AP78" s="24">
        <f t="shared" si="73"/>
        <v>0</v>
      </c>
      <c r="AQ78" s="24">
        <f t="shared" si="73"/>
        <v>0</v>
      </c>
      <c r="AR78" s="24">
        <f t="shared" si="73"/>
        <v>0</v>
      </c>
      <c r="AS78" s="24">
        <f t="shared" si="73"/>
        <v>0</v>
      </c>
      <c r="AT78" s="24">
        <f t="shared" si="73"/>
        <v>0</v>
      </c>
      <c r="AU78" s="24">
        <f t="shared" si="73"/>
        <v>0</v>
      </c>
      <c r="AV78" s="24">
        <f t="shared" si="73"/>
        <v>0</v>
      </c>
      <c r="AW78" s="24">
        <f t="shared" si="73"/>
        <v>0</v>
      </c>
      <c r="AX78" s="24">
        <f t="shared" si="73"/>
        <v>-14040.49</v>
      </c>
      <c r="AY78" s="24">
        <f t="shared" si="73"/>
        <v>3106.74</v>
      </c>
      <c r="AZ78" s="24">
        <f t="shared" si="73"/>
        <v>-14040.5</v>
      </c>
      <c r="BA78" s="57">
        <v>15477.62</v>
      </c>
      <c r="BB78" s="28">
        <v>0</v>
      </c>
      <c r="BC78" s="62">
        <v>0</v>
      </c>
      <c r="BD78" s="49" t="s">
        <v>63</v>
      </c>
    </row>
    <row r="79" ht="15" spans="1:56">
      <c r="A79" s="10"/>
      <c r="B79" s="10"/>
      <c r="C79" s="10"/>
      <c r="D79" s="10"/>
      <c r="E79" s="10"/>
      <c r="F79" s="10"/>
      <c r="G79" s="10"/>
      <c r="H79" s="10"/>
      <c r="I79" s="10"/>
      <c r="J79" s="10"/>
      <c r="K79" s="10"/>
      <c r="L79" s="10"/>
      <c r="M79" s="10"/>
      <c r="N79" s="10"/>
      <c r="O79" s="10"/>
      <c r="P79" s="10"/>
      <c r="Q79" s="10"/>
      <c r="R79" s="29" t="s">
        <v>16</v>
      </c>
      <c r="S79" s="30">
        <f t="shared" ref="S79:AG79" si="74">S78/S72</f>
        <v>0.190144169975114</v>
      </c>
      <c r="T79" s="30">
        <f t="shared" si="74"/>
        <v>-0.245022156573117</v>
      </c>
      <c r="U79" s="31">
        <f t="shared" si="74"/>
        <v>1</v>
      </c>
      <c r="V79" s="30">
        <f t="shared" si="74"/>
        <v>-1.07274803130328</v>
      </c>
      <c r="W79" s="30">
        <f t="shared" si="74"/>
        <v>-1.07274803130328</v>
      </c>
      <c r="X79" s="30">
        <f t="shared" si="74"/>
        <v>-1.07274803130328</v>
      </c>
      <c r="Y79" s="30">
        <f t="shared" si="74"/>
        <v>-1.07274803130328</v>
      </c>
      <c r="Z79" s="30">
        <f t="shared" si="74"/>
        <v>-1.07274803130328</v>
      </c>
      <c r="AA79" s="30">
        <f t="shared" si="74"/>
        <v>-1.07274803130328</v>
      </c>
      <c r="AB79" s="30">
        <f t="shared" si="74"/>
        <v>-1.07274803130328</v>
      </c>
      <c r="AC79" s="30">
        <f t="shared" si="74"/>
        <v>-1.07274803130328</v>
      </c>
      <c r="AD79" s="30">
        <f t="shared" si="74"/>
        <v>-1.07274803130328</v>
      </c>
      <c r="AE79" s="30">
        <f t="shared" si="74"/>
        <v>-1.07274803130328</v>
      </c>
      <c r="AF79" s="30">
        <f t="shared" si="74"/>
        <v>-0.716415406873126</v>
      </c>
      <c r="AG79" s="30">
        <f t="shared" si="74"/>
        <v>-1.75093248799394</v>
      </c>
      <c r="AH79" s="42">
        <f>T79-S79</f>
        <v>-0.435166326548231</v>
      </c>
      <c r="AI79" s="42">
        <f>AF79-S79</f>
        <v>-0.906559576848239</v>
      </c>
      <c r="AJ79" s="10"/>
      <c r="AK79" s="10"/>
      <c r="AL79" s="10"/>
      <c r="AM79" s="10"/>
      <c r="AN79" s="10"/>
      <c r="AO79" s="30" t="e">
        <f t="shared" ref="AO79:AZ79" si="75">AO78/AO72</f>
        <v>#DIV/0!</v>
      </c>
      <c r="AP79" s="30" t="e">
        <f t="shared" si="75"/>
        <v>#DIV/0!</v>
      </c>
      <c r="AQ79" s="30" t="e">
        <f t="shared" si="75"/>
        <v>#DIV/0!</v>
      </c>
      <c r="AR79" s="30" t="e">
        <f t="shared" si="75"/>
        <v>#DIV/0!</v>
      </c>
      <c r="AS79" s="30" t="e">
        <f t="shared" si="75"/>
        <v>#DIV/0!</v>
      </c>
      <c r="AT79" s="30" t="e">
        <f t="shared" si="75"/>
        <v>#DIV/0!</v>
      </c>
      <c r="AU79" s="30" t="e">
        <f t="shared" si="75"/>
        <v>#DIV/0!</v>
      </c>
      <c r="AV79" s="30" t="e">
        <f t="shared" si="75"/>
        <v>#DIV/0!</v>
      </c>
      <c r="AW79" s="30" t="e">
        <f t="shared" si="75"/>
        <v>#DIV/0!</v>
      </c>
      <c r="AX79" s="30">
        <f t="shared" si="75"/>
        <v>-1.75093124093544</v>
      </c>
      <c r="AY79" s="30">
        <f t="shared" si="75"/>
        <v>0.428936515672611</v>
      </c>
      <c r="AZ79" s="30">
        <f t="shared" si="75"/>
        <v>-1.75093248799394</v>
      </c>
      <c r="BA79" s="58">
        <v>1</v>
      </c>
      <c r="BB79" s="52">
        <v>0</v>
      </c>
      <c r="BC79" s="62">
        <v>0</v>
      </c>
      <c r="BD79" s="49" t="s">
        <v>63</v>
      </c>
    </row>
    <row r="80" ht="15" spans="1:56">
      <c r="A80" s="10"/>
      <c r="B80" s="10"/>
      <c r="C80" s="10"/>
      <c r="D80" s="10"/>
      <c r="E80" s="10"/>
      <c r="F80" s="10"/>
      <c r="G80" s="10"/>
      <c r="H80" s="10"/>
      <c r="I80" s="10"/>
      <c r="J80" s="10"/>
      <c r="K80" s="10"/>
      <c r="L80" s="10"/>
      <c r="M80" s="10"/>
      <c r="N80" s="10"/>
      <c r="O80" s="10"/>
      <c r="P80" s="10"/>
      <c r="Q80" s="10"/>
      <c r="R80" s="26" t="s">
        <v>17</v>
      </c>
      <c r="S80" s="24">
        <f t="shared" ref="S80:AG80" si="76">S72-S77</f>
        <v>15247.41</v>
      </c>
      <c r="T80" s="24">
        <f t="shared" si="76"/>
        <v>-9423.68000000001</v>
      </c>
      <c r="U80" s="24">
        <f t="shared" si="76"/>
        <v>15534.27</v>
      </c>
      <c r="V80" s="24">
        <f t="shared" si="76"/>
        <v>-24957.95</v>
      </c>
      <c r="W80" s="24">
        <f t="shared" si="76"/>
        <v>-24957.95</v>
      </c>
      <c r="X80" s="24">
        <f t="shared" si="76"/>
        <v>-24957.95</v>
      </c>
      <c r="Y80" s="24">
        <f t="shared" si="76"/>
        <v>-24957.95</v>
      </c>
      <c r="Z80" s="24">
        <f t="shared" si="76"/>
        <v>-24957.95</v>
      </c>
      <c r="AA80" s="24">
        <f t="shared" si="76"/>
        <v>-24957.95</v>
      </c>
      <c r="AB80" s="24">
        <f t="shared" si="76"/>
        <v>-24957.95</v>
      </c>
      <c r="AC80" s="24">
        <f t="shared" si="76"/>
        <v>-24957.95</v>
      </c>
      <c r="AD80" s="24">
        <f t="shared" si="76"/>
        <v>-24957.95</v>
      </c>
      <c r="AE80" s="24">
        <f t="shared" si="76"/>
        <v>-24957.95</v>
      </c>
      <c r="AF80" s="24">
        <f t="shared" si="76"/>
        <v>-10917.46</v>
      </c>
      <c r="AG80" s="24">
        <f t="shared" si="76"/>
        <v>-14024.2</v>
      </c>
      <c r="AH80" s="42">
        <v>0</v>
      </c>
      <c r="AI80" s="42">
        <v>0</v>
      </c>
      <c r="AJ80" s="10"/>
      <c r="AK80" s="10"/>
      <c r="AL80" s="10"/>
      <c r="AM80" s="10"/>
      <c r="AN80" s="10"/>
      <c r="AO80" s="24">
        <f t="shared" ref="AO80:BC80" si="77">AO72-AO77</f>
        <v>0</v>
      </c>
      <c r="AP80" s="24">
        <f t="shared" si="77"/>
        <v>0</v>
      </c>
      <c r="AQ80" s="24">
        <f t="shared" si="77"/>
        <v>0</v>
      </c>
      <c r="AR80" s="24">
        <f t="shared" si="77"/>
        <v>0</v>
      </c>
      <c r="AS80" s="24">
        <f t="shared" si="77"/>
        <v>0</v>
      </c>
      <c r="AT80" s="24">
        <f t="shared" si="77"/>
        <v>0</v>
      </c>
      <c r="AU80" s="24">
        <f t="shared" si="77"/>
        <v>0</v>
      </c>
      <c r="AV80" s="24">
        <f t="shared" si="77"/>
        <v>0</v>
      </c>
      <c r="AW80" s="24">
        <f t="shared" si="77"/>
        <v>0</v>
      </c>
      <c r="AX80" s="24">
        <f t="shared" si="77"/>
        <v>-14040.49</v>
      </c>
      <c r="AY80" s="24">
        <f t="shared" si="77"/>
        <v>3106.74</v>
      </c>
      <c r="AZ80" s="24">
        <f t="shared" si="77"/>
        <v>-14024.2</v>
      </c>
      <c r="BA80" s="24">
        <f t="shared" si="77"/>
        <v>15534.27</v>
      </c>
      <c r="BB80" s="24">
        <f t="shared" si="77"/>
        <v>0</v>
      </c>
      <c r="BC80" s="24">
        <f t="shared" si="77"/>
        <v>0</v>
      </c>
      <c r="BD80" s="49" t="s">
        <v>63</v>
      </c>
    </row>
    <row r="81" ht="15" spans="1:56">
      <c r="A81" s="11"/>
      <c r="B81" s="11"/>
      <c r="C81" s="11"/>
      <c r="D81" s="11"/>
      <c r="E81" s="11"/>
      <c r="F81" s="11"/>
      <c r="G81" s="11"/>
      <c r="H81" s="11"/>
      <c r="I81" s="11"/>
      <c r="J81" s="11"/>
      <c r="K81" s="11"/>
      <c r="L81" s="11"/>
      <c r="M81" s="11"/>
      <c r="N81" s="11"/>
      <c r="O81" s="11"/>
      <c r="P81" s="11"/>
      <c r="Q81" s="11"/>
      <c r="R81" s="29" t="s">
        <v>18</v>
      </c>
      <c r="S81" s="30">
        <f t="shared" ref="S81:AG81" si="78">S80/S72</f>
        <v>0.190144169975114</v>
      </c>
      <c r="T81" s="30">
        <f t="shared" si="78"/>
        <v>-0.243139976650133</v>
      </c>
      <c r="U81" s="31">
        <f t="shared" si="78"/>
        <v>1.00366012345567</v>
      </c>
      <c r="V81" s="30">
        <f t="shared" si="78"/>
        <v>-1.07204787842941</v>
      </c>
      <c r="W81" s="30">
        <f t="shared" si="78"/>
        <v>-1.07204787842941</v>
      </c>
      <c r="X81" s="30">
        <f t="shared" si="78"/>
        <v>-1.07204787842941</v>
      </c>
      <c r="Y81" s="30">
        <f t="shared" si="78"/>
        <v>-1.07204787842941</v>
      </c>
      <c r="Z81" s="30">
        <f t="shared" si="78"/>
        <v>-1.07204787842941</v>
      </c>
      <c r="AA81" s="30">
        <f t="shared" si="78"/>
        <v>-1.07204787842941</v>
      </c>
      <c r="AB81" s="30">
        <f t="shared" si="78"/>
        <v>-1.07204787842941</v>
      </c>
      <c r="AC81" s="30">
        <f t="shared" si="78"/>
        <v>-1.07204787842941</v>
      </c>
      <c r="AD81" s="30">
        <f t="shared" si="78"/>
        <v>-1.07204787842941</v>
      </c>
      <c r="AE81" s="30">
        <f t="shared" si="78"/>
        <v>-1.07204787842941</v>
      </c>
      <c r="AF81" s="30">
        <f t="shared" si="78"/>
        <v>-0.715347378021932</v>
      </c>
      <c r="AG81" s="30">
        <f t="shared" si="78"/>
        <v>-1.7488997826377</v>
      </c>
      <c r="AH81" s="42">
        <f>T81-S81</f>
        <v>-0.433284146625246</v>
      </c>
      <c r="AI81" s="42">
        <f>AF81-S81</f>
        <v>-0.905491547997045</v>
      </c>
      <c r="AJ81" s="11"/>
      <c r="AK81" s="11"/>
      <c r="AL81" s="11"/>
      <c r="AM81" s="11"/>
      <c r="AN81" s="11"/>
      <c r="AO81" s="30" t="e">
        <f t="shared" ref="AO81:AZ81" si="79">AO80/AO72</f>
        <v>#DIV/0!</v>
      </c>
      <c r="AP81" s="30" t="e">
        <f t="shared" si="79"/>
        <v>#DIV/0!</v>
      </c>
      <c r="AQ81" s="30" t="e">
        <f t="shared" si="79"/>
        <v>#DIV/0!</v>
      </c>
      <c r="AR81" s="30" t="e">
        <f t="shared" si="79"/>
        <v>#DIV/0!</v>
      </c>
      <c r="AS81" s="30" t="e">
        <f t="shared" si="79"/>
        <v>#DIV/0!</v>
      </c>
      <c r="AT81" s="30" t="e">
        <f t="shared" si="79"/>
        <v>#DIV/0!</v>
      </c>
      <c r="AU81" s="30" t="e">
        <f t="shared" si="79"/>
        <v>#DIV/0!</v>
      </c>
      <c r="AV81" s="30" t="e">
        <f t="shared" si="79"/>
        <v>#DIV/0!</v>
      </c>
      <c r="AW81" s="30" t="e">
        <f t="shared" si="79"/>
        <v>#DIV/0!</v>
      </c>
      <c r="AX81" s="30">
        <f t="shared" si="79"/>
        <v>-1.75093124093544</v>
      </c>
      <c r="AY81" s="30">
        <f t="shared" si="79"/>
        <v>0.428936515672611</v>
      </c>
      <c r="AZ81" s="30">
        <f t="shared" si="79"/>
        <v>-1.7488997826377</v>
      </c>
      <c r="BA81" s="58">
        <v>1.00366012345567</v>
      </c>
      <c r="BB81" s="52">
        <v>0</v>
      </c>
      <c r="BC81" s="62">
        <v>0</v>
      </c>
      <c r="BD81" s="49" t="s">
        <v>63</v>
      </c>
    </row>
    <row r="82" ht="15" spans="1:56">
      <c r="A82" s="12" t="s">
        <v>87</v>
      </c>
      <c r="B82" s="13" t="s">
        <v>88</v>
      </c>
      <c r="C82" s="14">
        <v>46023</v>
      </c>
      <c r="D82" s="14">
        <v>46387</v>
      </c>
      <c r="E82" s="6"/>
      <c r="F82" s="7" t="s">
        <v>62</v>
      </c>
      <c r="G82" s="9">
        <v>0</v>
      </c>
      <c r="H82" s="9"/>
      <c r="I82" s="9"/>
      <c r="J82" s="9"/>
      <c r="K82" s="9"/>
      <c r="L82" s="9"/>
      <c r="M82" s="9"/>
      <c r="N82" s="9"/>
      <c r="O82" s="9"/>
      <c r="P82" s="6"/>
      <c r="Q82" s="9" t="s">
        <v>63</v>
      </c>
      <c r="R82" s="32" t="s">
        <v>9</v>
      </c>
      <c r="S82" s="24">
        <v>66037.74</v>
      </c>
      <c r="T82" s="24">
        <f>SUM(AO82:BC82)</f>
        <v>15985.38</v>
      </c>
      <c r="U82" s="25">
        <f>SUM(BA82:BC82)</f>
        <v>-297.88</v>
      </c>
      <c r="V82" s="24">
        <f>SUM(AO82:AZ82)</f>
        <v>16283.26</v>
      </c>
      <c r="W82" s="24">
        <f>SUM(AP82:AZ82)</f>
        <v>16283.26</v>
      </c>
      <c r="X82" s="24">
        <f>SUM(AQ82:AZ82)</f>
        <v>16283.26</v>
      </c>
      <c r="Y82" s="24">
        <f>SUM(AR82:AZ82)</f>
        <v>16283.26</v>
      </c>
      <c r="Z82" s="24">
        <f>SUM(AS82:AZ82)</f>
        <v>16283.26</v>
      </c>
      <c r="AA82" s="24">
        <f>SUM(AT82:AZ82)</f>
        <v>16283.26</v>
      </c>
      <c r="AB82" s="24">
        <f>SUM(AU82:AZ82)</f>
        <v>16283.26</v>
      </c>
      <c r="AC82" s="24">
        <f>SUM(AV82:AZ82)</f>
        <v>16283.26</v>
      </c>
      <c r="AD82" s="24">
        <f>SUM(AW82:AZ82)</f>
        <v>16283.26</v>
      </c>
      <c r="AE82" s="24">
        <f>SUM(AX82:AZ82)</f>
        <v>16283.26</v>
      </c>
      <c r="AF82" s="24">
        <f>SUM(AY82:AZ82)</f>
        <v>10674.61</v>
      </c>
      <c r="AG82" s="24">
        <f>SUM(AZ82:AZ82)</f>
        <v>5608.72</v>
      </c>
      <c r="AH82" s="38">
        <v>0</v>
      </c>
      <c r="AI82" s="38">
        <v>0</v>
      </c>
      <c r="AJ82" s="13" t="s">
        <v>63</v>
      </c>
      <c r="AK82" s="43" t="s">
        <v>63</v>
      </c>
      <c r="AL82" s="43" t="s">
        <v>63</v>
      </c>
      <c r="AM82" s="43" t="s">
        <v>63</v>
      </c>
      <c r="AN82" s="7"/>
      <c r="AO82" s="24">
        <v>0</v>
      </c>
      <c r="AP82" s="24">
        <v>0</v>
      </c>
      <c r="AQ82" s="24">
        <v>0</v>
      </c>
      <c r="AR82" s="24">
        <v>0</v>
      </c>
      <c r="AS82" s="24">
        <v>0</v>
      </c>
      <c r="AT82" s="24">
        <v>0</v>
      </c>
      <c r="AU82" s="24">
        <v>0</v>
      </c>
      <c r="AV82" s="24">
        <v>0</v>
      </c>
      <c r="AW82" s="24">
        <v>0</v>
      </c>
      <c r="AX82" s="24">
        <v>5608.65</v>
      </c>
      <c r="AY82" s="24">
        <v>5065.89</v>
      </c>
      <c r="AZ82" s="24">
        <v>5608.72</v>
      </c>
      <c r="BA82" s="54">
        <v>-297.88</v>
      </c>
      <c r="BB82" s="25">
        <v>0</v>
      </c>
      <c r="BC82" s="62">
        <v>0</v>
      </c>
      <c r="BD82" s="49" t="s">
        <v>63</v>
      </c>
    </row>
    <row r="83" ht="15" spans="1:56">
      <c r="A83" s="10"/>
      <c r="B83" s="10"/>
      <c r="C83" s="10"/>
      <c r="D83" s="10"/>
      <c r="E83" s="10"/>
      <c r="F83" s="10"/>
      <c r="G83" s="10"/>
      <c r="H83" s="10"/>
      <c r="I83" s="10"/>
      <c r="J83" s="10"/>
      <c r="K83" s="10"/>
      <c r="L83" s="10"/>
      <c r="M83" s="10"/>
      <c r="N83" s="10"/>
      <c r="O83" s="10"/>
      <c r="P83" s="10"/>
      <c r="Q83" s="10"/>
      <c r="R83" s="26" t="s">
        <v>10</v>
      </c>
      <c r="S83" s="24">
        <v>47233.8</v>
      </c>
      <c r="T83" s="24">
        <f>SUM(AO83:BC83)</f>
        <v>4659.54</v>
      </c>
      <c r="U83" s="25">
        <f>SUM(BA83:BC83)</f>
        <v>0</v>
      </c>
      <c r="V83" s="24">
        <f>SUM(AO83:AZ83)</f>
        <v>4659.54</v>
      </c>
      <c r="W83" s="24">
        <f>SUM(AP83:AZ83)</f>
        <v>4659.54</v>
      </c>
      <c r="X83" s="24">
        <f>SUM(AQ83:AZ83)</f>
        <v>4659.54</v>
      </c>
      <c r="Y83" s="24">
        <f>SUM(AR83:AZ83)</f>
        <v>4659.54</v>
      </c>
      <c r="Z83" s="24">
        <f>SUM(AS83:AZ83)</f>
        <v>4659.54</v>
      </c>
      <c r="AA83" s="24">
        <f>SUM(AT83:AZ83)</f>
        <v>4659.54</v>
      </c>
      <c r="AB83" s="24">
        <f>SUM(AU83:AZ83)</f>
        <v>4659.54</v>
      </c>
      <c r="AC83" s="24">
        <f>SUM(AV83:AZ83)</f>
        <v>4659.54</v>
      </c>
      <c r="AD83" s="24">
        <f>SUM(AW83:AZ83)</f>
        <v>4659.54</v>
      </c>
      <c r="AE83" s="24">
        <f>SUM(AX83:AZ83)</f>
        <v>4659.54</v>
      </c>
      <c r="AF83" s="24">
        <f>SUM(AY83:AZ83)</f>
        <v>4659.54</v>
      </c>
      <c r="AG83" s="24">
        <f>SUM(AZ83:AZ83)</f>
        <v>4659.53</v>
      </c>
      <c r="AH83" s="38">
        <v>0</v>
      </c>
      <c r="AI83" s="38">
        <v>0</v>
      </c>
      <c r="AJ83" s="10"/>
      <c r="AK83" s="10"/>
      <c r="AL83" s="10"/>
      <c r="AM83" s="10"/>
      <c r="AN83" s="10"/>
      <c r="AO83" s="24">
        <v>0</v>
      </c>
      <c r="AP83" s="24">
        <v>0</v>
      </c>
      <c r="AQ83" s="24">
        <v>0</v>
      </c>
      <c r="AR83" s="24">
        <v>0</v>
      </c>
      <c r="AS83" s="24">
        <v>0</v>
      </c>
      <c r="AT83" s="24">
        <v>0</v>
      </c>
      <c r="AU83" s="24">
        <v>0</v>
      </c>
      <c r="AV83" s="24">
        <v>0</v>
      </c>
      <c r="AW83" s="24">
        <v>0</v>
      </c>
      <c r="AX83" s="24">
        <v>0</v>
      </c>
      <c r="AY83" s="24">
        <v>0.01</v>
      </c>
      <c r="AZ83" s="24">
        <v>4659.53</v>
      </c>
      <c r="BA83" s="54">
        <v>0</v>
      </c>
      <c r="BB83" s="25">
        <v>0</v>
      </c>
      <c r="BC83" s="62">
        <v>0</v>
      </c>
      <c r="BD83" s="49" t="s">
        <v>63</v>
      </c>
    </row>
    <row r="84" ht="15" spans="1:56">
      <c r="A84" s="10"/>
      <c r="B84" s="10"/>
      <c r="C84" s="10"/>
      <c r="D84" s="10"/>
      <c r="E84" s="10"/>
      <c r="F84" s="10"/>
      <c r="G84" s="10"/>
      <c r="H84" s="10"/>
      <c r="I84" s="10"/>
      <c r="J84" s="10"/>
      <c r="K84" s="10"/>
      <c r="L84" s="10"/>
      <c r="M84" s="10"/>
      <c r="N84" s="10"/>
      <c r="O84" s="10"/>
      <c r="P84" s="10"/>
      <c r="Q84" s="10"/>
      <c r="R84" s="26" t="s">
        <v>11</v>
      </c>
      <c r="S84" s="24">
        <v>0</v>
      </c>
      <c r="T84" s="24">
        <f>SUM(AO84:BC84)</f>
        <v>0</v>
      </c>
      <c r="U84" s="25">
        <f>SUM(BA84:BC84)</f>
        <v>0</v>
      </c>
      <c r="V84" s="24">
        <v>0</v>
      </c>
      <c r="W84" s="24">
        <v>0</v>
      </c>
      <c r="X84" s="24">
        <v>0</v>
      </c>
      <c r="Y84" s="24">
        <v>0</v>
      </c>
      <c r="Z84" s="24">
        <v>0</v>
      </c>
      <c r="AA84" s="24">
        <v>0</v>
      </c>
      <c r="AB84" s="24">
        <v>0</v>
      </c>
      <c r="AC84" s="24">
        <v>0</v>
      </c>
      <c r="AD84" s="24">
        <v>0</v>
      </c>
      <c r="AE84" s="24">
        <v>0</v>
      </c>
      <c r="AF84" s="24">
        <v>0</v>
      </c>
      <c r="AG84" s="24">
        <v>0</v>
      </c>
      <c r="AH84" s="38">
        <v>0</v>
      </c>
      <c r="AI84" s="38">
        <v>0</v>
      </c>
      <c r="AJ84" s="10"/>
      <c r="AK84" s="10"/>
      <c r="AL84" s="10"/>
      <c r="AM84" s="10"/>
      <c r="AN84" s="10"/>
      <c r="AO84" s="24">
        <v>0</v>
      </c>
      <c r="AP84" s="24">
        <v>0</v>
      </c>
      <c r="AQ84" s="24">
        <v>0</v>
      </c>
      <c r="AR84" s="24">
        <v>0</v>
      </c>
      <c r="AS84" s="24">
        <v>0</v>
      </c>
      <c r="AT84" s="24">
        <v>0</v>
      </c>
      <c r="AU84" s="24">
        <v>0</v>
      </c>
      <c r="AV84" s="24">
        <v>0</v>
      </c>
      <c r="AW84" s="24">
        <v>0</v>
      </c>
      <c r="AX84" s="24">
        <v>0</v>
      </c>
      <c r="AY84" s="24">
        <v>0</v>
      </c>
      <c r="AZ84" s="24">
        <v>0</v>
      </c>
      <c r="BA84" s="54">
        <v>0</v>
      </c>
      <c r="BB84" s="25">
        <v>0</v>
      </c>
      <c r="BC84" s="62">
        <v>0</v>
      </c>
      <c r="BD84" s="49" t="s">
        <v>63</v>
      </c>
    </row>
    <row r="85" ht="15" spans="1:56">
      <c r="A85" s="10"/>
      <c r="B85" s="10"/>
      <c r="C85" s="10"/>
      <c r="D85" s="10"/>
      <c r="E85" s="10"/>
      <c r="F85" s="10"/>
      <c r="G85" s="10"/>
      <c r="H85" s="10"/>
      <c r="I85" s="10"/>
      <c r="J85" s="10"/>
      <c r="K85" s="10"/>
      <c r="L85" s="10"/>
      <c r="M85" s="10"/>
      <c r="N85" s="10"/>
      <c r="O85" s="10"/>
      <c r="P85" s="10"/>
      <c r="Q85" s="10"/>
      <c r="R85" s="26" t="s">
        <v>12</v>
      </c>
      <c r="S85" s="24">
        <v>8000</v>
      </c>
      <c r="T85" s="24">
        <f>SUM(AO85:BC85)</f>
        <v>0</v>
      </c>
      <c r="U85" s="25">
        <f>SUM(BA85:BC85)</f>
        <v>0</v>
      </c>
      <c r="V85" s="24">
        <f>SUM(AO85:AZ85)</f>
        <v>0</v>
      </c>
      <c r="W85" s="24">
        <f>SUM(AP85:AZ85)</f>
        <v>0</v>
      </c>
      <c r="X85" s="24">
        <f>SUM(AQ85:AZ85)</f>
        <v>0</v>
      </c>
      <c r="Y85" s="24">
        <f>SUM(AR85:AZ85)</f>
        <v>0</v>
      </c>
      <c r="Z85" s="24">
        <f>SUM(AS85:AZ85)</f>
        <v>0</v>
      </c>
      <c r="AA85" s="24">
        <f>SUM(AT85:AZ85)</f>
        <v>0</v>
      </c>
      <c r="AB85" s="24">
        <f>SUM(AU85:AZ85)</f>
        <v>0</v>
      </c>
      <c r="AC85" s="24">
        <f>SUM(AV85:AZ85)</f>
        <v>0</v>
      </c>
      <c r="AD85" s="24">
        <f>SUM(AW85:AZ85)</f>
        <v>0</v>
      </c>
      <c r="AE85" s="24">
        <f>SUM(AX85:AZ85)</f>
        <v>0</v>
      </c>
      <c r="AF85" s="24">
        <f>SUM(AY85:AZ85)</f>
        <v>0</v>
      </c>
      <c r="AG85" s="24">
        <f>SUM(AZ85:AZ85)</f>
        <v>0</v>
      </c>
      <c r="AH85" s="38">
        <v>0</v>
      </c>
      <c r="AI85" s="38">
        <v>0</v>
      </c>
      <c r="AJ85" s="10"/>
      <c r="AK85" s="10"/>
      <c r="AL85" s="10"/>
      <c r="AM85" s="10"/>
      <c r="AN85" s="10"/>
      <c r="AO85" s="24">
        <v>0</v>
      </c>
      <c r="AP85" s="24">
        <v>0</v>
      </c>
      <c r="AQ85" s="24">
        <v>0</v>
      </c>
      <c r="AR85" s="24">
        <v>0</v>
      </c>
      <c r="AS85" s="24">
        <v>0</v>
      </c>
      <c r="AT85" s="24">
        <v>0</v>
      </c>
      <c r="AU85" s="24">
        <v>0</v>
      </c>
      <c r="AV85" s="24">
        <v>0</v>
      </c>
      <c r="AW85" s="24">
        <v>0</v>
      </c>
      <c r="AX85" s="24">
        <v>0</v>
      </c>
      <c r="AY85" s="24">
        <v>0</v>
      </c>
      <c r="AZ85" s="24">
        <v>0</v>
      </c>
      <c r="BA85" s="54">
        <v>0</v>
      </c>
      <c r="BB85" s="25">
        <v>0</v>
      </c>
      <c r="BC85" s="62">
        <v>0</v>
      </c>
      <c r="BD85" s="49" t="s">
        <v>63</v>
      </c>
    </row>
    <row r="86" ht="15" spans="1:56">
      <c r="A86" s="10"/>
      <c r="B86" s="10"/>
      <c r="C86" s="10"/>
      <c r="D86" s="10"/>
      <c r="E86" s="10"/>
      <c r="F86" s="10"/>
      <c r="G86" s="10"/>
      <c r="H86" s="10"/>
      <c r="I86" s="10"/>
      <c r="J86" s="10"/>
      <c r="K86" s="10"/>
      <c r="L86" s="10"/>
      <c r="M86" s="10"/>
      <c r="N86" s="10"/>
      <c r="O86" s="10"/>
      <c r="P86" s="10"/>
      <c r="Q86" s="10"/>
      <c r="R86" s="26" t="s">
        <v>13</v>
      </c>
      <c r="S86" s="24">
        <v>0</v>
      </c>
      <c r="T86" s="24">
        <f>SUM(AO86:BC86)</f>
        <v>-125.92</v>
      </c>
      <c r="U86" s="25">
        <f>SUM(BA86:BC86)</f>
        <v>-39.62</v>
      </c>
      <c r="V86" s="24">
        <f>SUM(AO86:AZ86)</f>
        <v>-86.3</v>
      </c>
      <c r="W86" s="24">
        <f>SUM(AP86:AZ86)</f>
        <v>-86.3</v>
      </c>
      <c r="X86" s="24">
        <f>SUM(AQ86:AZ86)</f>
        <v>-86.3</v>
      </c>
      <c r="Y86" s="24">
        <f>SUM(AR86:AZ86)</f>
        <v>-86.3</v>
      </c>
      <c r="Z86" s="24">
        <f>SUM(AS86:AZ86)</f>
        <v>-86.3</v>
      </c>
      <c r="AA86" s="24">
        <f>SUM(AT86:AZ86)</f>
        <v>-86.3</v>
      </c>
      <c r="AB86" s="24">
        <f>SUM(AU86:AZ86)</f>
        <v>-86.3</v>
      </c>
      <c r="AC86" s="24">
        <f>SUM(AV86:AZ86)</f>
        <v>-86.3</v>
      </c>
      <c r="AD86" s="24">
        <f>SUM(AW86:AZ86)</f>
        <v>-86.3</v>
      </c>
      <c r="AE86" s="24">
        <f>SUM(AX86:AZ86)</f>
        <v>-86.3</v>
      </c>
      <c r="AF86" s="24">
        <f>SUM(AY86:AZ86)</f>
        <v>-62.96</v>
      </c>
      <c r="AG86" s="24">
        <f>SUM(AZ86:AZ86)</f>
        <v>-34.01</v>
      </c>
      <c r="AH86" s="38">
        <v>0</v>
      </c>
      <c r="AI86" s="38">
        <v>0</v>
      </c>
      <c r="AJ86" s="10"/>
      <c r="AK86" s="10"/>
      <c r="AL86" s="10"/>
      <c r="AM86" s="10"/>
      <c r="AN86" s="10"/>
      <c r="AO86" s="24">
        <v>0</v>
      </c>
      <c r="AP86" s="24">
        <v>0</v>
      </c>
      <c r="AQ86" s="24">
        <v>0</v>
      </c>
      <c r="AR86" s="24">
        <v>0</v>
      </c>
      <c r="AS86" s="24">
        <v>0</v>
      </c>
      <c r="AT86" s="24">
        <v>0</v>
      </c>
      <c r="AU86" s="24">
        <v>0</v>
      </c>
      <c r="AV86" s="24">
        <v>0</v>
      </c>
      <c r="AW86" s="24">
        <v>0</v>
      </c>
      <c r="AX86" s="24">
        <v>-23.34</v>
      </c>
      <c r="AY86" s="24">
        <v>-28.95</v>
      </c>
      <c r="AZ86" s="24">
        <v>-34.01</v>
      </c>
      <c r="BA86" s="54">
        <v>-39.62</v>
      </c>
      <c r="BB86" s="25">
        <v>0</v>
      </c>
      <c r="BC86" s="62">
        <v>0</v>
      </c>
      <c r="BD86" s="49" t="s">
        <v>63</v>
      </c>
    </row>
    <row r="87" ht="15" spans="1:56">
      <c r="A87" s="10"/>
      <c r="B87" s="10"/>
      <c r="C87" s="10"/>
      <c r="D87" s="10"/>
      <c r="E87" s="10"/>
      <c r="F87" s="10"/>
      <c r="G87" s="10"/>
      <c r="H87" s="10"/>
      <c r="I87" s="10"/>
      <c r="J87" s="10"/>
      <c r="K87" s="10"/>
      <c r="L87" s="10"/>
      <c r="M87" s="10"/>
      <c r="N87" s="10"/>
      <c r="O87" s="10"/>
      <c r="P87" s="10"/>
      <c r="Q87" s="10"/>
      <c r="R87" s="26" t="s">
        <v>14</v>
      </c>
      <c r="S87" s="27">
        <f t="shared" ref="S87:AI87" si="80">SUM(S83:S86)</f>
        <v>55233.8</v>
      </c>
      <c r="T87" s="27">
        <f t="shared" si="80"/>
        <v>4533.62</v>
      </c>
      <c r="U87" s="28">
        <f t="shared" si="80"/>
        <v>-39.62</v>
      </c>
      <c r="V87" s="27">
        <f t="shared" si="80"/>
        <v>4573.24</v>
      </c>
      <c r="W87" s="27">
        <f t="shared" si="80"/>
        <v>4573.24</v>
      </c>
      <c r="X87" s="27">
        <f t="shared" si="80"/>
        <v>4573.24</v>
      </c>
      <c r="Y87" s="27">
        <f t="shared" si="80"/>
        <v>4573.24</v>
      </c>
      <c r="Z87" s="27">
        <f t="shared" si="80"/>
        <v>4573.24</v>
      </c>
      <c r="AA87" s="27">
        <f t="shared" si="80"/>
        <v>4573.24</v>
      </c>
      <c r="AB87" s="27">
        <f t="shared" si="80"/>
        <v>4573.24</v>
      </c>
      <c r="AC87" s="27">
        <f t="shared" si="80"/>
        <v>4573.24</v>
      </c>
      <c r="AD87" s="27">
        <f t="shared" si="80"/>
        <v>4573.24</v>
      </c>
      <c r="AE87" s="27">
        <f t="shared" si="80"/>
        <v>4573.24</v>
      </c>
      <c r="AF87" s="27">
        <f t="shared" si="80"/>
        <v>4596.58</v>
      </c>
      <c r="AG87" s="27">
        <f t="shared" si="80"/>
        <v>4625.52</v>
      </c>
      <c r="AH87" s="27">
        <f t="shared" si="80"/>
        <v>0</v>
      </c>
      <c r="AI87" s="27">
        <f t="shared" si="80"/>
        <v>0</v>
      </c>
      <c r="AJ87" s="10"/>
      <c r="AK87" s="10"/>
      <c r="AL87" s="10"/>
      <c r="AM87" s="10"/>
      <c r="AN87" s="10"/>
      <c r="AO87" s="27">
        <f t="shared" ref="AO87:AX87" si="81">SUM(AO83:AO86)</f>
        <v>0</v>
      </c>
      <c r="AP87" s="27">
        <f t="shared" si="81"/>
        <v>0</v>
      </c>
      <c r="AQ87" s="27">
        <f t="shared" si="81"/>
        <v>0</v>
      </c>
      <c r="AR87" s="27">
        <f t="shared" si="81"/>
        <v>0</v>
      </c>
      <c r="AS87" s="27">
        <f t="shared" si="81"/>
        <v>0</v>
      </c>
      <c r="AT87" s="27">
        <f t="shared" si="81"/>
        <v>0</v>
      </c>
      <c r="AU87" s="27">
        <f t="shared" si="81"/>
        <v>0</v>
      </c>
      <c r="AV87" s="27">
        <f t="shared" si="81"/>
        <v>0</v>
      </c>
      <c r="AW87" s="27">
        <f t="shared" si="81"/>
        <v>0</v>
      </c>
      <c r="AX87" s="27">
        <f t="shared" si="81"/>
        <v>-23.34</v>
      </c>
      <c r="AY87" s="27">
        <v>-28.94</v>
      </c>
      <c r="AZ87" s="27">
        <f>SUM(AZ83:AZ86)</f>
        <v>4625.52</v>
      </c>
      <c r="BA87" s="56">
        <v>-56.65</v>
      </c>
      <c r="BB87" s="28">
        <f>SUM(BB83:BB86)</f>
        <v>0</v>
      </c>
      <c r="BC87" s="60">
        <f>SUM(BC83:BC86)</f>
        <v>0</v>
      </c>
      <c r="BD87" s="50" t="s">
        <v>63</v>
      </c>
    </row>
    <row r="88" ht="15" spans="1:56">
      <c r="A88" s="10"/>
      <c r="B88" s="10"/>
      <c r="C88" s="10"/>
      <c r="D88" s="10"/>
      <c r="E88" s="10"/>
      <c r="F88" s="10"/>
      <c r="G88" s="10"/>
      <c r="H88" s="10"/>
      <c r="I88" s="10"/>
      <c r="J88" s="10"/>
      <c r="K88" s="10"/>
      <c r="L88" s="10"/>
      <c r="M88" s="10"/>
      <c r="N88" s="10"/>
      <c r="O88" s="10"/>
      <c r="P88" s="10"/>
      <c r="Q88" s="10"/>
      <c r="R88" s="26" t="s">
        <v>15</v>
      </c>
      <c r="S88" s="24">
        <f t="shared" ref="S88:AG88" si="82">S82-S83</f>
        <v>18803.94</v>
      </c>
      <c r="T88" s="24">
        <f t="shared" si="82"/>
        <v>11325.84</v>
      </c>
      <c r="U88" s="25">
        <f t="shared" si="82"/>
        <v>-297.88</v>
      </c>
      <c r="V88" s="24">
        <f t="shared" si="82"/>
        <v>11623.72</v>
      </c>
      <c r="W88" s="24">
        <f t="shared" si="82"/>
        <v>11623.72</v>
      </c>
      <c r="X88" s="24">
        <f t="shared" si="82"/>
        <v>11623.72</v>
      </c>
      <c r="Y88" s="24">
        <f t="shared" si="82"/>
        <v>11623.72</v>
      </c>
      <c r="Z88" s="24">
        <f t="shared" si="82"/>
        <v>11623.72</v>
      </c>
      <c r="AA88" s="24">
        <f t="shared" si="82"/>
        <v>11623.72</v>
      </c>
      <c r="AB88" s="24">
        <f t="shared" si="82"/>
        <v>11623.72</v>
      </c>
      <c r="AC88" s="24">
        <f t="shared" si="82"/>
        <v>11623.72</v>
      </c>
      <c r="AD88" s="24">
        <f t="shared" si="82"/>
        <v>11623.72</v>
      </c>
      <c r="AE88" s="24">
        <f t="shared" si="82"/>
        <v>11623.72</v>
      </c>
      <c r="AF88" s="24">
        <f t="shared" si="82"/>
        <v>6015.07</v>
      </c>
      <c r="AG88" s="24">
        <f t="shared" si="82"/>
        <v>949.190000000001</v>
      </c>
      <c r="AH88" s="41">
        <v>0</v>
      </c>
      <c r="AI88" s="41">
        <v>0</v>
      </c>
      <c r="AJ88" s="10"/>
      <c r="AK88" s="10"/>
      <c r="AL88" s="10"/>
      <c r="AM88" s="10"/>
      <c r="AN88" s="10"/>
      <c r="AO88" s="24">
        <f t="shared" ref="AO88:BA88" si="83">AO82-AO83</f>
        <v>0</v>
      </c>
      <c r="AP88" s="24">
        <f t="shared" si="83"/>
        <v>0</v>
      </c>
      <c r="AQ88" s="24">
        <f t="shared" si="83"/>
        <v>0</v>
      </c>
      <c r="AR88" s="24">
        <f t="shared" si="83"/>
        <v>0</v>
      </c>
      <c r="AS88" s="24">
        <f t="shared" si="83"/>
        <v>0</v>
      </c>
      <c r="AT88" s="24">
        <f t="shared" si="83"/>
        <v>0</v>
      </c>
      <c r="AU88" s="24">
        <f t="shared" si="83"/>
        <v>0</v>
      </c>
      <c r="AV88" s="24">
        <f t="shared" si="83"/>
        <v>0</v>
      </c>
      <c r="AW88" s="24">
        <f t="shared" si="83"/>
        <v>0</v>
      </c>
      <c r="AX88" s="24">
        <f t="shared" si="83"/>
        <v>5608.65</v>
      </c>
      <c r="AY88" s="24">
        <f t="shared" si="83"/>
        <v>5065.88</v>
      </c>
      <c r="AZ88" s="24">
        <f t="shared" si="83"/>
        <v>949.190000000001</v>
      </c>
      <c r="BA88" s="28">
        <f t="shared" si="83"/>
        <v>-297.88</v>
      </c>
      <c r="BB88" s="28">
        <v>0</v>
      </c>
      <c r="BC88" s="62">
        <v>0</v>
      </c>
      <c r="BD88" s="49" t="s">
        <v>63</v>
      </c>
    </row>
    <row r="89" ht="15" spans="1:56">
      <c r="A89" s="10"/>
      <c r="B89" s="10"/>
      <c r="C89" s="10"/>
      <c r="D89" s="10"/>
      <c r="E89" s="10"/>
      <c r="F89" s="10"/>
      <c r="G89" s="10"/>
      <c r="H89" s="10"/>
      <c r="I89" s="10"/>
      <c r="J89" s="10"/>
      <c r="K89" s="10"/>
      <c r="L89" s="10"/>
      <c r="M89" s="10"/>
      <c r="N89" s="10"/>
      <c r="O89" s="10"/>
      <c r="P89" s="10"/>
      <c r="Q89" s="10"/>
      <c r="R89" s="29" t="s">
        <v>16</v>
      </c>
      <c r="S89" s="30">
        <f t="shared" ref="S89:AG89" si="84">S88/S82</f>
        <v>0.284745359244577</v>
      </c>
      <c r="T89" s="30">
        <f t="shared" si="84"/>
        <v>0.708512403208432</v>
      </c>
      <c r="U89" s="31">
        <f t="shared" si="84"/>
        <v>1</v>
      </c>
      <c r="V89" s="30">
        <f t="shared" si="84"/>
        <v>0.713844770641751</v>
      </c>
      <c r="W89" s="30">
        <f t="shared" si="84"/>
        <v>0.713844770641751</v>
      </c>
      <c r="X89" s="30">
        <f t="shared" si="84"/>
        <v>0.713844770641751</v>
      </c>
      <c r="Y89" s="30">
        <f t="shared" si="84"/>
        <v>0.713844770641751</v>
      </c>
      <c r="Z89" s="30">
        <f t="shared" si="84"/>
        <v>0.713844770641751</v>
      </c>
      <c r="AA89" s="30">
        <f t="shared" si="84"/>
        <v>0.713844770641751</v>
      </c>
      <c r="AB89" s="30">
        <f t="shared" si="84"/>
        <v>0.713844770641751</v>
      </c>
      <c r="AC89" s="30">
        <f t="shared" si="84"/>
        <v>0.713844770641751</v>
      </c>
      <c r="AD89" s="30">
        <f t="shared" si="84"/>
        <v>0.713844770641751</v>
      </c>
      <c r="AE89" s="30">
        <f t="shared" si="84"/>
        <v>0.713844770641751</v>
      </c>
      <c r="AF89" s="30">
        <f t="shared" si="84"/>
        <v>0.563493186167926</v>
      </c>
      <c r="AG89" s="30">
        <f t="shared" si="84"/>
        <v>0.169234691694362</v>
      </c>
      <c r="AH89" s="42">
        <f>T89-S89</f>
        <v>0.423767043963854</v>
      </c>
      <c r="AI89" s="42">
        <f>AF89-S89</f>
        <v>0.278747826923348</v>
      </c>
      <c r="AJ89" s="10"/>
      <c r="AK89" s="10"/>
      <c r="AL89" s="10"/>
      <c r="AM89" s="10"/>
      <c r="AN89" s="10"/>
      <c r="AO89" s="30" t="e">
        <f t="shared" ref="AO89:BA89" si="85">AO88/AO82</f>
        <v>#DIV/0!</v>
      </c>
      <c r="AP89" s="30" t="e">
        <f t="shared" si="85"/>
        <v>#DIV/0!</v>
      </c>
      <c r="AQ89" s="30" t="e">
        <f t="shared" si="85"/>
        <v>#DIV/0!</v>
      </c>
      <c r="AR89" s="30" t="e">
        <f t="shared" si="85"/>
        <v>#DIV/0!</v>
      </c>
      <c r="AS89" s="30" t="e">
        <f t="shared" si="85"/>
        <v>#DIV/0!</v>
      </c>
      <c r="AT89" s="30" t="e">
        <f t="shared" si="85"/>
        <v>#DIV/0!</v>
      </c>
      <c r="AU89" s="30" t="e">
        <f t="shared" si="85"/>
        <v>#DIV/0!</v>
      </c>
      <c r="AV89" s="30" t="e">
        <f t="shared" si="85"/>
        <v>#DIV/0!</v>
      </c>
      <c r="AW89" s="30" t="e">
        <f t="shared" si="85"/>
        <v>#DIV/0!</v>
      </c>
      <c r="AX89" s="30">
        <f t="shared" si="85"/>
        <v>1</v>
      </c>
      <c r="AY89" s="30">
        <f t="shared" si="85"/>
        <v>0.999998026013198</v>
      </c>
      <c r="AZ89" s="30">
        <f t="shared" si="85"/>
        <v>0.169234691694362</v>
      </c>
      <c r="BA89" s="52">
        <f t="shared" si="85"/>
        <v>1</v>
      </c>
      <c r="BB89" s="52">
        <v>0</v>
      </c>
      <c r="BC89" s="62">
        <v>0</v>
      </c>
      <c r="BD89" s="49" t="s">
        <v>63</v>
      </c>
    </row>
    <row r="90" ht="15" spans="1:56">
      <c r="A90" s="10"/>
      <c r="B90" s="10"/>
      <c r="C90" s="10"/>
      <c r="D90" s="10"/>
      <c r="E90" s="10"/>
      <c r="F90" s="10"/>
      <c r="G90" s="10"/>
      <c r="H90" s="10"/>
      <c r="I90" s="10"/>
      <c r="J90" s="10"/>
      <c r="K90" s="10"/>
      <c r="L90" s="10"/>
      <c r="M90" s="10"/>
      <c r="N90" s="10"/>
      <c r="O90" s="10"/>
      <c r="P90" s="10"/>
      <c r="Q90" s="10"/>
      <c r="R90" s="26" t="s">
        <v>17</v>
      </c>
      <c r="S90" s="24">
        <f t="shared" ref="S90:AG90" si="86">S82-S87</f>
        <v>10803.94</v>
      </c>
      <c r="T90" s="24">
        <f t="shared" si="86"/>
        <v>11451.76</v>
      </c>
      <c r="U90" s="24">
        <f t="shared" si="86"/>
        <v>-258.26</v>
      </c>
      <c r="V90" s="24">
        <f t="shared" si="86"/>
        <v>11710.02</v>
      </c>
      <c r="W90" s="24">
        <f t="shared" si="86"/>
        <v>11710.02</v>
      </c>
      <c r="X90" s="24">
        <f t="shared" si="86"/>
        <v>11710.02</v>
      </c>
      <c r="Y90" s="24">
        <f t="shared" si="86"/>
        <v>11710.02</v>
      </c>
      <c r="Z90" s="24">
        <f t="shared" si="86"/>
        <v>11710.02</v>
      </c>
      <c r="AA90" s="24">
        <f t="shared" si="86"/>
        <v>11710.02</v>
      </c>
      <c r="AB90" s="24">
        <f t="shared" si="86"/>
        <v>11710.02</v>
      </c>
      <c r="AC90" s="24">
        <f t="shared" si="86"/>
        <v>11710.02</v>
      </c>
      <c r="AD90" s="24">
        <f t="shared" si="86"/>
        <v>11710.02</v>
      </c>
      <c r="AE90" s="24">
        <f t="shared" si="86"/>
        <v>11710.02</v>
      </c>
      <c r="AF90" s="24">
        <f t="shared" si="86"/>
        <v>6078.03</v>
      </c>
      <c r="AG90" s="24">
        <f t="shared" si="86"/>
        <v>983.200000000001</v>
      </c>
      <c r="AH90" s="42">
        <v>0</v>
      </c>
      <c r="AI90" s="42">
        <v>0</v>
      </c>
      <c r="AJ90" s="10"/>
      <c r="AK90" s="10"/>
      <c r="AL90" s="10"/>
      <c r="AM90" s="10"/>
      <c r="AN90" s="10"/>
      <c r="AO90" s="24">
        <f t="shared" ref="AO90:BC90" si="87">AO82-AO87</f>
        <v>0</v>
      </c>
      <c r="AP90" s="24">
        <f t="shared" si="87"/>
        <v>0</v>
      </c>
      <c r="AQ90" s="24">
        <f t="shared" si="87"/>
        <v>0</v>
      </c>
      <c r="AR90" s="24">
        <f t="shared" si="87"/>
        <v>0</v>
      </c>
      <c r="AS90" s="24">
        <f t="shared" si="87"/>
        <v>0</v>
      </c>
      <c r="AT90" s="24">
        <f t="shared" si="87"/>
        <v>0</v>
      </c>
      <c r="AU90" s="24">
        <f t="shared" si="87"/>
        <v>0</v>
      </c>
      <c r="AV90" s="24">
        <f t="shared" si="87"/>
        <v>0</v>
      </c>
      <c r="AW90" s="24">
        <f t="shared" si="87"/>
        <v>0</v>
      </c>
      <c r="AX90" s="24">
        <f t="shared" si="87"/>
        <v>5631.99</v>
      </c>
      <c r="AY90" s="24">
        <f t="shared" si="87"/>
        <v>5094.83</v>
      </c>
      <c r="AZ90" s="24">
        <f t="shared" si="87"/>
        <v>983.200000000001</v>
      </c>
      <c r="BA90" s="24">
        <f t="shared" si="87"/>
        <v>-241.23</v>
      </c>
      <c r="BB90" s="24">
        <f t="shared" si="87"/>
        <v>0</v>
      </c>
      <c r="BC90" s="24">
        <f t="shared" si="87"/>
        <v>0</v>
      </c>
      <c r="BD90" s="49" t="s">
        <v>63</v>
      </c>
    </row>
    <row r="91" ht="15" spans="1:56">
      <c r="A91" s="11"/>
      <c r="B91" s="11"/>
      <c r="C91" s="11"/>
      <c r="D91" s="11"/>
      <c r="E91" s="11"/>
      <c r="F91" s="11"/>
      <c r="G91" s="11"/>
      <c r="H91" s="11"/>
      <c r="I91" s="11"/>
      <c r="J91" s="11"/>
      <c r="K91" s="11"/>
      <c r="L91" s="11"/>
      <c r="M91" s="11"/>
      <c r="N91" s="11"/>
      <c r="O91" s="11"/>
      <c r="P91" s="11"/>
      <c r="Q91" s="11"/>
      <c r="R91" s="29" t="s">
        <v>18</v>
      </c>
      <c r="S91" s="30">
        <f t="shared" ref="S91:AG91" si="88">S90/S82</f>
        <v>0.163602509716414</v>
      </c>
      <c r="T91" s="30">
        <f t="shared" si="88"/>
        <v>0.716389600997912</v>
      </c>
      <c r="U91" s="31">
        <f t="shared" si="88"/>
        <v>0.866993420169196</v>
      </c>
      <c r="V91" s="30">
        <f t="shared" si="88"/>
        <v>0.719144692156239</v>
      </c>
      <c r="W91" s="30">
        <f t="shared" si="88"/>
        <v>0.719144692156239</v>
      </c>
      <c r="X91" s="30">
        <f t="shared" si="88"/>
        <v>0.719144692156239</v>
      </c>
      <c r="Y91" s="30">
        <f t="shared" si="88"/>
        <v>0.719144692156239</v>
      </c>
      <c r="Z91" s="30">
        <f t="shared" si="88"/>
        <v>0.719144692156239</v>
      </c>
      <c r="AA91" s="30">
        <f t="shared" si="88"/>
        <v>0.719144692156239</v>
      </c>
      <c r="AB91" s="30">
        <f t="shared" si="88"/>
        <v>0.719144692156239</v>
      </c>
      <c r="AC91" s="30">
        <f t="shared" si="88"/>
        <v>0.719144692156239</v>
      </c>
      <c r="AD91" s="30">
        <f t="shared" si="88"/>
        <v>0.719144692156239</v>
      </c>
      <c r="AE91" s="30">
        <f t="shared" si="88"/>
        <v>0.719144692156239</v>
      </c>
      <c r="AF91" s="30">
        <f t="shared" si="88"/>
        <v>0.569391293920808</v>
      </c>
      <c r="AG91" s="30">
        <f t="shared" si="88"/>
        <v>0.175298463820622</v>
      </c>
      <c r="AH91" s="42">
        <f>T91-S91</f>
        <v>0.552787091281498</v>
      </c>
      <c r="AI91" s="42">
        <f>AF91-S91</f>
        <v>0.405788784204395</v>
      </c>
      <c r="AJ91" s="11"/>
      <c r="AK91" s="11"/>
      <c r="AL91" s="11"/>
      <c r="AM91" s="11"/>
      <c r="AN91" s="11"/>
      <c r="AO91" s="30" t="e">
        <f t="shared" ref="AO91:BA91" si="89">AO90/AO82</f>
        <v>#DIV/0!</v>
      </c>
      <c r="AP91" s="30" t="e">
        <f t="shared" si="89"/>
        <v>#DIV/0!</v>
      </c>
      <c r="AQ91" s="30" t="e">
        <f t="shared" si="89"/>
        <v>#DIV/0!</v>
      </c>
      <c r="AR91" s="30" t="e">
        <f t="shared" si="89"/>
        <v>#DIV/0!</v>
      </c>
      <c r="AS91" s="30" t="e">
        <f t="shared" si="89"/>
        <v>#DIV/0!</v>
      </c>
      <c r="AT91" s="30" t="e">
        <f t="shared" si="89"/>
        <v>#DIV/0!</v>
      </c>
      <c r="AU91" s="30" t="e">
        <f t="shared" si="89"/>
        <v>#DIV/0!</v>
      </c>
      <c r="AV91" s="30" t="e">
        <f t="shared" si="89"/>
        <v>#DIV/0!</v>
      </c>
      <c r="AW91" s="30" t="e">
        <f t="shared" si="89"/>
        <v>#DIV/0!</v>
      </c>
      <c r="AX91" s="30">
        <f t="shared" si="89"/>
        <v>1.00416142922094</v>
      </c>
      <c r="AY91" s="30">
        <f t="shared" si="89"/>
        <v>1.00571271780477</v>
      </c>
      <c r="AZ91" s="30">
        <f t="shared" si="89"/>
        <v>0.175298463820622</v>
      </c>
      <c r="BA91" s="52">
        <f t="shared" si="89"/>
        <v>0.809822747415066</v>
      </c>
      <c r="BB91" s="52">
        <v>0</v>
      </c>
      <c r="BC91" s="62">
        <v>0</v>
      </c>
      <c r="BD91" s="49" t="s">
        <v>63</v>
      </c>
    </row>
    <row r="92" ht="15" spans="1:56">
      <c r="A92" s="12" t="s">
        <v>89</v>
      </c>
      <c r="B92" s="13" t="s">
        <v>90</v>
      </c>
      <c r="C92" s="14">
        <v>46023</v>
      </c>
      <c r="D92" s="14">
        <v>46387</v>
      </c>
      <c r="E92" s="6"/>
      <c r="F92" s="7" t="s">
        <v>62</v>
      </c>
      <c r="G92" s="9">
        <v>0</v>
      </c>
      <c r="H92" s="9"/>
      <c r="I92" s="9"/>
      <c r="J92" s="9"/>
      <c r="K92" s="9"/>
      <c r="L92" s="9"/>
      <c r="M92" s="9"/>
      <c r="N92" s="9"/>
      <c r="O92" s="9"/>
      <c r="P92" s="6"/>
      <c r="Q92" s="9" t="s">
        <v>63</v>
      </c>
      <c r="R92" s="32" t="s">
        <v>9</v>
      </c>
      <c r="S92" s="24">
        <v>75471.7</v>
      </c>
      <c r="T92" s="24">
        <f>SUM(AO92:BC92)</f>
        <v>34087.06</v>
      </c>
      <c r="U92" s="25">
        <f>SUM(BA92:BC92)</f>
        <v>15477.62</v>
      </c>
      <c r="V92" s="24">
        <f>SUM(AO92:AZ92)</f>
        <v>18609.44</v>
      </c>
      <c r="W92" s="24">
        <f>SUM(AP92:AZ92)</f>
        <v>18609.44</v>
      </c>
      <c r="X92" s="24">
        <f>SUM(AQ92:AZ92)</f>
        <v>18609.44</v>
      </c>
      <c r="Y92" s="24">
        <f>SUM(AR92:AZ92)</f>
        <v>18609.44</v>
      </c>
      <c r="Z92" s="24">
        <f>SUM(AS92:AZ92)</f>
        <v>18609.44</v>
      </c>
      <c r="AA92" s="24">
        <f>SUM(AT92:AZ92)</f>
        <v>18609.44</v>
      </c>
      <c r="AB92" s="24">
        <f>SUM(AU92:AZ92)</f>
        <v>18609.44</v>
      </c>
      <c r="AC92" s="24">
        <f>SUM(AV92:AZ92)</f>
        <v>18609.44</v>
      </c>
      <c r="AD92" s="24">
        <f>SUM(AW92:AZ92)</f>
        <v>18609.44</v>
      </c>
      <c r="AE92" s="24">
        <f>SUM(AX92:AZ92)</f>
        <v>18609.44</v>
      </c>
      <c r="AF92" s="24">
        <f>SUM(AY92:AZ92)</f>
        <v>12199.55</v>
      </c>
      <c r="AG92" s="24">
        <f>SUM(AZ92:AZ92)</f>
        <v>6409.96</v>
      </c>
      <c r="AH92" s="38">
        <v>0</v>
      </c>
      <c r="AI92" s="38">
        <v>0</v>
      </c>
      <c r="AJ92" s="13" t="s">
        <v>63</v>
      </c>
      <c r="AK92" s="43" t="s">
        <v>86</v>
      </c>
      <c r="AL92" s="43" t="s">
        <v>63</v>
      </c>
      <c r="AM92" s="43" t="s">
        <v>63</v>
      </c>
      <c r="AN92" s="7"/>
      <c r="AO92" s="24">
        <v>0</v>
      </c>
      <c r="AP92" s="24">
        <v>0</v>
      </c>
      <c r="AQ92" s="24">
        <v>0</v>
      </c>
      <c r="AR92" s="24">
        <v>0</v>
      </c>
      <c r="AS92" s="24">
        <v>0</v>
      </c>
      <c r="AT92" s="24">
        <v>0</v>
      </c>
      <c r="AU92" s="24">
        <v>0</v>
      </c>
      <c r="AV92" s="24">
        <v>0</v>
      </c>
      <c r="AW92" s="24">
        <v>0</v>
      </c>
      <c r="AX92" s="24">
        <v>6409.89</v>
      </c>
      <c r="AY92" s="24">
        <v>5789.59</v>
      </c>
      <c r="AZ92" s="24">
        <v>6409.96</v>
      </c>
      <c r="BA92" s="54">
        <v>15477.62</v>
      </c>
      <c r="BB92" s="25">
        <v>0</v>
      </c>
      <c r="BC92" s="62">
        <v>0</v>
      </c>
      <c r="BD92" s="49" t="s">
        <v>63</v>
      </c>
    </row>
    <row r="93" ht="15" spans="1:56">
      <c r="A93" s="10"/>
      <c r="B93" s="10"/>
      <c r="C93" s="10"/>
      <c r="D93" s="10"/>
      <c r="E93" s="10"/>
      <c r="F93" s="10"/>
      <c r="G93" s="10"/>
      <c r="H93" s="10"/>
      <c r="I93" s="10"/>
      <c r="J93" s="10"/>
      <c r="K93" s="10"/>
      <c r="L93" s="10"/>
      <c r="M93" s="10"/>
      <c r="N93" s="10"/>
      <c r="O93" s="10"/>
      <c r="P93" s="10"/>
      <c r="Q93" s="10"/>
      <c r="R93" s="26" t="s">
        <v>10</v>
      </c>
      <c r="S93" s="24">
        <v>34151.4</v>
      </c>
      <c r="T93" s="24">
        <f>SUM(AO93:BC93)</f>
        <v>19659.83</v>
      </c>
      <c r="U93" s="25">
        <f>SUM(BA93:BC93)</f>
        <v>0</v>
      </c>
      <c r="V93" s="24">
        <f>SUM(AO93:AZ93)</f>
        <v>19659.83</v>
      </c>
      <c r="W93" s="24">
        <f>SUM(AP93:AZ93)</f>
        <v>19659.83</v>
      </c>
      <c r="X93" s="24">
        <f>SUM(AQ93:AZ93)</f>
        <v>19659.83</v>
      </c>
      <c r="Y93" s="24">
        <f>SUM(AR93:AZ93)</f>
        <v>19659.83</v>
      </c>
      <c r="Z93" s="24">
        <f>SUM(AS93:AZ93)</f>
        <v>19659.83</v>
      </c>
      <c r="AA93" s="24">
        <f>SUM(AT93:AZ93)</f>
        <v>19659.83</v>
      </c>
      <c r="AB93" s="24">
        <f>SUM(AU93:AZ93)</f>
        <v>19659.83</v>
      </c>
      <c r="AC93" s="24">
        <f>SUM(AV93:AZ93)</f>
        <v>19659.83</v>
      </c>
      <c r="AD93" s="24">
        <f>SUM(AW93:AZ93)</f>
        <v>19659.83</v>
      </c>
      <c r="AE93" s="24">
        <f>SUM(AX93:AZ93)</f>
        <v>19659.83</v>
      </c>
      <c r="AF93" s="24">
        <f>SUM(AY93:AZ93)</f>
        <v>19659.83</v>
      </c>
      <c r="AG93" s="24">
        <f>SUM(AZ93:AZ93)</f>
        <v>19659.83</v>
      </c>
      <c r="AH93" s="38">
        <v>0</v>
      </c>
      <c r="AI93" s="38">
        <v>0</v>
      </c>
      <c r="AJ93" s="10"/>
      <c r="AK93" s="10"/>
      <c r="AL93" s="10"/>
      <c r="AM93" s="10"/>
      <c r="AN93" s="10"/>
      <c r="AO93" s="24">
        <v>0</v>
      </c>
      <c r="AP93" s="24">
        <v>0</v>
      </c>
      <c r="AQ93" s="24">
        <v>0</v>
      </c>
      <c r="AR93" s="24">
        <v>0</v>
      </c>
      <c r="AS93" s="24">
        <v>0</v>
      </c>
      <c r="AT93" s="24">
        <v>0</v>
      </c>
      <c r="AU93" s="24">
        <v>0</v>
      </c>
      <c r="AV93" s="24">
        <v>0</v>
      </c>
      <c r="AW93" s="24">
        <v>0</v>
      </c>
      <c r="AX93" s="24">
        <v>0</v>
      </c>
      <c r="AY93" s="24">
        <v>0</v>
      </c>
      <c r="AZ93" s="24">
        <v>19659.83</v>
      </c>
      <c r="BA93" s="54">
        <v>0</v>
      </c>
      <c r="BB93" s="25">
        <v>0</v>
      </c>
      <c r="BC93" s="62">
        <v>0</v>
      </c>
      <c r="BD93" s="49" t="s">
        <v>63</v>
      </c>
    </row>
    <row r="94" ht="15" spans="1:56">
      <c r="A94" s="10"/>
      <c r="B94" s="10"/>
      <c r="C94" s="10"/>
      <c r="D94" s="10"/>
      <c r="E94" s="10"/>
      <c r="F94" s="10"/>
      <c r="G94" s="10"/>
      <c r="H94" s="10"/>
      <c r="I94" s="10"/>
      <c r="J94" s="10"/>
      <c r="K94" s="10"/>
      <c r="L94" s="10"/>
      <c r="M94" s="10"/>
      <c r="N94" s="10"/>
      <c r="O94" s="10"/>
      <c r="P94" s="10"/>
      <c r="Q94" s="10"/>
      <c r="R94" s="26" t="s">
        <v>11</v>
      </c>
      <c r="S94" s="24">
        <v>0</v>
      </c>
      <c r="T94" s="24">
        <f>SUM(AO94:BC94)</f>
        <v>0</v>
      </c>
      <c r="U94" s="25">
        <f>SUM(BA94:BC94)</f>
        <v>0</v>
      </c>
      <c r="V94" s="24">
        <v>0</v>
      </c>
      <c r="W94" s="24">
        <v>0</v>
      </c>
      <c r="X94" s="24">
        <v>0</v>
      </c>
      <c r="Y94" s="24">
        <v>0</v>
      </c>
      <c r="Z94" s="24">
        <v>0</v>
      </c>
      <c r="AA94" s="24">
        <v>0</v>
      </c>
      <c r="AB94" s="24">
        <v>0</v>
      </c>
      <c r="AC94" s="24">
        <v>0</v>
      </c>
      <c r="AD94" s="24">
        <v>0</v>
      </c>
      <c r="AE94" s="24">
        <v>0</v>
      </c>
      <c r="AF94" s="24">
        <v>0</v>
      </c>
      <c r="AG94" s="24">
        <v>0</v>
      </c>
      <c r="AH94" s="38">
        <v>0</v>
      </c>
      <c r="AI94" s="38">
        <v>0</v>
      </c>
      <c r="AJ94" s="10"/>
      <c r="AK94" s="10"/>
      <c r="AL94" s="10"/>
      <c r="AM94" s="10"/>
      <c r="AN94" s="10"/>
      <c r="AO94" s="24">
        <v>0</v>
      </c>
      <c r="AP94" s="24">
        <v>0</v>
      </c>
      <c r="AQ94" s="24">
        <v>0</v>
      </c>
      <c r="AR94" s="24">
        <v>0</v>
      </c>
      <c r="AS94" s="24">
        <v>0</v>
      </c>
      <c r="AT94" s="24">
        <v>0</v>
      </c>
      <c r="AU94" s="24">
        <v>0</v>
      </c>
      <c r="AV94" s="24">
        <v>0</v>
      </c>
      <c r="AW94" s="24">
        <v>0</v>
      </c>
      <c r="AX94" s="24">
        <v>0</v>
      </c>
      <c r="AY94" s="24">
        <v>0</v>
      </c>
      <c r="AZ94" s="24">
        <v>0</v>
      </c>
      <c r="BA94" s="54">
        <v>0</v>
      </c>
      <c r="BB94" s="25">
        <v>0</v>
      </c>
      <c r="BC94" s="62">
        <v>0</v>
      </c>
      <c r="BD94" s="49" t="s">
        <v>63</v>
      </c>
    </row>
    <row r="95" ht="15" spans="1:56">
      <c r="A95" s="10"/>
      <c r="B95" s="10"/>
      <c r="C95" s="10"/>
      <c r="D95" s="10"/>
      <c r="E95" s="10"/>
      <c r="F95" s="10"/>
      <c r="G95" s="10"/>
      <c r="H95" s="10"/>
      <c r="I95" s="10"/>
      <c r="J95" s="10"/>
      <c r="K95" s="10"/>
      <c r="L95" s="10"/>
      <c r="M95" s="10"/>
      <c r="N95" s="10"/>
      <c r="O95" s="10"/>
      <c r="P95" s="10"/>
      <c r="Q95" s="10"/>
      <c r="R95" s="26" t="s">
        <v>12</v>
      </c>
      <c r="S95" s="24">
        <v>0</v>
      </c>
      <c r="T95" s="24">
        <f>SUM(AO95:BC95)</f>
        <v>0</v>
      </c>
      <c r="U95" s="25">
        <f>SUM(BA95:BC95)</f>
        <v>0</v>
      </c>
      <c r="V95" s="24">
        <f>SUM(AO95:AZ95)</f>
        <v>0</v>
      </c>
      <c r="W95" s="24">
        <f>SUM(AP95:AZ95)</f>
        <v>0</v>
      </c>
      <c r="X95" s="24">
        <f>SUM(AQ95:AZ95)</f>
        <v>0</v>
      </c>
      <c r="Y95" s="24">
        <f>SUM(AR95:AZ95)</f>
        <v>0</v>
      </c>
      <c r="Z95" s="24">
        <f>SUM(AS95:AZ95)</f>
        <v>0</v>
      </c>
      <c r="AA95" s="24">
        <f>SUM(AT95:AZ95)</f>
        <v>0</v>
      </c>
      <c r="AB95" s="24">
        <f>SUM(AU95:AZ95)</f>
        <v>0</v>
      </c>
      <c r="AC95" s="24">
        <f>SUM(AV95:AZ95)</f>
        <v>0</v>
      </c>
      <c r="AD95" s="24">
        <f>SUM(AW95:AZ95)</f>
        <v>0</v>
      </c>
      <c r="AE95" s="24">
        <f>SUM(AX95:AZ95)</f>
        <v>0</v>
      </c>
      <c r="AF95" s="24">
        <f>SUM(AY95:AZ95)</f>
        <v>0</v>
      </c>
      <c r="AG95" s="24">
        <f>SUM(AZ95:AZ95)</f>
        <v>0</v>
      </c>
      <c r="AH95" s="38">
        <v>0</v>
      </c>
      <c r="AI95" s="38">
        <v>0</v>
      </c>
      <c r="AJ95" s="10"/>
      <c r="AK95" s="10"/>
      <c r="AL95" s="10"/>
      <c r="AM95" s="10"/>
      <c r="AN95" s="10"/>
      <c r="AO95" s="24">
        <v>0</v>
      </c>
      <c r="AP95" s="24">
        <v>0</v>
      </c>
      <c r="AQ95" s="24">
        <v>0</v>
      </c>
      <c r="AR95" s="24">
        <v>0</v>
      </c>
      <c r="AS95" s="24">
        <v>0</v>
      </c>
      <c r="AT95" s="24">
        <v>0</v>
      </c>
      <c r="AU95" s="24">
        <v>0</v>
      </c>
      <c r="AV95" s="24">
        <v>0</v>
      </c>
      <c r="AW95" s="24">
        <v>0</v>
      </c>
      <c r="AX95" s="24">
        <v>0</v>
      </c>
      <c r="AY95" s="24">
        <v>0</v>
      </c>
      <c r="AZ95" s="24">
        <v>0</v>
      </c>
      <c r="BA95" s="54">
        <v>0</v>
      </c>
      <c r="BB95" s="25">
        <v>0</v>
      </c>
      <c r="BC95" s="62">
        <v>0</v>
      </c>
      <c r="BD95" s="49" t="s">
        <v>63</v>
      </c>
    </row>
    <row r="96" ht="15" spans="1:56">
      <c r="A96" s="10"/>
      <c r="B96" s="10"/>
      <c r="C96" s="10"/>
      <c r="D96" s="10"/>
      <c r="E96" s="10"/>
      <c r="F96" s="10"/>
      <c r="G96" s="10"/>
      <c r="H96" s="10"/>
      <c r="I96" s="10"/>
      <c r="J96" s="10"/>
      <c r="K96" s="10"/>
      <c r="L96" s="10"/>
      <c r="M96" s="10"/>
      <c r="N96" s="10"/>
      <c r="O96" s="10"/>
      <c r="P96" s="10"/>
      <c r="Q96" s="10"/>
      <c r="R96" s="26" t="s">
        <v>13</v>
      </c>
      <c r="S96" s="24">
        <v>29037</v>
      </c>
      <c r="T96" s="24">
        <f>SUM(AO96:BC96)</f>
        <v>4849.73</v>
      </c>
      <c r="U96" s="25">
        <f>SUM(BA96:BC96)</f>
        <v>-56.65</v>
      </c>
      <c r="V96" s="24">
        <f>SUM(AO96:AZ96)</f>
        <v>4906.38</v>
      </c>
      <c r="W96" s="24">
        <f>SUM(AP96:AZ96)</f>
        <v>4906.38</v>
      </c>
      <c r="X96" s="24">
        <f>SUM(AQ96:AZ96)</f>
        <v>4906.38</v>
      </c>
      <c r="Y96" s="24">
        <f>SUM(AR96:AZ96)</f>
        <v>4906.38</v>
      </c>
      <c r="Z96" s="24">
        <f>SUM(AS96:AZ96)</f>
        <v>4906.38</v>
      </c>
      <c r="AA96" s="24">
        <f>SUM(AT96:AZ96)</f>
        <v>4906.38</v>
      </c>
      <c r="AB96" s="24">
        <f>SUM(AU96:AZ96)</f>
        <v>4906.38</v>
      </c>
      <c r="AC96" s="24">
        <f>SUM(AV96:AZ96)</f>
        <v>4906.38</v>
      </c>
      <c r="AD96" s="24">
        <f>SUM(AW96:AZ96)</f>
        <v>4906.38</v>
      </c>
      <c r="AE96" s="24">
        <f>SUM(AX96:AZ96)</f>
        <v>4906.38</v>
      </c>
      <c r="AF96" s="24">
        <f>SUM(AY96:AZ96)</f>
        <v>4963.24</v>
      </c>
      <c r="AG96" s="24">
        <f>SUM(AZ96:AZ96)</f>
        <v>-69.06</v>
      </c>
      <c r="AH96" s="38">
        <v>0</v>
      </c>
      <c r="AI96" s="38">
        <v>0</v>
      </c>
      <c r="AJ96" s="10"/>
      <c r="AK96" s="10"/>
      <c r="AL96" s="10"/>
      <c r="AM96" s="10"/>
      <c r="AN96" s="10"/>
      <c r="AO96" s="24">
        <v>0</v>
      </c>
      <c r="AP96" s="24">
        <v>0</v>
      </c>
      <c r="AQ96" s="24">
        <v>0</v>
      </c>
      <c r="AR96" s="24">
        <v>0</v>
      </c>
      <c r="AS96" s="24">
        <v>0</v>
      </c>
      <c r="AT96" s="24">
        <v>0</v>
      </c>
      <c r="AU96" s="24">
        <v>0</v>
      </c>
      <c r="AV96" s="24">
        <v>0</v>
      </c>
      <c r="AW96" s="24">
        <v>0</v>
      </c>
      <c r="AX96" s="24">
        <v>-56.86</v>
      </c>
      <c r="AY96" s="24">
        <v>5032.3</v>
      </c>
      <c r="AZ96" s="24">
        <v>-69.06</v>
      </c>
      <c r="BA96" s="54">
        <v>-56.65</v>
      </c>
      <c r="BB96" s="25">
        <v>0</v>
      </c>
      <c r="BC96" s="62">
        <v>0</v>
      </c>
      <c r="BD96" s="49" t="s">
        <v>63</v>
      </c>
    </row>
    <row r="97" ht="15" spans="1:56">
      <c r="A97" s="10"/>
      <c r="B97" s="10"/>
      <c r="C97" s="10"/>
      <c r="D97" s="10"/>
      <c r="E97" s="10"/>
      <c r="F97" s="10"/>
      <c r="G97" s="10"/>
      <c r="H97" s="10"/>
      <c r="I97" s="10"/>
      <c r="J97" s="10"/>
      <c r="K97" s="10"/>
      <c r="L97" s="10"/>
      <c r="M97" s="10"/>
      <c r="N97" s="10"/>
      <c r="O97" s="10"/>
      <c r="P97" s="10"/>
      <c r="Q97" s="10"/>
      <c r="R97" s="26" t="s">
        <v>14</v>
      </c>
      <c r="S97" s="27">
        <f t="shared" ref="S97:AI97" si="90">SUM(S93:S96)</f>
        <v>63188.4</v>
      </c>
      <c r="T97" s="27">
        <f t="shared" si="90"/>
        <v>24509.56</v>
      </c>
      <c r="U97" s="28">
        <f t="shared" si="90"/>
        <v>-56.65</v>
      </c>
      <c r="V97" s="27">
        <f t="shared" si="90"/>
        <v>24566.21</v>
      </c>
      <c r="W97" s="27">
        <f t="shared" si="90"/>
        <v>24566.21</v>
      </c>
      <c r="X97" s="27">
        <f t="shared" si="90"/>
        <v>24566.21</v>
      </c>
      <c r="Y97" s="27">
        <f t="shared" si="90"/>
        <v>24566.21</v>
      </c>
      <c r="Z97" s="27">
        <f t="shared" si="90"/>
        <v>24566.21</v>
      </c>
      <c r="AA97" s="27">
        <f t="shared" si="90"/>
        <v>24566.21</v>
      </c>
      <c r="AB97" s="27">
        <f t="shared" si="90"/>
        <v>24566.21</v>
      </c>
      <c r="AC97" s="27">
        <f t="shared" si="90"/>
        <v>24566.21</v>
      </c>
      <c r="AD97" s="27">
        <f t="shared" si="90"/>
        <v>24566.21</v>
      </c>
      <c r="AE97" s="27">
        <f t="shared" si="90"/>
        <v>24566.21</v>
      </c>
      <c r="AF97" s="27">
        <f t="shared" si="90"/>
        <v>24623.07</v>
      </c>
      <c r="AG97" s="27">
        <f t="shared" si="90"/>
        <v>19590.77</v>
      </c>
      <c r="AH97" s="27">
        <f t="shared" si="90"/>
        <v>0</v>
      </c>
      <c r="AI97" s="27">
        <f t="shared" si="90"/>
        <v>0</v>
      </c>
      <c r="AJ97" s="10"/>
      <c r="AK97" s="10"/>
      <c r="AL97" s="10"/>
      <c r="AM97" s="10"/>
      <c r="AN97" s="10"/>
      <c r="AO97" s="27">
        <f t="shared" ref="AO97:AX97" si="91">SUM(AO93:AO96)</f>
        <v>0</v>
      </c>
      <c r="AP97" s="27">
        <f t="shared" si="91"/>
        <v>0</v>
      </c>
      <c r="AQ97" s="27">
        <f t="shared" si="91"/>
        <v>0</v>
      </c>
      <c r="AR97" s="27">
        <f t="shared" si="91"/>
        <v>0</v>
      </c>
      <c r="AS97" s="27">
        <f t="shared" si="91"/>
        <v>0</v>
      </c>
      <c r="AT97" s="27">
        <f t="shared" si="91"/>
        <v>0</v>
      </c>
      <c r="AU97" s="27">
        <f t="shared" si="91"/>
        <v>0</v>
      </c>
      <c r="AV97" s="27">
        <f t="shared" si="91"/>
        <v>0</v>
      </c>
      <c r="AW97" s="27">
        <f t="shared" si="91"/>
        <v>0</v>
      </c>
      <c r="AX97" s="27">
        <f t="shared" si="91"/>
        <v>-56.86</v>
      </c>
      <c r="AY97" s="27">
        <v>-63.27</v>
      </c>
      <c r="AZ97" s="27">
        <f>SUM(AZ93:AZ96)</f>
        <v>19590.77</v>
      </c>
      <c r="BA97" s="56">
        <v>-56.65</v>
      </c>
      <c r="BB97" s="28">
        <f>SUM(BB93:BB96)</f>
        <v>0</v>
      </c>
      <c r="BC97" s="60">
        <f>SUM(BC93:BC96)</f>
        <v>0</v>
      </c>
      <c r="BD97" s="50" t="s">
        <v>63</v>
      </c>
    </row>
    <row r="98" ht="15" spans="1:56">
      <c r="A98" s="10"/>
      <c r="B98" s="10"/>
      <c r="C98" s="10"/>
      <c r="D98" s="10"/>
      <c r="E98" s="10"/>
      <c r="F98" s="10"/>
      <c r="G98" s="10"/>
      <c r="H98" s="10"/>
      <c r="I98" s="10"/>
      <c r="J98" s="10"/>
      <c r="K98" s="10"/>
      <c r="L98" s="10"/>
      <c r="M98" s="10"/>
      <c r="N98" s="10"/>
      <c r="O98" s="10"/>
      <c r="P98" s="10"/>
      <c r="Q98" s="10"/>
      <c r="R98" s="26" t="s">
        <v>15</v>
      </c>
      <c r="S98" s="24">
        <f t="shared" ref="S98:AG98" si="92">S92-S93</f>
        <v>41320.3</v>
      </c>
      <c r="T98" s="24">
        <f t="shared" si="92"/>
        <v>14427.23</v>
      </c>
      <c r="U98" s="25">
        <f t="shared" si="92"/>
        <v>15477.62</v>
      </c>
      <c r="V98" s="24">
        <f t="shared" si="92"/>
        <v>-1050.39</v>
      </c>
      <c r="W98" s="24">
        <f t="shared" si="92"/>
        <v>-1050.39</v>
      </c>
      <c r="X98" s="24">
        <f t="shared" si="92"/>
        <v>-1050.39</v>
      </c>
      <c r="Y98" s="24">
        <f t="shared" si="92"/>
        <v>-1050.39</v>
      </c>
      <c r="Z98" s="24">
        <f t="shared" si="92"/>
        <v>-1050.39</v>
      </c>
      <c r="AA98" s="24">
        <f t="shared" si="92"/>
        <v>-1050.39</v>
      </c>
      <c r="AB98" s="24">
        <f t="shared" si="92"/>
        <v>-1050.39</v>
      </c>
      <c r="AC98" s="24">
        <f t="shared" si="92"/>
        <v>-1050.39</v>
      </c>
      <c r="AD98" s="24">
        <f t="shared" si="92"/>
        <v>-1050.39</v>
      </c>
      <c r="AE98" s="24">
        <f t="shared" si="92"/>
        <v>-1050.39</v>
      </c>
      <c r="AF98" s="24">
        <f t="shared" si="92"/>
        <v>-7460.28</v>
      </c>
      <c r="AG98" s="24">
        <f t="shared" si="92"/>
        <v>-13249.87</v>
      </c>
      <c r="AH98" s="41">
        <v>0</v>
      </c>
      <c r="AI98" s="41">
        <v>0</v>
      </c>
      <c r="AJ98" s="10"/>
      <c r="AK98" s="10"/>
      <c r="AL98" s="10"/>
      <c r="AM98" s="10"/>
      <c r="AN98" s="10"/>
      <c r="AO98" s="24">
        <f t="shared" ref="AO98:AZ98" si="93">AO92-AO93</f>
        <v>0</v>
      </c>
      <c r="AP98" s="24">
        <f t="shared" si="93"/>
        <v>0</v>
      </c>
      <c r="AQ98" s="24">
        <f t="shared" si="93"/>
        <v>0</v>
      </c>
      <c r="AR98" s="24">
        <f t="shared" si="93"/>
        <v>0</v>
      </c>
      <c r="AS98" s="24">
        <f t="shared" si="93"/>
        <v>0</v>
      </c>
      <c r="AT98" s="24">
        <f t="shared" si="93"/>
        <v>0</v>
      </c>
      <c r="AU98" s="24">
        <f t="shared" si="93"/>
        <v>0</v>
      </c>
      <c r="AV98" s="24">
        <f t="shared" si="93"/>
        <v>0</v>
      </c>
      <c r="AW98" s="24">
        <f t="shared" si="93"/>
        <v>0</v>
      </c>
      <c r="AX98" s="24">
        <f t="shared" si="93"/>
        <v>6409.89</v>
      </c>
      <c r="AY98" s="24">
        <f t="shared" si="93"/>
        <v>5789.59</v>
      </c>
      <c r="AZ98" s="24">
        <f t="shared" si="93"/>
        <v>-13249.87</v>
      </c>
      <c r="BA98" s="57">
        <v>15477.62</v>
      </c>
      <c r="BB98" s="28">
        <v>0</v>
      </c>
      <c r="BC98" s="62">
        <v>0</v>
      </c>
      <c r="BD98" s="49" t="s">
        <v>63</v>
      </c>
    </row>
    <row r="99" ht="15" spans="1:56">
      <c r="A99" s="10"/>
      <c r="B99" s="10"/>
      <c r="C99" s="10"/>
      <c r="D99" s="10"/>
      <c r="E99" s="10"/>
      <c r="F99" s="10"/>
      <c r="G99" s="10"/>
      <c r="H99" s="10"/>
      <c r="I99" s="10"/>
      <c r="J99" s="10"/>
      <c r="K99" s="10"/>
      <c r="L99" s="10"/>
      <c r="M99" s="10"/>
      <c r="N99" s="10"/>
      <c r="O99" s="10"/>
      <c r="P99" s="10"/>
      <c r="Q99" s="10"/>
      <c r="R99" s="29" t="s">
        <v>16</v>
      </c>
      <c r="S99" s="30">
        <f t="shared" ref="S99:AG99" si="94">S98/S92</f>
        <v>0.547493961312651</v>
      </c>
      <c r="T99" s="30">
        <f t="shared" si="94"/>
        <v>0.423246534022001</v>
      </c>
      <c r="U99" s="31">
        <f t="shared" si="94"/>
        <v>1</v>
      </c>
      <c r="V99" s="30">
        <f t="shared" si="94"/>
        <v>-0.056443933831432</v>
      </c>
      <c r="W99" s="30">
        <f t="shared" si="94"/>
        <v>-0.056443933831432</v>
      </c>
      <c r="X99" s="30">
        <f t="shared" si="94"/>
        <v>-0.056443933831432</v>
      </c>
      <c r="Y99" s="30">
        <f t="shared" si="94"/>
        <v>-0.056443933831432</v>
      </c>
      <c r="Z99" s="30">
        <f t="shared" si="94"/>
        <v>-0.056443933831432</v>
      </c>
      <c r="AA99" s="30">
        <f t="shared" si="94"/>
        <v>-0.056443933831432</v>
      </c>
      <c r="AB99" s="30">
        <f t="shared" si="94"/>
        <v>-0.056443933831432</v>
      </c>
      <c r="AC99" s="30">
        <f t="shared" si="94"/>
        <v>-0.056443933831432</v>
      </c>
      <c r="AD99" s="30">
        <f t="shared" si="94"/>
        <v>-0.056443933831432</v>
      </c>
      <c r="AE99" s="30">
        <f t="shared" si="94"/>
        <v>-0.056443933831432</v>
      </c>
      <c r="AF99" s="30">
        <f t="shared" si="94"/>
        <v>-0.611520916755126</v>
      </c>
      <c r="AG99" s="30">
        <f t="shared" si="94"/>
        <v>-2.06707530156194</v>
      </c>
      <c r="AH99" s="42">
        <f>T99-S99</f>
        <v>-0.12424742729065</v>
      </c>
      <c r="AI99" s="42">
        <f>AF99-S99</f>
        <v>-1.15901487806778</v>
      </c>
      <c r="AJ99" s="10"/>
      <c r="AK99" s="10"/>
      <c r="AL99" s="10"/>
      <c r="AM99" s="10"/>
      <c r="AN99" s="10"/>
      <c r="AO99" s="30" t="e">
        <f t="shared" ref="AO99:AZ99" si="95">AO98/AO92</f>
        <v>#DIV/0!</v>
      </c>
      <c r="AP99" s="30" t="e">
        <f t="shared" si="95"/>
        <v>#DIV/0!</v>
      </c>
      <c r="AQ99" s="30" t="e">
        <f t="shared" si="95"/>
        <v>#DIV/0!</v>
      </c>
      <c r="AR99" s="30" t="e">
        <f t="shared" si="95"/>
        <v>#DIV/0!</v>
      </c>
      <c r="AS99" s="30" t="e">
        <f t="shared" si="95"/>
        <v>#DIV/0!</v>
      </c>
      <c r="AT99" s="30" t="e">
        <f t="shared" si="95"/>
        <v>#DIV/0!</v>
      </c>
      <c r="AU99" s="30" t="e">
        <f t="shared" si="95"/>
        <v>#DIV/0!</v>
      </c>
      <c r="AV99" s="30" t="e">
        <f t="shared" si="95"/>
        <v>#DIV/0!</v>
      </c>
      <c r="AW99" s="30" t="e">
        <f t="shared" si="95"/>
        <v>#DIV/0!</v>
      </c>
      <c r="AX99" s="30">
        <f t="shared" si="95"/>
        <v>1</v>
      </c>
      <c r="AY99" s="30">
        <f t="shared" si="95"/>
        <v>1</v>
      </c>
      <c r="AZ99" s="30">
        <f t="shared" si="95"/>
        <v>-2.06707530156194</v>
      </c>
      <c r="BA99" s="58">
        <v>1</v>
      </c>
      <c r="BB99" s="52">
        <v>0</v>
      </c>
      <c r="BC99" s="62">
        <v>0</v>
      </c>
      <c r="BD99" s="49" t="s">
        <v>63</v>
      </c>
    </row>
    <row r="100" ht="15" spans="1:56">
      <c r="A100" s="10"/>
      <c r="B100" s="10"/>
      <c r="C100" s="10"/>
      <c r="D100" s="10"/>
      <c r="E100" s="10"/>
      <c r="F100" s="10"/>
      <c r="G100" s="10"/>
      <c r="H100" s="10"/>
      <c r="I100" s="10"/>
      <c r="J100" s="10"/>
      <c r="K100" s="10"/>
      <c r="L100" s="10"/>
      <c r="M100" s="10"/>
      <c r="N100" s="10"/>
      <c r="O100" s="10"/>
      <c r="P100" s="10"/>
      <c r="Q100" s="10"/>
      <c r="R100" s="26" t="s">
        <v>17</v>
      </c>
      <c r="S100" s="24">
        <f t="shared" ref="S100:AG100" si="96">S92-S97</f>
        <v>12283.3</v>
      </c>
      <c r="T100" s="24">
        <f t="shared" si="96"/>
        <v>9577.5</v>
      </c>
      <c r="U100" s="24">
        <f t="shared" si="96"/>
        <v>15534.27</v>
      </c>
      <c r="V100" s="24">
        <f t="shared" si="96"/>
        <v>-5956.77</v>
      </c>
      <c r="W100" s="24">
        <f t="shared" si="96"/>
        <v>-5956.77</v>
      </c>
      <c r="X100" s="24">
        <f t="shared" si="96"/>
        <v>-5956.77</v>
      </c>
      <c r="Y100" s="24">
        <f t="shared" si="96"/>
        <v>-5956.77</v>
      </c>
      <c r="Z100" s="24">
        <f t="shared" si="96"/>
        <v>-5956.77</v>
      </c>
      <c r="AA100" s="24">
        <f t="shared" si="96"/>
        <v>-5956.77</v>
      </c>
      <c r="AB100" s="24">
        <f t="shared" si="96"/>
        <v>-5956.77</v>
      </c>
      <c r="AC100" s="24">
        <f t="shared" si="96"/>
        <v>-5956.77</v>
      </c>
      <c r="AD100" s="24">
        <f t="shared" si="96"/>
        <v>-5956.77</v>
      </c>
      <c r="AE100" s="24">
        <f t="shared" si="96"/>
        <v>-5956.77</v>
      </c>
      <c r="AF100" s="24">
        <f t="shared" si="96"/>
        <v>-12423.52</v>
      </c>
      <c r="AG100" s="24">
        <f t="shared" si="96"/>
        <v>-13180.81</v>
      </c>
      <c r="AH100" s="42">
        <v>0</v>
      </c>
      <c r="AI100" s="42">
        <v>0</v>
      </c>
      <c r="AJ100" s="10"/>
      <c r="AK100" s="10"/>
      <c r="AL100" s="10"/>
      <c r="AM100" s="10"/>
      <c r="AN100" s="10"/>
      <c r="AO100" s="24">
        <f t="shared" ref="AO100:BC100" si="97">AO92-AO97</f>
        <v>0</v>
      </c>
      <c r="AP100" s="24">
        <f t="shared" si="97"/>
        <v>0</v>
      </c>
      <c r="AQ100" s="24">
        <f t="shared" si="97"/>
        <v>0</v>
      </c>
      <c r="AR100" s="24">
        <f t="shared" si="97"/>
        <v>0</v>
      </c>
      <c r="AS100" s="24">
        <f t="shared" si="97"/>
        <v>0</v>
      </c>
      <c r="AT100" s="24">
        <f t="shared" si="97"/>
        <v>0</v>
      </c>
      <c r="AU100" s="24">
        <f t="shared" si="97"/>
        <v>0</v>
      </c>
      <c r="AV100" s="24">
        <f t="shared" si="97"/>
        <v>0</v>
      </c>
      <c r="AW100" s="24">
        <f t="shared" si="97"/>
        <v>0</v>
      </c>
      <c r="AX100" s="24">
        <f t="shared" si="97"/>
        <v>6466.75</v>
      </c>
      <c r="AY100" s="24">
        <f t="shared" si="97"/>
        <v>5852.86</v>
      </c>
      <c r="AZ100" s="24">
        <f t="shared" si="97"/>
        <v>-13180.81</v>
      </c>
      <c r="BA100" s="24">
        <f t="shared" si="97"/>
        <v>15534.27</v>
      </c>
      <c r="BB100" s="24">
        <f t="shared" si="97"/>
        <v>0</v>
      </c>
      <c r="BC100" s="24">
        <f t="shared" si="97"/>
        <v>0</v>
      </c>
      <c r="BD100" s="49" t="s">
        <v>63</v>
      </c>
    </row>
    <row r="101" ht="15" spans="1:56">
      <c r="A101" s="11"/>
      <c r="B101" s="11"/>
      <c r="C101" s="11"/>
      <c r="D101" s="11"/>
      <c r="E101" s="11"/>
      <c r="F101" s="11"/>
      <c r="G101" s="11"/>
      <c r="H101" s="11"/>
      <c r="I101" s="11"/>
      <c r="J101" s="11"/>
      <c r="K101" s="11"/>
      <c r="L101" s="11"/>
      <c r="M101" s="11"/>
      <c r="N101" s="11"/>
      <c r="O101" s="11"/>
      <c r="P101" s="11"/>
      <c r="Q101" s="11"/>
      <c r="R101" s="29" t="s">
        <v>18</v>
      </c>
      <c r="S101" s="30">
        <f t="shared" ref="S101:AG101" si="98">S100/S92</f>
        <v>0.162753720931157</v>
      </c>
      <c r="T101" s="30">
        <f t="shared" si="98"/>
        <v>0.280971723580737</v>
      </c>
      <c r="U101" s="31">
        <f t="shared" si="98"/>
        <v>1.00366012345567</v>
      </c>
      <c r="V101" s="30">
        <f t="shared" si="98"/>
        <v>-0.320093995305609</v>
      </c>
      <c r="W101" s="30">
        <f t="shared" si="98"/>
        <v>-0.320093995305609</v>
      </c>
      <c r="X101" s="30">
        <f t="shared" si="98"/>
        <v>-0.320093995305609</v>
      </c>
      <c r="Y101" s="30">
        <f t="shared" si="98"/>
        <v>-0.320093995305609</v>
      </c>
      <c r="Z101" s="30">
        <f t="shared" si="98"/>
        <v>-0.320093995305609</v>
      </c>
      <c r="AA101" s="30">
        <f t="shared" si="98"/>
        <v>-0.320093995305609</v>
      </c>
      <c r="AB101" s="30">
        <f t="shared" si="98"/>
        <v>-0.320093995305609</v>
      </c>
      <c r="AC101" s="30">
        <f t="shared" si="98"/>
        <v>-0.320093995305609</v>
      </c>
      <c r="AD101" s="30">
        <f t="shared" si="98"/>
        <v>-0.320093995305609</v>
      </c>
      <c r="AE101" s="30">
        <f t="shared" si="98"/>
        <v>-0.320093995305609</v>
      </c>
      <c r="AF101" s="30">
        <f t="shared" si="98"/>
        <v>-1.01835887389289</v>
      </c>
      <c r="AG101" s="30">
        <f t="shared" si="98"/>
        <v>-2.05630144337874</v>
      </c>
      <c r="AH101" s="42">
        <f>T101-S101</f>
        <v>0.11821800264958</v>
      </c>
      <c r="AI101" s="42">
        <f>AF101-S101</f>
        <v>-1.18111259482405</v>
      </c>
      <c r="AJ101" s="11"/>
      <c r="AK101" s="11"/>
      <c r="AL101" s="11"/>
      <c r="AM101" s="11"/>
      <c r="AN101" s="11"/>
      <c r="AO101" s="30" t="e">
        <f t="shared" ref="AO101:AZ101" si="99">AO100/AO92</f>
        <v>#DIV/0!</v>
      </c>
      <c r="AP101" s="30" t="e">
        <f t="shared" si="99"/>
        <v>#DIV/0!</v>
      </c>
      <c r="AQ101" s="30" t="e">
        <f t="shared" si="99"/>
        <v>#DIV/0!</v>
      </c>
      <c r="AR101" s="30" t="e">
        <f t="shared" si="99"/>
        <v>#DIV/0!</v>
      </c>
      <c r="AS101" s="30" t="e">
        <f t="shared" si="99"/>
        <v>#DIV/0!</v>
      </c>
      <c r="AT101" s="30" t="e">
        <f t="shared" si="99"/>
        <v>#DIV/0!</v>
      </c>
      <c r="AU101" s="30" t="e">
        <f t="shared" si="99"/>
        <v>#DIV/0!</v>
      </c>
      <c r="AV101" s="30" t="e">
        <f t="shared" si="99"/>
        <v>#DIV/0!</v>
      </c>
      <c r="AW101" s="30" t="e">
        <f t="shared" si="99"/>
        <v>#DIV/0!</v>
      </c>
      <c r="AX101" s="30">
        <f t="shared" si="99"/>
        <v>1.00887066704733</v>
      </c>
      <c r="AY101" s="30">
        <f t="shared" si="99"/>
        <v>1.01092823498728</v>
      </c>
      <c r="AZ101" s="30">
        <f t="shared" si="99"/>
        <v>-2.05630144337874</v>
      </c>
      <c r="BA101" s="58">
        <v>1.00366012345567</v>
      </c>
      <c r="BB101" s="52">
        <v>0</v>
      </c>
      <c r="BC101" s="62">
        <v>0</v>
      </c>
      <c r="BD101" s="49" t="s">
        <v>63</v>
      </c>
    </row>
    <row r="102" ht="15" spans="1:56">
      <c r="A102" s="12" t="s">
        <v>91</v>
      </c>
      <c r="B102" s="13" t="s">
        <v>92</v>
      </c>
      <c r="C102" s="14">
        <v>46023</v>
      </c>
      <c r="D102" s="14">
        <v>46387</v>
      </c>
      <c r="E102" s="6"/>
      <c r="F102" s="7">
        <v>2</v>
      </c>
      <c r="G102" s="9">
        <v>2</v>
      </c>
      <c r="H102" s="9"/>
      <c r="I102" s="9"/>
      <c r="J102" s="9"/>
      <c r="K102" s="9"/>
      <c r="L102" s="9"/>
      <c r="M102" s="9"/>
      <c r="N102" s="9"/>
      <c r="O102" s="9"/>
      <c r="P102" s="6"/>
      <c r="Q102" s="9" t="s">
        <v>63</v>
      </c>
      <c r="R102" s="32" t="s">
        <v>9</v>
      </c>
      <c r="S102" s="24">
        <v>75471.7</v>
      </c>
      <c r="T102" s="24">
        <f>SUM(AO102:BC102)</f>
        <v>191452.59</v>
      </c>
      <c r="U102" s="25">
        <f>SUM(BA102:BC102)</f>
        <v>0</v>
      </c>
      <c r="V102" s="24">
        <f>SUM(AO102:AZ102)</f>
        <v>191452.59</v>
      </c>
      <c r="W102" s="24">
        <f>SUM(AP102:AZ102)</f>
        <v>191452.59</v>
      </c>
      <c r="X102" s="24">
        <f>SUM(AQ102:AZ102)</f>
        <v>191452.59</v>
      </c>
      <c r="Y102" s="24">
        <f>SUM(AR102:AZ102)</f>
        <v>191452.59</v>
      </c>
      <c r="Z102" s="24">
        <f>SUM(AS102:AZ102)</f>
        <v>191452.59</v>
      </c>
      <c r="AA102" s="24">
        <f>SUM(AT102:AZ102)</f>
        <v>191452.59</v>
      </c>
      <c r="AB102" s="24">
        <f>SUM(AU102:AZ102)</f>
        <v>191452.59</v>
      </c>
      <c r="AC102" s="24">
        <f>SUM(AV102:AZ102)</f>
        <v>191452.59</v>
      </c>
      <c r="AD102" s="24">
        <f>SUM(AW102:AZ102)</f>
        <v>191452.59</v>
      </c>
      <c r="AE102" s="24">
        <f>SUM(AX102:AZ102)</f>
        <v>191452.59</v>
      </c>
      <c r="AF102" s="24">
        <f>SUM(AY102:AZ102)</f>
        <v>125937.54</v>
      </c>
      <c r="AG102" s="24">
        <f>SUM(AZ102:AZ102)</f>
        <v>62991.71</v>
      </c>
      <c r="AH102" s="38">
        <v>0</v>
      </c>
      <c r="AI102" s="38">
        <v>0</v>
      </c>
      <c r="AJ102" s="13" t="s">
        <v>63</v>
      </c>
      <c r="AK102" s="43" t="s">
        <v>63</v>
      </c>
      <c r="AL102" s="43" t="s">
        <v>63</v>
      </c>
      <c r="AM102" s="43" t="s">
        <v>63</v>
      </c>
      <c r="AN102" s="7"/>
      <c r="AO102" s="24">
        <v>0</v>
      </c>
      <c r="AP102" s="24">
        <v>0</v>
      </c>
      <c r="AQ102" s="24">
        <v>0</v>
      </c>
      <c r="AR102" s="24">
        <v>0</v>
      </c>
      <c r="AS102" s="24">
        <v>0</v>
      </c>
      <c r="AT102" s="24">
        <v>0</v>
      </c>
      <c r="AU102" s="24">
        <v>0</v>
      </c>
      <c r="AV102" s="24">
        <v>0</v>
      </c>
      <c r="AW102" s="24">
        <v>0</v>
      </c>
      <c r="AX102" s="24">
        <v>65515.05</v>
      </c>
      <c r="AY102" s="24">
        <v>62945.83</v>
      </c>
      <c r="AZ102" s="24">
        <v>62991.71</v>
      </c>
      <c r="BA102" s="54">
        <v>0</v>
      </c>
      <c r="BB102" s="25">
        <v>0</v>
      </c>
      <c r="BC102" s="62">
        <v>0</v>
      </c>
      <c r="BD102" s="49" t="s">
        <v>63</v>
      </c>
    </row>
    <row r="103" ht="15" spans="1:56">
      <c r="A103" s="10"/>
      <c r="B103" s="10"/>
      <c r="C103" s="10"/>
      <c r="D103" s="10"/>
      <c r="E103" s="10"/>
      <c r="F103" s="10"/>
      <c r="G103" s="10"/>
      <c r="H103" s="10"/>
      <c r="I103" s="10"/>
      <c r="J103" s="10"/>
      <c r="K103" s="10"/>
      <c r="L103" s="10"/>
      <c r="M103" s="10"/>
      <c r="N103" s="10"/>
      <c r="O103" s="10"/>
      <c r="P103" s="10"/>
      <c r="Q103" s="10"/>
      <c r="R103" s="26" t="s">
        <v>10</v>
      </c>
      <c r="S103" s="24">
        <v>34151.4</v>
      </c>
      <c r="T103" s="24">
        <f>SUM(AO103:BC103)</f>
        <v>185576.49</v>
      </c>
      <c r="U103" s="25">
        <f>SUM(BA103:BC103)</f>
        <v>0</v>
      </c>
      <c r="V103" s="24">
        <f>SUM(AO103:AZ103)</f>
        <v>185576.49</v>
      </c>
      <c r="W103" s="24">
        <f>SUM(AP103:AZ103)</f>
        <v>185576.49</v>
      </c>
      <c r="X103" s="24">
        <f>SUM(AQ103:AZ103)</f>
        <v>185576.49</v>
      </c>
      <c r="Y103" s="24">
        <f>SUM(AR103:AZ103)</f>
        <v>185576.49</v>
      </c>
      <c r="Z103" s="24">
        <f>SUM(AS103:AZ103)</f>
        <v>185576.49</v>
      </c>
      <c r="AA103" s="24">
        <f>SUM(AT103:AZ103)</f>
        <v>185576.49</v>
      </c>
      <c r="AB103" s="24">
        <f>SUM(AU103:AZ103)</f>
        <v>185576.49</v>
      </c>
      <c r="AC103" s="24">
        <f>SUM(AV103:AZ103)</f>
        <v>185576.49</v>
      </c>
      <c r="AD103" s="24">
        <f>SUM(AW103:AZ103)</f>
        <v>185576.49</v>
      </c>
      <c r="AE103" s="24">
        <f>SUM(AX103:AZ103)</f>
        <v>185576.49</v>
      </c>
      <c r="AF103" s="24">
        <f>SUM(AY103:AZ103)</f>
        <v>123717.66</v>
      </c>
      <c r="AG103" s="24">
        <f>SUM(AZ103:AZ103)</f>
        <v>61858.83</v>
      </c>
      <c r="AH103" s="38">
        <v>0</v>
      </c>
      <c r="AI103" s="38">
        <v>0</v>
      </c>
      <c r="AJ103" s="10"/>
      <c r="AK103" s="10"/>
      <c r="AL103" s="10"/>
      <c r="AM103" s="10"/>
      <c r="AN103" s="10"/>
      <c r="AO103" s="24">
        <v>0</v>
      </c>
      <c r="AP103" s="24">
        <v>0</v>
      </c>
      <c r="AQ103" s="24">
        <v>0</v>
      </c>
      <c r="AR103" s="24">
        <v>0</v>
      </c>
      <c r="AS103" s="24">
        <v>0</v>
      </c>
      <c r="AT103" s="24">
        <v>0</v>
      </c>
      <c r="AU103" s="24">
        <v>0</v>
      </c>
      <c r="AV103" s="24">
        <v>0</v>
      </c>
      <c r="AW103" s="24">
        <v>0</v>
      </c>
      <c r="AX103" s="24">
        <v>61858.83</v>
      </c>
      <c r="AY103" s="24">
        <v>61858.83</v>
      </c>
      <c r="AZ103" s="24">
        <v>61858.83</v>
      </c>
      <c r="BA103" s="54">
        <v>0</v>
      </c>
      <c r="BB103" s="25">
        <v>0</v>
      </c>
      <c r="BC103" s="62">
        <v>0</v>
      </c>
      <c r="BD103" s="49" t="s">
        <v>63</v>
      </c>
    </row>
    <row r="104" ht="15" spans="1:56">
      <c r="A104" s="10"/>
      <c r="B104" s="10"/>
      <c r="C104" s="10"/>
      <c r="D104" s="10"/>
      <c r="E104" s="10"/>
      <c r="F104" s="10"/>
      <c r="G104" s="10"/>
      <c r="H104" s="10"/>
      <c r="I104" s="10"/>
      <c r="J104" s="10"/>
      <c r="K104" s="10"/>
      <c r="L104" s="10"/>
      <c r="M104" s="10"/>
      <c r="N104" s="10"/>
      <c r="O104" s="10"/>
      <c r="P104" s="10"/>
      <c r="Q104" s="10"/>
      <c r="R104" s="26" t="s">
        <v>11</v>
      </c>
      <c r="S104" s="24">
        <v>0</v>
      </c>
      <c r="T104" s="24">
        <f>SUM(AO104:BC104)</f>
        <v>0</v>
      </c>
      <c r="U104" s="25">
        <f>SUM(BA104:BC104)</f>
        <v>0</v>
      </c>
      <c r="V104" s="24">
        <v>0</v>
      </c>
      <c r="W104" s="24">
        <v>0</v>
      </c>
      <c r="X104" s="24">
        <v>0</v>
      </c>
      <c r="Y104" s="24">
        <v>0</v>
      </c>
      <c r="Z104" s="24">
        <v>0</v>
      </c>
      <c r="AA104" s="24">
        <v>0</v>
      </c>
      <c r="AB104" s="24">
        <v>0</v>
      </c>
      <c r="AC104" s="24">
        <v>0</v>
      </c>
      <c r="AD104" s="24">
        <v>0</v>
      </c>
      <c r="AE104" s="24">
        <v>0</v>
      </c>
      <c r="AF104" s="24">
        <v>0</v>
      </c>
      <c r="AG104" s="24">
        <v>0</v>
      </c>
      <c r="AH104" s="38">
        <v>0</v>
      </c>
      <c r="AI104" s="38">
        <v>0</v>
      </c>
      <c r="AJ104" s="10"/>
      <c r="AK104" s="10"/>
      <c r="AL104" s="10"/>
      <c r="AM104" s="10"/>
      <c r="AN104" s="10"/>
      <c r="AO104" s="24">
        <v>0</v>
      </c>
      <c r="AP104" s="24">
        <v>0</v>
      </c>
      <c r="AQ104" s="24">
        <v>0</v>
      </c>
      <c r="AR104" s="24">
        <v>0</v>
      </c>
      <c r="AS104" s="24">
        <v>0</v>
      </c>
      <c r="AT104" s="24">
        <v>0</v>
      </c>
      <c r="AU104" s="24">
        <v>0</v>
      </c>
      <c r="AV104" s="24">
        <v>0</v>
      </c>
      <c r="AW104" s="24">
        <v>0</v>
      </c>
      <c r="AX104" s="24">
        <v>0</v>
      </c>
      <c r="AY104" s="24">
        <v>0</v>
      </c>
      <c r="AZ104" s="24">
        <v>0</v>
      </c>
      <c r="BA104" s="54">
        <v>0</v>
      </c>
      <c r="BB104" s="25">
        <v>0</v>
      </c>
      <c r="BC104" s="62">
        <v>0</v>
      </c>
      <c r="BD104" s="49" t="s">
        <v>63</v>
      </c>
    </row>
    <row r="105" ht="15" spans="1:56">
      <c r="A105" s="10"/>
      <c r="B105" s="10"/>
      <c r="C105" s="10"/>
      <c r="D105" s="10"/>
      <c r="E105" s="10"/>
      <c r="F105" s="10"/>
      <c r="G105" s="10"/>
      <c r="H105" s="10"/>
      <c r="I105" s="10"/>
      <c r="J105" s="10"/>
      <c r="K105" s="10"/>
      <c r="L105" s="10"/>
      <c r="M105" s="10"/>
      <c r="N105" s="10"/>
      <c r="O105" s="10"/>
      <c r="P105" s="10"/>
      <c r="Q105" s="10"/>
      <c r="R105" s="26" t="s">
        <v>12</v>
      </c>
      <c r="S105" s="24">
        <v>0</v>
      </c>
      <c r="T105" s="24">
        <f>SUM(AO105:BC105)</f>
        <v>0</v>
      </c>
      <c r="U105" s="25">
        <f>SUM(BA105:BC105)</f>
        <v>0</v>
      </c>
      <c r="V105" s="24">
        <f>SUM(AO105:AZ105)</f>
        <v>0</v>
      </c>
      <c r="W105" s="24">
        <f>SUM(AP105:AZ105)</f>
        <v>0</v>
      </c>
      <c r="X105" s="24">
        <f>SUM(AQ105:AZ105)</f>
        <v>0</v>
      </c>
      <c r="Y105" s="24">
        <f>SUM(AR105:AZ105)</f>
        <v>0</v>
      </c>
      <c r="Z105" s="24">
        <f>SUM(AS105:AZ105)</f>
        <v>0</v>
      </c>
      <c r="AA105" s="24">
        <f>SUM(AT105:AZ105)</f>
        <v>0</v>
      </c>
      <c r="AB105" s="24">
        <f>SUM(AU105:AZ105)</f>
        <v>0</v>
      </c>
      <c r="AC105" s="24">
        <f>SUM(AV105:AZ105)</f>
        <v>0</v>
      </c>
      <c r="AD105" s="24">
        <f>SUM(AW105:AZ105)</f>
        <v>0</v>
      </c>
      <c r="AE105" s="24">
        <f>SUM(AX105:AZ105)</f>
        <v>0</v>
      </c>
      <c r="AF105" s="24">
        <f>SUM(AY105:AZ105)</f>
        <v>0</v>
      </c>
      <c r="AG105" s="24">
        <f>SUM(AZ105:AZ105)</f>
        <v>0</v>
      </c>
      <c r="AH105" s="38">
        <v>0</v>
      </c>
      <c r="AI105" s="38">
        <v>0</v>
      </c>
      <c r="AJ105" s="10"/>
      <c r="AK105" s="10"/>
      <c r="AL105" s="10"/>
      <c r="AM105" s="10"/>
      <c r="AN105" s="10"/>
      <c r="AO105" s="24">
        <v>0</v>
      </c>
      <c r="AP105" s="24">
        <v>0</v>
      </c>
      <c r="AQ105" s="24">
        <v>0</v>
      </c>
      <c r="AR105" s="24">
        <v>0</v>
      </c>
      <c r="AS105" s="24">
        <v>0</v>
      </c>
      <c r="AT105" s="24">
        <v>0</v>
      </c>
      <c r="AU105" s="24">
        <v>0</v>
      </c>
      <c r="AV105" s="24">
        <v>0</v>
      </c>
      <c r="AW105" s="24">
        <v>0</v>
      </c>
      <c r="AX105" s="24">
        <v>0</v>
      </c>
      <c r="AY105" s="24">
        <v>0</v>
      </c>
      <c r="AZ105" s="24">
        <v>0</v>
      </c>
      <c r="BA105" s="54">
        <v>0</v>
      </c>
      <c r="BB105" s="25">
        <v>0</v>
      </c>
      <c r="BC105" s="62">
        <v>0</v>
      </c>
      <c r="BD105" s="49" t="s">
        <v>63</v>
      </c>
    </row>
    <row r="106" ht="15" spans="1:56">
      <c r="A106" s="10"/>
      <c r="B106" s="10"/>
      <c r="C106" s="10"/>
      <c r="D106" s="10"/>
      <c r="E106" s="10"/>
      <c r="F106" s="10"/>
      <c r="G106" s="10"/>
      <c r="H106" s="10"/>
      <c r="I106" s="10"/>
      <c r="J106" s="10"/>
      <c r="K106" s="10"/>
      <c r="L106" s="10"/>
      <c r="M106" s="10"/>
      <c r="N106" s="10"/>
      <c r="O106" s="10"/>
      <c r="P106" s="10"/>
      <c r="Q106" s="10"/>
      <c r="R106" s="26" t="s">
        <v>13</v>
      </c>
      <c r="S106" s="24">
        <v>29037</v>
      </c>
      <c r="T106" s="24">
        <f>SUM(AO106:BC106)</f>
        <v>406.27</v>
      </c>
      <c r="U106" s="25">
        <f>SUM(BA106:BC106)</f>
        <v>0</v>
      </c>
      <c r="V106" s="24">
        <f>SUM(AO106:AZ106)</f>
        <v>406.27</v>
      </c>
      <c r="W106" s="24">
        <f>SUM(AP106:AZ106)</f>
        <v>406.27</v>
      </c>
      <c r="X106" s="24">
        <f>SUM(AQ106:AZ106)</f>
        <v>406.27</v>
      </c>
      <c r="Y106" s="24">
        <f>SUM(AR106:AZ106)</f>
        <v>406.27</v>
      </c>
      <c r="Z106" s="24">
        <f>SUM(AS106:AZ106)</f>
        <v>406.27</v>
      </c>
      <c r="AA106" s="24">
        <f>SUM(AT106:AZ106)</f>
        <v>406.27</v>
      </c>
      <c r="AB106" s="24">
        <f>SUM(AU106:AZ106)</f>
        <v>406.27</v>
      </c>
      <c r="AC106" s="24">
        <f>SUM(AV106:AZ106)</f>
        <v>406.27</v>
      </c>
      <c r="AD106" s="24">
        <f>SUM(AW106:AZ106)</f>
        <v>406.27</v>
      </c>
      <c r="AE106" s="24">
        <f>SUM(AX106:AZ106)</f>
        <v>406.27</v>
      </c>
      <c r="AF106" s="24">
        <f>SUM(AY106:AZ106)</f>
        <v>201.79</v>
      </c>
      <c r="AG106" s="24">
        <f>SUM(AZ106:AZ106)</f>
        <v>67.28</v>
      </c>
      <c r="AH106" s="38">
        <v>0</v>
      </c>
      <c r="AI106" s="38">
        <v>0</v>
      </c>
      <c r="AJ106" s="10"/>
      <c r="AK106" s="10"/>
      <c r="AL106" s="10"/>
      <c r="AM106" s="10"/>
      <c r="AN106" s="10"/>
      <c r="AO106" s="24">
        <v>0</v>
      </c>
      <c r="AP106" s="24">
        <v>0</v>
      </c>
      <c r="AQ106" s="24">
        <v>0</v>
      </c>
      <c r="AR106" s="24">
        <v>0</v>
      </c>
      <c r="AS106" s="24">
        <v>0</v>
      </c>
      <c r="AT106" s="24">
        <v>0</v>
      </c>
      <c r="AU106" s="24">
        <v>0</v>
      </c>
      <c r="AV106" s="24">
        <v>0</v>
      </c>
      <c r="AW106" s="24">
        <v>0</v>
      </c>
      <c r="AX106" s="24">
        <v>204.48</v>
      </c>
      <c r="AY106" s="24">
        <v>134.51</v>
      </c>
      <c r="AZ106" s="24">
        <v>67.28</v>
      </c>
      <c r="BA106" s="54">
        <v>0</v>
      </c>
      <c r="BB106" s="25">
        <v>0</v>
      </c>
      <c r="BC106" s="62">
        <v>0</v>
      </c>
      <c r="BD106" s="49" t="s">
        <v>63</v>
      </c>
    </row>
    <row r="107" ht="15" spans="1:56">
      <c r="A107" s="10"/>
      <c r="B107" s="10"/>
      <c r="C107" s="10"/>
      <c r="D107" s="10"/>
      <c r="E107" s="10"/>
      <c r="F107" s="10"/>
      <c r="G107" s="10"/>
      <c r="H107" s="10"/>
      <c r="I107" s="10"/>
      <c r="J107" s="10"/>
      <c r="K107" s="10"/>
      <c r="L107" s="10"/>
      <c r="M107" s="10"/>
      <c r="N107" s="10"/>
      <c r="O107" s="10"/>
      <c r="P107" s="10"/>
      <c r="Q107" s="10"/>
      <c r="R107" s="26" t="s">
        <v>14</v>
      </c>
      <c r="S107" s="27">
        <f t="shared" ref="S107:AG107" si="100">SUM(S103:S106)</f>
        <v>63188.4</v>
      </c>
      <c r="T107" s="27">
        <f t="shared" si="100"/>
        <v>185982.76</v>
      </c>
      <c r="U107" s="28">
        <f t="shared" si="100"/>
        <v>0</v>
      </c>
      <c r="V107" s="27">
        <f t="shared" si="100"/>
        <v>185982.76</v>
      </c>
      <c r="W107" s="27">
        <f t="shared" si="100"/>
        <v>185982.76</v>
      </c>
      <c r="X107" s="27">
        <f t="shared" si="100"/>
        <v>185982.76</v>
      </c>
      <c r="Y107" s="27">
        <f t="shared" si="100"/>
        <v>185982.76</v>
      </c>
      <c r="Z107" s="27">
        <f t="shared" si="100"/>
        <v>185982.76</v>
      </c>
      <c r="AA107" s="27">
        <f t="shared" si="100"/>
        <v>185982.76</v>
      </c>
      <c r="AB107" s="27">
        <f t="shared" si="100"/>
        <v>185982.76</v>
      </c>
      <c r="AC107" s="27">
        <f t="shared" si="100"/>
        <v>185982.76</v>
      </c>
      <c r="AD107" s="27">
        <f t="shared" si="100"/>
        <v>185982.76</v>
      </c>
      <c r="AE107" s="27">
        <f t="shared" si="100"/>
        <v>185982.76</v>
      </c>
      <c r="AF107" s="27">
        <f t="shared" si="100"/>
        <v>123919.45</v>
      </c>
      <c r="AG107" s="27">
        <f t="shared" si="100"/>
        <v>61926.11</v>
      </c>
      <c r="AH107" s="27">
        <v>0</v>
      </c>
      <c r="AI107" s="27">
        <f>SUM(AI103:AI106)</f>
        <v>0</v>
      </c>
      <c r="AJ107" s="10"/>
      <c r="AK107" s="10"/>
      <c r="AL107" s="10"/>
      <c r="AM107" s="10"/>
      <c r="AN107" s="10"/>
      <c r="AO107" s="27">
        <f t="shared" ref="AO107:AX107" si="101">SUM(AO103:AO106)</f>
        <v>0</v>
      </c>
      <c r="AP107" s="27">
        <f t="shared" si="101"/>
        <v>0</v>
      </c>
      <c r="AQ107" s="27">
        <f t="shared" si="101"/>
        <v>0</v>
      </c>
      <c r="AR107" s="27">
        <f t="shared" si="101"/>
        <v>0</v>
      </c>
      <c r="AS107" s="27">
        <f t="shared" si="101"/>
        <v>0</v>
      </c>
      <c r="AT107" s="27">
        <f t="shared" si="101"/>
        <v>0</v>
      </c>
      <c r="AU107" s="27">
        <f t="shared" si="101"/>
        <v>0</v>
      </c>
      <c r="AV107" s="27">
        <f t="shared" si="101"/>
        <v>0</v>
      </c>
      <c r="AW107" s="27">
        <f t="shared" si="101"/>
        <v>0</v>
      </c>
      <c r="AX107" s="27">
        <f t="shared" si="101"/>
        <v>62063.31</v>
      </c>
      <c r="AY107" s="27">
        <v>61993.34</v>
      </c>
      <c r="AZ107" s="27">
        <f>SUM(AZ103:AZ106)</f>
        <v>61926.11</v>
      </c>
      <c r="BA107" s="56">
        <v>0</v>
      </c>
      <c r="BB107" s="28">
        <f>SUM(BB103:BB106)</f>
        <v>0</v>
      </c>
      <c r="BC107" s="60">
        <f>SUM(BC103:BC106)</f>
        <v>0</v>
      </c>
      <c r="BD107" s="50" t="s">
        <v>63</v>
      </c>
    </row>
    <row r="108" ht="15" spans="1:56">
      <c r="A108" s="10"/>
      <c r="B108" s="10"/>
      <c r="C108" s="10"/>
      <c r="D108" s="10"/>
      <c r="E108" s="10"/>
      <c r="F108" s="10"/>
      <c r="G108" s="10"/>
      <c r="H108" s="10"/>
      <c r="I108" s="10"/>
      <c r="J108" s="10"/>
      <c r="K108" s="10"/>
      <c r="L108" s="10"/>
      <c r="M108" s="10"/>
      <c r="N108" s="10"/>
      <c r="O108" s="10"/>
      <c r="P108" s="10"/>
      <c r="Q108" s="10"/>
      <c r="R108" s="26" t="s">
        <v>15</v>
      </c>
      <c r="S108" s="24">
        <f t="shared" ref="S108:AG108" si="102">S102-S103</f>
        <v>41320.3</v>
      </c>
      <c r="T108" s="24">
        <f t="shared" si="102"/>
        <v>5876.10000000001</v>
      </c>
      <c r="U108" s="25">
        <f t="shared" si="102"/>
        <v>0</v>
      </c>
      <c r="V108" s="24">
        <f t="shared" si="102"/>
        <v>5876.10000000001</v>
      </c>
      <c r="W108" s="24">
        <f t="shared" si="102"/>
        <v>5876.10000000001</v>
      </c>
      <c r="X108" s="24">
        <f t="shared" si="102"/>
        <v>5876.10000000001</v>
      </c>
      <c r="Y108" s="24">
        <f t="shared" si="102"/>
        <v>5876.10000000001</v>
      </c>
      <c r="Z108" s="24">
        <f t="shared" si="102"/>
        <v>5876.10000000001</v>
      </c>
      <c r="AA108" s="24">
        <f t="shared" si="102"/>
        <v>5876.10000000001</v>
      </c>
      <c r="AB108" s="24">
        <f t="shared" si="102"/>
        <v>5876.10000000001</v>
      </c>
      <c r="AC108" s="24">
        <f t="shared" si="102"/>
        <v>5876.10000000001</v>
      </c>
      <c r="AD108" s="24">
        <f t="shared" si="102"/>
        <v>5876.10000000001</v>
      </c>
      <c r="AE108" s="24">
        <f t="shared" si="102"/>
        <v>5876.10000000001</v>
      </c>
      <c r="AF108" s="24">
        <f t="shared" si="102"/>
        <v>2219.88</v>
      </c>
      <c r="AG108" s="24">
        <f t="shared" si="102"/>
        <v>1132.88</v>
      </c>
      <c r="AH108" s="41">
        <v>0</v>
      </c>
      <c r="AI108" s="41">
        <v>0</v>
      </c>
      <c r="AJ108" s="10"/>
      <c r="AK108" s="10"/>
      <c r="AL108" s="10"/>
      <c r="AM108" s="10"/>
      <c r="AN108" s="10"/>
      <c r="AO108" s="24">
        <f t="shared" ref="AO108:AZ108" si="103">AO102-AO103</f>
        <v>0</v>
      </c>
      <c r="AP108" s="24">
        <f t="shared" si="103"/>
        <v>0</v>
      </c>
      <c r="AQ108" s="24">
        <f t="shared" si="103"/>
        <v>0</v>
      </c>
      <c r="AR108" s="24">
        <f t="shared" si="103"/>
        <v>0</v>
      </c>
      <c r="AS108" s="24">
        <f t="shared" si="103"/>
        <v>0</v>
      </c>
      <c r="AT108" s="24">
        <f t="shared" si="103"/>
        <v>0</v>
      </c>
      <c r="AU108" s="24">
        <f t="shared" si="103"/>
        <v>0</v>
      </c>
      <c r="AV108" s="24">
        <f t="shared" si="103"/>
        <v>0</v>
      </c>
      <c r="AW108" s="24">
        <f t="shared" si="103"/>
        <v>0</v>
      </c>
      <c r="AX108" s="24">
        <f t="shared" si="103"/>
        <v>3656.22</v>
      </c>
      <c r="AY108" s="24">
        <f t="shared" si="103"/>
        <v>1087</v>
      </c>
      <c r="AZ108" s="24">
        <f t="shared" si="103"/>
        <v>1132.88</v>
      </c>
      <c r="BA108" s="57">
        <v>0</v>
      </c>
      <c r="BB108" s="28">
        <v>0</v>
      </c>
      <c r="BC108" s="62">
        <v>0</v>
      </c>
      <c r="BD108" s="49" t="s">
        <v>63</v>
      </c>
    </row>
    <row r="109" ht="15" spans="1:56">
      <c r="A109" s="10"/>
      <c r="B109" s="10"/>
      <c r="C109" s="10"/>
      <c r="D109" s="10"/>
      <c r="E109" s="10"/>
      <c r="F109" s="10"/>
      <c r="G109" s="10"/>
      <c r="H109" s="10"/>
      <c r="I109" s="10"/>
      <c r="J109" s="10"/>
      <c r="K109" s="10"/>
      <c r="L109" s="10"/>
      <c r="M109" s="10"/>
      <c r="N109" s="10"/>
      <c r="O109" s="10"/>
      <c r="P109" s="10"/>
      <c r="Q109" s="10"/>
      <c r="R109" s="29" t="s">
        <v>16</v>
      </c>
      <c r="S109" s="30">
        <f t="shared" ref="S109:AG109" si="104">S108/S102</f>
        <v>0.547493961312651</v>
      </c>
      <c r="T109" s="30">
        <f t="shared" si="104"/>
        <v>0.0306921938219797</v>
      </c>
      <c r="U109" s="31" t="e">
        <f t="shared" si="104"/>
        <v>#DIV/0!</v>
      </c>
      <c r="V109" s="30">
        <f t="shared" si="104"/>
        <v>0.0306921938219797</v>
      </c>
      <c r="W109" s="30">
        <f t="shared" si="104"/>
        <v>0.0306921938219797</v>
      </c>
      <c r="X109" s="30">
        <f t="shared" si="104"/>
        <v>0.0306921938219797</v>
      </c>
      <c r="Y109" s="30">
        <f t="shared" si="104"/>
        <v>0.0306921938219797</v>
      </c>
      <c r="Z109" s="30">
        <f t="shared" si="104"/>
        <v>0.0306921938219797</v>
      </c>
      <c r="AA109" s="30">
        <f t="shared" si="104"/>
        <v>0.0306921938219797</v>
      </c>
      <c r="AB109" s="30">
        <f t="shared" si="104"/>
        <v>0.0306921938219797</v>
      </c>
      <c r="AC109" s="30">
        <f t="shared" si="104"/>
        <v>0.0306921938219797</v>
      </c>
      <c r="AD109" s="30">
        <f t="shared" si="104"/>
        <v>0.0306921938219797</v>
      </c>
      <c r="AE109" s="30">
        <f t="shared" si="104"/>
        <v>0.0306921938219797</v>
      </c>
      <c r="AF109" s="30">
        <f t="shared" si="104"/>
        <v>0.0176268331110803</v>
      </c>
      <c r="AG109" s="30">
        <f t="shared" si="104"/>
        <v>0.017984588765728</v>
      </c>
      <c r="AH109" s="42">
        <v>-0.547493961312651</v>
      </c>
      <c r="AI109" s="42">
        <f>AF109-S109</f>
        <v>-0.529867128201571</v>
      </c>
      <c r="AJ109" s="10"/>
      <c r="AK109" s="10"/>
      <c r="AL109" s="10"/>
      <c r="AM109" s="10"/>
      <c r="AN109" s="10"/>
      <c r="AO109" s="30" t="e">
        <f t="shared" ref="AO109:AZ109" si="105">AO108/AO102</f>
        <v>#DIV/0!</v>
      </c>
      <c r="AP109" s="30" t="e">
        <f t="shared" si="105"/>
        <v>#DIV/0!</v>
      </c>
      <c r="AQ109" s="30" t="e">
        <f t="shared" si="105"/>
        <v>#DIV/0!</v>
      </c>
      <c r="AR109" s="30" t="e">
        <f t="shared" si="105"/>
        <v>#DIV/0!</v>
      </c>
      <c r="AS109" s="30" t="e">
        <f t="shared" si="105"/>
        <v>#DIV/0!</v>
      </c>
      <c r="AT109" s="30" t="e">
        <f t="shared" si="105"/>
        <v>#DIV/0!</v>
      </c>
      <c r="AU109" s="30" t="e">
        <f t="shared" si="105"/>
        <v>#DIV/0!</v>
      </c>
      <c r="AV109" s="30" t="e">
        <f t="shared" si="105"/>
        <v>#DIV/0!</v>
      </c>
      <c r="AW109" s="30" t="e">
        <f t="shared" si="105"/>
        <v>#DIV/0!</v>
      </c>
      <c r="AX109" s="30">
        <f t="shared" si="105"/>
        <v>0.055807329766214</v>
      </c>
      <c r="AY109" s="30">
        <f t="shared" si="105"/>
        <v>0.0172688166952441</v>
      </c>
      <c r="AZ109" s="30">
        <f t="shared" si="105"/>
        <v>0.017984588765728</v>
      </c>
      <c r="BA109" s="58">
        <v>0</v>
      </c>
      <c r="BB109" s="52">
        <v>0</v>
      </c>
      <c r="BC109" s="62">
        <v>0</v>
      </c>
      <c r="BD109" s="49" t="s">
        <v>63</v>
      </c>
    </row>
    <row r="110" ht="15" spans="1:56">
      <c r="A110" s="10"/>
      <c r="B110" s="10"/>
      <c r="C110" s="10"/>
      <c r="D110" s="10"/>
      <c r="E110" s="10"/>
      <c r="F110" s="10"/>
      <c r="G110" s="10"/>
      <c r="H110" s="10"/>
      <c r="I110" s="10"/>
      <c r="J110" s="10"/>
      <c r="K110" s="10"/>
      <c r="L110" s="10"/>
      <c r="M110" s="10"/>
      <c r="N110" s="10"/>
      <c r="O110" s="10"/>
      <c r="P110" s="10"/>
      <c r="Q110" s="10"/>
      <c r="R110" s="26" t="s">
        <v>17</v>
      </c>
      <c r="S110" s="24">
        <f t="shared" ref="S110:AG110" si="106">S102-S107</f>
        <v>12283.3</v>
      </c>
      <c r="T110" s="24">
        <f t="shared" si="106"/>
        <v>5469.83000000002</v>
      </c>
      <c r="U110" s="24">
        <f t="shared" si="106"/>
        <v>0</v>
      </c>
      <c r="V110" s="24">
        <f t="shared" si="106"/>
        <v>5469.83000000002</v>
      </c>
      <c r="W110" s="24">
        <f t="shared" si="106"/>
        <v>5469.83000000002</v>
      </c>
      <c r="X110" s="24">
        <f t="shared" si="106"/>
        <v>5469.83000000002</v>
      </c>
      <c r="Y110" s="24">
        <f t="shared" si="106"/>
        <v>5469.83000000002</v>
      </c>
      <c r="Z110" s="24">
        <f t="shared" si="106"/>
        <v>5469.83000000002</v>
      </c>
      <c r="AA110" s="24">
        <f t="shared" si="106"/>
        <v>5469.83000000002</v>
      </c>
      <c r="AB110" s="24">
        <f t="shared" si="106"/>
        <v>5469.83000000002</v>
      </c>
      <c r="AC110" s="24">
        <f t="shared" si="106"/>
        <v>5469.83000000002</v>
      </c>
      <c r="AD110" s="24">
        <f t="shared" si="106"/>
        <v>5469.83000000002</v>
      </c>
      <c r="AE110" s="24">
        <f t="shared" si="106"/>
        <v>5469.83000000002</v>
      </c>
      <c r="AF110" s="24">
        <f t="shared" si="106"/>
        <v>2018.09000000001</v>
      </c>
      <c r="AG110" s="24">
        <f t="shared" si="106"/>
        <v>1065.6</v>
      </c>
      <c r="AH110" s="42">
        <v>0</v>
      </c>
      <c r="AI110" s="42">
        <v>0</v>
      </c>
      <c r="AJ110" s="10"/>
      <c r="AK110" s="10"/>
      <c r="AL110" s="10"/>
      <c r="AM110" s="10"/>
      <c r="AN110" s="10"/>
      <c r="AO110" s="24">
        <f t="shared" ref="AO110:BC110" si="107">AO102-AO107</f>
        <v>0</v>
      </c>
      <c r="AP110" s="24">
        <f t="shared" si="107"/>
        <v>0</v>
      </c>
      <c r="AQ110" s="24">
        <f t="shared" si="107"/>
        <v>0</v>
      </c>
      <c r="AR110" s="24">
        <f t="shared" si="107"/>
        <v>0</v>
      </c>
      <c r="AS110" s="24">
        <f t="shared" si="107"/>
        <v>0</v>
      </c>
      <c r="AT110" s="24">
        <f t="shared" si="107"/>
        <v>0</v>
      </c>
      <c r="AU110" s="24">
        <f t="shared" si="107"/>
        <v>0</v>
      </c>
      <c r="AV110" s="24">
        <f t="shared" si="107"/>
        <v>0</v>
      </c>
      <c r="AW110" s="24">
        <f t="shared" si="107"/>
        <v>0</v>
      </c>
      <c r="AX110" s="24">
        <f t="shared" si="107"/>
        <v>3451.74</v>
      </c>
      <c r="AY110" s="24">
        <f t="shared" si="107"/>
        <v>952.490000000005</v>
      </c>
      <c r="AZ110" s="24">
        <f t="shared" si="107"/>
        <v>1065.6</v>
      </c>
      <c r="BA110" s="24">
        <f t="shared" si="107"/>
        <v>0</v>
      </c>
      <c r="BB110" s="24">
        <f t="shared" si="107"/>
        <v>0</v>
      </c>
      <c r="BC110" s="24">
        <f t="shared" si="107"/>
        <v>0</v>
      </c>
      <c r="BD110" s="49" t="s">
        <v>63</v>
      </c>
    </row>
    <row r="111" ht="15" spans="1:56">
      <c r="A111" s="11"/>
      <c r="B111" s="11"/>
      <c r="C111" s="11"/>
      <c r="D111" s="11"/>
      <c r="E111" s="11"/>
      <c r="F111" s="11"/>
      <c r="G111" s="11"/>
      <c r="H111" s="11"/>
      <c r="I111" s="11"/>
      <c r="J111" s="11"/>
      <c r="K111" s="11"/>
      <c r="L111" s="11"/>
      <c r="M111" s="11"/>
      <c r="N111" s="11"/>
      <c r="O111" s="11"/>
      <c r="P111" s="11"/>
      <c r="Q111" s="11"/>
      <c r="R111" s="29" t="s">
        <v>18</v>
      </c>
      <c r="S111" s="30">
        <f t="shared" ref="S111:AG111" si="108">S110/S102</f>
        <v>0.162753720931157</v>
      </c>
      <c r="T111" s="30">
        <f t="shared" si="108"/>
        <v>0.0285701541044705</v>
      </c>
      <c r="U111" s="31" t="e">
        <f t="shared" si="108"/>
        <v>#DIV/0!</v>
      </c>
      <c r="V111" s="30">
        <f t="shared" si="108"/>
        <v>0.0285701541044705</v>
      </c>
      <c r="W111" s="30">
        <f t="shared" si="108"/>
        <v>0.0285701541044705</v>
      </c>
      <c r="X111" s="30">
        <f t="shared" si="108"/>
        <v>0.0285701541044705</v>
      </c>
      <c r="Y111" s="30">
        <f t="shared" si="108"/>
        <v>0.0285701541044705</v>
      </c>
      <c r="Z111" s="30">
        <f t="shared" si="108"/>
        <v>0.0285701541044705</v>
      </c>
      <c r="AA111" s="30">
        <f t="shared" si="108"/>
        <v>0.0285701541044705</v>
      </c>
      <c r="AB111" s="30">
        <f t="shared" si="108"/>
        <v>0.0285701541044705</v>
      </c>
      <c r="AC111" s="30">
        <f t="shared" si="108"/>
        <v>0.0285701541044705</v>
      </c>
      <c r="AD111" s="30">
        <f t="shared" si="108"/>
        <v>0.0285701541044705</v>
      </c>
      <c r="AE111" s="30">
        <f t="shared" si="108"/>
        <v>0.0285701541044705</v>
      </c>
      <c r="AF111" s="30">
        <f t="shared" si="108"/>
        <v>0.0160245308904717</v>
      </c>
      <c r="AG111" s="30">
        <f t="shared" si="108"/>
        <v>0.0169165117124142</v>
      </c>
      <c r="AH111" s="42">
        <v>-0.162753720931157</v>
      </c>
      <c r="AI111" s="42">
        <f>AF111-S111</f>
        <v>-0.146729190040685</v>
      </c>
      <c r="AJ111" s="11"/>
      <c r="AK111" s="11"/>
      <c r="AL111" s="11"/>
      <c r="AM111" s="11"/>
      <c r="AN111" s="11"/>
      <c r="AO111" s="30" t="e">
        <f t="shared" ref="AO111:AZ111" si="109">AO110/AO102</f>
        <v>#DIV/0!</v>
      </c>
      <c r="AP111" s="30" t="e">
        <f t="shared" si="109"/>
        <v>#DIV/0!</v>
      </c>
      <c r="AQ111" s="30" t="e">
        <f t="shared" si="109"/>
        <v>#DIV/0!</v>
      </c>
      <c r="AR111" s="30" t="e">
        <f t="shared" si="109"/>
        <v>#DIV/0!</v>
      </c>
      <c r="AS111" s="30" t="e">
        <f t="shared" si="109"/>
        <v>#DIV/0!</v>
      </c>
      <c r="AT111" s="30" t="e">
        <f t="shared" si="109"/>
        <v>#DIV/0!</v>
      </c>
      <c r="AU111" s="30" t="e">
        <f t="shared" si="109"/>
        <v>#DIV/0!</v>
      </c>
      <c r="AV111" s="30" t="e">
        <f t="shared" si="109"/>
        <v>#DIV/0!</v>
      </c>
      <c r="AW111" s="30" t="e">
        <f t="shared" si="109"/>
        <v>#DIV/0!</v>
      </c>
      <c r="AX111" s="30">
        <f t="shared" si="109"/>
        <v>0.0526862148468176</v>
      </c>
      <c r="AY111" s="30">
        <f t="shared" si="109"/>
        <v>0.0151318999209321</v>
      </c>
      <c r="AZ111" s="30">
        <f t="shared" si="109"/>
        <v>0.0169165117124142</v>
      </c>
      <c r="BA111" s="58">
        <v>0</v>
      </c>
      <c r="BB111" s="52">
        <v>0</v>
      </c>
      <c r="BC111" s="62">
        <v>0</v>
      </c>
      <c r="BD111" s="49" t="s">
        <v>63</v>
      </c>
    </row>
    <row r="112" ht="15" spans="1:56">
      <c r="A112" s="12" t="s">
        <v>93</v>
      </c>
      <c r="B112" s="13" t="s">
        <v>94</v>
      </c>
      <c r="C112" s="14">
        <v>46082</v>
      </c>
      <c r="D112" s="14">
        <v>46477</v>
      </c>
      <c r="E112" s="6"/>
      <c r="F112" s="7"/>
      <c r="G112" s="9">
        <v>0</v>
      </c>
      <c r="H112" s="9"/>
      <c r="I112" s="9"/>
      <c r="J112" s="9"/>
      <c r="K112" s="9"/>
      <c r="L112" s="9"/>
      <c r="M112" s="9"/>
      <c r="N112" s="9"/>
      <c r="O112" s="9"/>
      <c r="P112" s="6"/>
      <c r="Q112" s="9" t="s">
        <v>63</v>
      </c>
      <c r="R112" s="32" t="s">
        <v>9</v>
      </c>
      <c r="S112" s="24">
        <v>150943.4</v>
      </c>
      <c r="T112" s="24">
        <f>SUM(AO112:BC112)</f>
        <v>10681.51</v>
      </c>
      <c r="U112" s="25">
        <f>SUM(BA112:BC112)</f>
        <v>0</v>
      </c>
      <c r="V112" s="24">
        <f>SUM(AO112:AZ112)</f>
        <v>10681.51</v>
      </c>
      <c r="W112" s="24">
        <f>SUM(AP112:AZ112)</f>
        <v>10681.51</v>
      </c>
      <c r="X112" s="24">
        <f>SUM(AQ112:AZ112)</f>
        <v>10681.51</v>
      </c>
      <c r="Y112" s="24">
        <f>SUM(AR112:AZ112)</f>
        <v>10681.51</v>
      </c>
      <c r="Z112" s="24">
        <f>SUM(AS112:AZ112)</f>
        <v>10681.51</v>
      </c>
      <c r="AA112" s="24">
        <f>SUM(AT112:AZ112)</f>
        <v>10681.51</v>
      </c>
      <c r="AB112" s="24">
        <f>SUM(AU112:AZ112)</f>
        <v>10681.51</v>
      </c>
      <c r="AC112" s="24">
        <f>SUM(AV112:AZ112)</f>
        <v>10681.51</v>
      </c>
      <c r="AD112" s="24">
        <f>SUM(AW112:AZ112)</f>
        <v>10681.51</v>
      </c>
      <c r="AE112" s="24">
        <f>SUM(AX112:AZ112)</f>
        <v>10681.51</v>
      </c>
      <c r="AF112" s="24">
        <f>SUM(AY112:AZ112)</f>
        <v>0</v>
      </c>
      <c r="AG112" s="24">
        <f>SUM(AZ112:AZ112)</f>
        <v>0</v>
      </c>
      <c r="AH112" s="38">
        <v>0</v>
      </c>
      <c r="AI112" s="38">
        <v>0</v>
      </c>
      <c r="AJ112" s="13" t="s">
        <v>63</v>
      </c>
      <c r="AK112" s="43" t="s">
        <v>63</v>
      </c>
      <c r="AL112" s="43" t="s">
        <v>63</v>
      </c>
      <c r="AM112" s="43" t="s">
        <v>63</v>
      </c>
      <c r="AN112" s="7"/>
      <c r="AO112" s="24">
        <v>0</v>
      </c>
      <c r="AP112" s="24">
        <v>0</v>
      </c>
      <c r="AQ112" s="24">
        <v>0</v>
      </c>
      <c r="AR112" s="24">
        <v>0</v>
      </c>
      <c r="AS112" s="24">
        <v>0</v>
      </c>
      <c r="AT112" s="24">
        <v>0</v>
      </c>
      <c r="AU112" s="24">
        <v>0</v>
      </c>
      <c r="AV112" s="24">
        <v>0</v>
      </c>
      <c r="AW112" s="24">
        <v>0</v>
      </c>
      <c r="AX112" s="24">
        <v>10681.51</v>
      </c>
      <c r="AY112" s="24">
        <v>0</v>
      </c>
      <c r="AZ112" s="24">
        <v>0</v>
      </c>
      <c r="BA112" s="54">
        <v>0</v>
      </c>
      <c r="BB112" s="25">
        <v>0</v>
      </c>
      <c r="BC112" s="62">
        <v>0</v>
      </c>
      <c r="BD112" s="49" t="s">
        <v>63</v>
      </c>
    </row>
    <row r="113" ht="15" spans="1:56">
      <c r="A113" s="10"/>
      <c r="B113" s="10"/>
      <c r="C113" s="10"/>
      <c r="D113" s="10"/>
      <c r="E113" s="10"/>
      <c r="F113" s="10"/>
      <c r="G113" s="10"/>
      <c r="H113" s="10"/>
      <c r="I113" s="10"/>
      <c r="J113" s="10"/>
      <c r="K113" s="10"/>
      <c r="L113" s="10"/>
      <c r="M113" s="10"/>
      <c r="N113" s="10"/>
      <c r="O113" s="10"/>
      <c r="P113" s="10"/>
      <c r="Q113" s="10"/>
      <c r="R113" s="26" t="s">
        <v>10</v>
      </c>
      <c r="S113" s="24">
        <v>123705</v>
      </c>
      <c r="T113" s="24">
        <f>SUM(AO113:BC113)</f>
        <v>0</v>
      </c>
      <c r="U113" s="25">
        <f>SUM(BA113:BC113)</f>
        <v>0</v>
      </c>
      <c r="V113" s="24">
        <f>SUM(AO113:AZ113)</f>
        <v>0</v>
      </c>
      <c r="W113" s="24">
        <f>SUM(AP113:AZ113)</f>
        <v>0</v>
      </c>
      <c r="X113" s="24">
        <f>SUM(AQ113:AZ113)</f>
        <v>0</v>
      </c>
      <c r="Y113" s="24">
        <f>SUM(AR113:AZ113)</f>
        <v>0</v>
      </c>
      <c r="Z113" s="24">
        <f>SUM(AS113:AZ113)</f>
        <v>0</v>
      </c>
      <c r="AA113" s="24">
        <f>SUM(AT113:AZ113)</f>
        <v>0</v>
      </c>
      <c r="AB113" s="24">
        <f>SUM(AU113:AZ113)</f>
        <v>0</v>
      </c>
      <c r="AC113" s="24">
        <f>SUM(AV113:AZ113)</f>
        <v>0</v>
      </c>
      <c r="AD113" s="24">
        <f>SUM(AW113:AZ113)</f>
        <v>0</v>
      </c>
      <c r="AE113" s="24">
        <f>SUM(AX113:AZ113)</f>
        <v>0</v>
      </c>
      <c r="AF113" s="24">
        <f>SUM(AY113:AZ113)</f>
        <v>0</v>
      </c>
      <c r="AG113" s="24">
        <f>SUM(AZ113:AZ113)</f>
        <v>0</v>
      </c>
      <c r="AH113" s="38">
        <v>0</v>
      </c>
      <c r="AI113" s="38">
        <v>0</v>
      </c>
      <c r="AJ113" s="10"/>
      <c r="AK113" s="10"/>
      <c r="AL113" s="10"/>
      <c r="AM113" s="10"/>
      <c r="AN113" s="10"/>
      <c r="AO113" s="24">
        <v>0</v>
      </c>
      <c r="AP113" s="24">
        <v>0</v>
      </c>
      <c r="AQ113" s="24">
        <v>0</v>
      </c>
      <c r="AR113" s="24">
        <v>0</v>
      </c>
      <c r="AS113" s="24">
        <v>0</v>
      </c>
      <c r="AT113" s="24">
        <v>0</v>
      </c>
      <c r="AU113" s="24">
        <v>0</v>
      </c>
      <c r="AV113" s="24">
        <v>0</v>
      </c>
      <c r="AW113" s="24">
        <v>0</v>
      </c>
      <c r="AX113" s="24">
        <v>0</v>
      </c>
      <c r="AY113" s="24">
        <v>0</v>
      </c>
      <c r="AZ113" s="24">
        <v>0</v>
      </c>
      <c r="BA113" s="54">
        <v>0</v>
      </c>
      <c r="BB113" s="25">
        <v>0</v>
      </c>
      <c r="BC113" s="62">
        <v>0</v>
      </c>
      <c r="BD113" s="49" t="s">
        <v>63</v>
      </c>
    </row>
    <row r="114" ht="15" spans="1:56">
      <c r="A114" s="10"/>
      <c r="B114" s="10"/>
      <c r="C114" s="10"/>
      <c r="D114" s="10"/>
      <c r="E114" s="10"/>
      <c r="F114" s="10"/>
      <c r="G114" s="10"/>
      <c r="H114" s="10"/>
      <c r="I114" s="10"/>
      <c r="J114" s="10"/>
      <c r="K114" s="10"/>
      <c r="L114" s="10"/>
      <c r="M114" s="10"/>
      <c r="N114" s="10"/>
      <c r="O114" s="10"/>
      <c r="P114" s="10"/>
      <c r="Q114" s="10"/>
      <c r="R114" s="26" t="s">
        <v>11</v>
      </c>
      <c r="S114" s="24">
        <v>0</v>
      </c>
      <c r="T114" s="24">
        <f>SUM(AO114:BC114)</f>
        <v>0</v>
      </c>
      <c r="U114" s="25">
        <f>SUM(BA114:BC114)</f>
        <v>0</v>
      </c>
      <c r="V114" s="24">
        <v>0</v>
      </c>
      <c r="W114" s="24">
        <v>0</v>
      </c>
      <c r="X114" s="24">
        <v>0</v>
      </c>
      <c r="Y114" s="24">
        <v>0</v>
      </c>
      <c r="Z114" s="24">
        <v>0</v>
      </c>
      <c r="AA114" s="24">
        <v>0</v>
      </c>
      <c r="AB114" s="24">
        <v>0</v>
      </c>
      <c r="AC114" s="24">
        <v>0</v>
      </c>
      <c r="AD114" s="24">
        <v>0</v>
      </c>
      <c r="AE114" s="24">
        <v>0</v>
      </c>
      <c r="AF114" s="24">
        <v>0</v>
      </c>
      <c r="AG114" s="24">
        <v>0</v>
      </c>
      <c r="AH114" s="38">
        <v>0</v>
      </c>
      <c r="AI114" s="38">
        <v>0</v>
      </c>
      <c r="AJ114" s="10"/>
      <c r="AK114" s="10"/>
      <c r="AL114" s="10"/>
      <c r="AM114" s="10"/>
      <c r="AN114" s="10"/>
      <c r="AO114" s="24">
        <v>0</v>
      </c>
      <c r="AP114" s="24">
        <v>0</v>
      </c>
      <c r="AQ114" s="24">
        <v>0</v>
      </c>
      <c r="AR114" s="24">
        <v>0</v>
      </c>
      <c r="AS114" s="24">
        <v>0</v>
      </c>
      <c r="AT114" s="24">
        <v>0</v>
      </c>
      <c r="AU114" s="24">
        <v>0</v>
      </c>
      <c r="AV114" s="24">
        <v>0</v>
      </c>
      <c r="AW114" s="24">
        <v>0</v>
      </c>
      <c r="AX114" s="24">
        <v>0</v>
      </c>
      <c r="AY114" s="24">
        <v>0</v>
      </c>
      <c r="AZ114" s="24">
        <v>0</v>
      </c>
      <c r="BA114" s="54">
        <v>0</v>
      </c>
      <c r="BB114" s="25">
        <v>0</v>
      </c>
      <c r="BC114" s="62">
        <v>0</v>
      </c>
      <c r="BD114" s="49" t="s">
        <v>63</v>
      </c>
    </row>
    <row r="115" ht="15" spans="1:56">
      <c r="A115" s="10"/>
      <c r="B115" s="10"/>
      <c r="C115" s="10"/>
      <c r="D115" s="10"/>
      <c r="E115" s="10"/>
      <c r="F115" s="10"/>
      <c r="G115" s="10"/>
      <c r="H115" s="10"/>
      <c r="I115" s="10"/>
      <c r="J115" s="10"/>
      <c r="K115" s="10"/>
      <c r="L115" s="10"/>
      <c r="M115" s="10"/>
      <c r="N115" s="10"/>
      <c r="O115" s="10"/>
      <c r="P115" s="10"/>
      <c r="Q115" s="10"/>
      <c r="R115" s="26" t="s">
        <v>12</v>
      </c>
      <c r="S115" s="24">
        <v>0</v>
      </c>
      <c r="T115" s="24">
        <f>SUM(AO115:BC115)</f>
        <v>0</v>
      </c>
      <c r="U115" s="25">
        <f>SUM(BA115:BC115)</f>
        <v>0</v>
      </c>
      <c r="V115" s="24">
        <f>SUM(AO115:AZ115)</f>
        <v>0</v>
      </c>
      <c r="W115" s="24">
        <f>SUM(AP115:AZ115)</f>
        <v>0</v>
      </c>
      <c r="X115" s="24">
        <f>SUM(AQ115:AZ115)</f>
        <v>0</v>
      </c>
      <c r="Y115" s="24">
        <f>SUM(AR115:AZ115)</f>
        <v>0</v>
      </c>
      <c r="Z115" s="24">
        <f>SUM(AS115:AZ115)</f>
        <v>0</v>
      </c>
      <c r="AA115" s="24">
        <f>SUM(AT115:AZ115)</f>
        <v>0</v>
      </c>
      <c r="AB115" s="24">
        <f>SUM(AU115:AZ115)</f>
        <v>0</v>
      </c>
      <c r="AC115" s="24">
        <f>SUM(AV115:AZ115)</f>
        <v>0</v>
      </c>
      <c r="AD115" s="24">
        <f>SUM(AW115:AZ115)</f>
        <v>0</v>
      </c>
      <c r="AE115" s="24">
        <f>SUM(AX115:AZ115)</f>
        <v>0</v>
      </c>
      <c r="AF115" s="24">
        <f>SUM(AY115:AZ115)</f>
        <v>0</v>
      </c>
      <c r="AG115" s="24">
        <f>SUM(AZ115:AZ115)</f>
        <v>0</v>
      </c>
      <c r="AH115" s="38">
        <v>0</v>
      </c>
      <c r="AI115" s="38">
        <v>0</v>
      </c>
      <c r="AJ115" s="10"/>
      <c r="AK115" s="10"/>
      <c r="AL115" s="10"/>
      <c r="AM115" s="10"/>
      <c r="AN115" s="10"/>
      <c r="AO115" s="24">
        <v>0</v>
      </c>
      <c r="AP115" s="24">
        <v>0</v>
      </c>
      <c r="AQ115" s="24">
        <v>0</v>
      </c>
      <c r="AR115" s="24">
        <v>0</v>
      </c>
      <c r="AS115" s="24">
        <v>0</v>
      </c>
      <c r="AT115" s="24">
        <v>0</v>
      </c>
      <c r="AU115" s="24">
        <v>0</v>
      </c>
      <c r="AV115" s="24">
        <v>0</v>
      </c>
      <c r="AW115" s="24">
        <v>0</v>
      </c>
      <c r="AX115" s="24">
        <v>0</v>
      </c>
      <c r="AY115" s="24">
        <v>0</v>
      </c>
      <c r="AZ115" s="24">
        <v>0</v>
      </c>
      <c r="BA115" s="54">
        <v>0</v>
      </c>
      <c r="BB115" s="25">
        <v>0</v>
      </c>
      <c r="BC115" s="62">
        <v>0</v>
      </c>
      <c r="BD115" s="49" t="s">
        <v>63</v>
      </c>
    </row>
    <row r="116" ht="15" spans="1:56">
      <c r="A116" s="10"/>
      <c r="B116" s="10"/>
      <c r="C116" s="10"/>
      <c r="D116" s="10"/>
      <c r="E116" s="10"/>
      <c r="F116" s="10"/>
      <c r="G116" s="10"/>
      <c r="H116" s="10"/>
      <c r="I116" s="10"/>
      <c r="J116" s="10"/>
      <c r="K116" s="10"/>
      <c r="L116" s="10"/>
      <c r="M116" s="10"/>
      <c r="N116" s="10"/>
      <c r="O116" s="10"/>
      <c r="P116" s="10"/>
      <c r="Q116" s="10"/>
      <c r="R116" s="26" t="s">
        <v>13</v>
      </c>
      <c r="S116" s="24">
        <v>0</v>
      </c>
      <c r="T116" s="24">
        <f>SUM(AO116:BC116)</f>
        <v>20.87</v>
      </c>
      <c r="U116" s="25">
        <f>SUM(BA116:BC116)</f>
        <v>0</v>
      </c>
      <c r="V116" s="24">
        <f>SUM(AO116:AZ116)</f>
        <v>20.87</v>
      </c>
      <c r="W116" s="24">
        <f>SUM(AP116:AZ116)</f>
        <v>20.87</v>
      </c>
      <c r="X116" s="24">
        <f>SUM(AQ116:AZ116)</f>
        <v>20.87</v>
      </c>
      <c r="Y116" s="24">
        <f>SUM(AR116:AZ116)</f>
        <v>20.87</v>
      </c>
      <c r="Z116" s="24">
        <f>SUM(AS116:AZ116)</f>
        <v>20.87</v>
      </c>
      <c r="AA116" s="24">
        <f>SUM(AT116:AZ116)</f>
        <v>20.87</v>
      </c>
      <c r="AB116" s="24">
        <f>SUM(AU116:AZ116)</f>
        <v>20.87</v>
      </c>
      <c r="AC116" s="24">
        <f>SUM(AV116:AZ116)</f>
        <v>20.87</v>
      </c>
      <c r="AD116" s="24">
        <f>SUM(AW116:AZ116)</f>
        <v>20.87</v>
      </c>
      <c r="AE116" s="24">
        <f>SUM(AX116:AZ116)</f>
        <v>20.87</v>
      </c>
      <c r="AF116" s="24">
        <f>SUM(AY116:AZ116)</f>
        <v>0</v>
      </c>
      <c r="AG116" s="24">
        <f>SUM(AZ116:AZ116)</f>
        <v>0</v>
      </c>
      <c r="AH116" s="38">
        <v>0</v>
      </c>
      <c r="AI116" s="38">
        <v>0</v>
      </c>
      <c r="AJ116" s="10"/>
      <c r="AK116" s="10"/>
      <c r="AL116" s="10"/>
      <c r="AM116" s="10"/>
      <c r="AN116" s="10"/>
      <c r="AO116" s="24">
        <v>0</v>
      </c>
      <c r="AP116" s="24">
        <v>0</v>
      </c>
      <c r="AQ116" s="24">
        <v>0</v>
      </c>
      <c r="AR116" s="24">
        <v>0</v>
      </c>
      <c r="AS116" s="24">
        <v>0</v>
      </c>
      <c r="AT116" s="24">
        <v>0</v>
      </c>
      <c r="AU116" s="24">
        <v>0</v>
      </c>
      <c r="AV116" s="24">
        <v>0</v>
      </c>
      <c r="AW116" s="24">
        <v>0</v>
      </c>
      <c r="AX116" s="24">
        <v>20.87</v>
      </c>
      <c r="AY116" s="24">
        <v>0</v>
      </c>
      <c r="AZ116" s="24">
        <v>0</v>
      </c>
      <c r="BA116" s="54">
        <v>0</v>
      </c>
      <c r="BB116" s="25">
        <v>0</v>
      </c>
      <c r="BC116" s="62">
        <v>0</v>
      </c>
      <c r="BD116" s="49" t="s">
        <v>63</v>
      </c>
    </row>
    <row r="117" ht="15" spans="1:56">
      <c r="A117" s="10"/>
      <c r="B117" s="10"/>
      <c r="C117" s="10"/>
      <c r="D117" s="10"/>
      <c r="E117" s="10"/>
      <c r="F117" s="10"/>
      <c r="G117" s="10"/>
      <c r="H117" s="10"/>
      <c r="I117" s="10"/>
      <c r="J117" s="10"/>
      <c r="K117" s="10"/>
      <c r="L117" s="10"/>
      <c r="M117" s="10"/>
      <c r="N117" s="10"/>
      <c r="O117" s="10"/>
      <c r="P117" s="10"/>
      <c r="Q117" s="10"/>
      <c r="R117" s="26" t="s">
        <v>14</v>
      </c>
      <c r="S117" s="27">
        <f t="shared" ref="S117:AG117" si="110">SUM(S113:S116)</f>
        <v>123705</v>
      </c>
      <c r="T117" s="27">
        <f t="shared" si="110"/>
        <v>20.87</v>
      </c>
      <c r="U117" s="28">
        <f t="shared" si="110"/>
        <v>0</v>
      </c>
      <c r="V117" s="27">
        <f t="shared" si="110"/>
        <v>20.87</v>
      </c>
      <c r="W117" s="27">
        <f t="shared" si="110"/>
        <v>20.87</v>
      </c>
      <c r="X117" s="27">
        <f t="shared" si="110"/>
        <v>20.87</v>
      </c>
      <c r="Y117" s="27">
        <f t="shared" si="110"/>
        <v>20.87</v>
      </c>
      <c r="Z117" s="27">
        <f t="shared" si="110"/>
        <v>20.87</v>
      </c>
      <c r="AA117" s="27">
        <f t="shared" si="110"/>
        <v>20.87</v>
      </c>
      <c r="AB117" s="27">
        <f t="shared" si="110"/>
        <v>20.87</v>
      </c>
      <c r="AC117" s="27">
        <f t="shared" si="110"/>
        <v>20.87</v>
      </c>
      <c r="AD117" s="27">
        <f t="shared" si="110"/>
        <v>20.87</v>
      </c>
      <c r="AE117" s="27">
        <f t="shared" si="110"/>
        <v>20.87</v>
      </c>
      <c r="AF117" s="27">
        <f t="shared" si="110"/>
        <v>0</v>
      </c>
      <c r="AG117" s="27">
        <f t="shared" si="110"/>
        <v>0</v>
      </c>
      <c r="AH117" s="27">
        <v>0</v>
      </c>
      <c r="AI117" s="27">
        <f>SUM(AI113:AI116)</f>
        <v>0</v>
      </c>
      <c r="AJ117" s="10"/>
      <c r="AK117" s="10"/>
      <c r="AL117" s="10"/>
      <c r="AM117" s="10"/>
      <c r="AN117" s="10"/>
      <c r="AO117" s="27">
        <f t="shared" ref="AO117:AX117" si="111">SUM(AO113:AO116)</f>
        <v>0</v>
      </c>
      <c r="AP117" s="27">
        <f t="shared" si="111"/>
        <v>0</v>
      </c>
      <c r="AQ117" s="27">
        <f t="shared" si="111"/>
        <v>0</v>
      </c>
      <c r="AR117" s="27">
        <f t="shared" si="111"/>
        <v>0</v>
      </c>
      <c r="AS117" s="27">
        <f t="shared" si="111"/>
        <v>0</v>
      </c>
      <c r="AT117" s="27">
        <f t="shared" si="111"/>
        <v>0</v>
      </c>
      <c r="AU117" s="27">
        <f t="shared" si="111"/>
        <v>0</v>
      </c>
      <c r="AV117" s="27">
        <f t="shared" si="111"/>
        <v>0</v>
      </c>
      <c r="AW117" s="27">
        <f t="shared" si="111"/>
        <v>0</v>
      </c>
      <c r="AX117" s="27">
        <f t="shared" si="111"/>
        <v>20.87</v>
      </c>
      <c r="AY117" s="27">
        <v>0</v>
      </c>
      <c r="AZ117" s="27">
        <f>SUM(AZ113:AZ116)</f>
        <v>0</v>
      </c>
      <c r="BA117" s="56">
        <v>0</v>
      </c>
      <c r="BB117" s="28">
        <f>SUM(BB113:BB116)</f>
        <v>0</v>
      </c>
      <c r="BC117" s="60">
        <f>SUM(BC113:BC116)</f>
        <v>0</v>
      </c>
      <c r="BD117" s="50" t="s">
        <v>63</v>
      </c>
    </row>
    <row r="118" ht="15" spans="1:56">
      <c r="A118" s="10"/>
      <c r="B118" s="10"/>
      <c r="C118" s="10"/>
      <c r="D118" s="10"/>
      <c r="E118" s="10"/>
      <c r="F118" s="10"/>
      <c r="G118" s="10"/>
      <c r="H118" s="10"/>
      <c r="I118" s="10"/>
      <c r="J118" s="10"/>
      <c r="K118" s="10"/>
      <c r="L118" s="10"/>
      <c r="M118" s="10"/>
      <c r="N118" s="10"/>
      <c r="O118" s="10"/>
      <c r="P118" s="10"/>
      <c r="Q118" s="10"/>
      <c r="R118" s="26" t="s">
        <v>15</v>
      </c>
      <c r="S118" s="24">
        <f t="shared" ref="S118:AG118" si="112">S112-S113</f>
        <v>27238.4</v>
      </c>
      <c r="T118" s="24">
        <f t="shared" si="112"/>
        <v>10681.51</v>
      </c>
      <c r="U118" s="25">
        <f t="shared" si="112"/>
        <v>0</v>
      </c>
      <c r="V118" s="24">
        <f t="shared" si="112"/>
        <v>10681.51</v>
      </c>
      <c r="W118" s="24">
        <f t="shared" si="112"/>
        <v>10681.51</v>
      </c>
      <c r="X118" s="24">
        <f t="shared" si="112"/>
        <v>10681.51</v>
      </c>
      <c r="Y118" s="24">
        <f t="shared" si="112"/>
        <v>10681.51</v>
      </c>
      <c r="Z118" s="24">
        <f t="shared" si="112"/>
        <v>10681.51</v>
      </c>
      <c r="AA118" s="24">
        <f t="shared" si="112"/>
        <v>10681.51</v>
      </c>
      <c r="AB118" s="24">
        <f t="shared" si="112"/>
        <v>10681.51</v>
      </c>
      <c r="AC118" s="24">
        <f t="shared" si="112"/>
        <v>10681.51</v>
      </c>
      <c r="AD118" s="24">
        <f t="shared" si="112"/>
        <v>10681.51</v>
      </c>
      <c r="AE118" s="24">
        <f t="shared" si="112"/>
        <v>10681.51</v>
      </c>
      <c r="AF118" s="24">
        <f t="shared" si="112"/>
        <v>0</v>
      </c>
      <c r="AG118" s="24">
        <f t="shared" si="112"/>
        <v>0</v>
      </c>
      <c r="AH118" s="41">
        <v>0</v>
      </c>
      <c r="AI118" s="41">
        <v>0</v>
      </c>
      <c r="AJ118" s="10"/>
      <c r="AK118" s="10"/>
      <c r="AL118" s="10"/>
      <c r="AM118" s="10"/>
      <c r="AN118" s="10"/>
      <c r="AO118" s="24">
        <f t="shared" ref="AO118:AZ118" si="113">AO112-AO113</f>
        <v>0</v>
      </c>
      <c r="AP118" s="24">
        <f t="shared" si="113"/>
        <v>0</v>
      </c>
      <c r="AQ118" s="24">
        <f t="shared" si="113"/>
        <v>0</v>
      </c>
      <c r="AR118" s="24">
        <f t="shared" si="113"/>
        <v>0</v>
      </c>
      <c r="AS118" s="24">
        <f t="shared" si="113"/>
        <v>0</v>
      </c>
      <c r="AT118" s="24">
        <f t="shared" si="113"/>
        <v>0</v>
      </c>
      <c r="AU118" s="24">
        <f t="shared" si="113"/>
        <v>0</v>
      </c>
      <c r="AV118" s="24">
        <f t="shared" si="113"/>
        <v>0</v>
      </c>
      <c r="AW118" s="24">
        <f t="shared" si="113"/>
        <v>0</v>
      </c>
      <c r="AX118" s="24">
        <f t="shared" si="113"/>
        <v>10681.51</v>
      </c>
      <c r="AY118" s="24">
        <f t="shared" si="113"/>
        <v>0</v>
      </c>
      <c r="AZ118" s="24">
        <f t="shared" si="113"/>
        <v>0</v>
      </c>
      <c r="BA118" s="57">
        <v>0</v>
      </c>
      <c r="BB118" s="28">
        <v>0</v>
      </c>
      <c r="BC118" s="62">
        <v>0</v>
      </c>
      <c r="BD118" s="49" t="s">
        <v>63</v>
      </c>
    </row>
    <row r="119" ht="15" spans="1:56">
      <c r="A119" s="10"/>
      <c r="B119" s="10"/>
      <c r="C119" s="10"/>
      <c r="D119" s="10"/>
      <c r="E119" s="10"/>
      <c r="F119" s="10"/>
      <c r="G119" s="10"/>
      <c r="H119" s="10"/>
      <c r="I119" s="10"/>
      <c r="J119" s="10"/>
      <c r="K119" s="10"/>
      <c r="L119" s="10"/>
      <c r="M119" s="10"/>
      <c r="N119" s="10"/>
      <c r="O119" s="10"/>
      <c r="P119" s="10"/>
      <c r="Q119" s="10"/>
      <c r="R119" s="29" t="s">
        <v>16</v>
      </c>
      <c r="S119" s="30">
        <f t="shared" ref="S119:AG119" si="114">S118/S112</f>
        <v>0.18045439548864</v>
      </c>
      <c r="T119" s="30">
        <f t="shared" si="114"/>
        <v>1</v>
      </c>
      <c r="U119" s="31" t="e">
        <f t="shared" si="114"/>
        <v>#DIV/0!</v>
      </c>
      <c r="V119" s="30">
        <f t="shared" si="114"/>
        <v>1</v>
      </c>
      <c r="W119" s="30">
        <f t="shared" si="114"/>
        <v>1</v>
      </c>
      <c r="X119" s="30">
        <f t="shared" si="114"/>
        <v>1</v>
      </c>
      <c r="Y119" s="30">
        <f t="shared" si="114"/>
        <v>1</v>
      </c>
      <c r="Z119" s="30">
        <f t="shared" si="114"/>
        <v>1</v>
      </c>
      <c r="AA119" s="30">
        <f t="shared" si="114"/>
        <v>1</v>
      </c>
      <c r="AB119" s="30">
        <f t="shared" si="114"/>
        <v>1</v>
      </c>
      <c r="AC119" s="30">
        <f t="shared" si="114"/>
        <v>1</v>
      </c>
      <c r="AD119" s="30">
        <f t="shared" si="114"/>
        <v>1</v>
      </c>
      <c r="AE119" s="30">
        <f t="shared" si="114"/>
        <v>1</v>
      </c>
      <c r="AF119" s="30" t="e">
        <f t="shared" si="114"/>
        <v>#DIV/0!</v>
      </c>
      <c r="AG119" s="30" t="e">
        <f t="shared" si="114"/>
        <v>#DIV/0!</v>
      </c>
      <c r="AH119" s="42">
        <v>-0.547493961312651</v>
      </c>
      <c r="AI119" s="42" t="e">
        <f>AF119-S119</f>
        <v>#DIV/0!</v>
      </c>
      <c r="AJ119" s="10"/>
      <c r="AK119" s="10"/>
      <c r="AL119" s="10"/>
      <c r="AM119" s="10"/>
      <c r="AN119" s="10"/>
      <c r="AO119" s="30" t="e">
        <f t="shared" ref="AO119:AZ119" si="115">AO118/AO112</f>
        <v>#DIV/0!</v>
      </c>
      <c r="AP119" s="30" t="e">
        <f t="shared" si="115"/>
        <v>#DIV/0!</v>
      </c>
      <c r="AQ119" s="30" t="e">
        <f t="shared" si="115"/>
        <v>#DIV/0!</v>
      </c>
      <c r="AR119" s="30" t="e">
        <f t="shared" si="115"/>
        <v>#DIV/0!</v>
      </c>
      <c r="AS119" s="30" t="e">
        <f t="shared" si="115"/>
        <v>#DIV/0!</v>
      </c>
      <c r="AT119" s="30" t="e">
        <f t="shared" si="115"/>
        <v>#DIV/0!</v>
      </c>
      <c r="AU119" s="30" t="e">
        <f t="shared" si="115"/>
        <v>#DIV/0!</v>
      </c>
      <c r="AV119" s="30" t="e">
        <f t="shared" si="115"/>
        <v>#DIV/0!</v>
      </c>
      <c r="AW119" s="30" t="e">
        <f t="shared" si="115"/>
        <v>#DIV/0!</v>
      </c>
      <c r="AX119" s="30">
        <f t="shared" si="115"/>
        <v>1</v>
      </c>
      <c r="AY119" s="30" t="e">
        <f t="shared" si="115"/>
        <v>#DIV/0!</v>
      </c>
      <c r="AZ119" s="30" t="e">
        <f t="shared" si="115"/>
        <v>#DIV/0!</v>
      </c>
      <c r="BA119" s="58">
        <v>0</v>
      </c>
      <c r="BB119" s="52">
        <v>0</v>
      </c>
      <c r="BC119" s="62">
        <v>0</v>
      </c>
      <c r="BD119" s="49" t="s">
        <v>63</v>
      </c>
    </row>
    <row r="120" ht="15" spans="1:56">
      <c r="A120" s="10"/>
      <c r="B120" s="10"/>
      <c r="C120" s="10"/>
      <c r="D120" s="10"/>
      <c r="E120" s="10"/>
      <c r="F120" s="10"/>
      <c r="G120" s="10"/>
      <c r="H120" s="10"/>
      <c r="I120" s="10"/>
      <c r="J120" s="10"/>
      <c r="K120" s="10"/>
      <c r="L120" s="10"/>
      <c r="M120" s="10"/>
      <c r="N120" s="10"/>
      <c r="O120" s="10"/>
      <c r="P120" s="10"/>
      <c r="Q120" s="10"/>
      <c r="R120" s="26" t="s">
        <v>17</v>
      </c>
      <c r="S120" s="24">
        <f t="shared" ref="S120:AG120" si="116">S112-S117</f>
        <v>27238.4</v>
      </c>
      <c r="T120" s="24">
        <f t="shared" si="116"/>
        <v>10660.64</v>
      </c>
      <c r="U120" s="24">
        <f t="shared" si="116"/>
        <v>0</v>
      </c>
      <c r="V120" s="24">
        <f t="shared" si="116"/>
        <v>10660.64</v>
      </c>
      <c r="W120" s="24">
        <f t="shared" si="116"/>
        <v>10660.64</v>
      </c>
      <c r="X120" s="24">
        <f t="shared" si="116"/>
        <v>10660.64</v>
      </c>
      <c r="Y120" s="24">
        <f t="shared" si="116"/>
        <v>10660.64</v>
      </c>
      <c r="Z120" s="24">
        <f t="shared" si="116"/>
        <v>10660.64</v>
      </c>
      <c r="AA120" s="24">
        <f t="shared" si="116"/>
        <v>10660.64</v>
      </c>
      <c r="AB120" s="24">
        <f t="shared" si="116"/>
        <v>10660.64</v>
      </c>
      <c r="AC120" s="24">
        <f t="shared" si="116"/>
        <v>10660.64</v>
      </c>
      <c r="AD120" s="24">
        <f t="shared" si="116"/>
        <v>10660.64</v>
      </c>
      <c r="AE120" s="24">
        <f t="shared" si="116"/>
        <v>10660.64</v>
      </c>
      <c r="AF120" s="24">
        <f t="shared" si="116"/>
        <v>0</v>
      </c>
      <c r="AG120" s="24">
        <f t="shared" si="116"/>
        <v>0</v>
      </c>
      <c r="AH120" s="42">
        <v>0</v>
      </c>
      <c r="AI120" s="42">
        <v>0</v>
      </c>
      <c r="AJ120" s="10"/>
      <c r="AK120" s="10"/>
      <c r="AL120" s="10"/>
      <c r="AM120" s="10"/>
      <c r="AN120" s="10"/>
      <c r="AO120" s="24">
        <f t="shared" ref="AO120:BC120" si="117">AO112-AO117</f>
        <v>0</v>
      </c>
      <c r="AP120" s="24">
        <f t="shared" si="117"/>
        <v>0</v>
      </c>
      <c r="AQ120" s="24">
        <f t="shared" si="117"/>
        <v>0</v>
      </c>
      <c r="AR120" s="24">
        <f t="shared" si="117"/>
        <v>0</v>
      </c>
      <c r="AS120" s="24">
        <f t="shared" si="117"/>
        <v>0</v>
      </c>
      <c r="AT120" s="24">
        <f t="shared" si="117"/>
        <v>0</v>
      </c>
      <c r="AU120" s="24">
        <f t="shared" si="117"/>
        <v>0</v>
      </c>
      <c r="AV120" s="24">
        <f t="shared" si="117"/>
        <v>0</v>
      </c>
      <c r="AW120" s="24">
        <f t="shared" si="117"/>
        <v>0</v>
      </c>
      <c r="AX120" s="24">
        <f t="shared" si="117"/>
        <v>10660.64</v>
      </c>
      <c r="AY120" s="24">
        <f t="shared" si="117"/>
        <v>0</v>
      </c>
      <c r="AZ120" s="24">
        <f t="shared" si="117"/>
        <v>0</v>
      </c>
      <c r="BA120" s="24">
        <f t="shared" si="117"/>
        <v>0</v>
      </c>
      <c r="BB120" s="24">
        <f t="shared" si="117"/>
        <v>0</v>
      </c>
      <c r="BC120" s="24">
        <f t="shared" si="117"/>
        <v>0</v>
      </c>
      <c r="BD120" s="49" t="s">
        <v>63</v>
      </c>
    </row>
    <row r="121" ht="15" spans="1:56">
      <c r="A121" s="11"/>
      <c r="B121" s="11"/>
      <c r="C121" s="11"/>
      <c r="D121" s="11"/>
      <c r="E121" s="11"/>
      <c r="F121" s="11"/>
      <c r="G121" s="11"/>
      <c r="H121" s="11"/>
      <c r="I121" s="11"/>
      <c r="J121" s="11"/>
      <c r="K121" s="11"/>
      <c r="L121" s="11"/>
      <c r="M121" s="11"/>
      <c r="N121" s="11"/>
      <c r="O121" s="11"/>
      <c r="P121" s="11"/>
      <c r="Q121" s="11"/>
      <c r="R121" s="29" t="s">
        <v>18</v>
      </c>
      <c r="S121" s="30">
        <f t="shared" ref="S121:AG121" si="118">S120/S112</f>
        <v>0.18045439548864</v>
      </c>
      <c r="T121" s="30">
        <f t="shared" si="118"/>
        <v>0.998046156395491</v>
      </c>
      <c r="U121" s="31" t="e">
        <f t="shared" si="118"/>
        <v>#DIV/0!</v>
      </c>
      <c r="V121" s="30">
        <f t="shared" si="118"/>
        <v>0.998046156395491</v>
      </c>
      <c r="W121" s="30">
        <f t="shared" si="118"/>
        <v>0.998046156395491</v>
      </c>
      <c r="X121" s="30">
        <f t="shared" si="118"/>
        <v>0.998046156395491</v>
      </c>
      <c r="Y121" s="30">
        <f t="shared" si="118"/>
        <v>0.998046156395491</v>
      </c>
      <c r="Z121" s="30">
        <f t="shared" si="118"/>
        <v>0.998046156395491</v>
      </c>
      <c r="AA121" s="30">
        <f t="shared" si="118"/>
        <v>0.998046156395491</v>
      </c>
      <c r="AB121" s="30">
        <f t="shared" si="118"/>
        <v>0.998046156395491</v>
      </c>
      <c r="AC121" s="30">
        <f t="shared" si="118"/>
        <v>0.998046156395491</v>
      </c>
      <c r="AD121" s="30">
        <f t="shared" si="118"/>
        <v>0.998046156395491</v>
      </c>
      <c r="AE121" s="30">
        <f t="shared" si="118"/>
        <v>0.998046156395491</v>
      </c>
      <c r="AF121" s="30" t="e">
        <f t="shared" si="118"/>
        <v>#DIV/0!</v>
      </c>
      <c r="AG121" s="30" t="e">
        <f t="shared" si="118"/>
        <v>#DIV/0!</v>
      </c>
      <c r="AH121" s="42">
        <v>-0.162753720931157</v>
      </c>
      <c r="AI121" s="42" t="e">
        <f>AF121-S121</f>
        <v>#DIV/0!</v>
      </c>
      <c r="AJ121" s="11"/>
      <c r="AK121" s="11"/>
      <c r="AL121" s="11"/>
      <c r="AM121" s="11"/>
      <c r="AN121" s="11"/>
      <c r="AO121" s="30" t="e">
        <f t="shared" ref="AO121:AZ121" si="119">AO120/AO112</f>
        <v>#DIV/0!</v>
      </c>
      <c r="AP121" s="30" t="e">
        <f t="shared" si="119"/>
        <v>#DIV/0!</v>
      </c>
      <c r="AQ121" s="30" t="e">
        <f t="shared" si="119"/>
        <v>#DIV/0!</v>
      </c>
      <c r="AR121" s="30" t="e">
        <f t="shared" si="119"/>
        <v>#DIV/0!</v>
      </c>
      <c r="AS121" s="30" t="e">
        <f t="shared" si="119"/>
        <v>#DIV/0!</v>
      </c>
      <c r="AT121" s="30" t="e">
        <f t="shared" si="119"/>
        <v>#DIV/0!</v>
      </c>
      <c r="AU121" s="30" t="e">
        <f t="shared" si="119"/>
        <v>#DIV/0!</v>
      </c>
      <c r="AV121" s="30" t="e">
        <f t="shared" si="119"/>
        <v>#DIV/0!</v>
      </c>
      <c r="AW121" s="30" t="e">
        <f t="shared" si="119"/>
        <v>#DIV/0!</v>
      </c>
      <c r="AX121" s="30">
        <f t="shared" si="119"/>
        <v>0.998046156395491</v>
      </c>
      <c r="AY121" s="30" t="e">
        <f t="shared" si="119"/>
        <v>#DIV/0!</v>
      </c>
      <c r="AZ121" s="30" t="e">
        <f t="shared" si="119"/>
        <v>#DIV/0!</v>
      </c>
      <c r="BA121" s="58">
        <v>0</v>
      </c>
      <c r="BB121" s="52">
        <v>0</v>
      </c>
      <c r="BC121" s="62">
        <v>0</v>
      </c>
      <c r="BD121" s="49" t="s">
        <v>63</v>
      </c>
    </row>
  </sheetData>
  <mergeCells count="266">
    <mergeCell ref="A2:A11"/>
    <mergeCell ref="A12:A21"/>
    <mergeCell ref="A22:A31"/>
    <mergeCell ref="A32:A41"/>
    <mergeCell ref="A42:A51"/>
    <mergeCell ref="A52:A61"/>
    <mergeCell ref="A62:A71"/>
    <mergeCell ref="A72:A81"/>
    <mergeCell ref="A82:A91"/>
    <mergeCell ref="A92:A101"/>
    <mergeCell ref="A102:A111"/>
    <mergeCell ref="A112:A121"/>
    <mergeCell ref="B2:B11"/>
    <mergeCell ref="B12:B21"/>
    <mergeCell ref="B22:B31"/>
    <mergeCell ref="B32:B41"/>
    <mergeCell ref="B42:B51"/>
    <mergeCell ref="B52:B61"/>
    <mergeCell ref="B62:B71"/>
    <mergeCell ref="B72:B81"/>
    <mergeCell ref="B82:B91"/>
    <mergeCell ref="B92:B101"/>
    <mergeCell ref="B102:B111"/>
    <mergeCell ref="B112:B121"/>
    <mergeCell ref="C2:C11"/>
    <mergeCell ref="C12:C21"/>
    <mergeCell ref="C22:C31"/>
    <mergeCell ref="C32:C41"/>
    <mergeCell ref="C42:C51"/>
    <mergeCell ref="C52:C61"/>
    <mergeCell ref="C62:C71"/>
    <mergeCell ref="C72:C81"/>
    <mergeCell ref="C82:C91"/>
    <mergeCell ref="C92:C101"/>
    <mergeCell ref="C102:C111"/>
    <mergeCell ref="C112:C121"/>
    <mergeCell ref="D2:D11"/>
    <mergeCell ref="D12:D21"/>
    <mergeCell ref="D22:D31"/>
    <mergeCell ref="D32:D41"/>
    <mergeCell ref="D42:D51"/>
    <mergeCell ref="D52:D61"/>
    <mergeCell ref="D62:D71"/>
    <mergeCell ref="D72:D81"/>
    <mergeCell ref="D82:D91"/>
    <mergeCell ref="D92:D101"/>
    <mergeCell ref="D102:D111"/>
    <mergeCell ref="D112:D121"/>
    <mergeCell ref="E2:E11"/>
    <mergeCell ref="E12:E21"/>
    <mergeCell ref="E22:E31"/>
    <mergeCell ref="E32:E41"/>
    <mergeCell ref="E42:E51"/>
    <mergeCell ref="E52:E61"/>
    <mergeCell ref="E62:E71"/>
    <mergeCell ref="E72:E81"/>
    <mergeCell ref="E82:E91"/>
    <mergeCell ref="E92:E101"/>
    <mergeCell ref="E102:E111"/>
    <mergeCell ref="E112:E121"/>
    <mergeCell ref="F2:F11"/>
    <mergeCell ref="F12:F21"/>
    <mergeCell ref="F22:F31"/>
    <mergeCell ref="F32:F41"/>
    <mergeCell ref="F42:F51"/>
    <mergeCell ref="F52:F61"/>
    <mergeCell ref="F62:F71"/>
    <mergeCell ref="F72:F81"/>
    <mergeCell ref="F82:F91"/>
    <mergeCell ref="F92:F101"/>
    <mergeCell ref="F102:F111"/>
    <mergeCell ref="F112:F121"/>
    <mergeCell ref="G2:G11"/>
    <mergeCell ref="G12:G21"/>
    <mergeCell ref="G22:G31"/>
    <mergeCell ref="G32:G41"/>
    <mergeCell ref="G42:G51"/>
    <mergeCell ref="G52:G61"/>
    <mergeCell ref="G62:G71"/>
    <mergeCell ref="G72:G81"/>
    <mergeCell ref="G82:G91"/>
    <mergeCell ref="G92:G101"/>
    <mergeCell ref="G102:G111"/>
    <mergeCell ref="G112:G121"/>
    <mergeCell ref="H2:H11"/>
    <mergeCell ref="H12:H21"/>
    <mergeCell ref="H22:H31"/>
    <mergeCell ref="H32:H41"/>
    <mergeCell ref="H42:H51"/>
    <mergeCell ref="H52:H61"/>
    <mergeCell ref="H62:H71"/>
    <mergeCell ref="H72:H81"/>
    <mergeCell ref="H82:H91"/>
    <mergeCell ref="H92:H101"/>
    <mergeCell ref="H102:H111"/>
    <mergeCell ref="H112:H121"/>
    <mergeCell ref="I2:I11"/>
    <mergeCell ref="I12:I21"/>
    <mergeCell ref="I22:I31"/>
    <mergeCell ref="I32:I41"/>
    <mergeCell ref="I42:I51"/>
    <mergeCell ref="I52:I61"/>
    <mergeCell ref="I62:I71"/>
    <mergeCell ref="I72:I81"/>
    <mergeCell ref="I82:I91"/>
    <mergeCell ref="I92:I101"/>
    <mergeCell ref="I102:I111"/>
    <mergeCell ref="I112:I121"/>
    <mergeCell ref="J2:J11"/>
    <mergeCell ref="J12:J21"/>
    <mergeCell ref="J22:J31"/>
    <mergeCell ref="J32:J41"/>
    <mergeCell ref="J42:J51"/>
    <mergeCell ref="J52:J61"/>
    <mergeCell ref="J62:J71"/>
    <mergeCell ref="J72:J81"/>
    <mergeCell ref="J82:J91"/>
    <mergeCell ref="J92:J101"/>
    <mergeCell ref="J102:J111"/>
    <mergeCell ref="J112:J121"/>
    <mergeCell ref="K2:K11"/>
    <mergeCell ref="K12:K21"/>
    <mergeCell ref="K22:K31"/>
    <mergeCell ref="K32:K41"/>
    <mergeCell ref="K42:K51"/>
    <mergeCell ref="K52:K61"/>
    <mergeCell ref="K62:K71"/>
    <mergeCell ref="K72:K81"/>
    <mergeCell ref="K82:K91"/>
    <mergeCell ref="K92:K101"/>
    <mergeCell ref="K102:K111"/>
    <mergeCell ref="K112:K121"/>
    <mergeCell ref="L2:L11"/>
    <mergeCell ref="L12:L21"/>
    <mergeCell ref="L22:L31"/>
    <mergeCell ref="L32:L41"/>
    <mergeCell ref="L42:L51"/>
    <mergeCell ref="L52:L61"/>
    <mergeCell ref="L62:L71"/>
    <mergeCell ref="L72:L81"/>
    <mergeCell ref="L82:L91"/>
    <mergeCell ref="L92:L101"/>
    <mergeCell ref="L102:L111"/>
    <mergeCell ref="L112:L121"/>
    <mergeCell ref="M2:M11"/>
    <mergeCell ref="M12:M21"/>
    <mergeCell ref="M22:M31"/>
    <mergeCell ref="M32:M41"/>
    <mergeCell ref="M42:M51"/>
    <mergeCell ref="M52:M61"/>
    <mergeCell ref="M62:M71"/>
    <mergeCell ref="M72:M81"/>
    <mergeCell ref="M82:M91"/>
    <mergeCell ref="M92:M101"/>
    <mergeCell ref="M102:M111"/>
    <mergeCell ref="M112:M121"/>
    <mergeCell ref="N2:N11"/>
    <mergeCell ref="N12:N21"/>
    <mergeCell ref="N22:N31"/>
    <mergeCell ref="N32:N41"/>
    <mergeCell ref="N42:N51"/>
    <mergeCell ref="N52:N61"/>
    <mergeCell ref="N62:N71"/>
    <mergeCell ref="N72:N81"/>
    <mergeCell ref="N82:N91"/>
    <mergeCell ref="N92:N101"/>
    <mergeCell ref="N102:N111"/>
    <mergeCell ref="N112:N121"/>
    <mergeCell ref="O2:O11"/>
    <mergeCell ref="O12:O21"/>
    <mergeCell ref="O22:O31"/>
    <mergeCell ref="O32:O41"/>
    <mergeCell ref="O42:O51"/>
    <mergeCell ref="O52:O61"/>
    <mergeCell ref="O62:O71"/>
    <mergeCell ref="O72:O81"/>
    <mergeCell ref="O82:O91"/>
    <mergeCell ref="O92:O101"/>
    <mergeCell ref="O102:O111"/>
    <mergeCell ref="O112:O121"/>
    <mergeCell ref="P2:P11"/>
    <mergeCell ref="P12:P21"/>
    <mergeCell ref="P22:P31"/>
    <mergeCell ref="P32:P41"/>
    <mergeCell ref="P42:P51"/>
    <mergeCell ref="P52:P61"/>
    <mergeCell ref="P62:P71"/>
    <mergeCell ref="P72:P81"/>
    <mergeCell ref="P82:P91"/>
    <mergeCell ref="P92:P101"/>
    <mergeCell ref="P102:P111"/>
    <mergeCell ref="P112:P121"/>
    <mergeCell ref="Q2:Q11"/>
    <mergeCell ref="Q12:Q21"/>
    <mergeCell ref="Q22:Q31"/>
    <mergeCell ref="Q32:Q41"/>
    <mergeCell ref="Q42:Q51"/>
    <mergeCell ref="Q52:Q61"/>
    <mergeCell ref="Q62:Q71"/>
    <mergeCell ref="Q72:Q81"/>
    <mergeCell ref="Q82:Q91"/>
    <mergeCell ref="Q92:Q101"/>
    <mergeCell ref="Q102:Q111"/>
    <mergeCell ref="Q112:Q121"/>
    <mergeCell ref="AJ2:AJ11"/>
    <mergeCell ref="AJ12:AJ21"/>
    <mergeCell ref="AJ22:AJ31"/>
    <mergeCell ref="AJ32:AJ41"/>
    <mergeCell ref="AJ42:AJ51"/>
    <mergeCell ref="AJ52:AJ61"/>
    <mergeCell ref="AJ62:AJ71"/>
    <mergeCell ref="AJ72:AJ81"/>
    <mergeCell ref="AJ82:AJ91"/>
    <mergeCell ref="AJ92:AJ101"/>
    <mergeCell ref="AJ102:AJ111"/>
    <mergeCell ref="AJ112:AJ121"/>
    <mergeCell ref="AK2:AK11"/>
    <mergeCell ref="AK12:AK21"/>
    <mergeCell ref="AK22:AK31"/>
    <mergeCell ref="AK32:AK41"/>
    <mergeCell ref="AK42:AK51"/>
    <mergeCell ref="AK52:AK61"/>
    <mergeCell ref="AK62:AK71"/>
    <mergeCell ref="AK72:AK81"/>
    <mergeCell ref="AK82:AK91"/>
    <mergeCell ref="AK92:AK101"/>
    <mergeCell ref="AK102:AK111"/>
    <mergeCell ref="AK112:AK121"/>
    <mergeCell ref="AL2:AL11"/>
    <mergeCell ref="AL12:AL21"/>
    <mergeCell ref="AL22:AL31"/>
    <mergeCell ref="AL32:AL41"/>
    <mergeCell ref="AL42:AL51"/>
    <mergeCell ref="AL52:AL61"/>
    <mergeCell ref="AL62:AL71"/>
    <mergeCell ref="AL72:AL81"/>
    <mergeCell ref="AL82:AL91"/>
    <mergeCell ref="AL92:AL101"/>
    <mergeCell ref="AL102:AL111"/>
    <mergeCell ref="AL112:AL121"/>
    <mergeCell ref="AM2:AM11"/>
    <mergeCell ref="AM12:AM21"/>
    <mergeCell ref="AM22:AM31"/>
    <mergeCell ref="AM32:AM41"/>
    <mergeCell ref="AM42:AM51"/>
    <mergeCell ref="AM52:AM61"/>
    <mergeCell ref="AM62:AM71"/>
    <mergeCell ref="AM72:AM81"/>
    <mergeCell ref="AM82:AM91"/>
    <mergeCell ref="AM92:AM101"/>
    <mergeCell ref="AM102:AM111"/>
    <mergeCell ref="AM112:AM121"/>
    <mergeCell ref="AN2:AN11"/>
    <mergeCell ref="AN12:AN21"/>
    <mergeCell ref="AN22:AN31"/>
    <mergeCell ref="AN32:AN41"/>
    <mergeCell ref="AN42:AN51"/>
    <mergeCell ref="AN52:AN61"/>
    <mergeCell ref="AN62:AN71"/>
    <mergeCell ref="AN72:AN81"/>
    <mergeCell ref="AN82:AN91"/>
    <mergeCell ref="AN92:AN101"/>
    <mergeCell ref="AN102:AN111"/>
    <mergeCell ref="AN112:AN121"/>
    <mergeCell ref="BD12:BD21"/>
    <mergeCell ref="BD22:BD3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当月汇总毛利率</vt:lpstr>
      <vt:lpstr>2026年汇总毛利率</vt:lpstr>
      <vt:lpstr>当月项目明细数据</vt:lpstr>
      <vt:lpstr>2026年项目明细数据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Cuizhe</cp:lastModifiedBy>
  <dcterms:created xsi:type="dcterms:W3CDTF">2026-03-23T09:25:00Z</dcterms:created>
  <dcterms:modified xsi:type="dcterms:W3CDTF">2026-04-17T09:44:06Z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D28A3728107C476C96AD06F29CAA2055_12</vt:lpwstr>
  </property>
  <property fmtid="{D5CDD505-2E9C-101B-9397-08002B2CF9AE}" pid="3" name="KSOProductBuildVer">
    <vt:lpwstr>2052-12.8.2.18205</vt:lpwstr>
  </property>
</Properties>
</file>