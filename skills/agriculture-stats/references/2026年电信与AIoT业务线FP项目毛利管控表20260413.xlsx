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870" windowHeight="12975" tabRatio="699" firstSheet="2" activeTab="9"/>
  </bookViews>
  <sheets>
    <sheet name="辅助" sheetId="1" state="hidden" r:id="rId1"/>
    <sheet name="项目清单" sheetId="2" state="hidden" r:id="rId2"/>
    <sheet name="在行项目毛利率达标偏差分析" sheetId="3" r:id="rId3"/>
    <sheet name="Sheet10" sheetId="4" state="hidden" r:id="rId4"/>
    <sheet name="合同毛利率" sheetId="5" state="hidden" r:id="rId5"/>
    <sheet name="在行假FP项目毛利率达标偏差分析" sheetId="6" r:id="rId6"/>
    <sheet name="结项项目毛利率达标偏差分析" sheetId="7" r:id="rId7"/>
    <sheet name="毛利评审会议纪要" sheetId="8" state="hidden" r:id="rId8"/>
    <sheet name="实际运营数据-李陶" sheetId="9" r:id="rId9"/>
    <sheet name="实际运营数据-崔哲" sheetId="10" r:id="rId10"/>
    <sheet name="实际运营数据-赵云平" sheetId="11" r:id="rId11"/>
    <sheet name="实际运营数据-刘科源" sheetId="12" state="hidden" r:id="rId12"/>
    <sheet name="备注" sheetId="13" r:id="rId13"/>
  </sheets>
  <definedNames>
    <definedName name="_xlnm._FilterDatabase" localSheetId="1" hidden="1">项目清单!$A$1:$K$157</definedName>
    <definedName name="_xlnm._FilterDatabase" localSheetId="2" hidden="1">在行项目毛利率达标偏差分析!$A$5:$BW$21</definedName>
    <definedName name="_xlnm._FilterDatabase" localSheetId="4" hidden="1">合同毛利率!$A$1:$C$1593</definedName>
    <definedName name="_xlnm._FilterDatabase" localSheetId="5" hidden="1">在行假FP项目毛利率达标偏差分析!$A$5:$BV$21</definedName>
    <definedName name="_xlnm._FilterDatabase" localSheetId="6" hidden="1">结项项目毛利率达标偏差分析!$A$3:$K$11</definedName>
    <definedName name="_xlnm._FilterDatabase" localSheetId="7" hidden="1">毛利评审会议纪要!$A$2:$J$16</definedName>
    <definedName name="_xlnm._FilterDatabase" localSheetId="8" hidden="1">'实际运营数据-李陶'!$A$1:$BD$182</definedName>
    <definedName name="_xlnm._FilterDatabase" localSheetId="9" hidden="1">'实际运营数据-崔哲'!$A$1:$BR$471</definedName>
    <definedName name="_xlnm._FilterDatabase" localSheetId="10" hidden="1">'实际运营数据-赵云平'!$A$1:$BE$137</definedName>
    <definedName name="_xlnm._FilterDatabase" localSheetId="11" hidden="1">'实际运营数据-刘科源'!$A$1:$BN$105</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技术状态分级">#REF!</definedName>
    <definedName name="进度状态分级">#REF!</definedName>
    <definedName name="客户满意度分级">#REF!</definedName>
    <definedName name="数据月">#REF!</definedName>
    <definedName name="项目状态">#REF!</definedName>
    <definedName name="项目状态分级">#REF!</definedName>
    <definedName name="状态">#REF!</definedName>
    <definedName name="状态分级">#REF!</definedName>
    <definedName name="资源状态分级">#REF!</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技术状态分级" localSheetId="2">#REF!</definedName>
    <definedName name="进度状态分级" localSheetId="2">#REF!</definedName>
    <definedName name="客户满意度分级" localSheetId="2">#REF!</definedName>
    <definedName name="数据月" localSheetId="2">#REF!</definedName>
    <definedName name="项目状态" localSheetId="2">#REF!</definedName>
    <definedName name="项目状态分级" localSheetId="2">#REF!</definedName>
    <definedName name="状态" localSheetId="2">#REF!</definedName>
    <definedName name="状态分级" localSheetId="2">#REF!</definedName>
    <definedName name="资源状态分级" localSheetId="2">#REF!</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技术状态分级" localSheetId="9">#REF!</definedName>
    <definedName name="进度状态分级" localSheetId="9">#REF!</definedName>
    <definedName name="客户满意度分级" localSheetId="9">#REF!</definedName>
    <definedName name="数据月" localSheetId="9">#REF!</definedName>
    <definedName name="项目状态" localSheetId="9">#REF!</definedName>
    <definedName name="项目状态分级" localSheetId="9">#REF!</definedName>
    <definedName name="状态" localSheetId="9">#REF!</definedName>
    <definedName name="状态分级" localSheetId="9">#REF!</definedName>
    <definedName name="资源状态分级" localSheetId="9">#REF!</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技术状态分级" localSheetId="10">#REF!</definedName>
    <definedName name="进度状态分级" localSheetId="10">#REF!</definedName>
    <definedName name="客户满意度分级" localSheetId="10">#REF!</definedName>
    <definedName name="数据月" localSheetId="10">#REF!</definedName>
    <definedName name="项目状态" localSheetId="10">#REF!</definedName>
    <definedName name="项目状态分级" localSheetId="10">#REF!</definedName>
    <definedName name="状态" localSheetId="10">#REF!</definedName>
    <definedName name="状态分级" localSheetId="10">#REF!</definedName>
    <definedName name="资源状态分级" localSheetId="10">#REF!</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技术状态分级" localSheetId="11">#REF!</definedName>
    <definedName name="进度状态分级" localSheetId="11">#REF!</definedName>
    <definedName name="客户满意度分级" localSheetId="11">#REF!</definedName>
    <definedName name="数据月" localSheetId="11">#REF!</definedName>
    <definedName name="项目状态" localSheetId="11">#REF!</definedName>
    <definedName name="项目状态分级" localSheetId="11">#REF!</definedName>
    <definedName name="状态" localSheetId="11">#REF!</definedName>
    <definedName name="状态分级" localSheetId="11">#REF!</definedName>
    <definedName name="资源状态分级" localSheetId="11">#REF!</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技术状态分级" localSheetId="12">#REF!</definedName>
    <definedName name="进度状态分级" localSheetId="12">#REF!</definedName>
    <definedName name="客户满意度分级" localSheetId="12">#REF!</definedName>
    <definedName name="数据月" localSheetId="12">#REF!</definedName>
    <definedName name="项目状态" localSheetId="12">#REF!</definedName>
    <definedName name="项目状态分级" localSheetId="12">#REF!</definedName>
    <definedName name="状态" localSheetId="12">#REF!</definedName>
    <definedName name="状态分级" localSheetId="12">#REF!</definedName>
    <definedName name="资源状态分级" localSheetId="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F3" authorId="0">
      <text>
        <r>
          <rPr>
            <sz val="10"/>
            <rFont val="宋体"/>
            <charset val="134"/>
          </rPr>
          <t xml:space="preserve">李陶:
优先取合同毛利率，无的话取立项毛利率GP1%并标红
</t>
        </r>
      </text>
    </comment>
    <comment ref="F6" authorId="0">
      <text>
        <r>
          <rPr>
            <sz val="10"/>
            <rFont val="宋体"/>
            <charset val="134"/>
          </rPr>
          <t xml:space="preserve">崔哲:
在行项目汇总预算GP1%毛利率
</t>
        </r>
      </text>
    </comment>
  </commentList>
</comments>
</file>

<file path=xl/comments2.xml><?xml version="1.0" encoding="utf-8"?>
<comments xmlns="http://schemas.openxmlformats.org/spreadsheetml/2006/main">
  <authors>
    <author>Unknown User</author>
  </authors>
  <commentList>
    <comment ref="F3" authorId="0">
      <text>
        <r>
          <rPr>
            <sz val="10"/>
            <rFont val="宋体"/>
            <charset val="134"/>
          </rPr>
          <t xml:space="preserve">李陶:
优先取合同毛利率，无的话取立项毛利率GP1%并标红
</t>
        </r>
      </text>
    </comment>
  </commentList>
</comments>
</file>

<file path=xl/comments3.xml><?xml version="1.0" encoding="utf-8"?>
<comments xmlns="http://schemas.openxmlformats.org/spreadsheetml/2006/main">
  <authors>
    <author>Unknown User</author>
    <author>Administrator</author>
    <author>12142</author>
  </authors>
  <commentList>
    <comment ref="Q1" authorId="0">
      <text>
        <r>
          <rPr>
            <sz val="10"/>
            <rFont val="宋体"/>
            <charset val="134"/>
          </rPr>
          <t xml:space="preserve">李陶:
1.总价进度结算（例：金额50w，分3次回款，签订合同30%，验收60%，试运行结束10%）
2.工作量结算（工作量人天或人月*单价）
3.人头结算（人头*单价）
</t>
        </r>
      </text>
    </comment>
    <comment ref="S1" authorId="1">
      <text>
        <r>
          <rPr>
            <sz val="10"/>
            <rFont val="宋体"/>
            <charset val="134"/>
          </rPr>
          <t>Administrator:
从AES系统中获取</t>
        </r>
      </text>
    </comment>
    <comment ref="AH1" authorId="1">
      <text>
        <r>
          <rPr>
            <sz val="10"/>
            <rFont val="宋体"/>
            <charset val="134"/>
          </rPr>
          <t>Administrator:
偏差为：（24年YTD实际累计+当前-项目结项预估累计）与（24年毛利目标预算）进行比对</t>
        </r>
      </text>
    </comment>
    <comment ref="AJ1" authorId="2">
      <text>
        <r>
          <rPr>
            <sz val="10"/>
            <rFont val="宋体"/>
            <charset val="134"/>
          </rPr>
          <t>25年前的毛利偏差，写完可固定不改，月报不发。</t>
        </r>
      </text>
    </comment>
    <comment ref="AN1" authorId="0">
      <text>
        <r>
          <rPr>
            <sz val="10"/>
            <rFont val="宋体"/>
            <charset val="134"/>
          </rPr>
          <t xml:space="preserve">李陶:
实际人力成本：x元，GP1%x，x人从xx项目挂到此项目，原因：xx
</t>
        </r>
      </text>
    </comment>
  </commentList>
</comments>
</file>

<file path=xl/comments4.xml><?xml version="1.0" encoding="utf-8"?>
<comments xmlns="http://schemas.openxmlformats.org/spreadsheetml/2006/main">
  <authors>
    <author>Unknown User</author>
    <author>Administrator</author>
    <author>12142</author>
    <author>Cuizhe</author>
  </authors>
  <commentList>
    <comment ref="Q1" authorId="0">
      <text>
        <r>
          <rPr>
            <sz val="10"/>
            <rFont val="宋体"/>
            <charset val="134"/>
          </rPr>
          <t xml:space="preserve">李陶:
1.总价进度结算（例：金额50w，分3次回款，签订合同30%，验收60%，试运行结束10%）
2.工作量结算（工作量人天或人月*单价）
3.人头结算（人头*单价）
</t>
        </r>
      </text>
    </comment>
    <comment ref="S1" authorId="1">
      <text>
        <r>
          <rPr>
            <sz val="10"/>
            <rFont val="宋体"/>
            <charset val="134"/>
          </rPr>
          <t>Administrator:
从AES系统中获取</t>
        </r>
      </text>
    </comment>
    <comment ref="AH1" authorId="1">
      <text>
        <r>
          <rPr>
            <sz val="10"/>
            <rFont val="宋体"/>
            <charset val="134"/>
          </rPr>
          <t>Administrator:
偏差为：（24年YTD实际累计+当前-项目结项预估累计）与（24年毛利目标预算）进行比对</t>
        </r>
      </text>
    </comment>
    <comment ref="AJ1" authorId="2">
      <text>
        <r>
          <rPr>
            <sz val="10"/>
            <rFont val="宋体"/>
            <charset val="134"/>
          </rPr>
          <t>25年前的毛利偏差，写完可固定不改，月报不发。</t>
        </r>
      </text>
    </comment>
    <comment ref="AN1" authorId="0">
      <text>
        <r>
          <rPr>
            <sz val="10"/>
            <rFont val="宋体"/>
            <charset val="134"/>
          </rPr>
          <t xml:space="preserve">李陶:
实际人力成本：x元，GP1%x，x人从xx项目挂到此项目，原因：xx
</t>
        </r>
      </text>
    </comment>
    <comment ref="AX346" authorId="3">
      <text>
        <r>
          <rPr>
            <b/>
            <sz val="9"/>
            <rFont val="宋体"/>
            <charset val="134"/>
          </rPr>
          <t>Cuizhe:</t>
        </r>
        <r>
          <rPr>
            <sz val="9"/>
            <rFont val="宋体"/>
            <charset val="134"/>
          </rPr>
          <t xml:space="preserve">
含分包尾款19801.98</t>
        </r>
      </text>
    </comment>
  </commentList>
</comments>
</file>

<file path=xl/comments5.xml><?xml version="1.0" encoding="utf-8"?>
<comments xmlns="http://schemas.openxmlformats.org/spreadsheetml/2006/main">
  <authors>
    <author>Unknown User</author>
    <author>Administrator</author>
    <author>12142</author>
  </authors>
  <commentList>
    <comment ref="Q1" authorId="0">
      <text>
        <r>
          <rPr>
            <sz val="10"/>
            <rFont val="宋体"/>
            <charset val="134"/>
          </rPr>
          <t xml:space="preserve">李陶:
1.总价进度结算（例：金额50w，分3次回款，签订合同30%，验收60%，试运行结束10%）
2.工作量结算（工作量人天或人月*单价）
3.人头结算（人头*单价）
</t>
        </r>
      </text>
    </comment>
    <comment ref="S1" authorId="1">
      <text>
        <r>
          <rPr>
            <sz val="10"/>
            <rFont val="宋体"/>
            <charset val="134"/>
          </rPr>
          <t>Administrator:
从AES系统中获取</t>
        </r>
      </text>
    </comment>
    <comment ref="AH1" authorId="1">
      <text>
        <r>
          <rPr>
            <sz val="10"/>
            <rFont val="宋体"/>
            <charset val="134"/>
          </rPr>
          <t>Administrator:
偏差为：（24年YTD实际累计+当前-项目结项预估累计）与（24年毛利目标预算）进行比对</t>
        </r>
      </text>
    </comment>
    <comment ref="AJ1" authorId="2">
      <text>
        <r>
          <rPr>
            <sz val="10"/>
            <rFont val="宋体"/>
            <charset val="134"/>
          </rPr>
          <t>25年前的毛利偏差，写完可固定不改，月报不发。</t>
        </r>
      </text>
    </comment>
    <comment ref="AN1" authorId="0">
      <text>
        <r>
          <rPr>
            <sz val="10"/>
            <rFont val="宋体"/>
            <charset val="134"/>
          </rPr>
          <t xml:space="preserve">李陶:
实际人力成本：x元，GP1%x，x人从xx项目挂到此项目，原因：xx
</t>
        </r>
      </text>
    </comment>
  </commentList>
</comments>
</file>

<file path=xl/comments6.xml><?xml version="1.0" encoding="utf-8"?>
<comments xmlns="http://schemas.openxmlformats.org/spreadsheetml/2006/main">
  <authors>
    <author>Unknown User</author>
    <author>Administrator</author>
    <author>12142</author>
  </authors>
  <commentList>
    <comment ref="L1" authorId="0">
      <text>
        <r>
          <rPr>
            <sz val="10"/>
            <rFont val="宋体"/>
            <charset val="134"/>
          </rPr>
          <t xml:space="preserve">李陶:
1.总价进度结算（例：金额50w，分3次回款，签订合同30%，验收60%，试运行结束10%）
2.工作量结算（工作量人天或人月*单价）
3.人头结算（人头*单价）
</t>
        </r>
      </text>
    </comment>
    <comment ref="N1" authorId="1">
      <text>
        <r>
          <rPr>
            <sz val="10"/>
            <rFont val="宋体"/>
            <charset val="134"/>
          </rPr>
          <t>Administrator:
从AES系统中获取</t>
        </r>
      </text>
    </comment>
    <comment ref="Z1" authorId="1">
      <text>
        <r>
          <rPr>
            <sz val="10"/>
            <rFont val="宋体"/>
            <charset val="134"/>
          </rPr>
          <t>Administrator:
偏差为：（24年YTD实际累计+当前-项目结项预估累计）与（24年毛利目标预算）进行比对</t>
        </r>
      </text>
    </comment>
    <comment ref="AB1" authorId="2">
      <text>
        <r>
          <rPr>
            <sz val="10"/>
            <rFont val="宋体"/>
            <charset val="134"/>
          </rPr>
          <t>25年前的毛利偏差，写完可固定不改，月报不发。</t>
        </r>
      </text>
    </comment>
    <comment ref="AF1" authorId="0">
      <text>
        <r>
          <rPr>
            <sz val="10"/>
            <rFont val="宋体"/>
            <charset val="134"/>
          </rPr>
          <t xml:space="preserve">李陶:
实际人力成本：x元，GP1%x，x人从xx项目挂到此项目，原因：xx
</t>
        </r>
      </text>
    </comment>
  </commentList>
</comments>
</file>

<file path=xl/sharedStrings.xml><?xml version="1.0" encoding="utf-8"?>
<sst xmlns="http://schemas.openxmlformats.org/spreadsheetml/2006/main" count="9816" uniqueCount="3690">
  <si>
    <t>损益归类（T列）</t>
  </si>
  <si>
    <t>项目维度（U列）</t>
  </si>
  <si>
    <t>*杜邦损益归类（V列）</t>
  </si>
  <si>
    <t>归类</t>
  </si>
  <si>
    <t>QA关注（B列可看详细的明细维度）</t>
  </si>
  <si>
    <t>自有交付收入</t>
  </si>
  <si>
    <t>收入</t>
  </si>
  <si>
    <t>客户付费收入</t>
  </si>
  <si>
    <t>加班收入</t>
  </si>
  <si>
    <t>分包收入</t>
  </si>
  <si>
    <t>软硬件销售收入</t>
  </si>
  <si>
    <t>其他业务收入</t>
  </si>
  <si>
    <t>税金及附加</t>
  </si>
  <si>
    <t>采购税金及附加</t>
  </si>
  <si>
    <t>Billable人工成本</t>
  </si>
  <si>
    <t>人工</t>
  </si>
  <si>
    <t>成本1</t>
  </si>
  <si>
    <t>✔</t>
  </si>
  <si>
    <t>Billable社保+公积金</t>
  </si>
  <si>
    <t>加班工资</t>
  </si>
  <si>
    <t>Training人工成本</t>
  </si>
  <si>
    <t>Unbillable人工成本</t>
  </si>
  <si>
    <t>成本2</t>
  </si>
  <si>
    <t>Unbillable人工成本BK</t>
  </si>
  <si>
    <t>Unbillable社保+公积金</t>
  </si>
  <si>
    <t>Unbillable社保+公积金BK</t>
  </si>
  <si>
    <t>项目闲置成本</t>
  </si>
  <si>
    <t>Release人工成本</t>
  </si>
  <si>
    <t>其他Release人工成本</t>
  </si>
  <si>
    <t>三期员工闲置成本</t>
  </si>
  <si>
    <t>项目其他人工成本</t>
  </si>
  <si>
    <t>其他人工成本（激励、津贴）</t>
  </si>
  <si>
    <t>岗位津贴</t>
  </si>
  <si>
    <t>晚餐补助</t>
  </si>
  <si>
    <t>高绩效奖金</t>
  </si>
  <si>
    <t>FP独立核算奖金</t>
  </si>
  <si>
    <t>项目其他激励成本</t>
  </si>
  <si>
    <t>项目交付分包</t>
  </si>
  <si>
    <t>交付分包成本</t>
  </si>
  <si>
    <t>分包成本</t>
  </si>
  <si>
    <t>成本3</t>
  </si>
  <si>
    <t>销售分包成本</t>
  </si>
  <si>
    <t>云资源成本</t>
  </si>
  <si>
    <t>项目差旅费用（非客户付费）</t>
  </si>
  <si>
    <t>费用</t>
  </si>
  <si>
    <t>差旅费</t>
  </si>
  <si>
    <t>项目客户付费成本</t>
  </si>
  <si>
    <t>客户付费（差旅、场地等）</t>
  </si>
  <si>
    <t>项目其他报销费用</t>
  </si>
  <si>
    <t>交付部其他成本</t>
  </si>
  <si>
    <t>✔设备、云资源、OEP日常报销、体检、商报等</t>
  </si>
  <si>
    <t>交付部管理房租/物业/水电</t>
  </si>
  <si>
    <t>交付部房租物业水电</t>
  </si>
  <si>
    <t>成本4</t>
  </si>
  <si>
    <t>交付部资产折旧/装修摊销</t>
  </si>
  <si>
    <t>交付部折旧摊销</t>
  </si>
  <si>
    <t>交付部管理人工</t>
  </si>
  <si>
    <t>其中：管理人工成本（含五险一金）</t>
  </si>
  <si>
    <t>交付部管理费用</t>
  </si>
  <si>
    <t>其中：管理其他费用</t>
  </si>
  <si>
    <t>BU管理人工成本（含五险一金）</t>
  </si>
  <si>
    <t>BU成本</t>
  </si>
  <si>
    <t>BU管理差旅费用</t>
  </si>
  <si>
    <t>其中：管理差旅费用</t>
  </si>
  <si>
    <t>BU管理其他报销费用</t>
  </si>
  <si>
    <t>BU管理房租/物业/水电</t>
  </si>
  <si>
    <t>管理房租物业水电</t>
  </si>
  <si>
    <t>BU管理资产折旧/装修摊销</t>
  </si>
  <si>
    <t>管理折旧摊销</t>
  </si>
  <si>
    <t>事业部层级分摊</t>
  </si>
  <si>
    <t>产品维护闲置成本</t>
  </si>
  <si>
    <t>业务群/线管理沟通费</t>
  </si>
  <si>
    <t>其中：管理招待费用</t>
  </si>
  <si>
    <t>业务群/线管理招聘费用（分摊）</t>
  </si>
  <si>
    <t>业务群/线营业外收入</t>
  </si>
  <si>
    <t>业务群/线管理人工成本（含五险一金）</t>
  </si>
  <si>
    <t>业务群/线管理其他报销费用</t>
  </si>
  <si>
    <t>业务群/线管理差旅费用</t>
  </si>
  <si>
    <t>业务群/线财务费用</t>
  </si>
  <si>
    <t>业务群/线营业外支出</t>
  </si>
  <si>
    <t>业务群/线销售房租/物业/水电</t>
  </si>
  <si>
    <t>业务群/线销售资产折旧/装修摊销</t>
  </si>
  <si>
    <t>应收计息</t>
  </si>
  <si>
    <t>坏账损失</t>
  </si>
  <si>
    <t>业务群/线管理招聘费用</t>
  </si>
  <si>
    <t>业务群/线员工活动经费</t>
  </si>
  <si>
    <t>业务群/线管理资产折旧/装修摊销</t>
  </si>
  <si>
    <t>业务群/线管理房租/物业/水电</t>
  </si>
  <si>
    <t>项目奖金</t>
  </si>
  <si>
    <t>项目人员奖金</t>
  </si>
  <si>
    <t>管理奖金</t>
  </si>
  <si>
    <t>业务群/线销售佣金</t>
  </si>
  <si>
    <t>业务群/线销售人工成本（含五险一金）</t>
  </si>
  <si>
    <t>业务群/线销售招待费用</t>
  </si>
  <si>
    <t>业务群/线销售其他报销费用</t>
  </si>
  <si>
    <t>业务群/线销售差旅费用</t>
  </si>
  <si>
    <t>软硬件销售成本</t>
  </si>
  <si>
    <t>事业部</t>
  </si>
  <si>
    <t>交付部</t>
  </si>
  <si>
    <t>项目编号</t>
  </si>
  <si>
    <t>项目名称</t>
  </si>
  <si>
    <t>项目开始时间</t>
  </si>
  <si>
    <t>项目结束时间</t>
  </si>
  <si>
    <t>负责QA</t>
  </si>
  <si>
    <t>预算成本毛利表是否提交</t>
  </si>
  <si>
    <t>项目阶段</t>
  </si>
  <si>
    <t>是否重点项目</t>
  </si>
  <si>
    <t>备注</t>
  </si>
  <si>
    <t>泛AIoT与设备商事业部</t>
  </si>
  <si>
    <t>汽车与泛AIoT交付部</t>
  </si>
  <si>
    <t>HWCQP0FF2311F14X11</t>
  </si>
  <si>
    <t>长安汽车泰国销售公司销售售后备件业务系统项目系统开发2</t>
  </si>
  <si>
    <t>赵云平</t>
  </si>
  <si>
    <t>否</t>
  </si>
  <si>
    <t>已结项</t>
  </si>
  <si>
    <t>定制开发事业部</t>
  </si>
  <si>
    <t>运营商软件交付部</t>
  </si>
  <si>
    <t>P202112000071</t>
  </si>
  <si>
    <t>2022年上研院工业互联网运维项目</t>
  </si>
  <si>
    <t>李陶</t>
  </si>
  <si>
    <t>运维期</t>
  </si>
  <si>
    <t>开发结束，运维期</t>
  </si>
  <si>
    <t>P202203000237</t>
  </si>
  <si>
    <t>2022年中国铁塔人力运营辅助系统项目</t>
  </si>
  <si>
    <t>P202203000241</t>
  </si>
  <si>
    <t>2022年中国铁塔PMS项目</t>
  </si>
  <si>
    <t>解决方案业务部</t>
  </si>
  <si>
    <t>P202208000397</t>
  </si>
  <si>
    <t>甘肃省试点地市数据治理项目</t>
  </si>
  <si>
    <t>崔哲</t>
  </si>
  <si>
    <t>从CSD转过来的，二期立项金额是276W，后来客户只认177W，因费用削减太多一直没谈妥，暂停支撑</t>
  </si>
  <si>
    <t>预算G列拷贝到实际G列</t>
  </si>
  <si>
    <t>移动研究院事业部</t>
  </si>
  <si>
    <t>中移集成交付部</t>
  </si>
  <si>
    <t>P202209000298</t>
  </si>
  <si>
    <t>延长物业管理-2024管理系统软件项目合同-FP项目</t>
  </si>
  <si>
    <t>预算I列拷贝到实际N列</t>
  </si>
  <si>
    <t>P202209000457</t>
  </si>
  <si>
    <t>山东中白产业园智慧园区项目</t>
  </si>
  <si>
    <t>实际J列拷贝到预算L列</t>
  </si>
  <si>
    <t>P202210000190</t>
  </si>
  <si>
    <t>中移动信息2022-2024年智慧中台运营中心一级充值支付中心系统（中软国际）技术开发框架合同-中软</t>
  </si>
  <si>
    <t>刘科源</t>
  </si>
  <si>
    <t>是</t>
  </si>
  <si>
    <t>进行中</t>
  </si>
  <si>
    <t>预算H列拷贝到实际H列</t>
  </si>
  <si>
    <t>P202210000301</t>
  </si>
  <si>
    <t>中移动信息2022-2024年智慧中台运营中心一级充值支付中心系统维护服务(中软国际)框架采购</t>
  </si>
  <si>
    <t>P202211000809</t>
  </si>
  <si>
    <t>湖南人社厅监管监督平台</t>
  </si>
  <si>
    <t>因客户原因，项目实际未实施</t>
  </si>
  <si>
    <t>电信与AIoT事业部（虚拟）</t>
  </si>
  <si>
    <t>P202212000029</t>
  </si>
  <si>
    <t>农业农村部兽药评审系统项目大厅对接</t>
  </si>
  <si>
    <t>P202212000030</t>
  </si>
  <si>
    <t>2022年安徽省农业科学院畜牧兽医研究所种猪遗传评估系统软件及育种分析服务</t>
  </si>
  <si>
    <t>开发结束，运维期不会有专人投入，有问题就解决问题，毛利不会发生太大变化</t>
  </si>
  <si>
    <t>P202212000032</t>
  </si>
  <si>
    <t>2022年黑龙江省种猪遗传评估信息平台建设项目软件开发项目</t>
  </si>
  <si>
    <t>P202212000496</t>
  </si>
  <si>
    <t>东部地区畜禽遗传资源基因库建设项目仪器设备采购-软件</t>
  </si>
  <si>
    <t>移动通讯交付部</t>
  </si>
  <si>
    <t>P202301000370</t>
  </si>
  <si>
    <t>烽火自动化脚本开发及手工测试项目-武汉</t>
  </si>
  <si>
    <t>P202302000041</t>
  </si>
  <si>
    <t>OneNet框架项目-整包类-江阴一期项目</t>
  </si>
  <si>
    <t>待验收</t>
  </si>
  <si>
    <t>已交付，待验收</t>
  </si>
  <si>
    <t>P202302000395</t>
  </si>
  <si>
    <t>OneNet杭州滨江物联网平台项目</t>
  </si>
  <si>
    <t>P202303000017</t>
  </si>
  <si>
    <t>兵装集成项目支撑</t>
  </si>
  <si>
    <t>P202303000518</t>
  </si>
  <si>
    <t>OneNET物联网平台数字保定一期建设项目</t>
  </si>
  <si>
    <t>P202304000190</t>
  </si>
  <si>
    <t>2023年中国铁塔PMS系统项目</t>
  </si>
  <si>
    <t>P202304000404</t>
  </si>
  <si>
    <t>2023年中国铁塔人力运营辅助系统项目</t>
  </si>
  <si>
    <t>P202304000407</t>
  </si>
  <si>
    <t>2023年中国铁塔AIOT平台项目</t>
  </si>
  <si>
    <t>P202304000410</t>
  </si>
  <si>
    <t>2023年中国铁塔国资监管项目</t>
  </si>
  <si>
    <t>P202304000412</t>
  </si>
  <si>
    <t>2023年中国铁塔大监督项目</t>
  </si>
  <si>
    <t>P202304000415</t>
  </si>
  <si>
    <t>2023年中国铁塔FSU监控项目</t>
  </si>
  <si>
    <t>P202304000416</t>
  </si>
  <si>
    <t>2023年中国铁塔IT服务工单</t>
  </si>
  <si>
    <t>P202304000419</t>
  </si>
  <si>
    <t>2023年中国铁塔能源充电项目</t>
  </si>
  <si>
    <t>P202304000421</t>
  </si>
  <si>
    <t>2023年中国铁塔运维监控项目</t>
  </si>
  <si>
    <t>中移科研交付部</t>
  </si>
  <si>
    <t>P202304000706</t>
  </si>
  <si>
    <t>苏研合营云代维项目八期</t>
  </si>
  <si>
    <t>P202304000966</t>
  </si>
  <si>
    <t>OneNET江苏南通如东物联网平台运营项目（2年）</t>
  </si>
  <si>
    <t>P202304001076</t>
  </si>
  <si>
    <t>苏研合营云运维八期_NOPO</t>
  </si>
  <si>
    <t>已结项，后续切换成TM模式结算</t>
  </si>
  <si>
    <t>P202305000071</t>
  </si>
  <si>
    <t>OneNET宁波驻场运营项目</t>
  </si>
  <si>
    <t>P202305000368</t>
  </si>
  <si>
    <t>扬州经济技术开发区智慧园区管理项目</t>
  </si>
  <si>
    <t>P202305000493</t>
  </si>
  <si>
    <t>OneNET框架龙华物联网定制开发项目</t>
  </si>
  <si>
    <t>P202305000525</t>
  </si>
  <si>
    <t>中移枣庄分公司-薛城区城市大脑2023-2024-技术开发FP项目</t>
  </si>
  <si>
    <t>专网交付部</t>
  </si>
  <si>
    <t>P202305000596</t>
  </si>
  <si>
    <t>史密斯2023框架合同</t>
  </si>
  <si>
    <t>P202305000630</t>
  </si>
  <si>
    <t>农业农村部兽药评审系统2023年度运维</t>
  </si>
  <si>
    <t>P202306000020</t>
  </si>
  <si>
    <t>翼支付TOB电商研发项目2023</t>
  </si>
  <si>
    <t>P202306000119</t>
  </si>
  <si>
    <t>农业农村部2023年中国乡村资讯等运维和信息服务项目</t>
  </si>
  <si>
    <t>P202307000741</t>
  </si>
  <si>
    <t>中移物联网-仁怀酱酒2023-2024智慧园区FP项目</t>
  </si>
  <si>
    <t>P202308000326</t>
  </si>
  <si>
    <t>中国电信-安徽翼支付平台扩容开发工程-2023-2024-技术开发FP项目</t>
  </si>
  <si>
    <t>省级项目，统一做预算</t>
  </si>
  <si>
    <t>P202308000390</t>
  </si>
  <si>
    <t>中移动信息-一级充值支付中心五期应用软件开发与集成服务采购2023-2024-FP项目</t>
  </si>
  <si>
    <t>P202308000401</t>
  </si>
  <si>
    <t>苏研-运维支撑服务项目运行维护支撑服务框架合同（中软)-2023-2024-应用产品维护FP项目</t>
  </si>
  <si>
    <t>P202308000402</t>
  </si>
  <si>
    <t>苏研-运维支撑服务项目运行维护支撑服务框架合同（中软)-2023-2024-监控值班FP项目</t>
  </si>
  <si>
    <t>P202308000403</t>
  </si>
  <si>
    <t>苏研-运维支撑服务项目运行维护支撑服务框架合同（中软)-2023-2024-维护优化FP项目</t>
  </si>
  <si>
    <t>P202308000404</t>
  </si>
  <si>
    <t>苏研-运维支撑服务项目运行维护支撑服务框架合同（中软)-2023-2024-移动云工单质检FP项目</t>
  </si>
  <si>
    <t>P202308000451</t>
  </si>
  <si>
    <t>中国电信-青海分公司翼支付系统-2023-2024-维保服务项目</t>
  </si>
  <si>
    <t>P202308000511</t>
  </si>
  <si>
    <t>中国电信河北分公司-翼支付平台维保项目技术服务2023-2024-维保FP项目</t>
  </si>
  <si>
    <t>P202309000093</t>
  </si>
  <si>
    <t>中国移动沈阳数据中心-5G智慧园区-2023-2024-IT技术开发FP项目</t>
  </si>
  <si>
    <t>待验收/运维，后续再整预算</t>
  </si>
  <si>
    <t>P202309000150</t>
  </si>
  <si>
    <t>四川大学-机电创新设计2023-2024-FP项目</t>
  </si>
  <si>
    <t>P202309000186</t>
  </si>
  <si>
    <t>中移枣庄分公司-山亭区城市大脑2023-2024-技术开发FP项目</t>
  </si>
  <si>
    <t>已交付，待验收，待新项目重新招投标</t>
  </si>
  <si>
    <t>P202309000231</t>
  </si>
  <si>
    <t>中移物联网-昆山物联网运营运维服务2023-2024-昆山城市生命线物联网平台FP项目</t>
  </si>
  <si>
    <t>项目已终验完成，等待物联网公司付款</t>
  </si>
  <si>
    <t>P202309000281</t>
  </si>
  <si>
    <t>中移物联网-城市物联网数字集成定制dict服务框架2023-2025-杭州上城平台运营运维FP项目</t>
  </si>
  <si>
    <t>运营运维人力支撑，按人头结算</t>
  </si>
  <si>
    <t>泛AIoT交付部</t>
  </si>
  <si>
    <t>P202309000397</t>
  </si>
  <si>
    <t>深开鸿-2023年-沈飞二期项目-FP项目-差旅专用</t>
  </si>
  <si>
    <t>P202309000493</t>
  </si>
  <si>
    <t>OPPO广东移动-深圳物联网感知平台服务2023-2024-FP项目</t>
  </si>
  <si>
    <t>P202310000212</t>
  </si>
  <si>
    <t>苏研-运维支撑服务项目运行维护支撑服务框架合同（中软)-2023-2024-测试部运维支撑FP项目</t>
  </si>
  <si>
    <t>P202310000379</t>
  </si>
  <si>
    <t>中移雄安信息-新疆和田地区基层减负一张表项目2023-2024-技术开发FP项目</t>
  </si>
  <si>
    <t>P202310000497</t>
  </si>
  <si>
    <t>农业农村部信息中心-农业信息采集系统2023年度运行维护-运维FP项目</t>
  </si>
  <si>
    <t>P202310000526</t>
  </si>
  <si>
    <t>河南中光学集团有限公司-兵器集团安环监控系统河南中光学物联网平台-2023-2024-FP项目</t>
  </si>
  <si>
    <t>P202310000564</t>
  </si>
  <si>
    <t>上海移动客响中心2023年电子商务平台软件维保服务2023-2024-FP项目</t>
  </si>
  <si>
    <t>P202311000176</t>
  </si>
  <si>
    <t>兵器集团重庆长江电工工业集团-2023-2024-安环监控系统FP项目</t>
  </si>
  <si>
    <t>P202311000426</t>
  </si>
  <si>
    <t>审计署审计宣传中心-信息报送系统2024年度运维服务合同-FP项目</t>
  </si>
  <si>
    <t>P202311000456</t>
  </si>
  <si>
    <t>武汉烽火2023FTTR产品入网测试项目（FP）</t>
  </si>
  <si>
    <t>P202311000659</t>
  </si>
  <si>
    <t>中移集成-甘肃省数字政府数据运营2023-2024-数据治理FP项目</t>
  </si>
  <si>
    <t>P202312000191</t>
  </si>
  <si>
    <t>中电信广西分公司-翼支付平台上云项目系统扩容采购合同2023-2024-FP项目</t>
  </si>
  <si>
    <t>P202312000264</t>
  </si>
  <si>
    <t>中电信湖北智能云网调度运营中心-翼支付前置平台维保项目2023-2024-FP项目</t>
  </si>
  <si>
    <t>P202312000368</t>
  </si>
  <si>
    <t>北京协成致远-2024年南京市江北科创中心一期智慧园区项目-FP项目</t>
  </si>
  <si>
    <t>项目丢标</t>
  </si>
  <si>
    <t>P202312000436</t>
  </si>
  <si>
    <t>全国畜牧总站-2024年农业生物育种大数据与知识产权支撑体系建设-FP项目</t>
  </si>
  <si>
    <t>P202312000663</t>
  </si>
  <si>
    <t>罗克维尔斯-企业系统委托开发-2023-2024-FP项目</t>
  </si>
  <si>
    <t>P202312000705</t>
  </si>
  <si>
    <t>甘肃省畜牧技术推广总站-甘肃省畜牧业统计监测系统项目2023-2024年度运维-FP项目</t>
  </si>
  <si>
    <t>P202312000724</t>
  </si>
  <si>
    <t>江苏移动-软件集成项目2024-2025-FP项目</t>
  </si>
  <si>
    <t>待启动</t>
  </si>
  <si>
    <t>P202401000171</t>
  </si>
  <si>
    <t>中国电信股份有限公司河北分公司-2024年翼支付平台系统扩容项目软件开发合同-FP项目</t>
  </si>
  <si>
    <t>移动新兴业务事业部</t>
  </si>
  <si>
    <t>中移互联交付部</t>
  </si>
  <si>
    <t>P202401000263</t>
  </si>
  <si>
    <t>中国联通陕西省分公司-2024年项目交付管理平台研发项目-FP项目</t>
  </si>
  <si>
    <t>P202401000366</t>
  </si>
  <si>
    <t>中国电信江西公司-2023年统一支付平台维保项目-2023-2024-FP项目</t>
  </si>
  <si>
    <t>P202401000386</t>
  </si>
  <si>
    <t>中移集成-重庆市数字陆海新通道2024-2025-门户及领导驾仓开发FP项目</t>
  </si>
  <si>
    <t>P202401000518</t>
  </si>
  <si>
    <t>中国铁塔-2024年IT开发能力服务合同框架-PMS系统FP项目</t>
  </si>
  <si>
    <t>P202401000710</t>
  </si>
  <si>
    <t>苏研-研发外协服务框架2023-2024-供应链大屏项目</t>
  </si>
  <si>
    <t>P202401000839</t>
  </si>
  <si>
    <t>南京大数据_烟道阻火灭火城市鸿蒙试点场景建设项目2024-2026-FP项目</t>
  </si>
  <si>
    <t>无实际交付</t>
  </si>
  <si>
    <t>P202401000877</t>
  </si>
  <si>
    <t>网思-技术服务分包框架合同2023-2024-苏研国产化操作系统迁移FP项目</t>
  </si>
  <si>
    <t>P202402000194</t>
  </si>
  <si>
    <t>翼支付-2024年农垦ToB电商项目二期-FP项目</t>
  </si>
  <si>
    <t>P202403000061</t>
  </si>
  <si>
    <t>南京联创-OneNet坪山物联网平台开发协议2024-2025-FP项目</t>
  </si>
  <si>
    <t>以被动响应支撑为主，有问题客户反馈后安排人员远程运维支撑，无固定人力成本投入</t>
  </si>
  <si>
    <t>P202403000074</t>
  </si>
  <si>
    <t>中移集成-重庆市数据局文明建设IOC大屏开发2024-2025-大屏开发FP项目</t>
  </si>
  <si>
    <t>P202403000380</t>
  </si>
  <si>
    <t>烽火通信-系统测试服务框架2024-2025-FP项目</t>
  </si>
  <si>
    <t>P202403000386</t>
  </si>
  <si>
    <t>陕西省消防救援总队-2024年智慧消防建设项目一期-FP项目</t>
  </si>
  <si>
    <t>P202403000446</t>
  </si>
  <si>
    <t>中国电信山东分公司-2024年翼支付前置平台维护服务项目-FP项目</t>
  </si>
  <si>
    <t>P202403000501</t>
  </si>
  <si>
    <t>全国畜牧总站-2024年办公网络及IT维护服务项目-fp项目</t>
  </si>
  <si>
    <t>P202403000505</t>
  </si>
  <si>
    <t>全国畜牧总站-2024年度畜牧业综合信息平台种畜禽运维项目-fp项目</t>
  </si>
  <si>
    <t>ODM交付部</t>
  </si>
  <si>
    <t>P202403000588</t>
  </si>
  <si>
    <t>新华三-IPMS客制化开发项目2024-FP项目</t>
  </si>
  <si>
    <t>P202405000476</t>
  </si>
  <si>
    <t>深开鸿-2024年南医大试点项目-FP项目</t>
  </si>
  <si>
    <t>P202405000545</t>
  </si>
  <si>
    <t>中移物联网-仁怀酱酒集团智慧园区项目增项需求2024-2029-FP项目</t>
  </si>
  <si>
    <t>P202406000405</t>
  </si>
  <si>
    <t>深开鸿-2024年合亿7885项目-FP项目</t>
  </si>
  <si>
    <t>P202406000449</t>
  </si>
  <si>
    <t>深开鸿-2024智慧仓2期-FP项目</t>
  </si>
  <si>
    <t>P202406000450</t>
  </si>
  <si>
    <t>深开鸿-2024智慧仓2期-差旅专用</t>
  </si>
  <si>
    <t>P202406000515</t>
  </si>
  <si>
    <t>成都诚骏科技-承揽项目服务项目2024-2025-产品研发FP项目</t>
  </si>
  <si>
    <t>P202308000125</t>
  </si>
  <si>
    <t>新疆奥贝特-大数据管理建设服务2023-2028系统集成服务FP项目</t>
  </si>
  <si>
    <t>纯回款项目</t>
  </si>
  <si>
    <t>P202407000940</t>
  </si>
  <si>
    <t>华为云-CTSP应用适配改造项目_FP项目</t>
  </si>
  <si>
    <t>鸿蒙项目，假FP</t>
  </si>
  <si>
    <t>P202406000566</t>
  </si>
  <si>
    <t>农业农村部信息中心-农业信息采集系统2024年度运行维护-运维FP</t>
  </si>
  <si>
    <t>P202407000332</t>
  </si>
  <si>
    <t>中监所-2024年农业农村部兽药评审系统运行维护服务合同-运维FP项目</t>
  </si>
  <si>
    <t>P202407000804</t>
  </si>
  <si>
    <t>海信-2024年管理零售与服务国内营销APP兼容鸿蒙系统-鸿蒙化FP项目</t>
  </si>
  <si>
    <t>鸿蒙项目，已结项</t>
  </si>
  <si>
    <t>P202406000409</t>
  </si>
  <si>
    <t>国家能源集团-2024年江海运输项目-FP项目</t>
  </si>
  <si>
    <t>已结项，投入1个人，目前人员借调到理想</t>
  </si>
  <si>
    <t>P202407000955</t>
  </si>
  <si>
    <t>一汽红旗-2024数据业务外包项目-FP项目</t>
  </si>
  <si>
    <t>假FP，根据人员单价及工作量结算，我司送人，客户下发任务，在客户场地，保密性高，项目过程管理客户方主导</t>
  </si>
  <si>
    <t>P202404001029</t>
  </si>
  <si>
    <t>亨通-2024年设备信息化管理系统采购合同-FP项目</t>
  </si>
  <si>
    <t>分包项目，该项目仅为交付人员成本，不涉及招聘</t>
  </si>
  <si>
    <t>电信系事业部</t>
  </si>
  <si>
    <t>中电北方交付部</t>
  </si>
  <si>
    <t>P202406000606</t>
  </si>
  <si>
    <t>联通沃音乐-联通在线惠商平台运营支撑项目2024-2025-FP项目</t>
  </si>
  <si>
    <t>纯运营项目</t>
  </si>
  <si>
    <t>P202408000125</t>
  </si>
  <si>
    <t>华勤WD7205软件测试项目</t>
  </si>
  <si>
    <t>P202408000146</t>
  </si>
  <si>
    <t>陕西消防-2024-2025年电动自行车安全专项整治工作系统-FP项目</t>
  </si>
  <si>
    <t>P202409000188</t>
  </si>
  <si>
    <t>数字重庆-2024观音桥商圈领导驾驶舱- FP项目</t>
  </si>
  <si>
    <t>P202406000528</t>
  </si>
  <si>
    <t>华为云-2024年支付宝&amp;网易应用适配改造CTSP分包二期-FP项目</t>
  </si>
  <si>
    <t>P202407000776</t>
  </si>
  <si>
    <t>华为云计算-2024年CTSP-天眼查应用运维项目-鸿蒙FP项目</t>
  </si>
  <si>
    <t>/</t>
  </si>
  <si>
    <t>P202408001294</t>
  </si>
  <si>
    <t>华为云-2024年8月CTSP应用适配改造项目-鸿蒙TM项目</t>
  </si>
  <si>
    <t>P202408001293</t>
  </si>
  <si>
    <t>华为云-2024年8月CTSP应用适配改造项目_鸿蒙TM项目</t>
  </si>
  <si>
    <t>P202408001184</t>
  </si>
  <si>
    <t>深开鸿-2024成铁二期-FP项目</t>
  </si>
  <si>
    <t>P202408001186</t>
  </si>
  <si>
    <t>深开鸿-2024成铁二期项目-FP差旅专用</t>
  </si>
  <si>
    <t>差旅，与P202405000476保持一致</t>
  </si>
  <si>
    <t>P202408001258</t>
  </si>
  <si>
    <t>用友-2024年邮政采购三期信科平台新增需求开发外包项目-FP项目</t>
  </si>
  <si>
    <t>P202408001080</t>
  </si>
  <si>
    <t>远景能源-数字化业务开发与测试服务采购2024-2026项目-FP项目</t>
  </si>
  <si>
    <t>P202408000895</t>
  </si>
  <si>
    <t>用友-2024-2025年铁塔能源低速充电平台开发外包项目-FP项目</t>
  </si>
  <si>
    <t>P202408000904</t>
  </si>
  <si>
    <t>用友-2024-2025年铁塔AIOT平台开发外包项目-FP项目</t>
  </si>
  <si>
    <t>P202408000097</t>
  </si>
  <si>
    <t>中监所-2024-2025年OA办公系统升级改造项目-FP项目</t>
  </si>
  <si>
    <t>P202409000627</t>
  </si>
  <si>
    <t>华为云计算-2024年终端APP应用适配改造CTSP分包包1二期-鸿蒙FP项目</t>
  </si>
  <si>
    <t>P202310000112</t>
  </si>
  <si>
    <t>中通服-2024年龙华光明物联感知平台运营服务-FP项目</t>
  </si>
  <si>
    <t>假FP，中通服人力外包1人结算专用（岗级）</t>
  </si>
  <si>
    <t>P202409000540</t>
  </si>
  <si>
    <t>成都鼎桥-2023-2024年ICP框架-警信工作台委托开发-塞尔维亚鸿蒙FP项目</t>
  </si>
  <si>
    <t>鸿蒙项目</t>
  </si>
  <si>
    <t>P202409000628</t>
  </si>
  <si>
    <t>华为云-2024年终端APP应用适配改造CTSP分包包1二期-鸿蒙TM项目</t>
  </si>
  <si>
    <t>P202409000626</t>
  </si>
  <si>
    <t>华为云-2024年终端APP应用适配改造CTSP分包包1二期项目-鸿蒙FP项目</t>
  </si>
  <si>
    <t>P202409000625</t>
  </si>
  <si>
    <t>华为云-2024年终端APP应用适配改造CTSP分包包1二期-鸿蒙FP项目</t>
  </si>
  <si>
    <t>P202409000331</t>
  </si>
  <si>
    <t>陕西消防-2024-2026年招录制证系统建设采购合同-FP项目</t>
  </si>
  <si>
    <t>增值服务战略事业部</t>
  </si>
  <si>
    <t>增值服务战略交付部（虚拟）</t>
  </si>
  <si>
    <t>P202409000248</t>
  </si>
  <si>
    <t>咪咕视讯-2024-2025产品及能力平台一期-鸿蒙化服务FP项目</t>
  </si>
  <si>
    <t>鸿蒙项目，假FP，鸿蒙生态业务部主导，我们提供人</t>
  </si>
  <si>
    <t>P202410000371</t>
  </si>
  <si>
    <t>深圳光明区-2024-2025年鸿蒙物联网平台-鸿蒙FP项目</t>
  </si>
  <si>
    <t>方案已通过客户领导确认，待启动交付</t>
  </si>
  <si>
    <t>P202411000276</t>
  </si>
  <si>
    <t>Y24-华为云EI产品部-中交信科数据治理项目-ABG</t>
  </si>
  <si>
    <t>P202411000278</t>
  </si>
  <si>
    <t>Y24-华为云EI产品部-安通物流数据治理项目-ABG</t>
  </si>
  <si>
    <t>P202411000722</t>
  </si>
  <si>
    <t>深开鸿-2024-2026年JH第一批次项目-FP项目</t>
  </si>
  <si>
    <t>P202411000666</t>
  </si>
  <si>
    <t>华为云计算-终端APP应用适配改造CTSP分包包七项目四期-鸿蒙FP项目</t>
  </si>
  <si>
    <t>2024/11/1</t>
  </si>
  <si>
    <t>2024/11/30</t>
  </si>
  <si>
    <t>P202411000665</t>
  </si>
  <si>
    <t>华为云计算-终端APP应用适配改造CTSP分包包七项目四期-鸿蒙FP项目2</t>
  </si>
  <si>
    <t>2024/11/9</t>
  </si>
  <si>
    <t>P202410000900</t>
  </si>
  <si>
    <t>牧士农牧科技-2024年软件开发项目合作协议-FP项目</t>
  </si>
  <si>
    <t>2024/10/16</t>
  </si>
  <si>
    <t>2024/12/31</t>
  </si>
  <si>
    <t>P202408001430</t>
  </si>
  <si>
    <t>中国电信河北分公司-2024-2026年翼支付平台维保项目技术服务合同-维保FP项目</t>
  </si>
  <si>
    <t>2024/9/1</t>
  </si>
  <si>
    <t>2026/6/30</t>
  </si>
  <si>
    <t>P202410000919</t>
  </si>
  <si>
    <t>中国移动广东公司-2024-2025年电子渠道H5属地化营销支撑采购项目-FP项目</t>
  </si>
  <si>
    <t>2025/10/10</t>
  </si>
  <si>
    <t>P202412000616</t>
  </si>
  <si>
    <t>中建三局-2024-2025龙岗十五运会场馆信息化项目-交付FP项目</t>
  </si>
  <si>
    <t>P202412000669</t>
  </si>
  <si>
    <t>长安汽车-2024-2025年CADDM指标在线分析及优化项目-FP项目</t>
  </si>
  <si>
    <t>P202501000570</t>
  </si>
  <si>
    <t>中移物联网-2022-2024年智慧园区重大项目技术支撑服务-生态聚合项目</t>
  </si>
  <si>
    <t>过单</t>
  </si>
  <si>
    <t>P202501000316</t>
  </si>
  <si>
    <t>中移信息-2025年一级充值支付中心系统开发六期一阶段项目-FP项目</t>
  </si>
  <si>
    <t>P202501000294</t>
  </si>
  <si>
    <t>中移信息-2025年智慧中台运营中心一级充值支付中心系统（中软国际）技术开发框架合同-FP项目</t>
  </si>
  <si>
    <t>P202501000425</t>
  </si>
  <si>
    <t>中国电信-2025年青海分公司翼支付系统迁移云化项目-FP项目</t>
  </si>
  <si>
    <t>P202501000688</t>
  </si>
  <si>
    <t>长安汽车-2025年企业数字化需求管理系统项目技术服务合同-FP项目</t>
  </si>
  <si>
    <t>P202501001105</t>
  </si>
  <si>
    <t>成都鼎桥-2023-2025年ICP框架-UMP委托开发2025-FP项目</t>
  </si>
  <si>
    <t>P202501001101</t>
  </si>
  <si>
    <t>成都鼎桥-2023-2025年ICP框架-WebDC-MCX委托开发2025-FP项目</t>
  </si>
  <si>
    <t>P202501001031</t>
  </si>
  <si>
    <t>华为云计算-终端APP应用适配改造CTSP分包包七项目四期-鸿蒙FP项目4</t>
  </si>
  <si>
    <t>拆包</t>
  </si>
  <si>
    <t>P202501001133</t>
  </si>
  <si>
    <t>雄安雄创-2025-2026年基于空天监测的研发服务采购-生态聚合项目</t>
  </si>
  <si>
    <t>P202412001015</t>
  </si>
  <si>
    <t>中移集成-2024-2025-北京市某单位研发服务采购-生态聚合项目</t>
  </si>
  <si>
    <t>P202412001014</t>
  </si>
  <si>
    <t>中移集成-2024-2025年四川移动开发服务-FP项目</t>
  </si>
  <si>
    <t>假FP/透明服务费</t>
  </si>
  <si>
    <t>P202501001030</t>
  </si>
  <si>
    <t>华为云-2025年终端APP应用适配改造CTSP分包包二十五-鸿蒙FP项目</t>
  </si>
  <si>
    <t>P202412001035</t>
  </si>
  <si>
    <t>苏研-研发外协服务框架2023-2024-同方鼎欣生态聚合项目</t>
  </si>
  <si>
    <t>P202411000576</t>
  </si>
  <si>
    <t>理想汽车-2024-2026年罗克维尔斯智能商业开发委托协议ODC-FP项目</t>
  </si>
  <si>
    <t>P202306000474</t>
  </si>
  <si>
    <t>锐捷网络2023睿易APP升级FP项目</t>
  </si>
  <si>
    <t>岗级</t>
  </si>
  <si>
    <t>P202310000654</t>
  </si>
  <si>
    <t>农业农村部信息中心-农业采集运维项目-FP运维</t>
  </si>
  <si>
    <t>每月15号左右，数据刷新后，毛利不达标项目发到质量干部工作群</t>
  </si>
  <si>
    <t>在行FP毛利达标率</t>
  </si>
  <si>
    <t>在行FP项目毛利率达标分析</t>
  </si>
  <si>
    <t>项目编码</t>
  </si>
  <si>
    <t>报价毛利率</t>
  </si>
  <si>
    <t>项目立项毛利率</t>
  </si>
  <si>
    <t>当月毛利率-GP1%</t>
  </si>
  <si>
    <t>YTD毛利率-GP1%</t>
  </si>
  <si>
    <t>当月毛利率-GP3%</t>
  </si>
  <si>
    <t>YTD毛利率-GP3%</t>
  </si>
  <si>
    <t>差距-GP1%</t>
  </si>
  <si>
    <t>差距-GP3%</t>
  </si>
  <si>
    <t>毛利达标-GP1%</t>
  </si>
  <si>
    <t>风险</t>
  </si>
  <si>
    <t>不达标原因，看GP1%和GP3%</t>
  </si>
  <si>
    <t>措施</t>
  </si>
  <si>
    <t>202601月进展</t>
  </si>
  <si>
    <t>202602月进展</t>
  </si>
  <si>
    <t>202603月进展</t>
  </si>
  <si>
    <t>202604月进展</t>
  </si>
  <si>
    <t>202605月进展</t>
  </si>
  <si>
    <t>202606月进展</t>
  </si>
  <si>
    <t>202607月进展</t>
  </si>
  <si>
    <t>202608月进展</t>
  </si>
  <si>
    <t>202609月进展</t>
  </si>
  <si>
    <t>202610月进展</t>
  </si>
  <si>
    <t>202611月进展</t>
  </si>
  <si>
    <t>202612月进展</t>
  </si>
  <si>
    <t>系统立项GP1</t>
  </si>
  <si>
    <t>1月</t>
  </si>
  <si>
    <t>2月</t>
  </si>
  <si>
    <t>3月</t>
  </si>
  <si>
    <t>4月</t>
  </si>
  <si>
    <t>5月</t>
  </si>
  <si>
    <t>6月</t>
  </si>
  <si>
    <t>7月</t>
  </si>
  <si>
    <t>8月</t>
  </si>
  <si>
    <t>9月</t>
  </si>
  <si>
    <t>10月</t>
  </si>
  <si>
    <t>11月</t>
  </si>
  <si>
    <t>12月</t>
  </si>
  <si>
    <t>电信联通综合事业部</t>
  </si>
  <si>
    <t>农业项目群（当前10个在行项目）</t>
  </si>
  <si>
    <t>低</t>
  </si>
  <si>
    <t>畜牧核心数据查询APP开发项目和科研项目人力成本超出项目收入
前半年项目断档导致收入无法覆盖团队人力成本导致</t>
  </si>
  <si>
    <t>1、全国畜牧总站-畜牧核心数据查询APP开发-FP项目，已于12月中旬上线了并验收回款，后面不再投入。已投入成本超出预算2W，预计全周期GP3%毛利率7.55%，低于预算目标；
2、全国畜牧总站-2025年农生物育种大数据与知识产权支撑体系建设联合实施4-FP项目，12月成本13.76万，超出当月NR 2.9万，导致亏损；</t>
  </si>
  <si>
    <t>2026/12/31</t>
  </si>
  <si>
    <t>南京联创-2024-2025年ICT外部行业专家库服务支撑合同-FP项目</t>
  </si>
  <si>
    <t>项目24年nopo立项金额250万，合同前后金额100万，25年1月开始投入交付，项目经理未填报进度导致未计入收入，已要求项目经理在下月补报进度</t>
  </si>
  <si>
    <t>项目经理根据合同金额调整和变更成本计划，5月开始补报交付进度</t>
  </si>
  <si>
    <t>P202312000792</t>
  </si>
  <si>
    <t>江苏移动-2025-2027年ICT业务外部行业专家库服务项目支撑服务-FP项目</t>
  </si>
  <si>
    <t>该项目为与用友首次合作项目，属于低毛利中标项目，启动后出现需求范围蔓延，研发投入成本较预算增加，预计结项毛利4.97%略低于目标毛利，实际比预算少收入2万左右</t>
  </si>
  <si>
    <t>2月后仅投入维护人力，采用人力复用方式，不再产生成本</t>
  </si>
  <si>
    <t>华勤-2024-2026年WD7205软件测试-鸿蒙化FP项目</t>
  </si>
  <si>
    <t>产出为0
成本7188.34</t>
  </si>
  <si>
    <t>高</t>
  </si>
  <si>
    <t>1、当前项目在原定合同上进行增补，目前协议还未签回，只有客户正式邮件，历史产出本月财务进度扎差，预估扎差80W。
2、10月产出未填报到系统中。
还原GP：10月GP1% 10%，GP3% 10%，25年YTD10月GP1 3.98%</t>
  </si>
  <si>
    <t xml:space="preserve">
1、跟踪需求增加及合同签定进展
2、10月实际的产出38W，成本34.2W，再合同签回后实际产出才能体现到系统中，</t>
  </si>
  <si>
    <t>2月已经客户再次沟通确认，客户在走盖章中</t>
  </si>
  <si>
    <t>之前立项时未将分包收入支出单独立项，产出存在超报。</t>
  </si>
  <si>
    <t xml:space="preserve">需调整产出保证数据据实。
</t>
  </si>
  <si>
    <t>1、2月最后一个月冲抵且2月离职2人，成本下降到11万，3月毛利回正预估8%。
2、分包金额70万因项目周期拉长，需重新计算，由原来70万变更成38万，剩眄32万分包收入毛利合至本项目，待商务变更后，走项目变更，预计毛利为15%</t>
  </si>
  <si>
    <t>计划减少5个人（AI提效2-3个人，需求少了2个人）1月底走2个 2月底走2个，3月份8个人，4月底1个人。</t>
  </si>
  <si>
    <t>P202504000324</t>
  </si>
  <si>
    <t>山东移动-2025-山亭区城市大脑平台一期ICT信息和通信系统信息化服务协议-城市大脑FP项目</t>
  </si>
  <si>
    <t>4月新立项目处于爬坡期，需求分析阶段交付进度偏低，交付进度低于成本完工进度</t>
  </si>
  <si>
    <t>进入开发阶段进度追赶后预计毛利率可恢复正常</t>
  </si>
  <si>
    <t>P202505000063</t>
  </si>
  <si>
    <t>天府再生资源-2025-2027年云平台建设服务合同-FP项目</t>
  </si>
  <si>
    <t>1、为赶进度12月下旬开始增加4名外接开发人员，投入成本增加7w多，毛利拉低，
2、存在甲方客户负责人变更，对需求优先级调整，整体交付进度缓慢。
3、3名闲置人员的成本挂在本项目</t>
  </si>
  <si>
    <t>预计外借的4名开发人员持续投入到26年3月底，进度追赶正常后，结束投入。</t>
  </si>
  <si>
    <t>1、为赶进度12月下旬人员投入成本增多2.3w，毛利拉低，预计人员持续投入到26年3月底，后续减少人员投入。
2、当月进度填报偏差，系统进度40%，实际进度43%，GP1%毛利15.8%，1月纠偏</t>
  </si>
  <si>
    <t>等借调人员投入结束后，预计3月毛利恢复正常，整体测算毛利可达标</t>
  </si>
  <si>
    <t>P202506000764</t>
  </si>
  <si>
    <t>中移物联网-2025年贵州省仁怀酱酒集团智慧园区项目二期-FP项目</t>
  </si>
  <si>
    <t>6月新立项目，客户要求7月内完成交付和验收工作，前两月冲进度，投入人力成本进度高于填报进度</t>
  </si>
  <si>
    <t>预计7月中旬后主要交付工作完成，人力投入大幅缩减，毛利率可逐步拉升至正常水平</t>
  </si>
  <si>
    <t>中移信息项目群（当前1个在行项目）</t>
  </si>
  <si>
    <t>1、P202501000294项目在8月超报收入回冲135w；
2、七期合同8月才启动，产出爬坡阶段，持续投入可达成毛利目标
3、七期项目产出进度填报偏差</t>
  </si>
  <si>
    <t>预计2026/3月开票验收，剩余产出会全部报出，毛利恢复正常</t>
  </si>
  <si>
    <t>七期项目产出进度填报偏差，预计3月开票验收，剩余产出会全部报出，毛利恢复正常</t>
  </si>
  <si>
    <t>25年的产出进度填报偏差较大，预计2026/4月七期开票验收，剩余产出会全部报出，毛利恢复正常</t>
  </si>
  <si>
    <t>P202509000650</t>
  </si>
  <si>
    <t>中移物联网-2025年浦林成山轮胎X光智能检测项目-FP项目</t>
  </si>
  <si>
    <t>11月NoPO超期合同未签回，收入回冲；12月底合同签回，金额调整为65.1万，重新报批毛利率目标为38%左右，系统内成本进度填报偏低导致偏差，预计整体毛利率目标可达成</t>
  </si>
  <si>
    <t>截止12月底交付工作已基本完成，预计后续少量投入，系统内成本进度填报偏低导致偏差，预计整体毛利率目标可达成</t>
  </si>
  <si>
    <t xml:space="preserve">  </t>
  </si>
  <si>
    <t>P202509000455</t>
  </si>
  <si>
    <t>中电建成都院-2025年（深开鸿）中电建成都院振冲碎石桩鸿蒙化改造项目（一期）-FP项目</t>
  </si>
  <si>
    <t>9月底新立项目，系统计算收入偏差所致，按实际完工进度收入测算毛利率为35%，全周期毛利率16.63%可达成目标</t>
  </si>
  <si>
    <t>P202509000597</t>
  </si>
  <si>
    <t>中移物联网-2025-2026年杭州滨江物联网运维二期项目-FP项目</t>
  </si>
  <si>
    <t>9月底新立项目，启动初期进度填报偏差所致，按实际完工进度收入测算9月毛利率为35.75%，全周期项目GP3毛利率为19.61%</t>
  </si>
  <si>
    <t>P202601000361</t>
  </si>
  <si>
    <t>河南巴洛克-2026-2027年中航光电科技股份全球运营中心软件平台-FP项目</t>
  </si>
  <si>
    <t>3/13 交付进度填报偏差，系统进度填报42%，低于成本进度56%，导致毛利低于预算</t>
  </si>
  <si>
    <t>3月报产追回交付进度</t>
  </si>
  <si>
    <t>P202601000058</t>
  </si>
  <si>
    <t>成都鼎桥-2026年ICP框架-ICS&amp;警务协同委托开发-FP项目</t>
  </si>
  <si>
    <t>3/13 交付进度填报偏差</t>
  </si>
  <si>
    <t>P202601001254</t>
  </si>
  <si>
    <t>中免海南-2026年一站通项目系统开发服务项目-FP项目</t>
  </si>
  <si>
    <t>不达标</t>
  </si>
  <si>
    <t>2月产出 报少</t>
  </si>
  <si>
    <t>1、根据项目实际进度填报产出
3、每月根据项目情况，对项目排产计划及进度计划进行审视，控制当前人力成本。</t>
  </si>
  <si>
    <t>P202308000487</t>
  </si>
  <si>
    <t>P202505000350</t>
  </si>
  <si>
    <t>P202505000354</t>
  </si>
  <si>
    <t>P202408001384</t>
  </si>
  <si>
    <t>P202505000533</t>
  </si>
  <si>
    <t>P202504001053</t>
  </si>
  <si>
    <t>P202501000196</t>
  </si>
  <si>
    <t>P202412000771</t>
  </si>
  <si>
    <t>P202501000238</t>
  </si>
  <si>
    <t>P202504000876</t>
  </si>
  <si>
    <t>P202504000642</t>
  </si>
  <si>
    <t>P202406000365</t>
  </si>
  <si>
    <t>P202505000478</t>
  </si>
  <si>
    <t>移动省专事业部</t>
  </si>
  <si>
    <t>P202505000323</t>
  </si>
  <si>
    <t>P202505000477</t>
  </si>
  <si>
    <t>P202312000693</t>
  </si>
  <si>
    <t>P202502000061</t>
  </si>
  <si>
    <t>P202503000818</t>
  </si>
  <si>
    <t>P202505000355</t>
  </si>
  <si>
    <t>P202207000607</t>
  </si>
  <si>
    <t>P202203000198</t>
  </si>
  <si>
    <t>P202207000605</t>
  </si>
  <si>
    <t>P202207000610</t>
  </si>
  <si>
    <t>P202205000347</t>
  </si>
  <si>
    <t>P202207000608</t>
  </si>
  <si>
    <t>P202411000112</t>
  </si>
  <si>
    <t>P202404000095</t>
  </si>
  <si>
    <t>P202401000911</t>
  </si>
  <si>
    <t>P202407000057</t>
  </si>
  <si>
    <t>P202505000351</t>
  </si>
  <si>
    <t>P202505000051</t>
  </si>
  <si>
    <t>P202505000052</t>
  </si>
  <si>
    <t>P202504001061</t>
  </si>
  <si>
    <t>P202505000235</t>
  </si>
  <si>
    <t>P202504000119</t>
  </si>
  <si>
    <t>P202407000287</t>
  </si>
  <si>
    <t>P202404000940</t>
  </si>
  <si>
    <t>P202409000268</t>
  </si>
  <si>
    <t>P202504000120</t>
  </si>
  <si>
    <t>P202406000393</t>
  </si>
  <si>
    <t>P202407000798</t>
  </si>
  <si>
    <t>P202503000209</t>
  </si>
  <si>
    <t>P202504001302</t>
  </si>
  <si>
    <t>P202504001396</t>
  </si>
  <si>
    <t>P202306000110</t>
  </si>
  <si>
    <t>P202504001186</t>
  </si>
  <si>
    <t>P202406000207</t>
  </si>
  <si>
    <t>P202505000356</t>
  </si>
  <si>
    <t>P202505000352</t>
  </si>
  <si>
    <t>P202505000378</t>
  </si>
  <si>
    <t>P202401000602</t>
  </si>
  <si>
    <t>P202407000454</t>
  </si>
  <si>
    <t>P202503000621</t>
  </si>
  <si>
    <t>P202504000960</t>
  </si>
  <si>
    <t>P202202000053</t>
  </si>
  <si>
    <t>P202206000075</t>
  </si>
  <si>
    <t>P202308000319</t>
  </si>
  <si>
    <t>P202503000437</t>
  </si>
  <si>
    <t>P202310000136</t>
  </si>
  <si>
    <t>P202504001201</t>
  </si>
  <si>
    <t>P202504001202</t>
  </si>
  <si>
    <t>P202405000520</t>
  </si>
  <si>
    <t>P202505000342</t>
  </si>
  <si>
    <t>P202505000344</t>
  </si>
  <si>
    <t>P202505000315</t>
  </si>
  <si>
    <t>P202408000539</t>
  </si>
  <si>
    <t>P202411000293</t>
  </si>
  <si>
    <t>P202408000385</t>
  </si>
  <si>
    <t>P202312000437</t>
  </si>
  <si>
    <t>P202411000292</t>
  </si>
  <si>
    <t>P202505000209</t>
  </si>
  <si>
    <t>P202505000331</t>
  </si>
  <si>
    <t>P202412000688</t>
  </si>
  <si>
    <t>P202501001168</t>
  </si>
  <si>
    <t>P202412001062</t>
  </si>
  <si>
    <t>P202503000983</t>
  </si>
  <si>
    <t>P202409000161</t>
  </si>
  <si>
    <t>P202501001115</t>
  </si>
  <si>
    <t>P202412001028</t>
  </si>
  <si>
    <t>P202501001116</t>
  </si>
  <si>
    <t>P202409000225</t>
  </si>
  <si>
    <t>P202505000212</t>
  </si>
  <si>
    <t>P202408001090</t>
  </si>
  <si>
    <t>P202501001174</t>
  </si>
  <si>
    <t>P202504000877</t>
  </si>
  <si>
    <t>P202407000289</t>
  </si>
  <si>
    <t>P202503000619</t>
  </si>
  <si>
    <t>P202410000605</t>
  </si>
  <si>
    <t>P202504001163</t>
  </si>
  <si>
    <t>P202505000238</t>
  </si>
  <si>
    <t>P202505000239</t>
  </si>
  <si>
    <t>P202505000050</t>
  </si>
  <si>
    <t>P202501000618</t>
  </si>
  <si>
    <t>P202503000878</t>
  </si>
  <si>
    <t>P202504000129</t>
  </si>
  <si>
    <t>P202505000137</t>
  </si>
  <si>
    <t>P202502000351</t>
  </si>
  <si>
    <t>P202505000136</t>
  </si>
  <si>
    <t>P202210000727</t>
  </si>
  <si>
    <t>P202210000036</t>
  </si>
  <si>
    <t>P202408000276</t>
  </si>
  <si>
    <t>P202501001155</t>
  </si>
  <si>
    <t>P202409000684</t>
  </si>
  <si>
    <t>P202406000394</t>
  </si>
  <si>
    <t>P202401000494</t>
  </si>
  <si>
    <t>P202404000892</t>
  </si>
  <si>
    <t>P202504000699</t>
  </si>
  <si>
    <t>P202503001000</t>
  </si>
  <si>
    <t>P202410000379</t>
  </si>
  <si>
    <t>P202501001181</t>
  </si>
  <si>
    <t>P202412000690</t>
  </si>
  <si>
    <t>P202405000553</t>
  </si>
  <si>
    <t>P202305000613</t>
  </si>
  <si>
    <t>P202310000137</t>
  </si>
  <si>
    <t>P202409000546</t>
  </si>
  <si>
    <t>P202504001355</t>
  </si>
  <si>
    <t>P202503000132</t>
  </si>
  <si>
    <t>P202310000135</t>
  </si>
  <si>
    <t>P202310000139</t>
  </si>
  <si>
    <t>P202502000203</t>
  </si>
  <si>
    <t>P202503000811</t>
  </si>
  <si>
    <t>P202504001360</t>
  </si>
  <si>
    <t>P202403000093</t>
  </si>
  <si>
    <t>P202504001231</t>
  </si>
  <si>
    <t>HWCQP0FF2311T15X11</t>
  </si>
  <si>
    <t>P202504000125</t>
  </si>
  <si>
    <t>P202310000134</t>
  </si>
  <si>
    <t>P202504000131</t>
  </si>
  <si>
    <t>P202501001109</t>
  </si>
  <si>
    <t>P202502000248</t>
  </si>
  <si>
    <t>P202502000254</t>
  </si>
  <si>
    <t>P202502000250</t>
  </si>
  <si>
    <t>P202503000789</t>
  </si>
  <si>
    <t>P202408001100</t>
  </si>
  <si>
    <t>P202408001103</t>
  </si>
  <si>
    <t>P202408001106</t>
  </si>
  <si>
    <t>P202408001091</t>
  </si>
  <si>
    <t>P202305000211</t>
  </si>
  <si>
    <t>P202303000141</t>
  </si>
  <si>
    <t>P202408001094</t>
  </si>
  <si>
    <t>P202408001093</t>
  </si>
  <si>
    <t>P202408001092</t>
  </si>
  <si>
    <t>P202405000259</t>
  </si>
  <si>
    <t>P202503000840</t>
  </si>
  <si>
    <t>P202504000938</t>
  </si>
  <si>
    <t>P202405000263</t>
  </si>
  <si>
    <t>P202310000634</t>
  </si>
  <si>
    <t>P202408000214</t>
  </si>
  <si>
    <t>P202503000618</t>
  </si>
  <si>
    <t>P202503000622</t>
  </si>
  <si>
    <t>P202401000560</t>
  </si>
  <si>
    <t>P202409000523</t>
  </si>
  <si>
    <t>P202504001282</t>
  </si>
  <si>
    <t>P202407000196</t>
  </si>
  <si>
    <t>P202412000735</t>
  </si>
  <si>
    <t>P202412000833</t>
  </si>
  <si>
    <t>P202401001000</t>
  </si>
  <si>
    <t>P202407000492</t>
  </si>
  <si>
    <t>P202407000491</t>
  </si>
  <si>
    <t>P202401001032</t>
  </si>
  <si>
    <t>P202504001265</t>
  </si>
  <si>
    <t>P202504000507</t>
  </si>
  <si>
    <t>P202503000821</t>
  </si>
  <si>
    <t>P202504001251</t>
  </si>
  <si>
    <t>P202504001249</t>
  </si>
  <si>
    <t>P202504001252</t>
  </si>
  <si>
    <t>P202504001253</t>
  </si>
  <si>
    <t>P202501001157</t>
  </si>
  <si>
    <t>P202405000493</t>
  </si>
  <si>
    <t>P202504001250</t>
  </si>
  <si>
    <t>P202401001047</t>
  </si>
  <si>
    <t>P202410000921</t>
  </si>
  <si>
    <t>P202501001156</t>
  </si>
  <si>
    <t>P202503000834</t>
  </si>
  <si>
    <t>P202403000554</t>
  </si>
  <si>
    <t>P202209000164</t>
  </si>
  <si>
    <t>P202305000449</t>
  </si>
  <si>
    <t>P214Z5004</t>
  </si>
  <si>
    <t>P202408000121</t>
  </si>
  <si>
    <t>P202412000150</t>
  </si>
  <si>
    <t>P202502000200</t>
  </si>
  <si>
    <t>P202501001107</t>
  </si>
  <si>
    <t>P202307000314</t>
  </si>
  <si>
    <t>P202406000497</t>
  </si>
  <si>
    <t>P202407000744</t>
  </si>
  <si>
    <t>P202312000683</t>
  </si>
  <si>
    <t>P202412000901</t>
  </si>
  <si>
    <t>P202410000481</t>
  </si>
  <si>
    <t>P202311000694</t>
  </si>
  <si>
    <t>P202212000925</t>
  </si>
  <si>
    <t>P202504001174</t>
  </si>
  <si>
    <t>P202504000783</t>
  </si>
  <si>
    <t>P202504001209</t>
  </si>
  <si>
    <t>P202504001210</t>
  </si>
  <si>
    <t>P202503000654</t>
  </si>
  <si>
    <t>P202503000656</t>
  </si>
  <si>
    <t>P202503000658</t>
  </si>
  <si>
    <t>P202503000279</t>
  </si>
  <si>
    <t>P202502000238</t>
  </si>
  <si>
    <t>P202504001089</t>
  </si>
  <si>
    <t>P202504000884</t>
  </si>
  <si>
    <t>P202401000604</t>
  </si>
  <si>
    <t>P202408000206</t>
  </si>
  <si>
    <t>P202502000182</t>
  </si>
  <si>
    <t>P202309000420</t>
  </si>
  <si>
    <t>P202409000588</t>
  </si>
  <si>
    <t>P202306000142</t>
  </si>
  <si>
    <t>P202401000847</t>
  </si>
  <si>
    <t>P202409000208</t>
  </si>
  <si>
    <t>P202411000605</t>
  </si>
  <si>
    <t>P202411000602</t>
  </si>
  <si>
    <t>P202504001165</t>
  </si>
  <si>
    <t>P202503000211</t>
  </si>
  <si>
    <t>P202501001173</t>
  </si>
  <si>
    <t>P202504000784</t>
  </si>
  <si>
    <t>P202406000411</t>
  </si>
  <si>
    <t>P202501001083</t>
  </si>
  <si>
    <t>P202407000873</t>
  </si>
  <si>
    <t>P202502000280</t>
  </si>
  <si>
    <t>P202404000973</t>
  </si>
  <si>
    <t>P202502000380</t>
  </si>
  <si>
    <t>P202402000092</t>
  </si>
  <si>
    <t>P202406000277</t>
  </si>
  <si>
    <t>P202410000857</t>
  </si>
  <si>
    <t>P202412000330</t>
  </si>
  <si>
    <t>P202402000108</t>
  </si>
  <si>
    <t>P202504000781</t>
  </si>
  <si>
    <t>P202410000246</t>
  </si>
  <si>
    <t>P202504000662</t>
  </si>
  <si>
    <t>P202503000397</t>
  </si>
  <si>
    <t>P202504000647</t>
  </si>
  <si>
    <t>P202504000646</t>
  </si>
  <si>
    <t>P202310000138</t>
  </si>
  <si>
    <t>P202502000381</t>
  </si>
  <si>
    <t>P202503000381</t>
  </si>
  <si>
    <t>P202504000508</t>
  </si>
  <si>
    <t>P202504000509</t>
  </si>
  <si>
    <t>P202504000511</t>
  </si>
  <si>
    <t>P202504000513</t>
  </si>
  <si>
    <t>P202504000514</t>
  </si>
  <si>
    <t>P202504000515</t>
  </si>
  <si>
    <t>P202412000682</t>
  </si>
  <si>
    <t>P202504000516</t>
  </si>
  <si>
    <t>P202405000118</t>
  </si>
  <si>
    <t>P202504000517</t>
  </si>
  <si>
    <t>P202504000518</t>
  </si>
  <si>
    <t>P202504000519</t>
  </si>
  <si>
    <t>P202504000521</t>
  </si>
  <si>
    <t>P202504000522</t>
  </si>
  <si>
    <t>P202503000822</t>
  </si>
  <si>
    <t>P202407000487</t>
  </si>
  <si>
    <t>P20200600079</t>
  </si>
  <si>
    <t>P202408001089</t>
  </si>
  <si>
    <t>P202407000612</t>
  </si>
  <si>
    <t>P202401000923</t>
  </si>
  <si>
    <t>P202504000132</t>
  </si>
  <si>
    <t>P202504000130</t>
  </si>
  <si>
    <t>P202404000950</t>
  </si>
  <si>
    <t>P202504000123</t>
  </si>
  <si>
    <t>P202504000126</t>
  </si>
  <si>
    <t>P202504000133</t>
  </si>
  <si>
    <t>P202504000134</t>
  </si>
  <si>
    <t>P202504000135</t>
  </si>
  <si>
    <t>P202401001035</t>
  </si>
  <si>
    <t>P202408000412</t>
  </si>
  <si>
    <t>P202403000511</t>
  </si>
  <si>
    <t>P202503000995</t>
  </si>
  <si>
    <t>P202504000481</t>
  </si>
  <si>
    <t>P202401000629</t>
  </si>
  <si>
    <t>P202501001084</t>
  </si>
  <si>
    <t>P202401000559</t>
  </si>
  <si>
    <t>P202412000691</t>
  </si>
  <si>
    <t>P202501001129</t>
  </si>
  <si>
    <t>P202407000211</t>
  </si>
  <si>
    <t>P202409000481</t>
  </si>
  <si>
    <t>P202401001070</t>
  </si>
  <si>
    <t>P202504000303</t>
  </si>
  <si>
    <t>P202405000483</t>
  </si>
  <si>
    <t>P202409000236</t>
  </si>
  <si>
    <t>P202410000144</t>
  </si>
  <si>
    <t>P202408001372</t>
  </si>
  <si>
    <t>P202404000275</t>
  </si>
  <si>
    <t>P202403000002</t>
  </si>
  <si>
    <t>P202503000124</t>
  </si>
  <si>
    <t>P202411000401</t>
  </si>
  <si>
    <t>P202502000093</t>
  </si>
  <si>
    <t>P202503000175</t>
  </si>
  <si>
    <t>P202504000428</t>
  </si>
  <si>
    <t>P202411000424</t>
  </si>
  <si>
    <t>P202311000036</t>
  </si>
  <si>
    <t>P202312000029</t>
  </si>
  <si>
    <t>P202310000079</t>
  </si>
  <si>
    <t>P202308000159</t>
  </si>
  <si>
    <t>P202311000038</t>
  </si>
  <si>
    <t>P202310000078</t>
  </si>
  <si>
    <t>P202308000256</t>
  </si>
  <si>
    <t>P202311000037</t>
  </si>
  <si>
    <t>P202305000419</t>
  </si>
  <si>
    <t>P214Z4027</t>
  </si>
  <si>
    <t>P202207000491</t>
  </si>
  <si>
    <t>P202212000224</t>
  </si>
  <si>
    <t>P202502000229</t>
  </si>
  <si>
    <t>P202404000528</t>
  </si>
  <si>
    <t>P202309000381</t>
  </si>
  <si>
    <t>P202405000250</t>
  </si>
  <si>
    <t>P202407000458</t>
  </si>
  <si>
    <t>P202401000562</t>
  </si>
  <si>
    <t>P202208000658</t>
  </si>
  <si>
    <t>P202207000293</t>
  </si>
  <si>
    <t>P202203000333</t>
  </si>
  <si>
    <t>P202105000234</t>
  </si>
  <si>
    <t>P202207000626</t>
  </si>
  <si>
    <t>P202111000227</t>
  </si>
  <si>
    <t>P202201000970</t>
  </si>
  <si>
    <t>P202205000423</t>
  </si>
  <si>
    <t>P202111000021</t>
  </si>
  <si>
    <t>P214Z5005</t>
  </si>
  <si>
    <t>P202112000602</t>
  </si>
  <si>
    <t>P202205000440</t>
  </si>
  <si>
    <t>P175P7003</t>
  </si>
  <si>
    <t>P202207000740</t>
  </si>
  <si>
    <t>P202201000127</t>
  </si>
  <si>
    <t>P202208000145</t>
  </si>
  <si>
    <t>P202112000211</t>
  </si>
  <si>
    <t>P202203000007</t>
  </si>
  <si>
    <t>P202108000295</t>
  </si>
  <si>
    <t>P202111000231</t>
  </si>
  <si>
    <t>P202203000101</t>
  </si>
  <si>
    <t>P202208000666</t>
  </si>
  <si>
    <t>P202108000341</t>
  </si>
  <si>
    <t>P202106000297</t>
  </si>
  <si>
    <t>P16464025</t>
  </si>
  <si>
    <t>P202111000165</t>
  </si>
  <si>
    <t>P202111000025</t>
  </si>
  <si>
    <t>P202205000408</t>
  </si>
  <si>
    <t>P202111000050</t>
  </si>
  <si>
    <t>P202206000513</t>
  </si>
  <si>
    <t>P225Z7000</t>
  </si>
  <si>
    <t>P202206000291</t>
  </si>
  <si>
    <t>P202112000206</t>
  </si>
  <si>
    <t>P202201000169</t>
  </si>
  <si>
    <t>P202206000115</t>
  </si>
  <si>
    <t>P202111000230</t>
  </si>
  <si>
    <t>P202108000046</t>
  </si>
  <si>
    <t>P202110000537</t>
  </si>
  <si>
    <t>P202207000691</t>
  </si>
  <si>
    <t>P202205000254</t>
  </si>
  <si>
    <t>P202111000015</t>
  </si>
  <si>
    <t>P202108000337</t>
  </si>
  <si>
    <t>P202112000032</t>
  </si>
  <si>
    <t>P202201000979</t>
  </si>
  <si>
    <t>P214Z5001</t>
  </si>
  <si>
    <t>P202101000397</t>
  </si>
  <si>
    <t>P214Z5006</t>
  </si>
  <si>
    <t>P202112000198</t>
  </si>
  <si>
    <t>P202112000604</t>
  </si>
  <si>
    <t>P202208000618</t>
  </si>
  <si>
    <t>P194P4008</t>
  </si>
  <si>
    <t>P202208000150</t>
  </si>
  <si>
    <t>P202105000149</t>
  </si>
  <si>
    <t>P202206000311</t>
  </si>
  <si>
    <t>P202301000799</t>
  </si>
  <si>
    <t>P202412000683</t>
  </si>
  <si>
    <t>P202208000384</t>
  </si>
  <si>
    <t>P202301000816</t>
  </si>
  <si>
    <t>P202405000058</t>
  </si>
  <si>
    <t>P202304000521</t>
  </si>
  <si>
    <t>P202409000557</t>
  </si>
  <si>
    <t>P202502000133</t>
  </si>
  <si>
    <t>P202312000059</t>
  </si>
  <si>
    <t>P202401000649</t>
  </si>
  <si>
    <t>P202401000926</t>
  </si>
  <si>
    <t>P202502000441</t>
  </si>
  <si>
    <t>P202504000043</t>
  </si>
  <si>
    <t>P202407000594</t>
  </si>
  <si>
    <t>P202412000681</t>
  </si>
  <si>
    <t>P202410000194</t>
  </si>
  <si>
    <t>P202205000447</t>
  </si>
  <si>
    <t>P202401000925</t>
  </si>
  <si>
    <t>P202206000467</t>
  </si>
  <si>
    <t>P202401000869</t>
  </si>
  <si>
    <t>P202411000480</t>
  </si>
  <si>
    <t>P202405000567</t>
  </si>
  <si>
    <t>P202406000500</t>
  </si>
  <si>
    <t>P202404000681</t>
  </si>
  <si>
    <t>P202412000770</t>
  </si>
  <si>
    <t>P202404001013</t>
  </si>
  <si>
    <t>P202201000954</t>
  </si>
  <si>
    <t>P202408001311</t>
  </si>
  <si>
    <t>P202404000677</t>
  </si>
  <si>
    <t>P202301000506</t>
  </si>
  <si>
    <t>P202205000434</t>
  </si>
  <si>
    <t>P202307000736</t>
  </si>
  <si>
    <t>P202409000198</t>
  </si>
  <si>
    <t>P202308000287</t>
  </si>
  <si>
    <t>P202209000679</t>
  </si>
  <si>
    <t>P20200800127</t>
  </si>
  <si>
    <t>P202409000195</t>
  </si>
  <si>
    <t>P202111000212</t>
  </si>
  <si>
    <t>P202410000897</t>
  </si>
  <si>
    <t>P202501001144</t>
  </si>
  <si>
    <t>P202501001111</t>
  </si>
  <si>
    <t>P202411000442</t>
  </si>
  <si>
    <t>P202410000130</t>
  </si>
  <si>
    <t>P202411000633</t>
  </si>
  <si>
    <t>P202503000817</t>
  </si>
  <si>
    <t>P202312000295</t>
  </si>
  <si>
    <t>P202408000914</t>
  </si>
  <si>
    <t>P202502000071</t>
  </si>
  <si>
    <t>P202412000993</t>
  </si>
  <si>
    <t>P202503000348</t>
  </si>
  <si>
    <t>P202407000382</t>
  </si>
  <si>
    <t>P202305000404</t>
  </si>
  <si>
    <t>P202305000407</t>
  </si>
  <si>
    <t>P202304000991</t>
  </si>
  <si>
    <t>P202305000406</t>
  </si>
  <si>
    <t>P202305000405</t>
  </si>
  <si>
    <t>P202401001045</t>
  </si>
  <si>
    <t>P202409000224</t>
  </si>
  <si>
    <t>P202408001098</t>
  </si>
  <si>
    <t>P202408001105</t>
  </si>
  <si>
    <t>P202408001099</t>
  </si>
  <si>
    <t>P202408001102</t>
  </si>
  <si>
    <t>P202407000921</t>
  </si>
  <si>
    <t>P202408001104</t>
  </si>
  <si>
    <t>P202407000920</t>
  </si>
  <si>
    <t>P202407000919</t>
  </si>
  <si>
    <t>P202408001101</t>
  </si>
  <si>
    <t>P202312000317</t>
  </si>
  <si>
    <t>P202503000380</t>
  </si>
  <si>
    <t>P202408001278</t>
  </si>
  <si>
    <t>P202411000207</t>
  </si>
  <si>
    <t>P202401000173</t>
  </si>
  <si>
    <t>P202108000041</t>
  </si>
  <si>
    <t>P202210000351</t>
  </si>
  <si>
    <t>P202306000120</t>
  </si>
  <si>
    <t>P202208000234</t>
  </si>
  <si>
    <t>HWXAP0FN2012T135R11</t>
  </si>
  <si>
    <t>P20191100059</t>
  </si>
  <si>
    <t>P202211000652</t>
  </si>
  <si>
    <t>P202211000202</t>
  </si>
  <si>
    <t>P202101001112</t>
  </si>
  <si>
    <t>P20200700302</t>
  </si>
  <si>
    <t>P202301000790</t>
  </si>
  <si>
    <t>P202305000347</t>
  </si>
  <si>
    <t>P202206000579</t>
  </si>
  <si>
    <t>P202302000412</t>
  </si>
  <si>
    <t>P202407000794</t>
  </si>
  <si>
    <t>P202201000783</t>
  </si>
  <si>
    <t>P202401001014</t>
  </si>
  <si>
    <t>P202205000118</t>
  </si>
  <si>
    <t>P202212000787</t>
  </si>
  <si>
    <t>P202210000267</t>
  </si>
  <si>
    <t>P202306000550</t>
  </si>
  <si>
    <t>P202401000603</t>
  </si>
  <si>
    <t>P202110000453</t>
  </si>
  <si>
    <t>P202210000588</t>
  </si>
  <si>
    <t>P202107000828</t>
  </si>
  <si>
    <t>P202101000092</t>
  </si>
  <si>
    <t>P202203000014</t>
  </si>
  <si>
    <t>P202404000762</t>
  </si>
  <si>
    <t>P202305000492</t>
  </si>
  <si>
    <t>HWCSP0FN2301T05X11</t>
  </si>
  <si>
    <t>P202201000356</t>
  </si>
  <si>
    <t>P202309000386</t>
  </si>
  <si>
    <t>P20200700258</t>
  </si>
  <si>
    <t>P202212000078</t>
  </si>
  <si>
    <t>P202201000189</t>
  </si>
  <si>
    <t>P202107000339</t>
  </si>
  <si>
    <t>P202208000625</t>
  </si>
  <si>
    <t>P20201000147</t>
  </si>
  <si>
    <t>P202301000902</t>
  </si>
  <si>
    <t>P202209000380</t>
  </si>
  <si>
    <t>P202312000525</t>
  </si>
  <si>
    <t>P202108000302</t>
  </si>
  <si>
    <t>P202412000782</t>
  </si>
  <si>
    <t>P202206000125</t>
  </si>
  <si>
    <t>P202311000265</t>
  </si>
  <si>
    <t>P202401000930</t>
  </si>
  <si>
    <t>P202308000240</t>
  </si>
  <si>
    <t>P195P7001</t>
  </si>
  <si>
    <t>P202209000690</t>
  </si>
  <si>
    <t>P202101000100</t>
  </si>
  <si>
    <t>P202203000025</t>
  </si>
  <si>
    <t>P202404000765</t>
  </si>
  <si>
    <t>P202305000540</t>
  </si>
  <si>
    <t>HWNJP0FF2211T145R11</t>
  </si>
  <si>
    <t>P202201000359</t>
  </si>
  <si>
    <t>P202309000411</t>
  </si>
  <si>
    <t>P20200700264</t>
  </si>
  <si>
    <t>P202212000330</t>
  </si>
  <si>
    <t>P202407000850</t>
  </si>
  <si>
    <t>P202201000329</t>
  </si>
  <si>
    <t>P202107000345</t>
  </si>
  <si>
    <t>P202210000770</t>
  </si>
  <si>
    <t>P202208000641</t>
  </si>
  <si>
    <t>P202101000192</t>
  </si>
  <si>
    <t>P20201100023</t>
  </si>
  <si>
    <t>P202302000136</t>
  </si>
  <si>
    <t>P202209000456</t>
  </si>
  <si>
    <t>P202207000735</t>
  </si>
  <si>
    <t>P202104000345</t>
  </si>
  <si>
    <t>P202303000244</t>
  </si>
  <si>
    <t>P202403000162</t>
  </si>
  <si>
    <t>P202409000269</t>
  </si>
  <si>
    <t>P202108000331</t>
  </si>
  <si>
    <t>P202201000590</t>
  </si>
  <si>
    <t>P202401000933</t>
  </si>
  <si>
    <t>P20190900066</t>
  </si>
  <si>
    <t>P202411000467</t>
  </si>
  <si>
    <t>P202204000890</t>
  </si>
  <si>
    <t>P202111000258</t>
  </si>
  <si>
    <t>P202209000700</t>
  </si>
  <si>
    <t>P202108000070</t>
  </si>
  <si>
    <t>P202109000298</t>
  </si>
  <si>
    <t>P202210000354</t>
  </si>
  <si>
    <t>P202204000094</t>
  </si>
  <si>
    <t>P202306000335</t>
  </si>
  <si>
    <t>P202208000326</t>
  </si>
  <si>
    <t>P202307000328</t>
  </si>
  <si>
    <t>HWXAP0FN2104T221X11</t>
  </si>
  <si>
    <t>P20200100006</t>
  </si>
  <si>
    <t>P202211000837</t>
  </si>
  <si>
    <t>P202211000452</t>
  </si>
  <si>
    <t>P202112000464</t>
  </si>
  <si>
    <t>P202103000067</t>
  </si>
  <si>
    <t>P206P6002</t>
  </si>
  <si>
    <t>P202208000546</t>
  </si>
  <si>
    <t>P20200700305</t>
  </si>
  <si>
    <t>P202301000793</t>
  </si>
  <si>
    <t>P202105000263</t>
  </si>
  <si>
    <t>P202209000107</t>
  </si>
  <si>
    <t>P202404000111</t>
  </si>
  <si>
    <t>P202409000679</t>
  </si>
  <si>
    <t>P202206000672</t>
  </si>
  <si>
    <t>P202302000418</t>
  </si>
  <si>
    <t>P202311000064</t>
  </si>
  <si>
    <t>P202312000224</t>
  </si>
  <si>
    <t>P202201000919</t>
  </si>
  <si>
    <t>P202408000987</t>
  </si>
  <si>
    <t>P202205000243</t>
  </si>
  <si>
    <t>P202212000824</t>
  </si>
  <si>
    <t>P202210000321</t>
  </si>
  <si>
    <t>HWXAP0FN2104T223X11</t>
  </si>
  <si>
    <t>P202304001006</t>
  </si>
  <si>
    <t>P202306000556</t>
  </si>
  <si>
    <t>P202110000562</t>
  </si>
  <si>
    <t>P202210000597</t>
  </si>
  <si>
    <t>P202410000672</t>
  </si>
  <si>
    <t>P202107000926</t>
  </si>
  <si>
    <t>P202307000738</t>
  </si>
  <si>
    <t>P202201000338</t>
  </si>
  <si>
    <t>P202211000887</t>
  </si>
  <si>
    <t>P202112000523</t>
  </si>
  <si>
    <t>P202103000277</t>
  </si>
  <si>
    <t>P202106000468</t>
  </si>
  <si>
    <t>P202208000580</t>
  </si>
  <si>
    <t>P20200700308</t>
  </si>
  <si>
    <t>P202301000796</t>
  </si>
  <si>
    <t>P202106000040</t>
  </si>
  <si>
    <t>P202209000242</t>
  </si>
  <si>
    <t>P202410000139</t>
  </si>
  <si>
    <t>P202207000183</t>
  </si>
  <si>
    <t>P202303000082</t>
  </si>
  <si>
    <t>P202108000075</t>
  </si>
  <si>
    <t>P202312000131</t>
  </si>
  <si>
    <t>P202408001310</t>
  </si>
  <si>
    <t>P202412000539</t>
  </si>
  <si>
    <t>P202205000337</t>
  </si>
  <si>
    <t>P202301000073</t>
  </si>
  <si>
    <t>P202210000347</t>
  </si>
  <si>
    <t>P202307000802</t>
  </si>
  <si>
    <t>HWXAP0FN2209T162X11</t>
  </si>
  <si>
    <t>P202306000647</t>
  </si>
  <si>
    <t>P202111000076</t>
  </si>
  <si>
    <t>P202210000600</t>
  </si>
  <si>
    <t>P202406000425</t>
  </si>
  <si>
    <t>P202410000726</t>
  </si>
  <si>
    <t>P202107000929</t>
  </si>
  <si>
    <t>P202307000766</t>
  </si>
  <si>
    <t>P202101000124</t>
  </si>
  <si>
    <t>P202203000160</t>
  </si>
  <si>
    <t>P202404000817</t>
  </si>
  <si>
    <t>P202207000736</t>
  </si>
  <si>
    <t>HWSZP0FN2207T121X11</t>
  </si>
  <si>
    <t>P202201000363</t>
  </si>
  <si>
    <t>P202309000429</t>
  </si>
  <si>
    <t>P20200700273</t>
  </si>
  <si>
    <t>P202212000421</t>
  </si>
  <si>
    <t>P202407000900</t>
  </si>
  <si>
    <t>P202201000332</t>
  </si>
  <si>
    <t>P202107000488</t>
  </si>
  <si>
    <t>P202210000790</t>
  </si>
  <si>
    <t>P202208000683</t>
  </si>
  <si>
    <t>P202101000195</t>
  </si>
  <si>
    <t>P20201100026</t>
  </si>
  <si>
    <t>P202302000407</t>
  </si>
  <si>
    <t>P202209000606</t>
  </si>
  <si>
    <t>P202104001176</t>
  </si>
  <si>
    <t>P202303000434</t>
  </si>
  <si>
    <t>P202305000063</t>
  </si>
  <si>
    <t>P202109000018</t>
  </si>
  <si>
    <t>P202201000615</t>
  </si>
  <si>
    <t>P202404001057</t>
  </si>
  <si>
    <t>P202401000965</t>
  </si>
  <si>
    <t>P202206000151</t>
  </si>
  <si>
    <t>P202311000459</t>
  </si>
  <si>
    <t>P202401000942</t>
  </si>
  <si>
    <t>P202308000380</t>
  </si>
  <si>
    <t>P20190900069</t>
  </si>
  <si>
    <t>P202204000979</t>
  </si>
  <si>
    <t>P202209000714</t>
  </si>
  <si>
    <t>P202306000498</t>
  </si>
  <si>
    <t>P202401000389</t>
  </si>
  <si>
    <t>P202108000073</t>
  </si>
  <si>
    <t>P202110000137</t>
  </si>
  <si>
    <t>P202210000357</t>
  </si>
  <si>
    <t>P202204000829</t>
  </si>
  <si>
    <t>P202306000462</t>
  </si>
  <si>
    <t>P202208000336</t>
  </si>
  <si>
    <t>P202307000409</t>
  </si>
  <si>
    <t>P20201100028</t>
  </si>
  <si>
    <t>HWSZP0FN2212T198X11</t>
  </si>
  <si>
    <t>P202201000387</t>
  </si>
  <si>
    <t>P202201000335</t>
  </si>
  <si>
    <t>P202107000525</t>
  </si>
  <si>
    <t>P202210000802</t>
  </si>
  <si>
    <t>P202209000026</t>
  </si>
  <si>
    <t>P202101000280</t>
  </si>
  <si>
    <t>P202105000093</t>
  </si>
  <si>
    <t>P202305000210</t>
  </si>
  <si>
    <t>P202312000754</t>
  </si>
  <si>
    <t>P202407000775</t>
  </si>
  <si>
    <t>P202109000099</t>
  </si>
  <si>
    <t>P202201000626</t>
  </si>
  <si>
    <t>P202401000991</t>
  </si>
  <si>
    <t>P202206000154</t>
  </si>
  <si>
    <t>P202311000559</t>
  </si>
  <si>
    <t>P202401000962</t>
  </si>
  <si>
    <t>P20190900074</t>
  </si>
  <si>
    <t>P202411000632</t>
  </si>
  <si>
    <t>P202204000988</t>
  </si>
  <si>
    <t>P202212000556</t>
  </si>
  <si>
    <t>P202112000153</t>
  </si>
  <si>
    <t>P202407000448</t>
  </si>
  <si>
    <t>P202304000674</t>
  </si>
  <si>
    <t>P202306000543</t>
  </si>
  <si>
    <t>P202110000230</t>
  </si>
  <si>
    <t>P202210000470</t>
  </si>
  <si>
    <t>P202307000609</t>
  </si>
  <si>
    <t>P202101000084</t>
  </si>
  <si>
    <t>P202201000348</t>
  </si>
  <si>
    <t>P202309000258</t>
  </si>
  <si>
    <t>P20200700246</t>
  </si>
  <si>
    <t>P202212000019</t>
  </si>
  <si>
    <t>P202104000076</t>
  </si>
  <si>
    <t>P202107000051</t>
  </si>
  <si>
    <t>P202208000583</t>
  </si>
  <si>
    <t>P20200700499</t>
  </si>
  <si>
    <t>P202106000408</t>
  </si>
  <si>
    <t>P202209000273</t>
  </si>
  <si>
    <t>P202305000437</t>
  </si>
  <si>
    <t>P202303000088</t>
  </si>
  <si>
    <t>P202312000340</t>
  </si>
  <si>
    <t>P202202000048</t>
  </si>
  <si>
    <t>P202402000031</t>
  </si>
  <si>
    <t>P202108000079</t>
  </si>
  <si>
    <t>P202412000642</t>
  </si>
  <si>
    <t>P202205000359</t>
  </si>
  <si>
    <t>P202301000335</t>
  </si>
  <si>
    <t>P202401000912</t>
  </si>
  <si>
    <t>P202307000143</t>
  </si>
  <si>
    <t>P202111000176</t>
  </si>
  <si>
    <t>P202111000046</t>
  </si>
  <si>
    <t>P202107000937</t>
  </si>
  <si>
    <t>P202307000778</t>
  </si>
  <si>
    <t>P202101000172</t>
  </si>
  <si>
    <t>P202404000914</t>
  </si>
  <si>
    <t>P202305000617</t>
  </si>
  <si>
    <t>HWCCP0FF2308T01R11</t>
  </si>
  <si>
    <t>P202201000351</t>
  </si>
  <si>
    <t>P20200700254</t>
  </si>
  <si>
    <t>P202212000031</t>
  </si>
  <si>
    <t>P202107000269</t>
  </si>
  <si>
    <t>P202210000673</t>
  </si>
  <si>
    <t>P202208000620</t>
  </si>
  <si>
    <t>P20200900122</t>
  </si>
  <si>
    <t>P202301000852</t>
  </si>
  <si>
    <t>P202209000315</t>
  </si>
  <si>
    <t>P202303000114</t>
  </si>
  <si>
    <t>P202402000208</t>
  </si>
  <si>
    <t>P202312000413</t>
  </si>
  <si>
    <t>P202406000352</t>
  </si>
  <si>
    <t>P202402000141</t>
  </si>
  <si>
    <t>P202407000455</t>
  </si>
  <si>
    <t>P202108000266</t>
  </si>
  <si>
    <t>P202409000052</t>
  </si>
  <si>
    <t>P202301000455</t>
  </si>
  <si>
    <t>P202308000021</t>
  </si>
  <si>
    <t>P194P4007</t>
  </si>
  <si>
    <t>P202111000222</t>
  </si>
  <si>
    <t>P202304000131</t>
  </si>
  <si>
    <t>P202107000951</t>
  </si>
  <si>
    <t>P202101000187</t>
  </si>
  <si>
    <t>P202203000278</t>
  </si>
  <si>
    <t>HWSZP0FN2212T565X11</t>
  </si>
  <si>
    <t>P202201000390</t>
  </si>
  <si>
    <t>P202107000821</t>
  </si>
  <si>
    <t>P202211000069</t>
  </si>
  <si>
    <t>P202101000645</t>
  </si>
  <si>
    <t>P202105000130</t>
  </si>
  <si>
    <t>P202305000258</t>
  </si>
  <si>
    <t>P202206000523</t>
  </si>
  <si>
    <t>P202407000788</t>
  </si>
  <si>
    <t>P202109000156</t>
  </si>
  <si>
    <t>P202310000580</t>
  </si>
  <si>
    <t>P202412001034</t>
  </si>
  <si>
    <t>P202201000636</t>
  </si>
  <si>
    <t>P202206000301</t>
  </si>
  <si>
    <t>P202205000010</t>
  </si>
  <si>
    <t>P202212000569</t>
  </si>
  <si>
    <t>P202304000699</t>
  </si>
  <si>
    <t>P202306000546</t>
  </si>
  <si>
    <t>P202110000392</t>
  </si>
  <si>
    <t>P202210000560</t>
  </si>
  <si>
    <t>P202208000489</t>
  </si>
  <si>
    <t>P202307000677</t>
  </si>
  <si>
    <t>P202101000087</t>
  </si>
  <si>
    <t>P202404000688</t>
  </si>
  <si>
    <t>P20190900118</t>
  </si>
  <si>
    <t>P202211000614</t>
  </si>
  <si>
    <t>P202107000824</t>
  </si>
  <si>
    <t>P202211000126</t>
  </si>
  <si>
    <t>P202101001046</t>
  </si>
  <si>
    <t>P20200700301</t>
  </si>
  <si>
    <t>P202301000789</t>
  </si>
  <si>
    <t>P202105000216</t>
  </si>
  <si>
    <t>P202403000512</t>
  </si>
  <si>
    <t>P202305000283</t>
  </si>
  <si>
    <t>P202206000547</t>
  </si>
  <si>
    <t>P202302000410</t>
  </si>
  <si>
    <t>P202407000793</t>
  </si>
  <si>
    <t>P202109000264</t>
  </si>
  <si>
    <t>P202412001041</t>
  </si>
  <si>
    <t>P202201000781</t>
  </si>
  <si>
    <t>P202401001013</t>
  </si>
  <si>
    <t>P202311000693</t>
  </si>
  <si>
    <t>P202408001277</t>
  </si>
  <si>
    <t>P202205000061</t>
  </si>
  <si>
    <t>P202212000700</t>
  </si>
  <si>
    <t>P202112000431</t>
  </si>
  <si>
    <t>P202210000194</t>
  </si>
  <si>
    <t>P202304000714</t>
  </si>
  <si>
    <t>P202306000549</t>
  </si>
  <si>
    <t>P202110000448</t>
  </si>
  <si>
    <t>P202210000587</t>
  </si>
  <si>
    <t>P202208000514</t>
  </si>
  <si>
    <t>P202107000826</t>
  </si>
  <si>
    <t>P202307000714</t>
  </si>
  <si>
    <t>P202101000090</t>
  </si>
  <si>
    <t>P202404000760</t>
  </si>
  <si>
    <t>P202305000480</t>
  </si>
  <si>
    <t>P202201000355</t>
  </si>
  <si>
    <t>P202309000385</t>
  </si>
  <si>
    <t>P20200700257</t>
  </si>
  <si>
    <t>P202212000035</t>
  </si>
  <si>
    <t>P202201000184</t>
  </si>
  <si>
    <t>P202502000137</t>
  </si>
  <si>
    <t>P202107000338</t>
  </si>
  <si>
    <t>P202210000695</t>
  </si>
  <si>
    <t>P202208000624</t>
  </si>
  <si>
    <t>P20201000146</t>
  </si>
  <si>
    <t>P202301000901</t>
  </si>
  <si>
    <t>P202209000352</t>
  </si>
  <si>
    <t>P202207000615</t>
  </si>
  <si>
    <t>P202303000131</t>
  </si>
  <si>
    <t>P202403000071</t>
  </si>
  <si>
    <t>P202312000470</t>
  </si>
  <si>
    <t>P202407000459</t>
  </si>
  <si>
    <t>P202206000116</t>
  </si>
  <si>
    <t>P202311000256</t>
  </si>
  <si>
    <t>P202301000751</t>
  </si>
  <si>
    <t>P202401000929</t>
  </si>
  <si>
    <t>P194P400A</t>
  </si>
  <si>
    <t>P202111000226</t>
  </si>
  <si>
    <t>P202209000689</t>
  </si>
  <si>
    <t>P202411000205</t>
  </si>
  <si>
    <t>P202304000386</t>
  </si>
  <si>
    <t>P202107000966</t>
  </si>
  <si>
    <t>P202210000350</t>
  </si>
  <si>
    <t>P202101000190</t>
  </si>
  <si>
    <t>P202203000314</t>
  </si>
  <si>
    <t>P202208000208</t>
  </si>
  <si>
    <t>HWWHP0FN2211T33X11</t>
  </si>
  <si>
    <t>P202201000521</t>
  </si>
  <si>
    <t>P202107000343</t>
  </si>
  <si>
    <t>P202210000768</t>
  </si>
  <si>
    <t>P202208000631</t>
  </si>
  <si>
    <t>P202101000191</t>
  </si>
  <si>
    <t>P20201100022</t>
  </si>
  <si>
    <t>P202209000416</t>
  </si>
  <si>
    <t>P202207000734</t>
  </si>
  <si>
    <t>P202104000284</t>
  </si>
  <si>
    <t>P202303000150</t>
  </si>
  <si>
    <t>P202304001035</t>
  </si>
  <si>
    <t>P202312000678</t>
  </si>
  <si>
    <t>P202108000316</t>
  </si>
  <si>
    <t>P202201000585</t>
  </si>
  <si>
    <t>P202206000139</t>
  </si>
  <si>
    <t>P202311000382</t>
  </si>
  <si>
    <t>P202401000932</t>
  </si>
  <si>
    <t>P202308000266</t>
  </si>
  <si>
    <t>P196P4000</t>
  </si>
  <si>
    <t>P202204000835</t>
  </si>
  <si>
    <t>P202209000698</t>
  </si>
  <si>
    <t>P202407000253</t>
  </si>
  <si>
    <t>P202306000464</t>
  </si>
  <si>
    <t>P202401000365</t>
  </si>
  <si>
    <t>P202108000061</t>
  </si>
  <si>
    <t>P202210000353</t>
  </si>
  <si>
    <t>P202203000349</t>
  </si>
  <si>
    <t>P202306000201</t>
  </si>
  <si>
    <t>P202208000236</t>
  </si>
  <si>
    <t>HWXAP0FN2104T220X11</t>
  </si>
  <si>
    <t>P202308000533</t>
  </si>
  <si>
    <t>P20191200177</t>
  </si>
  <si>
    <t>P202211000278</t>
  </si>
  <si>
    <t>P202112000460</t>
  </si>
  <si>
    <t>P202103000033</t>
  </si>
  <si>
    <t>P205P7002</t>
  </si>
  <si>
    <t>P202208000524</t>
  </si>
  <si>
    <t>P20200700304</t>
  </si>
  <si>
    <t>P202301000792</t>
  </si>
  <si>
    <t>P202105000262</t>
  </si>
  <si>
    <t>P202209000098</t>
  </si>
  <si>
    <t>P202409000633</t>
  </si>
  <si>
    <t>P202305000384</t>
  </si>
  <si>
    <t>P202206000605</t>
  </si>
  <si>
    <t>P202302000414</t>
  </si>
  <si>
    <t>P202407000796</t>
  </si>
  <si>
    <t>P202312000203</t>
  </si>
  <si>
    <t>P202201000917</t>
  </si>
  <si>
    <t>P202408000983</t>
  </si>
  <si>
    <t>P202205000241</t>
  </si>
  <si>
    <t>P202212000807</t>
  </si>
  <si>
    <t>P202401000784</t>
  </si>
  <si>
    <t>HWXAP0FN2104T222X11</t>
  </si>
  <si>
    <t>P202306000555</t>
  </si>
  <si>
    <t>P202401000605</t>
  </si>
  <si>
    <t>P202110000546</t>
  </si>
  <si>
    <t>P202210000596</t>
  </si>
  <si>
    <t>P202107000924</t>
  </si>
  <si>
    <t>P202101000095</t>
  </si>
  <si>
    <t>P202203000018</t>
  </si>
  <si>
    <t>P202404000764</t>
  </si>
  <si>
    <t>HWNJP0FF2211F95X11</t>
  </si>
  <si>
    <t>P202201000358</t>
  </si>
  <si>
    <t>P202309000389</t>
  </si>
  <si>
    <t>P20200700262</t>
  </si>
  <si>
    <t>P202201000328</t>
  </si>
  <si>
    <t>P202502000195</t>
  </si>
  <si>
    <t>P202208000579</t>
  </si>
  <si>
    <t>P20200700307</t>
  </si>
  <si>
    <t>P202301000795</t>
  </si>
  <si>
    <t>P202106000039</t>
  </si>
  <si>
    <t>P202209000187</t>
  </si>
  <si>
    <t>P202207000148</t>
  </si>
  <si>
    <t>P202303000056</t>
  </si>
  <si>
    <t>P202311000175</t>
  </si>
  <si>
    <t>P202201000969</t>
  </si>
  <si>
    <t>P202312000117</t>
  </si>
  <si>
    <t>P202408001309</t>
  </si>
  <si>
    <t>P202412000347</t>
  </si>
  <si>
    <t>P202205000331</t>
  </si>
  <si>
    <t>P202210000346</t>
  </si>
  <si>
    <t>HWXAP0FN2209T161X11</t>
  </si>
  <si>
    <t>P202306000635</t>
  </si>
  <si>
    <t>P202401000708</t>
  </si>
  <si>
    <t>P202111000017</t>
  </si>
  <si>
    <t>P202210000599</t>
  </si>
  <si>
    <t>P202406000420</t>
  </si>
  <si>
    <t>P202107000928</t>
  </si>
  <si>
    <t>P202307000765</t>
  </si>
  <si>
    <t>P202101000104</t>
  </si>
  <si>
    <t>P202404000783</t>
  </si>
  <si>
    <t>P202305000583</t>
  </si>
  <si>
    <t>HWSHP0FN2211T28X11</t>
  </si>
  <si>
    <t>P202201000361</t>
  </si>
  <si>
    <t>P20200700271</t>
  </si>
  <si>
    <t>P202212000420</t>
  </si>
  <si>
    <t>P202201000331</t>
  </si>
  <si>
    <t>P202107000433</t>
  </si>
  <si>
    <t>P202210000777</t>
  </si>
  <si>
    <t>P202101000194</t>
  </si>
  <si>
    <t>P20201100025</t>
  </si>
  <si>
    <t>P202302000405</t>
  </si>
  <si>
    <t>P202209000482</t>
  </si>
  <si>
    <t>P202104000580</t>
  </si>
  <si>
    <t>P202303000410</t>
  </si>
  <si>
    <t>P202403000197</t>
  </si>
  <si>
    <t>P202409000432</t>
  </si>
  <si>
    <t>P202305000026</t>
  </si>
  <si>
    <t>P202312000703</t>
  </si>
  <si>
    <t>P202408001111</t>
  </si>
  <si>
    <t>P202412000991</t>
  </si>
  <si>
    <t>P202201000611</t>
  </si>
  <si>
    <t>P202206000150</t>
  </si>
  <si>
    <t>P202311000457</t>
  </si>
  <si>
    <t>P202401000935</t>
  </si>
  <si>
    <t>P20190900068</t>
  </si>
  <si>
    <t>P202204000976</t>
  </si>
  <si>
    <t>P202112000035</t>
  </si>
  <si>
    <t>P202209000713</t>
  </si>
  <si>
    <t>P202306000485</t>
  </si>
  <si>
    <t>P202401000388</t>
  </si>
  <si>
    <t>P202108000072</t>
  </si>
  <si>
    <t>P202109000304</t>
  </si>
  <si>
    <t>P202210000356</t>
  </si>
  <si>
    <t>P202204000521</t>
  </si>
  <si>
    <t>P202306000444</t>
  </si>
  <si>
    <t>P202208000333</t>
  </si>
  <si>
    <t>P202307000364</t>
  </si>
  <si>
    <t>P20200600034</t>
  </si>
  <si>
    <t>P202211000864</t>
  </si>
  <si>
    <t>P202112000473</t>
  </si>
  <si>
    <t>P202103000273</t>
  </si>
  <si>
    <t>P202209000668</t>
  </si>
  <si>
    <t>P202105000044</t>
  </si>
  <si>
    <t>P202305000072</t>
  </si>
  <si>
    <t>P202109000078</t>
  </si>
  <si>
    <t>P202201000625</t>
  </si>
  <si>
    <t>P202401000972</t>
  </si>
  <si>
    <t>P202206000153</t>
  </si>
  <si>
    <t>P202311000529</t>
  </si>
  <si>
    <t>P202401000944</t>
  </si>
  <si>
    <t>P20190900071</t>
  </si>
  <si>
    <t>P202204000985</t>
  </si>
  <si>
    <t>P202212000548</t>
  </si>
  <si>
    <t>P202112000123</t>
  </si>
  <si>
    <t>P202209000791</t>
  </si>
  <si>
    <t>P202306000542</t>
  </si>
  <si>
    <t>P202110000203</t>
  </si>
  <si>
    <t>P202210000386</t>
  </si>
  <si>
    <t>P202208000357</t>
  </si>
  <si>
    <t>P202307000575</t>
  </si>
  <si>
    <t>P202101000083</t>
  </si>
  <si>
    <t>P202404000501</t>
  </si>
  <si>
    <t>P202408000428</t>
  </si>
  <si>
    <t>P202201000347</t>
  </si>
  <si>
    <t>P20200700008</t>
  </si>
  <si>
    <t>P202212000005</t>
  </si>
  <si>
    <t>P202103000330</t>
  </si>
  <si>
    <t>P202107000020</t>
  </si>
  <si>
    <t>P202208000582</t>
  </si>
  <si>
    <t>P20200700410</t>
  </si>
  <si>
    <t>P202301000812</t>
  </si>
  <si>
    <t>P202209000247</t>
  </si>
  <si>
    <t>P202410000169</t>
  </si>
  <si>
    <t>P202305000424</t>
  </si>
  <si>
    <t>P202303000086</t>
  </si>
  <si>
    <t>P202312000319</t>
  </si>
  <si>
    <t>P202202000047</t>
  </si>
  <si>
    <t>P202402000028</t>
  </si>
  <si>
    <t>P202108000077</t>
  </si>
  <si>
    <t>P202412000638</t>
  </si>
  <si>
    <t>P202205000358</t>
  </si>
  <si>
    <t>P202301000273</t>
  </si>
  <si>
    <t>P202501000202</t>
  </si>
  <si>
    <t>P202307000142</t>
  </si>
  <si>
    <t>P202410000867</t>
  </si>
  <si>
    <t>P202107000931</t>
  </si>
  <si>
    <t>P202307000768</t>
  </si>
  <si>
    <t>P202101000171</t>
  </si>
  <si>
    <t>P202207000738</t>
  </si>
  <si>
    <t>HWSZP0FN2212T191X11</t>
  </si>
  <si>
    <t>P202201000365</t>
  </si>
  <si>
    <t>P202201000334</t>
  </si>
  <si>
    <t>P202107000500</t>
  </si>
  <si>
    <t>P202210000797</t>
  </si>
  <si>
    <t>P202208000704</t>
  </si>
  <si>
    <t>P202101000199</t>
  </si>
  <si>
    <t>P202303000093</t>
  </si>
  <si>
    <t>P202402000202</t>
  </si>
  <si>
    <t>P202202000063</t>
  </si>
  <si>
    <t>P202108000160</t>
  </si>
  <si>
    <t>P202205000446</t>
  </si>
  <si>
    <t>P202409000040</t>
  </si>
  <si>
    <t>P202412000680</t>
  </si>
  <si>
    <t>P202301000419</t>
  </si>
  <si>
    <t>P202308000008</t>
  </si>
  <si>
    <t>P194P4002</t>
  </si>
  <si>
    <t>P202307000241</t>
  </si>
  <si>
    <t>P202111000217</t>
  </si>
  <si>
    <t>P202107000950</t>
  </si>
  <si>
    <t>P202307000795</t>
  </si>
  <si>
    <t>P202101000178</t>
  </si>
  <si>
    <t>P202203000242</t>
  </si>
  <si>
    <t>P202305000643</t>
  </si>
  <si>
    <t>P202208000021</t>
  </si>
  <si>
    <t>HWSZP0FN2212T551X11</t>
  </si>
  <si>
    <t>P202201000389</t>
  </si>
  <si>
    <t>P202201000337</t>
  </si>
  <si>
    <t>P202107000582</t>
  </si>
  <si>
    <t>P202211000038</t>
  </si>
  <si>
    <t>P202209000084</t>
  </si>
  <si>
    <t>P202101000610</t>
  </si>
  <si>
    <t>P202209000682</t>
  </si>
  <si>
    <t>P202105000114</t>
  </si>
  <si>
    <t>P202305000241</t>
  </si>
  <si>
    <t>P202401000159</t>
  </si>
  <si>
    <t>P202407000787</t>
  </si>
  <si>
    <t>P202109000153</t>
  </si>
  <si>
    <t>P202412001031</t>
  </si>
  <si>
    <t>P202201000635</t>
  </si>
  <si>
    <t>P202405000220</t>
  </si>
  <si>
    <t>P202401000995</t>
  </si>
  <si>
    <t>P202311000642</t>
  </si>
  <si>
    <t>P202401000964</t>
  </si>
  <si>
    <t>P20190900076</t>
  </si>
  <si>
    <t>P202411000664</t>
  </si>
  <si>
    <t>P202204001193</t>
  </si>
  <si>
    <t>P202212000567</t>
  </si>
  <si>
    <t>P202210000017</t>
  </si>
  <si>
    <t>P202304000676</t>
  </si>
  <si>
    <t>P202306000545</t>
  </si>
  <si>
    <t>P202110000391</t>
  </si>
  <si>
    <t>P202210000489</t>
  </si>
  <si>
    <t>P202208000484</t>
  </si>
  <si>
    <t>P202307000676</t>
  </si>
  <si>
    <t>P202101000086</t>
  </si>
  <si>
    <t>P202408000875</t>
  </si>
  <si>
    <t>HWBJP0FN2211T31X11</t>
  </si>
  <si>
    <t>P202201000350</t>
  </si>
  <si>
    <t>P202309000365</t>
  </si>
  <si>
    <t>P20200700253</t>
  </si>
  <si>
    <t>P202201000008</t>
  </si>
  <si>
    <t>P202104000088</t>
  </si>
  <si>
    <t>P202107000192</t>
  </si>
  <si>
    <t>P202210000670</t>
  </si>
  <si>
    <t>P202208000619</t>
  </si>
  <si>
    <t>P202301000851</t>
  </si>
  <si>
    <t>P202106000467</t>
  </si>
  <si>
    <t>P202209000312</t>
  </si>
  <si>
    <t>P202206000546</t>
  </si>
  <si>
    <t>P202302000409</t>
  </si>
  <si>
    <t>P202407000791</t>
  </si>
  <si>
    <t>P202109000243</t>
  </si>
  <si>
    <t>P202412001036</t>
  </si>
  <si>
    <t>P202201000724</t>
  </si>
  <si>
    <t>P202401001010</t>
  </si>
  <si>
    <t>P202206000387</t>
  </si>
  <si>
    <t>P202311000692</t>
  </si>
  <si>
    <t>P202408001275</t>
  </si>
  <si>
    <t>P202205000057</t>
  </si>
  <si>
    <t>P202212000675</t>
  </si>
  <si>
    <t>P202112000400</t>
  </si>
  <si>
    <t>P202306000548</t>
  </si>
  <si>
    <t>P202401000601</t>
  </si>
  <si>
    <t>P202110000397</t>
  </si>
  <si>
    <t>P202210000574</t>
  </si>
  <si>
    <t>P202208000497</t>
  </si>
  <si>
    <t>P202107000825</t>
  </si>
  <si>
    <t>P202307000679</t>
  </si>
  <si>
    <t>P202101000089</t>
  </si>
  <si>
    <t>P202202000064</t>
  </si>
  <si>
    <t>P202404000758</t>
  </si>
  <si>
    <t>P202305000459</t>
  </si>
  <si>
    <t>P202201000353</t>
  </si>
  <si>
    <t>P202309000384</t>
  </si>
  <si>
    <t>P20200700256</t>
  </si>
  <si>
    <t>P202212000034</t>
  </si>
  <si>
    <t>P202107000336</t>
  </si>
  <si>
    <t>P202210000690</t>
  </si>
  <si>
    <t>P202208000622</t>
  </si>
  <si>
    <t>P20201000137</t>
  </si>
  <si>
    <t>P202301000881</t>
  </si>
  <si>
    <t>P202209000350</t>
  </si>
  <si>
    <t>P202303000130</t>
  </si>
  <si>
    <t>P202402000187</t>
  </si>
  <si>
    <t>P202108000292</t>
  </si>
  <si>
    <t>P202311000224</t>
  </si>
  <si>
    <t>P202301000619</t>
  </si>
  <si>
    <t>P202401000928</t>
  </si>
  <si>
    <t>P194P4009</t>
  </si>
  <si>
    <t>P202111000224</t>
  </si>
  <si>
    <t>P202209000686</t>
  </si>
  <si>
    <t>P202411000196</t>
  </si>
  <si>
    <t>P202304000345</t>
  </si>
  <si>
    <t>P202401000160</t>
  </si>
  <si>
    <t>P202107000953</t>
  </si>
  <si>
    <t>P202210000349</t>
  </si>
  <si>
    <t>P202101000189</t>
  </si>
  <si>
    <t>P202203000301</t>
  </si>
  <si>
    <t>P202208000206</t>
  </si>
  <si>
    <t>HWWHP0FF2207T53R22</t>
  </si>
  <si>
    <t>P202201000502</t>
  </si>
  <si>
    <t>P20190900117</t>
  </si>
  <si>
    <t>P202211000613</t>
  </si>
  <si>
    <t>P202107000823</t>
  </si>
  <si>
    <t>P202211000118</t>
  </si>
  <si>
    <t>P202101001030</t>
  </si>
  <si>
    <t>P20200700300</t>
  </si>
  <si>
    <t>P202301000788</t>
  </si>
  <si>
    <t>P202105000210</t>
  </si>
  <si>
    <t>P202305000281</t>
  </si>
  <si>
    <t>P202407000488</t>
  </si>
  <si>
    <t>P202108000308</t>
  </si>
  <si>
    <t>P202412000787</t>
  </si>
  <si>
    <t>P202206000126</t>
  </si>
  <si>
    <t>P202311000335</t>
  </si>
  <si>
    <t>P202401000931</t>
  </si>
  <si>
    <t>P195P7004</t>
  </si>
  <si>
    <t>P202501000834</t>
  </si>
  <si>
    <t>P202209000693</t>
  </si>
  <si>
    <t>P202407000229</t>
  </si>
  <si>
    <t>P202411000268</t>
  </si>
  <si>
    <t>P202210000352</t>
  </si>
  <si>
    <t>P202203000347</t>
  </si>
  <si>
    <t>P202208000235</t>
  </si>
  <si>
    <t>HWXAP0FN2104T219X11</t>
  </si>
  <si>
    <t>P20191200175</t>
  </si>
  <si>
    <t>P202211000788</t>
  </si>
  <si>
    <t>P202211000265</t>
  </si>
  <si>
    <t>P202102006574</t>
  </si>
  <si>
    <t>P205P7001</t>
  </si>
  <si>
    <t>P20200700303</t>
  </si>
  <si>
    <t>P202301000791</t>
  </si>
  <si>
    <t>P202105000239</t>
  </si>
  <si>
    <t>P202206000586</t>
  </si>
  <si>
    <t>P202302000413</t>
  </si>
  <si>
    <t>P202407000795</t>
  </si>
  <si>
    <t>P202201000900</t>
  </si>
  <si>
    <t>P202405000328</t>
  </si>
  <si>
    <t>P202401001020</t>
  </si>
  <si>
    <t>P202408000982</t>
  </si>
  <si>
    <t>P202205000236</t>
  </si>
  <si>
    <t>P202212000805</t>
  </si>
  <si>
    <t>P202210000268</t>
  </si>
  <si>
    <t>P202306000554</t>
  </si>
  <si>
    <t>P202210000589</t>
  </si>
  <si>
    <t>P202410000482</t>
  </si>
  <si>
    <t>P202107000870</t>
  </si>
  <si>
    <t>P202307000722</t>
  </si>
  <si>
    <t>P202101000094</t>
  </si>
  <si>
    <t>P202203000016</t>
  </si>
  <si>
    <t>P202404000763</t>
  </si>
  <si>
    <t>HWNBP0FF2402T01R11</t>
  </si>
  <si>
    <t>P202201000357</t>
  </si>
  <si>
    <t>P202309000387</t>
  </si>
  <si>
    <t>P20200700259</t>
  </si>
  <si>
    <t>P202212000157</t>
  </si>
  <si>
    <t>P202201000207</t>
  </si>
  <si>
    <t>P202502000194</t>
  </si>
  <si>
    <t>P202107000342</t>
  </si>
  <si>
    <t>P202210000757</t>
  </si>
  <si>
    <t>P202208000626</t>
  </si>
  <si>
    <t>P20201100021</t>
  </si>
  <si>
    <t>P202301000911</t>
  </si>
  <si>
    <t>P202209000401</t>
  </si>
  <si>
    <t>P202303000146</t>
  </si>
  <si>
    <t>P202412000346</t>
  </si>
  <si>
    <t>P202212000834</t>
  </si>
  <si>
    <t>P202210000343</t>
  </si>
  <si>
    <t>HWXAP0FN2104T224X11</t>
  </si>
  <si>
    <t>P202306000557</t>
  </si>
  <si>
    <t>P202210000598</t>
  </si>
  <si>
    <t>P202410000697</t>
  </si>
  <si>
    <t>P202107000927</t>
  </si>
  <si>
    <t>P202101000103</t>
  </si>
  <si>
    <t>P202203000030</t>
  </si>
  <si>
    <t>P202404000766</t>
  </si>
  <si>
    <t>P202305000563</t>
  </si>
  <si>
    <t>HWSHP0FF2212T47X11</t>
  </si>
  <si>
    <t>P202201000360</t>
  </si>
  <si>
    <t>P202309000416</t>
  </si>
  <si>
    <t>P20200700265</t>
  </si>
  <si>
    <t>P202212000419</t>
  </si>
  <si>
    <t>P202407000851</t>
  </si>
  <si>
    <t>P202201000330</t>
  </si>
  <si>
    <t>P202107000431</t>
  </si>
  <si>
    <t>P202210000775</t>
  </si>
  <si>
    <t>P202101000193</t>
  </si>
  <si>
    <t>P20201100024</t>
  </si>
  <si>
    <t>P202104000544</t>
  </si>
  <si>
    <t>P202303000314</t>
  </si>
  <si>
    <t>P202403000164</t>
  </si>
  <si>
    <t>P202305000018</t>
  </si>
  <si>
    <t>P202310000154</t>
  </si>
  <si>
    <t>P202201000610</t>
  </si>
  <si>
    <t>P202206000145</t>
  </si>
  <si>
    <t>P202401000934</t>
  </si>
  <si>
    <t>P20190900067</t>
  </si>
  <si>
    <t>P202411000478</t>
  </si>
  <si>
    <t>P202204000971</t>
  </si>
  <si>
    <t>P202209000701</t>
  </si>
  <si>
    <t>P202306000482</t>
  </si>
  <si>
    <t>P202108000071</t>
  </si>
  <si>
    <t>P202109000303</t>
  </si>
  <si>
    <t>P202210000355</t>
  </si>
  <si>
    <t>P202204000118</t>
  </si>
  <si>
    <t>P202306000372</t>
  </si>
  <si>
    <t>P202208000330</t>
  </si>
  <si>
    <t>P202307000359</t>
  </si>
  <si>
    <t>P202408000371</t>
  </si>
  <si>
    <t>P202309000119</t>
  </si>
  <si>
    <t>P20200500127</t>
  </si>
  <si>
    <t>P202211000858</t>
  </si>
  <si>
    <t>P202112000472</t>
  </si>
  <si>
    <t>P202103000238</t>
  </si>
  <si>
    <t>P202208000576</t>
  </si>
  <si>
    <t>P20200700306</t>
  </si>
  <si>
    <t>P202301000794</t>
  </si>
  <si>
    <t>P202106000038</t>
  </si>
  <si>
    <t>P202207000097</t>
  </si>
  <si>
    <t>P202311000070</t>
  </si>
  <si>
    <t>P202408001002</t>
  </si>
  <si>
    <t>P202401000943</t>
  </si>
  <si>
    <t>P202308000381</t>
  </si>
  <si>
    <t>P20190900070</t>
  </si>
  <si>
    <t>P202204000983</t>
  </si>
  <si>
    <t>P202212000508</t>
  </si>
  <si>
    <t>P202112000109</t>
  </si>
  <si>
    <t>P202209000767</t>
  </si>
  <si>
    <t>P202407000379</t>
  </si>
  <si>
    <t>P202306000515</t>
  </si>
  <si>
    <t>P202401000397</t>
  </si>
  <si>
    <t>P202108000074</t>
  </si>
  <si>
    <t>P202110000201</t>
  </si>
  <si>
    <t>P202210000383</t>
  </si>
  <si>
    <t>P202204000832</t>
  </si>
  <si>
    <t>P202306000463</t>
  </si>
  <si>
    <t>P202208000337</t>
  </si>
  <si>
    <t>P202307000574</t>
  </si>
  <si>
    <t>P202101000081</t>
  </si>
  <si>
    <t>P202404000294</t>
  </si>
  <si>
    <t>P202408000427</t>
  </si>
  <si>
    <t>P202201000346</t>
  </si>
  <si>
    <t>P202309000205</t>
  </si>
  <si>
    <t>P20200600265</t>
  </si>
  <si>
    <t>P202211000890</t>
  </si>
  <si>
    <t>P202112000524</t>
  </si>
  <si>
    <t>P202103000278</t>
  </si>
  <si>
    <t>P202107000019</t>
  </si>
  <si>
    <t>P202208000581</t>
  </si>
  <si>
    <t>P20200700309</t>
  </si>
  <si>
    <t>P202106000245</t>
  </si>
  <si>
    <t>P202209000246</t>
  </si>
  <si>
    <t>P202207000222</t>
  </si>
  <si>
    <t>P202303000084</t>
  </si>
  <si>
    <t>P202311000201</t>
  </si>
  <si>
    <t>P202312000318</t>
  </si>
  <si>
    <t>P202402000024</t>
  </si>
  <si>
    <t>P202108000076</t>
  </si>
  <si>
    <t>P202205000426</t>
  </si>
  <si>
    <t>P202301000171</t>
  </si>
  <si>
    <t>P202401000907</t>
  </si>
  <si>
    <t>P202210000348</t>
  </si>
  <si>
    <t>P202307000811</t>
  </si>
  <si>
    <t>HWXAP0NN2005T73R11</t>
  </si>
  <si>
    <t>P202307000135</t>
  </si>
  <si>
    <t>P202401000712</t>
  </si>
  <si>
    <t>P202111000085</t>
  </si>
  <si>
    <t>P202111000024</t>
  </si>
  <si>
    <t>P202210000636</t>
  </si>
  <si>
    <t>P202107000930</t>
  </si>
  <si>
    <t>P202307000767</t>
  </si>
  <si>
    <t>P202101000134</t>
  </si>
  <si>
    <t>P202203000164</t>
  </si>
  <si>
    <t>P202404000818</t>
  </si>
  <si>
    <t>P202305000611</t>
  </si>
  <si>
    <t>P202207000737</t>
  </si>
  <si>
    <t>HWSZP0FN2207T121X33</t>
  </si>
  <si>
    <t>P202201000364</t>
  </si>
  <si>
    <t>P20200700299</t>
  </si>
  <si>
    <t>P202212000495</t>
  </si>
  <si>
    <t>P202201000333</t>
  </si>
  <si>
    <t>P202107000494</t>
  </si>
  <si>
    <t>P202210000791</t>
  </si>
  <si>
    <t>P202208000692</t>
  </si>
  <si>
    <t>P202101000196</t>
  </si>
  <si>
    <t>P20201100027</t>
  </si>
  <si>
    <t>P202302000408</t>
  </si>
  <si>
    <t>P202209000647</t>
  </si>
  <si>
    <t>P202105000024</t>
  </si>
  <si>
    <t>P202403000381</t>
  </si>
  <si>
    <t>P202409000488</t>
  </si>
  <si>
    <t>P202312000722</t>
  </si>
  <si>
    <t>P202407000629</t>
  </si>
  <si>
    <t>P202109000071</t>
  </si>
  <si>
    <t>P202408001267</t>
  </si>
  <si>
    <t>P202310000449</t>
  </si>
  <si>
    <t>P202201000617</t>
  </si>
  <si>
    <t>P202405000054</t>
  </si>
  <si>
    <t>P202401000966</t>
  </si>
  <si>
    <t>P202206000152</t>
  </si>
  <si>
    <t>P202311000501</t>
  </si>
  <si>
    <t>P202409000267</t>
  </si>
  <si>
    <t>P184P3000</t>
  </si>
  <si>
    <t>P202501000279</t>
  </si>
  <si>
    <t>P202307000163</t>
  </si>
  <si>
    <t>P202111000047</t>
  </si>
  <si>
    <t>P202303000476</t>
  </si>
  <si>
    <t>P202107000947</t>
  </si>
  <si>
    <t>P202307000779</t>
  </si>
  <si>
    <t>P202101000173</t>
  </si>
  <si>
    <t>P202207000783</t>
  </si>
  <si>
    <t>HWSZP0FN2212T538X11</t>
  </si>
  <si>
    <t>P202201000388</t>
  </si>
  <si>
    <t>P202310000111</t>
  </si>
  <si>
    <t>P202201000336</t>
  </si>
  <si>
    <t>P202107000537</t>
  </si>
  <si>
    <t>P202210000846</t>
  </si>
  <si>
    <t>P202209000049</t>
  </si>
  <si>
    <t>P202209000680</t>
  </si>
  <si>
    <t>P202105000094</t>
  </si>
  <si>
    <t>P202401000096</t>
  </si>
  <si>
    <t>P202206000473</t>
  </si>
  <si>
    <t>P202109000152</t>
  </si>
  <si>
    <t>P202310000530</t>
  </si>
  <si>
    <t>P202201000633</t>
  </si>
  <si>
    <t>P202405000156</t>
  </si>
  <si>
    <t>P202401000992</t>
  </si>
  <si>
    <t>P202206000155</t>
  </si>
  <si>
    <t>P202311000561</t>
  </si>
  <si>
    <t>P202401000963</t>
  </si>
  <si>
    <t>P20190900075</t>
  </si>
  <si>
    <t>P202204001176</t>
  </si>
  <si>
    <t>P202212000557</t>
  </si>
  <si>
    <t>P202210000011</t>
  </si>
  <si>
    <t>P202304000675</t>
  </si>
  <si>
    <t>P202306000544</t>
  </si>
  <si>
    <t>P202110000390</t>
  </si>
  <si>
    <t>P202210000488</t>
  </si>
  <si>
    <t>P202307000646</t>
  </si>
  <si>
    <t>P202101000085</t>
  </si>
  <si>
    <t>P202408000816</t>
  </si>
  <si>
    <t>HWBJP0FN2209T28X11</t>
  </si>
  <si>
    <t>P202201000349</t>
  </si>
  <si>
    <t>P20200700252</t>
  </si>
  <si>
    <t>P202104000079</t>
  </si>
  <si>
    <t>P202107000091</t>
  </si>
  <si>
    <t>P202210000669</t>
  </si>
  <si>
    <t>P202301000843</t>
  </si>
  <si>
    <t>P202106000441</t>
  </si>
  <si>
    <t>P202410000201</t>
  </si>
  <si>
    <t>P202305000442</t>
  </si>
  <si>
    <t>P202207000604</t>
  </si>
  <si>
    <t>P202303000092</t>
  </si>
  <si>
    <t>P202402000201</t>
  </si>
  <si>
    <t>P202312000342</t>
  </si>
  <si>
    <t>P202407000453</t>
  </si>
  <si>
    <t>P202108000080</t>
  </si>
  <si>
    <t>P202412000689</t>
  </si>
  <si>
    <t>P202205000441</t>
  </si>
  <si>
    <t>P202205000366</t>
  </si>
  <si>
    <t>P202401000913</t>
  </si>
  <si>
    <t>P202304000704</t>
  </si>
  <si>
    <t>P202306000547</t>
  </si>
  <si>
    <t>P202401000600</t>
  </si>
  <si>
    <t>P202110000393</t>
  </si>
  <si>
    <t>P202210000573</t>
  </si>
  <si>
    <t>P202208000496</t>
  </si>
  <si>
    <t>P202307000678</t>
  </si>
  <si>
    <t>P202101000088</t>
  </si>
  <si>
    <t>P202404000756</t>
  </si>
  <si>
    <t>P202201000352</t>
  </si>
  <si>
    <t>P202309000383</t>
  </si>
  <si>
    <t>P20200700255</t>
  </si>
  <si>
    <t>P202201000130</t>
  </si>
  <si>
    <t>P202107000331</t>
  </si>
  <si>
    <t>P202210000680</t>
  </si>
  <si>
    <t>P202208000621</t>
  </si>
  <si>
    <t>P20201000050</t>
  </si>
  <si>
    <t>P202301000853</t>
  </si>
  <si>
    <t>P202209000318</t>
  </si>
  <si>
    <t>P202303000124</t>
  </si>
  <si>
    <t>P202406000354</t>
  </si>
  <si>
    <t>P202402000172</t>
  </si>
  <si>
    <t>P202407000457</t>
  </si>
  <si>
    <t>P202108000279</t>
  </si>
  <si>
    <t>P202409000116</t>
  </si>
  <si>
    <t>P202308000088</t>
  </si>
  <si>
    <t>P202111000223</t>
  </si>
  <si>
    <t>P202406000618</t>
  </si>
  <si>
    <t>P202107000952</t>
  </si>
  <si>
    <t>P202101000188</t>
  </si>
  <si>
    <t>P202203000279</t>
  </si>
  <si>
    <t>P202306000031</t>
  </si>
  <si>
    <t>HWSZP0FN2212T567X11</t>
  </si>
  <si>
    <t>P202201000498</t>
  </si>
  <si>
    <t>P202107000822</t>
  </si>
  <si>
    <t>P202211000117</t>
  </si>
  <si>
    <t>P202101001014</t>
  </si>
  <si>
    <t>P202305000280</t>
  </si>
  <si>
    <t>P202206000524</t>
  </si>
  <si>
    <t>P202407000790</t>
  </si>
  <si>
    <t>P202109000206</t>
  </si>
  <si>
    <t>P202310000623</t>
  </si>
  <si>
    <t>P202201000706</t>
  </si>
  <si>
    <t>P202401001009</t>
  </si>
  <si>
    <t>P202311000671</t>
  </si>
  <si>
    <t>P202205000024</t>
  </si>
  <si>
    <t>P202212000644</t>
  </si>
  <si>
    <t>P202112000248</t>
  </si>
  <si>
    <t>P202210000164</t>
  </si>
  <si>
    <t>P202405000327</t>
  </si>
  <si>
    <t>P202412000131</t>
  </si>
  <si>
    <t>P202307000715</t>
  </si>
  <si>
    <t>P202206000143</t>
  </si>
  <si>
    <t>P202407000285</t>
  </si>
  <si>
    <t>P202408000313</t>
  </si>
  <si>
    <t>P202412001016</t>
  </si>
  <si>
    <t>P202209000800</t>
  </si>
  <si>
    <t>P202502000060</t>
  </si>
  <si>
    <t>P202307000813</t>
  </si>
  <si>
    <t>P202405000249</t>
  </si>
  <si>
    <t>P202412000032</t>
  </si>
  <si>
    <t>P202407000489</t>
  </si>
  <si>
    <t>P202412000810</t>
  </si>
  <si>
    <t>P202109000275</t>
  </si>
  <si>
    <t>P202405000352</t>
  </si>
  <si>
    <t>P202311000731</t>
  </si>
  <si>
    <t>P202412000238</t>
  </si>
  <si>
    <t>P202410000723</t>
  </si>
  <si>
    <t>P202112000537</t>
  </si>
  <si>
    <t>P202307000812</t>
  </si>
  <si>
    <t>P202407000452</t>
  </si>
  <si>
    <t>P202311000728</t>
  </si>
  <si>
    <t>P202408001292</t>
  </si>
  <si>
    <t>P202304000990</t>
  </si>
  <si>
    <t>P202403000087</t>
  </si>
  <si>
    <t>P202408001295</t>
  </si>
  <si>
    <t>P202303000435</t>
  </si>
  <si>
    <t>P202307000814</t>
  </si>
  <si>
    <t>P202502000268</t>
  </si>
  <si>
    <t>P202403000466</t>
  </si>
  <si>
    <t>P202407000451</t>
  </si>
  <si>
    <t>P202502000299</t>
  </si>
  <si>
    <t>P20200800087</t>
  </si>
  <si>
    <t>P202406000253</t>
  </si>
  <si>
    <t>HWCDP0FN2210T26X11</t>
  </si>
  <si>
    <t>P202502000124</t>
  </si>
  <si>
    <t>P202404000984</t>
  </si>
  <si>
    <t>P202403000508</t>
  </si>
  <si>
    <t>P202409000611</t>
  </si>
  <si>
    <t>合同评审流水号</t>
  </si>
  <si>
    <t>预计毛利率（%）</t>
  </si>
  <si>
    <t>RR202501160007</t>
  </si>
  <si>
    <t>P202509000369</t>
  </si>
  <si>
    <t>RC20250910001000</t>
  </si>
  <si>
    <t>P202510000605</t>
  </si>
  <si>
    <t>P202509000649</t>
  </si>
  <si>
    <t>RC20250918001014</t>
  </si>
  <si>
    <t>P202602000041</t>
  </si>
  <si>
    <t>RR20260303001009</t>
  </si>
  <si>
    <t>P202602000119</t>
  </si>
  <si>
    <t>RR20260224001000</t>
  </si>
  <si>
    <t>P202601001382</t>
  </si>
  <si>
    <t>P202603000003</t>
  </si>
  <si>
    <t>P202603000004</t>
  </si>
  <si>
    <t>P202603000001</t>
  </si>
  <si>
    <t>RC20260122001013</t>
  </si>
  <si>
    <t>RC20250423001011</t>
  </si>
  <si>
    <t>P202507000410</t>
  </si>
  <si>
    <t>P202601000585</t>
  </si>
  <si>
    <t>RC20260116001026</t>
  </si>
  <si>
    <t>P202601000586</t>
  </si>
  <si>
    <t>P202601000587</t>
  </si>
  <si>
    <t>P202601000588</t>
  </si>
  <si>
    <t>P202601000589</t>
  </si>
  <si>
    <t>P202601000590</t>
  </si>
  <si>
    <t>P202601000591</t>
  </si>
  <si>
    <t>P202601000592</t>
  </si>
  <si>
    <t>P202602000164</t>
  </si>
  <si>
    <t>P202602000165</t>
  </si>
  <si>
    <t>P202602000166</t>
  </si>
  <si>
    <t>P202602000167</t>
  </si>
  <si>
    <t>P202602000168</t>
  </si>
  <si>
    <t>P202602000169</t>
  </si>
  <si>
    <t>P202602000251</t>
  </si>
  <si>
    <t>RC20260115001014</t>
  </si>
  <si>
    <t>P202506000455</t>
  </si>
  <si>
    <t>RR20260209001009</t>
  </si>
  <si>
    <t>P202506000545</t>
  </si>
  <si>
    <t>P202602000193</t>
  </si>
  <si>
    <t>RC20260204001011</t>
  </si>
  <si>
    <t>P202602000194</t>
  </si>
  <si>
    <t>RC202306090001</t>
  </si>
  <si>
    <t>RR20250818001000</t>
  </si>
  <si>
    <t>P202601001259</t>
  </si>
  <si>
    <t>RC20260130001004</t>
  </si>
  <si>
    <t>P202601001263</t>
  </si>
  <si>
    <t>P202601001264</t>
  </si>
  <si>
    <t>P202601001266</t>
  </si>
  <si>
    <t>P202512000053</t>
  </si>
  <si>
    <t>RC20251119001003</t>
  </si>
  <si>
    <t>P202512000054</t>
  </si>
  <si>
    <t>P202602000070</t>
  </si>
  <si>
    <t>RR20250715001009</t>
  </si>
  <si>
    <t>P202511000501</t>
  </si>
  <si>
    <t>RC20251120001000</t>
  </si>
  <si>
    <t>P202512000398</t>
  </si>
  <si>
    <t>P202601000547</t>
  </si>
  <si>
    <t>P202602000068</t>
  </si>
  <si>
    <t>RC20260119001012</t>
  </si>
  <si>
    <t>P202602000059</t>
  </si>
  <si>
    <t>RC20260119001010</t>
  </si>
  <si>
    <t>RR202412170007</t>
  </si>
  <si>
    <t>RR20260122001007</t>
  </si>
  <si>
    <t>P202508000452</t>
  </si>
  <si>
    <t>P202509000500</t>
  </si>
  <si>
    <t>P202511000288</t>
  </si>
  <si>
    <t>RR20260125001000</t>
  </si>
  <si>
    <t>P202602000029</t>
  </si>
  <si>
    <t>RC20251126001002</t>
  </si>
  <si>
    <t>RC202406120012</t>
  </si>
  <si>
    <t>P202510000454</t>
  </si>
  <si>
    <t>RR20260119001024</t>
  </si>
  <si>
    <t>P202509000465</t>
  </si>
  <si>
    <t>RC20251014001003</t>
  </si>
  <si>
    <t>P202601001384</t>
  </si>
  <si>
    <t>RC20260127001007</t>
  </si>
  <si>
    <t>RC20260114001014</t>
  </si>
  <si>
    <t>RR20260302001004</t>
  </si>
  <si>
    <t>P202507000273</t>
  </si>
  <si>
    <t>RR20260129001003</t>
  </si>
  <si>
    <t>P202506000588</t>
  </si>
  <si>
    <t>P202601001368</t>
  </si>
  <si>
    <t>RC20251230001009</t>
  </si>
  <si>
    <t>P202511000475</t>
  </si>
  <si>
    <t>RC20251031001013</t>
  </si>
  <si>
    <t>P202511000476</t>
  </si>
  <si>
    <t>P202601001359</t>
  </si>
  <si>
    <t>RC20260123001010</t>
  </si>
  <si>
    <t>P202509000450</t>
  </si>
  <si>
    <t>RC20250829001003</t>
  </si>
  <si>
    <t>P202510000602</t>
  </si>
  <si>
    <t>P202510000649</t>
  </si>
  <si>
    <t>RC20250916001006</t>
  </si>
  <si>
    <t>P202510000650</t>
  </si>
  <si>
    <t>RR20260203001011</t>
  </si>
  <si>
    <t>P202601001343</t>
  </si>
  <si>
    <t>RC20260114001008</t>
  </si>
  <si>
    <t>RC202412110011</t>
  </si>
  <si>
    <t>RR20250916001009</t>
  </si>
  <si>
    <t>P202601001282</t>
  </si>
  <si>
    <t>RC20260116001014</t>
  </si>
  <si>
    <t>P202601001197</t>
  </si>
  <si>
    <t>RC20251224001020</t>
  </si>
  <si>
    <t>P202512000510</t>
  </si>
  <si>
    <t>RR20260123001014</t>
  </si>
  <si>
    <t>RR20251219001008</t>
  </si>
  <si>
    <t>P202507000686</t>
  </si>
  <si>
    <t>P202509000750</t>
  </si>
  <si>
    <t>P202509000109</t>
  </si>
  <si>
    <t>RR20260112001006</t>
  </si>
  <si>
    <t>P202601001110</t>
  </si>
  <si>
    <t>RC20251226001021</t>
  </si>
  <si>
    <t>P202601001086</t>
  </si>
  <si>
    <t>RC20260122001015</t>
  </si>
  <si>
    <t>RR20260119001001</t>
  </si>
  <si>
    <t>RR20260119001000</t>
  </si>
  <si>
    <t>RR20260116001000</t>
  </si>
  <si>
    <t>P202507000280</t>
  </si>
  <si>
    <t>P202507000281</t>
  </si>
  <si>
    <t>P202507000282</t>
  </si>
  <si>
    <t>P202510000021</t>
  </si>
  <si>
    <t>P202510000023</t>
  </si>
  <si>
    <t>P202510000024</t>
  </si>
  <si>
    <t>P202601001045</t>
  </si>
  <si>
    <t>RC20260109001000</t>
  </si>
  <si>
    <t>P202601001003</t>
  </si>
  <si>
    <t>RC20251230001000</t>
  </si>
  <si>
    <t>P202511000619</t>
  </si>
  <si>
    <t>RR20260121001002</t>
  </si>
  <si>
    <t>RR20250829001008</t>
  </si>
  <si>
    <t>RC20250317001003</t>
  </si>
  <si>
    <t>P202506000744</t>
  </si>
  <si>
    <t>P202601000913</t>
  </si>
  <si>
    <t>RC20260116001022</t>
  </si>
  <si>
    <t>P202601000912</t>
  </si>
  <si>
    <t>RC20260116001021</t>
  </si>
  <si>
    <t>P202601000911</t>
  </si>
  <si>
    <t>RC20260116001020</t>
  </si>
  <si>
    <t>P202601000910</t>
  </si>
  <si>
    <t>RC20260116001019</t>
  </si>
  <si>
    <t>P202601000909</t>
  </si>
  <si>
    <t>RC20260116001018</t>
  </si>
  <si>
    <t>P202601000908</t>
  </si>
  <si>
    <t>RC20260116001017</t>
  </si>
  <si>
    <t>P202601000907</t>
  </si>
  <si>
    <t>RC20260116001016</t>
  </si>
  <si>
    <t>P202601000906</t>
  </si>
  <si>
    <t>RC20260116001015</t>
  </si>
  <si>
    <t>P202601000905</t>
  </si>
  <si>
    <t>RC20260116001013</t>
  </si>
  <si>
    <t>P202601000904</t>
  </si>
  <si>
    <t>RC20260116001012</t>
  </si>
  <si>
    <t>P202601000903</t>
  </si>
  <si>
    <t>RC20260116001011</t>
  </si>
  <si>
    <t>RR20260120001009</t>
  </si>
  <si>
    <t>P202509000040</t>
  </si>
  <si>
    <t>RR202405310005</t>
  </si>
  <si>
    <t>P202509000623</t>
  </si>
  <si>
    <t>RR20260116001001</t>
  </si>
  <si>
    <t>RR20260119001006</t>
  </si>
  <si>
    <t>P202601000776</t>
  </si>
  <si>
    <t>RR20260123001010</t>
  </si>
  <si>
    <t>P202507000928</t>
  </si>
  <si>
    <t>RC20250708001011</t>
  </si>
  <si>
    <t>P202510000603</t>
  </si>
  <si>
    <t>P202510000604</t>
  </si>
  <si>
    <t>P202511000048</t>
  </si>
  <si>
    <t>P202511000346</t>
  </si>
  <si>
    <t>P202512000266</t>
  </si>
  <si>
    <t>P202512000267</t>
  </si>
  <si>
    <t>P202601000737</t>
  </si>
  <si>
    <t>RR20260123001003</t>
  </si>
  <si>
    <t>RR20260109001002</t>
  </si>
  <si>
    <t>P202507000871</t>
  </si>
  <si>
    <t>RR20251022001006</t>
  </si>
  <si>
    <t>P202601000679</t>
  </si>
  <si>
    <t>RC20260106001009</t>
  </si>
  <si>
    <t>RR20260112001007</t>
  </si>
  <si>
    <t>P202511000018</t>
  </si>
  <si>
    <t>RR20251104001005</t>
  </si>
  <si>
    <t>P202601000539</t>
  </si>
  <si>
    <t>P202601000648</t>
  </si>
  <si>
    <t>RC20251226001012</t>
  </si>
  <si>
    <t>RR20251231001004</t>
  </si>
  <si>
    <t>P202509000153</t>
  </si>
  <si>
    <t>P202601000427</t>
  </si>
  <si>
    <t>RR20260114001002</t>
  </si>
  <si>
    <t>RR20260120001010</t>
  </si>
  <si>
    <t>P202511000543</t>
  </si>
  <si>
    <t>RC20251112001006</t>
  </si>
  <si>
    <t>P202511000544</t>
  </si>
  <si>
    <t>P202511000545</t>
  </si>
  <si>
    <t>P202511000546</t>
  </si>
  <si>
    <t>P202511000547</t>
  </si>
  <si>
    <t>P202511000548</t>
  </si>
  <si>
    <t>P202512000632</t>
  </si>
  <si>
    <t>P202512000633</t>
  </si>
  <si>
    <t>P202512000634</t>
  </si>
  <si>
    <t>P202512000635</t>
  </si>
  <si>
    <t>P202512000636</t>
  </si>
  <si>
    <t>P202512000637</t>
  </si>
  <si>
    <t>P202512000638</t>
  </si>
  <si>
    <t>P202512000673</t>
  </si>
  <si>
    <t>RC20251122001001</t>
  </si>
  <si>
    <t>P202506000414</t>
  </si>
  <si>
    <t>RR20260107001005</t>
  </si>
  <si>
    <t>P202601000367</t>
  </si>
  <si>
    <t>P202601000349</t>
  </si>
  <si>
    <t>RC20251225001027</t>
  </si>
  <si>
    <t>P202601000318</t>
  </si>
  <si>
    <t>RC20251218001023</t>
  </si>
  <si>
    <t>RC20250330001000</t>
  </si>
  <si>
    <t>RR20251224001009</t>
  </si>
  <si>
    <t>P202507000283</t>
  </si>
  <si>
    <t>RR202502050009</t>
  </si>
  <si>
    <t>P202506000577</t>
  </si>
  <si>
    <t>P202506000578</t>
  </si>
  <si>
    <t>RR20251121001013</t>
  </si>
  <si>
    <t>RC20250424001011</t>
  </si>
  <si>
    <t>P202507000415</t>
  </si>
  <si>
    <t>P202601000236</t>
  </si>
  <si>
    <t>P202601000221</t>
  </si>
  <si>
    <t>RC20251119001017</t>
  </si>
  <si>
    <t>RR20251222001023</t>
  </si>
  <si>
    <t>RC20251229001000</t>
  </si>
  <si>
    <t>P202512000443</t>
  </si>
  <si>
    <t>RC20251031001010</t>
  </si>
  <si>
    <t>P202512000444</t>
  </si>
  <si>
    <t>P202512000445</t>
  </si>
  <si>
    <t>P202512000446</t>
  </si>
  <si>
    <t>P202512000449</t>
  </si>
  <si>
    <t>P202512000450</t>
  </si>
  <si>
    <t>P202512000451</t>
  </si>
  <si>
    <t>RR20251222001008</t>
  </si>
  <si>
    <t>RR20251229001012</t>
  </si>
  <si>
    <t>P202506000735</t>
  </si>
  <si>
    <t>RC20251217001002</t>
  </si>
  <si>
    <t>RR20260117001001</t>
  </si>
  <si>
    <t>P202512000892</t>
  </si>
  <si>
    <t>RR20251224001004</t>
  </si>
  <si>
    <t>RR202501150004</t>
  </si>
  <si>
    <t>RR20250402001004</t>
  </si>
  <si>
    <t>RR20251223001006</t>
  </si>
  <si>
    <t>P202512000827</t>
  </si>
  <si>
    <t>RC20251222001000</t>
  </si>
  <si>
    <t>RR20251218001001</t>
  </si>
  <si>
    <t>RR20251224001007</t>
  </si>
  <si>
    <t>RR20251219001012</t>
  </si>
  <si>
    <t>RR20251222001024</t>
  </si>
  <si>
    <t>P202512000577</t>
  </si>
  <si>
    <t>RR20251211001002</t>
  </si>
  <si>
    <t>RR20251010001003</t>
  </si>
  <si>
    <t>P202512000528</t>
  </si>
  <si>
    <t>RC20251204001006</t>
  </si>
  <si>
    <t>RC202301090010</t>
  </si>
  <si>
    <t>P202512000491</t>
  </si>
  <si>
    <t>RC20251218001007</t>
  </si>
  <si>
    <t>P202512000490</t>
  </si>
  <si>
    <t>RC20251218001004</t>
  </si>
  <si>
    <t>RR202501070010</t>
  </si>
  <si>
    <t>P202512000483</t>
  </si>
  <si>
    <t>RC20251218001018</t>
  </si>
  <si>
    <t>RR20251211001003</t>
  </si>
  <si>
    <t>RR20251222001017</t>
  </si>
  <si>
    <t>P202512000425</t>
  </si>
  <si>
    <t>RC20251124001022</t>
  </si>
  <si>
    <t>P202512000423</t>
  </si>
  <si>
    <t>RC20251124001023</t>
  </si>
  <si>
    <t>P202512000401</t>
  </si>
  <si>
    <t>RC20251210001018</t>
  </si>
  <si>
    <t>RR202409260010</t>
  </si>
  <si>
    <t>RR20251217001007</t>
  </si>
  <si>
    <t>RC202501070013</t>
  </si>
  <si>
    <t>P202512000332</t>
  </si>
  <si>
    <t>RC20251209001013</t>
  </si>
  <si>
    <t>P202508000502</t>
  </si>
  <si>
    <t>RC20250828001005</t>
  </si>
  <si>
    <t>P202512000282</t>
  </si>
  <si>
    <t>RR20260228001001</t>
  </si>
  <si>
    <t>P202512000283</t>
  </si>
  <si>
    <t>RC202212090026</t>
  </si>
  <si>
    <t>RR20251118001001</t>
  </si>
  <si>
    <t>RR202501150006</t>
  </si>
  <si>
    <t>RR20250620001015</t>
  </si>
  <si>
    <t>P202512000187</t>
  </si>
  <si>
    <t>RC20251010001009</t>
  </si>
  <si>
    <t>P202512000124</t>
  </si>
  <si>
    <t>RR20251209001007</t>
  </si>
  <si>
    <t>P202512000097</t>
  </si>
  <si>
    <t>RC20251127001018</t>
  </si>
  <si>
    <t>P202512000050</t>
  </si>
  <si>
    <t>RC20251014001004</t>
  </si>
  <si>
    <t>RR202409260018</t>
  </si>
  <si>
    <t>P202512000046</t>
  </si>
  <si>
    <t>RC20251114001008</t>
  </si>
  <si>
    <t>P202512000047</t>
  </si>
  <si>
    <t>RR202409270005</t>
  </si>
  <si>
    <t>P202512000017</t>
  </si>
  <si>
    <t>RC20251201001004</t>
  </si>
  <si>
    <t>P202512000016</t>
  </si>
  <si>
    <t>RC20251201001014</t>
  </si>
  <si>
    <t>RR20251201001013</t>
  </si>
  <si>
    <t>P202506000534</t>
  </si>
  <si>
    <t>P202507000302</t>
  </si>
  <si>
    <t>P202507000303</t>
  </si>
  <si>
    <t>P202507000304</t>
  </si>
  <si>
    <t>P202507000305</t>
  </si>
  <si>
    <t>P202507000306</t>
  </si>
  <si>
    <t>P202507000307</t>
  </si>
  <si>
    <t>P202507000308</t>
  </si>
  <si>
    <t>RR20251201001006</t>
  </si>
  <si>
    <t>P202507000742</t>
  </si>
  <si>
    <t>RR20251127001003</t>
  </si>
  <si>
    <t>P202511000622</t>
  </si>
  <si>
    <t>RC20251124001019</t>
  </si>
  <si>
    <t>P202511000613</t>
  </si>
  <si>
    <t>RC20251114001000</t>
  </si>
  <si>
    <t>P202511000535</t>
  </si>
  <si>
    <t>RC20251031001015</t>
  </si>
  <si>
    <t>P202511000536</t>
  </si>
  <si>
    <t>P202511000537</t>
  </si>
  <si>
    <t>P202511000539</t>
  </si>
  <si>
    <t>P202511000540</t>
  </si>
  <si>
    <t>RR20251124001018</t>
  </si>
  <si>
    <t>RR20251124001020</t>
  </si>
  <si>
    <t>P202511000507</t>
  </si>
  <si>
    <t>RC20251120001010</t>
  </si>
  <si>
    <t>RR202407120003</t>
  </si>
  <si>
    <t>P202511000489</t>
  </si>
  <si>
    <t>RC20251024001000</t>
  </si>
  <si>
    <t>P202511000485</t>
  </si>
  <si>
    <t>RR20251112001001</t>
  </si>
  <si>
    <t>P202512000349</t>
  </si>
  <si>
    <t>RR20251126001003</t>
  </si>
  <si>
    <t>RC202407030031</t>
  </si>
  <si>
    <t>P202509000663</t>
  </si>
  <si>
    <t>RC20251031001022</t>
  </si>
  <si>
    <t>P202511000265</t>
  </si>
  <si>
    <t>RC20251106001012</t>
  </si>
  <si>
    <t>RC202406210020</t>
  </si>
  <si>
    <t>P202506000753</t>
  </si>
  <si>
    <t>RR20251027001008</t>
  </si>
  <si>
    <t>P202510000889</t>
  </si>
  <si>
    <t>RR20251104001012</t>
  </si>
  <si>
    <t>P202510000890</t>
  </si>
  <si>
    <t>P202510000892</t>
  </si>
  <si>
    <t>P202510000893</t>
  </si>
  <si>
    <t>RR20250825001001</t>
  </si>
  <si>
    <t>P202511000193</t>
  </si>
  <si>
    <t>RC20251105001001</t>
  </si>
  <si>
    <t>RR20251110001012</t>
  </si>
  <si>
    <t>RC20250325001012</t>
  </si>
  <si>
    <t>RR202410180004</t>
  </si>
  <si>
    <t>RC202207220018</t>
  </si>
  <si>
    <t>RC202304140001</t>
  </si>
  <si>
    <t>RC20250512001001</t>
  </si>
  <si>
    <t>P202510000920</t>
  </si>
  <si>
    <t>RC20250927001002</t>
  </si>
  <si>
    <t>P202510000899</t>
  </si>
  <si>
    <t>RR20251021001003</t>
  </si>
  <si>
    <t>RC202407100013</t>
  </si>
  <si>
    <t>P202510000862</t>
  </si>
  <si>
    <t>RC20251027001017</t>
  </si>
  <si>
    <t>P202506000894</t>
  </si>
  <si>
    <t>RC20250709001016</t>
  </si>
  <si>
    <t>P202510000860</t>
  </si>
  <si>
    <t>RC20251027001015</t>
  </si>
  <si>
    <t>P202510000856</t>
  </si>
  <si>
    <t>RC202412160017</t>
  </si>
  <si>
    <t>RC20251028001009</t>
  </si>
  <si>
    <t>RC20250928001003</t>
  </si>
  <si>
    <t>P202509000629</t>
  </si>
  <si>
    <t>RC20250902001008</t>
  </si>
  <si>
    <t>P202509000630</t>
  </si>
  <si>
    <t>P202509000634</t>
  </si>
  <si>
    <t>P202509000635</t>
  </si>
  <si>
    <t>P202509000636</t>
  </si>
  <si>
    <t>P202509000637</t>
  </si>
  <si>
    <t>P202509000638</t>
  </si>
  <si>
    <t>P202509000639</t>
  </si>
  <si>
    <t>P202509000640</t>
  </si>
  <si>
    <t>P202509000641</t>
  </si>
  <si>
    <t>P202509000642</t>
  </si>
  <si>
    <t>P202509000643</t>
  </si>
  <si>
    <t>P202510000364</t>
  </si>
  <si>
    <t>P202510000365</t>
  </si>
  <si>
    <t>P202510000366</t>
  </si>
  <si>
    <t>P202510000367</t>
  </si>
  <si>
    <t>P202510000368</t>
  </si>
  <si>
    <t>P202510000370</t>
  </si>
  <si>
    <t>P202510000746</t>
  </si>
  <si>
    <t>P202510000747</t>
  </si>
  <si>
    <t>P202510000749</t>
  </si>
  <si>
    <t>P202510000750</t>
  </si>
  <si>
    <t>P202510000751</t>
  </si>
  <si>
    <t>P202510000752</t>
  </si>
  <si>
    <t>P202510000827</t>
  </si>
  <si>
    <t>RC20251027001003</t>
  </si>
  <si>
    <t>P202510000828</t>
  </si>
  <si>
    <t>P202510000829</t>
  </si>
  <si>
    <t>P202510000830</t>
  </si>
  <si>
    <t>P202510000831</t>
  </si>
  <si>
    <t>P202510000832</t>
  </si>
  <si>
    <t>P202510000807</t>
  </si>
  <si>
    <t>RC20251018001001</t>
  </si>
  <si>
    <t>P202510000808</t>
  </si>
  <si>
    <t>P202510000809</t>
  </si>
  <si>
    <t>P202510000810</t>
  </si>
  <si>
    <t>P202510000811</t>
  </si>
  <si>
    <t>P202510000812</t>
  </si>
  <si>
    <t>P202510000813</t>
  </si>
  <si>
    <t>P202510000814</t>
  </si>
  <si>
    <t>RR202401170008</t>
  </si>
  <si>
    <t>RC20251017001008</t>
  </si>
  <si>
    <t>P202510000780</t>
  </si>
  <si>
    <t>RC20251013001003</t>
  </si>
  <si>
    <t>RR202407150006</t>
  </si>
  <si>
    <t>RR20251027001007</t>
  </si>
  <si>
    <t>P202510000743</t>
  </si>
  <si>
    <t>RC20250829001009</t>
  </si>
  <si>
    <t>RC202306190022</t>
  </si>
  <si>
    <t>P202510000728</t>
  </si>
  <si>
    <t>RC20251020001015</t>
  </si>
  <si>
    <t>P202509000506</t>
  </si>
  <si>
    <t>RC20251021001009</t>
  </si>
  <si>
    <t>RR20251230001001</t>
  </si>
  <si>
    <t>P202506000381</t>
  </si>
  <si>
    <t>P202507000116</t>
  </si>
  <si>
    <t>P202510000688</t>
  </si>
  <si>
    <t>RC20250826001018</t>
  </si>
  <si>
    <t>P202510000420</t>
  </si>
  <si>
    <t>RC20250923001009</t>
  </si>
  <si>
    <t>P202510000421</t>
  </si>
  <si>
    <t>P202510000391</t>
  </si>
  <si>
    <t>RC20250828001007</t>
  </si>
  <si>
    <t>RC202406060006</t>
  </si>
  <si>
    <t>P202510000599</t>
  </si>
  <si>
    <t>RC20250508001014</t>
  </si>
  <si>
    <t>RR20251010001000</t>
  </si>
  <si>
    <t>RR20250715001005</t>
  </si>
  <si>
    <t>RR20251015001000</t>
  </si>
  <si>
    <t>P202510000002</t>
  </si>
  <si>
    <t>RC20250925001013</t>
  </si>
  <si>
    <t>RC20250221001012</t>
  </si>
  <si>
    <t>P202509000749</t>
  </si>
  <si>
    <t>RC20250922001013</t>
  </si>
  <si>
    <t>P202509000747</t>
  </si>
  <si>
    <t>RC20250929001004</t>
  </si>
  <si>
    <t>P202509000737</t>
  </si>
  <si>
    <t>RC20250923001005</t>
  </si>
  <si>
    <t>RC202301160014</t>
  </si>
  <si>
    <t>P202509000560</t>
  </si>
  <si>
    <t>RC20250731001002</t>
  </si>
  <si>
    <t>P202509000561</t>
  </si>
  <si>
    <t>P202509000562</t>
  </si>
  <si>
    <t>P202509000563</t>
  </si>
  <si>
    <t>P202509000564</t>
  </si>
  <si>
    <t>P202509000565</t>
  </si>
  <si>
    <t>RC202205200013</t>
  </si>
  <si>
    <t>P202509000655</t>
  </si>
  <si>
    <t>RC20250904001016</t>
  </si>
  <si>
    <t>RR20250811001008</t>
  </si>
  <si>
    <t>P202509000658</t>
  </si>
  <si>
    <t>P202509000659</t>
  </si>
  <si>
    <t>RC202501170002</t>
  </si>
  <si>
    <t>P202509000608</t>
  </si>
  <si>
    <t>RC20250828001009</t>
  </si>
  <si>
    <t>RR202402010005</t>
  </si>
  <si>
    <t>RC20250828001010</t>
  </si>
  <si>
    <t>P202509000533</t>
  </si>
  <si>
    <t>RC20250901001016</t>
  </si>
  <si>
    <t>P202509000534</t>
  </si>
  <si>
    <t>P202509000535</t>
  </si>
  <si>
    <t>P202509000536</t>
  </si>
  <si>
    <t>P202509000538</t>
  </si>
  <si>
    <t>P202509000539</t>
  </si>
  <si>
    <t>P202509000540</t>
  </si>
  <si>
    <t>P202509000541</t>
  </si>
  <si>
    <t>P202509000542</t>
  </si>
  <si>
    <t>P202508000082</t>
  </si>
  <si>
    <t>RC20250731001001</t>
  </si>
  <si>
    <t>RC202311240005</t>
  </si>
  <si>
    <t>P202507000134</t>
  </si>
  <si>
    <t>P202509000406</t>
  </si>
  <si>
    <t>RC20250312001000</t>
  </si>
  <si>
    <t>RC20250919001004</t>
  </si>
  <si>
    <t>RC20250917001015</t>
  </si>
  <si>
    <t>RR202404160002</t>
  </si>
  <si>
    <t>RC202308170018</t>
  </si>
  <si>
    <t>P202507000104</t>
  </si>
  <si>
    <t>RC202412290001</t>
  </si>
  <si>
    <t>RC202207180480</t>
  </si>
  <si>
    <t>RC202404230009</t>
  </si>
  <si>
    <t>RC202409050010</t>
  </si>
  <si>
    <t>RC202408300011</t>
  </si>
  <si>
    <t>P202508000403</t>
  </si>
  <si>
    <t>RC20250814001013</t>
  </si>
  <si>
    <t>RC202501070011</t>
  </si>
  <si>
    <t>RC202312010005</t>
  </si>
  <si>
    <t>P202508000223</t>
  </si>
  <si>
    <t>RC20250801001000</t>
  </si>
  <si>
    <t>P202509000199</t>
  </si>
  <si>
    <t>RC20250821001007</t>
  </si>
  <si>
    <t>RC202401040018</t>
  </si>
  <si>
    <t>P202509000165</t>
  </si>
  <si>
    <t>RC20250901001003</t>
  </si>
  <si>
    <t>P202505000657</t>
  </si>
  <si>
    <t>RR20250905001003</t>
  </si>
  <si>
    <t>P202508000329</t>
  </si>
  <si>
    <t>RR20250821001003</t>
  </si>
  <si>
    <t>P202508000131</t>
  </si>
  <si>
    <t>RC20250727001000</t>
  </si>
  <si>
    <t>P202506000754</t>
  </si>
  <si>
    <t>RC20250708001014</t>
  </si>
  <si>
    <t>P202506000824</t>
  </si>
  <si>
    <t>P202509000069</t>
  </si>
  <si>
    <t>P202508000372</t>
  </si>
  <si>
    <t>RC20250901001013</t>
  </si>
  <si>
    <t>P202508000373</t>
  </si>
  <si>
    <t>P202508000374</t>
  </si>
  <si>
    <t>P202508000375</t>
  </si>
  <si>
    <t>RC202209150067</t>
  </si>
  <si>
    <t>RC202304130002</t>
  </si>
  <si>
    <t>RC202401080009</t>
  </si>
  <si>
    <t>P202508000499</t>
  </si>
  <si>
    <t>RC20250730001002</t>
  </si>
  <si>
    <t>RR20250829001003</t>
  </si>
  <si>
    <t>RR202408210007</t>
  </si>
  <si>
    <t>RC202412090017</t>
  </si>
  <si>
    <t>RR20250825001008</t>
  </si>
  <si>
    <t>P202505000695</t>
  </si>
  <si>
    <t>RC20250415001018</t>
  </si>
  <si>
    <t>P202507000766</t>
  </si>
  <si>
    <t>RC20250702001005</t>
  </si>
  <si>
    <t>P202508000393</t>
  </si>
  <si>
    <t>P202508000394</t>
  </si>
  <si>
    <t>P202508000395</t>
  </si>
  <si>
    <t>P202508000396</t>
  </si>
  <si>
    <t>P202508000397</t>
  </si>
  <si>
    <t>RC202403260017</t>
  </si>
  <si>
    <t>P202507000721</t>
  </si>
  <si>
    <t>RC20250731001004</t>
  </si>
  <si>
    <t>P202507000722</t>
  </si>
  <si>
    <t>P202507000723</t>
  </si>
  <si>
    <t>P202507000724</t>
  </si>
  <si>
    <t>P202507000725</t>
  </si>
  <si>
    <t>P202508000378</t>
  </si>
  <si>
    <t>RC20250729001000</t>
  </si>
  <si>
    <t>RR20260120001002</t>
  </si>
  <si>
    <t>RC202411260015</t>
  </si>
  <si>
    <t>RC20250324001022</t>
  </si>
  <si>
    <t>P202508000297</t>
  </si>
  <si>
    <t>RC20250806001014</t>
  </si>
  <si>
    <t>P202508000237</t>
  </si>
  <si>
    <t>RC20250714001012</t>
  </si>
  <si>
    <t>P202508000234</t>
  </si>
  <si>
    <t>RC20250731001014</t>
  </si>
  <si>
    <t>RC202408300006</t>
  </si>
  <si>
    <t>P202508000188</t>
  </si>
  <si>
    <t>RC20250707001004</t>
  </si>
  <si>
    <t>P202508000189</t>
  </si>
  <si>
    <t>RC20250714001000</t>
  </si>
  <si>
    <t>P202508000162</t>
  </si>
  <si>
    <t>RC20250725001009</t>
  </si>
  <si>
    <t>P202508000113</t>
  </si>
  <si>
    <t>RC20250731001008</t>
  </si>
  <si>
    <t>P202508000115</t>
  </si>
  <si>
    <t>RR20250610001003</t>
  </si>
  <si>
    <t>P202508000062</t>
  </si>
  <si>
    <t>RR20250730001007</t>
  </si>
  <si>
    <t>P202508000034</t>
  </si>
  <si>
    <t>RC20250721001011</t>
  </si>
  <si>
    <t>P202508000030</t>
  </si>
  <si>
    <t>RC20250721001012</t>
  </si>
  <si>
    <t>RC20250718001027</t>
  </si>
  <si>
    <t>P202507001013</t>
  </si>
  <si>
    <t>RC20250730001004</t>
  </si>
  <si>
    <t>RC202405100010</t>
  </si>
  <si>
    <t>P202507000967</t>
  </si>
  <si>
    <t>RC20250725001017</t>
  </si>
  <si>
    <t>P202507000968</t>
  </si>
  <si>
    <t>RR20250815001003</t>
  </si>
  <si>
    <t>P202507000969</t>
  </si>
  <si>
    <t>RC20250718001014</t>
  </si>
  <si>
    <t>P202507000950</t>
  </si>
  <si>
    <t>RC20250723001010</t>
  </si>
  <si>
    <t>RR20251023001010</t>
  </si>
  <si>
    <t>P202506000729</t>
  </si>
  <si>
    <t>P202507000892</t>
  </si>
  <si>
    <t>RC20250702001008</t>
  </si>
  <si>
    <t>RC202407180008</t>
  </si>
  <si>
    <t>P202507000820</t>
  </si>
  <si>
    <t>RC20250704001013</t>
  </si>
  <si>
    <t>RR20250715001008</t>
  </si>
  <si>
    <t>P202507000812</t>
  </si>
  <si>
    <t>RC20250627001005</t>
  </si>
  <si>
    <t>P202506000883</t>
  </si>
  <si>
    <t>RC20250630001019</t>
  </si>
  <si>
    <t>P202507000463</t>
  </si>
  <si>
    <t>RC20250703001000</t>
  </si>
  <si>
    <t>P202507000464</t>
  </si>
  <si>
    <t>P202507000548</t>
  </si>
  <si>
    <t>P202507000656</t>
  </si>
  <si>
    <t>RC20250715001003</t>
  </si>
  <si>
    <t>RR20250721001007</t>
  </si>
  <si>
    <t>P202507000653</t>
  </si>
  <si>
    <t>RC20250617001016</t>
  </si>
  <si>
    <t>RR20250708001003</t>
  </si>
  <si>
    <t>RC20250708001009</t>
  </si>
  <si>
    <t>RR20250721001000</t>
  </si>
  <si>
    <t>RR20250715001007</t>
  </si>
  <si>
    <t>RC202312280042</t>
  </si>
  <si>
    <t>P202507000412</t>
  </si>
  <si>
    <t>RC202406110002</t>
  </si>
  <si>
    <t>P202507000335</t>
  </si>
  <si>
    <t>RC20250328001024</t>
  </si>
  <si>
    <t>P202507000256</t>
  </si>
  <si>
    <t>RC20250704001003</t>
  </si>
  <si>
    <t>P202507000166</t>
  </si>
  <si>
    <t>RC20250630001016</t>
  </si>
  <si>
    <t>P202507000093</t>
  </si>
  <si>
    <t>RC20250521001012</t>
  </si>
  <si>
    <t>RR20250630001009</t>
  </si>
  <si>
    <t>RR20250626001011</t>
  </si>
  <si>
    <t>RC202407300001</t>
  </si>
  <si>
    <t>P202506000779</t>
  </si>
  <si>
    <t>RC20250603001007</t>
  </si>
  <si>
    <t>RC20250619001017</t>
  </si>
  <si>
    <t>P202506000728</t>
  </si>
  <si>
    <t>RC20250624001018</t>
  </si>
  <si>
    <t>P202506000690</t>
  </si>
  <si>
    <t>RC20250611001016</t>
  </si>
  <si>
    <t>P202506000677</t>
  </si>
  <si>
    <t>RC20250509001002</t>
  </si>
  <si>
    <t>RC20250427001031</t>
  </si>
  <si>
    <t>RC202208220041</t>
  </si>
  <si>
    <t>RC202401310002</t>
  </si>
  <si>
    <t>RC20250521001011</t>
  </si>
  <si>
    <t>P202506000596</t>
  </si>
  <si>
    <t>RR20250820001008</t>
  </si>
  <si>
    <t>RC202406210022</t>
  </si>
  <si>
    <t>RR20250620001005</t>
  </si>
  <si>
    <t>RR20250616001019</t>
  </si>
  <si>
    <t>P202506000745</t>
  </si>
  <si>
    <t>P202506000290</t>
  </si>
  <si>
    <t>RR20250606001005</t>
  </si>
  <si>
    <t>RC202410290032</t>
  </si>
  <si>
    <t>P202506000335</t>
  </si>
  <si>
    <t>RC20250523001017</t>
  </si>
  <si>
    <t>RC20250310001006</t>
  </si>
  <si>
    <t>P202506000134</t>
  </si>
  <si>
    <t>RC20250527001012</t>
  </si>
  <si>
    <t>RR202211300008</t>
  </si>
  <si>
    <t>RR20250528001001</t>
  </si>
  <si>
    <t>P202506000001</t>
  </si>
  <si>
    <t>RC20250516001017</t>
  </si>
  <si>
    <t>RR202409260014</t>
  </si>
  <si>
    <t>P202505000735</t>
  </si>
  <si>
    <t>RC20250528001019</t>
  </si>
  <si>
    <t>P202505000727</t>
  </si>
  <si>
    <t>RC20250423001013</t>
  </si>
  <si>
    <t>RR20250325001001</t>
  </si>
  <si>
    <t>P202505000689</t>
  </si>
  <si>
    <t>RC20250522001015</t>
  </si>
  <si>
    <t>RR20250522001008</t>
  </si>
  <si>
    <t>RC20250427001028</t>
  </si>
  <si>
    <t>RC202501030001</t>
  </si>
  <si>
    <t>P202505000553</t>
  </si>
  <si>
    <t>RR20250519001010</t>
  </si>
  <si>
    <t>RR20250514001001</t>
  </si>
  <si>
    <t>RC20250402001003</t>
  </si>
  <si>
    <t>RR20250606001006</t>
  </si>
  <si>
    <t>RC20250427001020</t>
  </si>
  <si>
    <t>RC202405130011</t>
  </si>
  <si>
    <t>RR20250509001004</t>
  </si>
  <si>
    <t>RC20250313001001</t>
  </si>
  <si>
    <t>RC20250305001009</t>
  </si>
  <si>
    <t>RC20250305001010</t>
  </si>
  <si>
    <t>RC202406300001</t>
  </si>
  <si>
    <t>RR20250425001005</t>
  </si>
  <si>
    <t>RR20250711001007</t>
  </si>
  <si>
    <t>RR20250428001010</t>
  </si>
  <si>
    <t>RC20250221001014</t>
  </si>
  <si>
    <t>RC20250417001012</t>
  </si>
  <si>
    <t>RC202407050009</t>
  </si>
  <si>
    <t>RC20250415001012</t>
  </si>
  <si>
    <t>RC202404090001</t>
  </si>
  <si>
    <t>RC20250408001009</t>
  </si>
  <si>
    <t>RR20250506001014</t>
  </si>
  <si>
    <t>RR20250403001002</t>
  </si>
  <si>
    <t>RC20250410001008</t>
  </si>
  <si>
    <t>RC202312280038</t>
  </si>
  <si>
    <t>RC202402020007</t>
  </si>
  <si>
    <t>RC202410280003</t>
  </si>
  <si>
    <t>RC20250403001009</t>
  </si>
  <si>
    <t>RC202501170008</t>
  </si>
  <si>
    <t>RC20250319001019</t>
  </si>
  <si>
    <t>RC20250324001028</t>
  </si>
  <si>
    <t>RC202502090001</t>
  </si>
  <si>
    <t>RR20250321001003</t>
  </si>
  <si>
    <t>RC202406200021</t>
  </si>
  <si>
    <t>RC20250307001005</t>
  </si>
  <si>
    <t>RR20250820001011</t>
  </si>
  <si>
    <t>RC202312060007</t>
  </si>
  <si>
    <t>RC202406210019</t>
  </si>
  <si>
    <t>RR202502050001</t>
  </si>
  <si>
    <t>RC202403210023</t>
  </si>
  <si>
    <t>RR20250314001004</t>
  </si>
  <si>
    <t>RC202501160004</t>
  </si>
  <si>
    <t>RC202501130006</t>
  </si>
  <si>
    <t>RC20250307001002</t>
  </si>
  <si>
    <t>RR20250318001000</t>
  </si>
  <si>
    <t>RC20250224001030</t>
  </si>
  <si>
    <t>RC202502160002</t>
  </si>
  <si>
    <t>RR20250320001006</t>
  </si>
  <si>
    <t>RC202502070020</t>
  </si>
  <si>
    <t>RC20250224001027</t>
  </si>
  <si>
    <t>RC20250224001029</t>
  </si>
  <si>
    <t>RC20250220001011</t>
  </si>
  <si>
    <t>RC202404220017</t>
  </si>
  <si>
    <t>RR20250227001001</t>
  </si>
  <si>
    <t>RC202501210016</t>
  </si>
  <si>
    <t>RC202501240002</t>
  </si>
  <si>
    <t>RC202502120004</t>
  </si>
  <si>
    <t>RC202406250008</t>
  </si>
  <si>
    <t>RC202501210017</t>
  </si>
  <si>
    <t>RC202501040001</t>
  </si>
  <si>
    <t>RC202501020004</t>
  </si>
  <si>
    <t>RC202412030005</t>
  </si>
  <si>
    <t>RC202501190001</t>
  </si>
  <si>
    <t>RC202412300033</t>
  </si>
  <si>
    <t>RR202501220016</t>
  </si>
  <si>
    <t>RC202501240007</t>
  </si>
  <si>
    <t>RR202501230007</t>
  </si>
  <si>
    <t>RC202501230006</t>
  </si>
  <si>
    <t>RR202501220013</t>
  </si>
  <si>
    <t>RR202501070005</t>
  </si>
  <si>
    <t>RR202501220019</t>
  </si>
  <si>
    <t>RC202501140008</t>
  </si>
  <si>
    <t>RR202501070011</t>
  </si>
  <si>
    <t>RC202412230029</t>
  </si>
  <si>
    <t>RC202406280009</t>
  </si>
  <si>
    <t>RR202412230008</t>
  </si>
  <si>
    <t>RR202502180007</t>
  </si>
  <si>
    <t>RC202501090004</t>
  </si>
  <si>
    <t>RC202412300018</t>
  </si>
  <si>
    <t>RC202501010002</t>
  </si>
  <si>
    <t>RC202211240010</t>
  </si>
  <si>
    <t>RC202208240018</t>
  </si>
  <si>
    <t>RR202209150001</t>
  </si>
  <si>
    <t>RC202412300015</t>
  </si>
  <si>
    <t>RC202412190017</t>
  </si>
  <si>
    <t>RR202406210005</t>
  </si>
  <si>
    <t>RR202412110009</t>
  </si>
  <si>
    <t>RC202412040009</t>
  </si>
  <si>
    <t>RC202309200018</t>
  </si>
  <si>
    <t>RR202501070012</t>
  </si>
  <si>
    <t>RC202412190030</t>
  </si>
  <si>
    <t>RC202412090033</t>
  </si>
  <si>
    <t>RC202412190027</t>
  </si>
  <si>
    <t>RC202412190028</t>
  </si>
  <si>
    <t>RR202412190008</t>
  </si>
  <si>
    <t>RC202412090019</t>
  </si>
  <si>
    <t>RC202412030019</t>
  </si>
  <si>
    <t>RC202303060005</t>
  </si>
  <si>
    <t>RC202412170032</t>
  </si>
  <si>
    <t>RC202412130010</t>
  </si>
  <si>
    <t>RC202411070021</t>
  </si>
  <si>
    <t>RC202411220004</t>
  </si>
  <si>
    <t>RR20250731001008</t>
  </si>
  <si>
    <t>RC202411200024</t>
  </si>
  <si>
    <t>RC202406270001</t>
  </si>
  <si>
    <t>RC202410090002</t>
  </si>
  <si>
    <t>RC202411240002</t>
  </si>
  <si>
    <t>RC202407150008</t>
  </si>
  <si>
    <t>RC202411270006</t>
  </si>
  <si>
    <t>RC202411110018</t>
  </si>
  <si>
    <t>RC202411260016</t>
  </si>
  <si>
    <t>RR20251111001010</t>
  </si>
  <si>
    <t>RC202410080022</t>
  </si>
  <si>
    <t>RC202408090003</t>
  </si>
  <si>
    <t>RR202411140007</t>
  </si>
  <si>
    <t>RR202310080002</t>
  </si>
  <si>
    <t>RC202409120004</t>
  </si>
  <si>
    <t>RC202411060006</t>
  </si>
  <si>
    <t>RC202411060005</t>
  </si>
  <si>
    <t>RC202411060007</t>
  </si>
  <si>
    <t>RC202409240024</t>
  </si>
  <si>
    <t>RC202409200010</t>
  </si>
  <si>
    <t>RC202409200009</t>
  </si>
  <si>
    <t>RC202410280010</t>
  </si>
  <si>
    <t>RR202410290008</t>
  </si>
  <si>
    <t>RR202410250005</t>
  </si>
  <si>
    <t>RC202403130016</t>
  </si>
  <si>
    <t>RC202409180010</t>
  </si>
  <si>
    <t>RC202410080024</t>
  </si>
  <si>
    <t>RC202409180011</t>
  </si>
  <si>
    <t>RR202409250004</t>
  </si>
  <si>
    <t>RC202312130001</t>
  </si>
  <si>
    <t>RC202409290017</t>
  </si>
  <si>
    <t>RR202408190003</t>
  </si>
  <si>
    <t>RR202409280001</t>
  </si>
  <si>
    <t>RC202309180003</t>
  </si>
  <si>
    <t>RC202306280022</t>
  </si>
  <si>
    <t>RR202311080006</t>
  </si>
  <si>
    <t>RR202409270002</t>
  </si>
  <si>
    <t>RR202409260009</t>
  </si>
  <si>
    <t>RR202409260005</t>
  </si>
  <si>
    <t>RR202409260006</t>
  </si>
  <si>
    <t>RR202409260008</t>
  </si>
  <si>
    <t>RR202409260004</t>
  </si>
  <si>
    <t>RR202409260020</t>
  </si>
  <si>
    <t>RC202211070006</t>
  </si>
  <si>
    <t>RR202409260011</t>
  </si>
  <si>
    <t>RR202409260013</t>
  </si>
  <si>
    <t>RR202409260007</t>
  </si>
  <si>
    <t>RC202309220015</t>
  </si>
  <si>
    <t>RR202409260019</t>
  </si>
  <si>
    <t>RC202409120012</t>
  </si>
  <si>
    <t>RR20250417001003</t>
  </si>
  <si>
    <t>RC202407230011</t>
  </si>
  <si>
    <t>RC202409060012</t>
  </si>
  <si>
    <t>RC202409100013</t>
  </si>
  <si>
    <t>RC202408060010</t>
  </si>
  <si>
    <t>RC202303230003</t>
  </si>
  <si>
    <t>RR202304110007</t>
  </si>
  <si>
    <t>RC202209200023</t>
  </si>
  <si>
    <t>RC202401240025</t>
  </si>
  <si>
    <t>RR202408290004</t>
  </si>
  <si>
    <t>RC202406300002</t>
  </si>
  <si>
    <t>RR202408290003</t>
  </si>
  <si>
    <t>RC202406200017</t>
  </si>
  <si>
    <t>RC202408140018</t>
  </si>
  <si>
    <t>RC202407090016</t>
  </si>
  <si>
    <t>RR202408260005</t>
  </si>
  <si>
    <t>RR202408260004</t>
  </si>
  <si>
    <t>RC202408150006</t>
  </si>
  <si>
    <t>RC202312050009</t>
  </si>
  <si>
    <t>RR202408210006</t>
  </si>
  <si>
    <t>RC202407220001</t>
  </si>
  <si>
    <t>RC202408090007</t>
  </si>
  <si>
    <t>RR202408080003</t>
  </si>
  <si>
    <t>RC202407290004</t>
  </si>
  <si>
    <t>RC202406240015</t>
  </si>
  <si>
    <t>RC202307220007</t>
  </si>
  <si>
    <t>RR202407100004</t>
  </si>
  <si>
    <t>RR202408080006</t>
  </si>
  <si>
    <t>RC202204220022</t>
  </si>
  <si>
    <t>RC202407250012</t>
  </si>
  <si>
    <t>RR202408020002</t>
  </si>
  <si>
    <t>RR202407310025</t>
  </si>
  <si>
    <t>RR202407310024</t>
  </si>
  <si>
    <t>RR202407310023</t>
  </si>
  <si>
    <t>RR202407310027</t>
  </si>
  <si>
    <t>RR202407310026</t>
  </si>
  <si>
    <t>RR202407310020</t>
  </si>
  <si>
    <t>RR202407310014</t>
  </si>
  <si>
    <t>RC202306300007</t>
  </si>
  <si>
    <t>RR202407250001</t>
  </si>
  <si>
    <t>RR202407240007</t>
  </si>
  <si>
    <t>RR20250710001000</t>
  </si>
  <si>
    <t>RR20250710001001</t>
  </si>
  <si>
    <t>RC202407240010</t>
  </si>
  <si>
    <t>RC202407240011</t>
  </si>
  <si>
    <t>RC202407240012</t>
  </si>
  <si>
    <t>RC202407240014</t>
  </si>
  <si>
    <t>RC202407240016</t>
  </si>
  <si>
    <t>RC202407120010</t>
  </si>
  <si>
    <t>RR202407080005</t>
  </si>
  <si>
    <t>RC202407050008</t>
  </si>
  <si>
    <t>RC202404120013</t>
  </si>
  <si>
    <t>RR202407220006</t>
  </si>
  <si>
    <t>RC202407120012</t>
  </si>
  <si>
    <t>RR202411080010</t>
  </si>
  <si>
    <t>RC202307050009</t>
  </si>
  <si>
    <t>RC202406240017</t>
  </si>
  <si>
    <t>RC202407010016</t>
  </si>
  <si>
    <t>RC202407030018</t>
  </si>
  <si>
    <t>RR202411180007</t>
  </si>
  <si>
    <t>RR202401170004</t>
  </si>
  <si>
    <t>RC202407090009</t>
  </si>
  <si>
    <t>RC202204210014</t>
  </si>
  <si>
    <t>RC202407020011</t>
  </si>
  <si>
    <t>RC202406200015</t>
  </si>
  <si>
    <t>RC202407030029</t>
  </si>
  <si>
    <t>RC202407020012</t>
  </si>
  <si>
    <t>RC202404280010</t>
  </si>
  <si>
    <t>RC202406250013</t>
  </si>
  <si>
    <t>RC202406170017</t>
  </si>
  <si>
    <t>RC202405290007</t>
  </si>
  <si>
    <t>RR202406050004</t>
  </si>
  <si>
    <t>RC202406180006</t>
  </si>
  <si>
    <t>RR202501150009</t>
  </si>
  <si>
    <t>RR202406200003</t>
  </si>
  <si>
    <t>RC202406180034</t>
  </si>
  <si>
    <t>RC202403120014</t>
  </si>
  <si>
    <t>RC202406180015</t>
  </si>
  <si>
    <t>RC202405240018</t>
  </si>
  <si>
    <t>RC202405170003</t>
  </si>
  <si>
    <t>RR202404260004</t>
  </si>
  <si>
    <t>RC202308210005</t>
  </si>
  <si>
    <t>RC202306290023</t>
  </si>
  <si>
    <t>RC202306160010</t>
  </si>
  <si>
    <t>RC202405140004</t>
  </si>
  <si>
    <t>RR202405220008</t>
  </si>
  <si>
    <t>RR20250407001004</t>
  </si>
  <si>
    <t>RC202405100014</t>
  </si>
  <si>
    <t>RC202405140001</t>
  </si>
  <si>
    <t>RC202404160001</t>
  </si>
  <si>
    <t>RR202411180010</t>
  </si>
  <si>
    <t>RC202404160017</t>
  </si>
  <si>
    <t>RR202405090006</t>
  </si>
  <si>
    <t>RC202404020009</t>
  </si>
  <si>
    <t>RC202403110018</t>
  </si>
  <si>
    <t>RC202401110006</t>
  </si>
  <si>
    <t>RC202304210006</t>
  </si>
  <si>
    <t>RR202404240004</t>
  </si>
  <si>
    <t>RR202404190001</t>
  </si>
  <si>
    <t>RC202404150014</t>
  </si>
  <si>
    <t>RC202404170017</t>
  </si>
  <si>
    <t>RC202404170018</t>
  </si>
  <si>
    <t>RC202404170019</t>
  </si>
  <si>
    <t>RC202404170020</t>
  </si>
  <si>
    <t>RC202404170021</t>
  </si>
  <si>
    <t>RC202404170022</t>
  </si>
  <si>
    <t>RC202404170023</t>
  </si>
  <si>
    <t>RC202404170024</t>
  </si>
  <si>
    <t>RC202404120007</t>
  </si>
  <si>
    <t>RR202404190006</t>
  </si>
  <si>
    <t>RR202404190005</t>
  </si>
  <si>
    <t>RC202305190003</t>
  </si>
  <si>
    <t>RC202402200008</t>
  </si>
  <si>
    <t>RR202404110003</t>
  </si>
  <si>
    <t>RR202404030006</t>
  </si>
  <si>
    <t>RC202403190007</t>
  </si>
  <si>
    <t>RR202403280004</t>
  </si>
  <si>
    <t>RC202401230005</t>
  </si>
  <si>
    <t>RC202308080008</t>
  </si>
  <si>
    <t>RC202403180008</t>
  </si>
  <si>
    <t>RC202403180009</t>
  </si>
  <si>
    <t>RR202403250002</t>
  </si>
  <si>
    <t>RR202401220006</t>
  </si>
  <si>
    <t>RC202305230011</t>
  </si>
  <si>
    <t>RC202402010009</t>
  </si>
  <si>
    <t>RC202403110005</t>
  </si>
  <si>
    <t>RC202403110003</t>
  </si>
  <si>
    <t>RC202303220016</t>
  </si>
  <si>
    <t>RC202303220022</t>
  </si>
  <si>
    <t>RC202303220020</t>
  </si>
  <si>
    <t>RR202403070005</t>
  </si>
  <si>
    <t>RR202403070004</t>
  </si>
  <si>
    <t>RC202402280007</t>
  </si>
  <si>
    <t>RC202402080001</t>
  </si>
  <si>
    <t>RC202312280003</t>
  </si>
  <si>
    <t>RC202312280004</t>
  </si>
  <si>
    <t>RC202210100004</t>
  </si>
  <si>
    <t>RC202402270006</t>
  </si>
  <si>
    <t>RC202306190021</t>
  </si>
  <si>
    <t>RC202212080020</t>
  </si>
  <si>
    <t>RC202209200026</t>
  </si>
  <si>
    <t>RC202401240028</t>
  </si>
  <si>
    <t>RR202404170003</t>
  </si>
  <si>
    <t>RC202401220012</t>
  </si>
  <si>
    <t>RC202205240010</t>
  </si>
  <si>
    <t>RC202401290004</t>
  </si>
  <si>
    <t>RC202312180026</t>
  </si>
  <si>
    <t>RR202204250006</t>
  </si>
  <si>
    <t>RC202401290007</t>
  </si>
  <si>
    <t>RC202401180012</t>
  </si>
  <si>
    <t>RC202401050007</t>
  </si>
  <si>
    <t>RR202401020008</t>
  </si>
  <si>
    <t>RC202312250010</t>
  </si>
  <si>
    <t>RC202401240005</t>
  </si>
  <si>
    <t>RC202401240006</t>
  </si>
  <si>
    <t>RC202401240007</t>
  </si>
  <si>
    <t>RC202401240008</t>
  </si>
  <si>
    <t>RC202401240009</t>
  </si>
  <si>
    <t>RC202401240010</t>
  </si>
  <si>
    <t>RC202401240011</t>
  </si>
  <si>
    <t>RC202401240012</t>
  </si>
  <si>
    <t>RC202306280004</t>
  </si>
  <si>
    <t>RC202301180005</t>
  </si>
  <si>
    <t>RC202401090014</t>
  </si>
  <si>
    <t>RR202401150003</t>
  </si>
  <si>
    <t>RC202310190002</t>
  </si>
  <si>
    <t>RC202401050018</t>
  </si>
  <si>
    <t>RC202311300003</t>
  </si>
  <si>
    <t>RC202312180019</t>
  </si>
  <si>
    <t>RC202401040013</t>
  </si>
  <si>
    <t>RC202312290019</t>
  </si>
  <si>
    <t>RC202312220017</t>
  </si>
  <si>
    <t>RC202311140001</t>
  </si>
  <si>
    <t>RC202312060022</t>
  </si>
  <si>
    <t>RC202312220027</t>
  </si>
  <si>
    <t>RC202312260023</t>
  </si>
  <si>
    <t>RC202312040011</t>
  </si>
  <si>
    <t>RR202411120003</t>
  </si>
  <si>
    <t>RR202312150004</t>
  </si>
  <si>
    <t>RC202311200006</t>
  </si>
  <si>
    <t>RR202312040005</t>
  </si>
  <si>
    <t>RR202312050010</t>
  </si>
  <si>
    <t>RC202311270031</t>
  </si>
  <si>
    <t>RR202312130001</t>
  </si>
  <si>
    <t>RC202311230031</t>
  </si>
  <si>
    <t>RC202311300011</t>
  </si>
  <si>
    <t>RR202405130001</t>
  </si>
  <si>
    <t>RC202311070016</t>
  </si>
  <si>
    <t>RR202211010002</t>
  </si>
  <si>
    <t>RR202312010001</t>
  </si>
  <si>
    <t>RR202311230003</t>
  </si>
  <si>
    <t>RC202311140002</t>
  </si>
  <si>
    <t>RC202311200001</t>
  </si>
  <si>
    <t>RC202311010009</t>
  </si>
  <si>
    <t>RC202309250014</t>
  </si>
  <si>
    <t>RC202311150009</t>
  </si>
  <si>
    <t>RR202311160004</t>
  </si>
  <si>
    <t>RC202305300015</t>
  </si>
  <si>
    <t>RC202311090010</t>
  </si>
  <si>
    <t>RR202409020013</t>
  </si>
  <si>
    <t>RR202310270002</t>
  </si>
  <si>
    <t>RC202310260007</t>
  </si>
  <si>
    <t>RC202311030024</t>
  </si>
  <si>
    <t>RC202310200010</t>
  </si>
  <si>
    <t>RR202311020003</t>
  </si>
  <si>
    <t>RC202310200014</t>
  </si>
  <si>
    <t>RC202309280007</t>
  </si>
  <si>
    <t>RC202308180012</t>
  </si>
  <si>
    <t>RC202305050007</t>
  </si>
  <si>
    <t>RC202309200021</t>
  </si>
  <si>
    <t>RC202309280005</t>
  </si>
  <si>
    <t>RC202211030008</t>
  </si>
  <si>
    <t>RR202304210005</t>
  </si>
  <si>
    <t>RC202306040001</t>
  </si>
  <si>
    <t>RC202301190015</t>
  </si>
  <si>
    <t>RC202305240015</t>
  </si>
  <si>
    <t>RR202309220006</t>
  </si>
  <si>
    <t>RC202309120015</t>
  </si>
  <si>
    <t>RC202308300003</t>
  </si>
  <si>
    <t>RC202307210005</t>
  </si>
  <si>
    <t>RC202302250046</t>
  </si>
  <si>
    <t>RC202208170003</t>
  </si>
  <si>
    <t>RC202308030004</t>
  </si>
  <si>
    <t>RR202308280008</t>
  </si>
  <si>
    <t>RC202308080010</t>
  </si>
  <si>
    <t>RR202308220007</t>
  </si>
  <si>
    <t>RC202308220002</t>
  </si>
  <si>
    <t>RC202307030010</t>
  </si>
  <si>
    <t>RC202307280005</t>
  </si>
  <si>
    <t>RR202302240002</t>
  </si>
  <si>
    <t>RC202210100029</t>
  </si>
  <si>
    <t>RC202307050011</t>
  </si>
  <si>
    <t>RC202302150006</t>
  </si>
  <si>
    <t>RC202307250022</t>
  </si>
  <si>
    <t>RR202308010004</t>
  </si>
  <si>
    <t>RC202303220024</t>
  </si>
  <si>
    <t>RC202205250005</t>
  </si>
  <si>
    <t>RC202307240011</t>
  </si>
  <si>
    <t>RR202307270004</t>
  </si>
  <si>
    <t>RC202307260013</t>
  </si>
  <si>
    <t>RC202307100004</t>
  </si>
  <si>
    <t>RC202302260006</t>
  </si>
  <si>
    <t>RC202306260007</t>
  </si>
  <si>
    <t>RR202307180006</t>
  </si>
  <si>
    <t>RR202307210008</t>
  </si>
  <si>
    <t>RC202305250025</t>
  </si>
  <si>
    <t>RC202303300013</t>
  </si>
  <si>
    <t>RR202304070007</t>
  </si>
  <si>
    <t>RR202307100004</t>
  </si>
  <si>
    <t>RR202307110006</t>
  </si>
  <si>
    <t>RC202305120002</t>
  </si>
  <si>
    <t>RC202306170002</t>
  </si>
  <si>
    <t>RC202306260018</t>
  </si>
  <si>
    <t>RC202306260019</t>
  </si>
  <si>
    <t>RC202306090002</t>
  </si>
  <si>
    <t>RC202305290016</t>
  </si>
  <si>
    <t>RC202305290014</t>
  </si>
  <si>
    <t>RC202305290010</t>
  </si>
  <si>
    <t>RC202208080014</t>
  </si>
  <si>
    <t>RC202204180015</t>
  </si>
  <si>
    <t>RR202306200008</t>
  </si>
  <si>
    <t>RC202209160005</t>
  </si>
  <si>
    <t>RR202306020005</t>
  </si>
  <si>
    <t>RC202306160014</t>
  </si>
  <si>
    <t>RR202306210003</t>
  </si>
  <si>
    <t>RR202306210006</t>
  </si>
  <si>
    <t>RC202306130009</t>
  </si>
  <si>
    <t>RC202301100011</t>
  </si>
  <si>
    <t>RC202301100013</t>
  </si>
  <si>
    <t>RR202401040005</t>
  </si>
  <si>
    <t>RC202306020009</t>
  </si>
  <si>
    <t>RR202305300008</t>
  </si>
  <si>
    <t>RR202305300001</t>
  </si>
  <si>
    <t>RC202304180011</t>
  </si>
  <si>
    <t>RC202305250010</t>
  </si>
  <si>
    <t>RC202305250002</t>
  </si>
  <si>
    <t>RC202302150008</t>
  </si>
  <si>
    <t>RC202206150091</t>
  </si>
  <si>
    <t>RC202305250020</t>
  </si>
  <si>
    <t>RC202305240008</t>
  </si>
  <si>
    <t>RC202305220017</t>
  </si>
  <si>
    <t>RC202204250017</t>
  </si>
  <si>
    <t>RC202207130136</t>
  </si>
  <si>
    <t>RC202207130141</t>
  </si>
  <si>
    <t>RR202305180001</t>
  </si>
  <si>
    <t>RC202304190012</t>
  </si>
  <si>
    <t>RC202304240008</t>
  </si>
  <si>
    <t>RC202304260020</t>
  </si>
  <si>
    <t>RC202305110002</t>
  </si>
  <si>
    <t>RC202303070006</t>
  </si>
  <si>
    <t>RC202304060004</t>
  </si>
  <si>
    <t>RC202304190011</t>
  </si>
  <si>
    <t>RR202304190002</t>
  </si>
  <si>
    <t>RC202304170011</t>
  </si>
  <si>
    <t>RR202304250008</t>
  </si>
  <si>
    <t>RC202212190026</t>
  </si>
  <si>
    <t>RC202302220014</t>
  </si>
  <si>
    <t>RR202208190002</t>
  </si>
  <si>
    <t>RC202303200018</t>
  </si>
  <si>
    <t>RC202302260013</t>
  </si>
  <si>
    <t>RC202303140016</t>
  </si>
  <si>
    <t>RR202303160007</t>
  </si>
  <si>
    <t>RC202303230004</t>
  </si>
  <si>
    <t>RC202208300012</t>
  </si>
  <si>
    <t>RC202209280007</t>
  </si>
  <si>
    <t>RC202406250026</t>
  </si>
  <si>
    <t>RC202212200029</t>
  </si>
  <si>
    <t>RC202212260004</t>
  </si>
  <si>
    <t>RC202303010024</t>
  </si>
  <si>
    <t>RC202302100008</t>
  </si>
  <si>
    <t>RC202302240003</t>
  </si>
  <si>
    <t>RC202302220010</t>
  </si>
  <si>
    <t>RR202302220006</t>
  </si>
  <si>
    <t>RC202302260025</t>
  </si>
  <si>
    <t>RC202302260024</t>
  </si>
  <si>
    <t>RC202302260023</t>
  </si>
  <si>
    <t>RC202302260022</t>
  </si>
  <si>
    <t>RC202302260021</t>
  </si>
  <si>
    <t>RC202302260020</t>
  </si>
  <si>
    <t>RC202302260018</t>
  </si>
  <si>
    <t>RC202302260015</t>
  </si>
  <si>
    <t>RC202302260014</t>
  </si>
  <si>
    <t>RC202302260012</t>
  </si>
  <si>
    <t>RC202302260008</t>
  </si>
  <si>
    <t>RR202302070005</t>
  </si>
  <si>
    <t>RC202302080006</t>
  </si>
  <si>
    <t>RC202212140003</t>
  </si>
  <si>
    <t>RC202301310005</t>
  </si>
  <si>
    <t>RC202302010009</t>
  </si>
  <si>
    <t>RC202209060012</t>
  </si>
  <si>
    <t>RC202205190015</t>
  </si>
  <si>
    <t>RC202207040001</t>
  </si>
  <si>
    <t>RC202206100016</t>
  </si>
  <si>
    <t>RC202301040007</t>
  </si>
  <si>
    <t>RC202301060015</t>
  </si>
  <si>
    <t>RC202212220023</t>
  </si>
  <si>
    <t>RR202212280004</t>
  </si>
  <si>
    <t>RR202212280009</t>
  </si>
  <si>
    <t>RC202212260017</t>
  </si>
  <si>
    <t>RC202212190011</t>
  </si>
  <si>
    <t>RR202211150008</t>
  </si>
  <si>
    <t>RC202212270011</t>
  </si>
  <si>
    <t>RR202212260018</t>
  </si>
  <si>
    <t>RC202211090001</t>
  </si>
  <si>
    <t>RC202212220026</t>
  </si>
  <si>
    <t>RR202212220002</t>
  </si>
  <si>
    <t>RC202211100040</t>
  </si>
  <si>
    <t>RC202212090030</t>
  </si>
  <si>
    <t>RC202212090031</t>
  </si>
  <si>
    <t>RC202212190029</t>
  </si>
  <si>
    <t>RC202212120024</t>
  </si>
  <si>
    <t>RC202212150006</t>
  </si>
  <si>
    <t>RR202212120009</t>
  </si>
  <si>
    <t>RC202306200012</t>
  </si>
  <si>
    <t>RC202212070014</t>
  </si>
  <si>
    <t>RC202207220033</t>
  </si>
  <si>
    <t>RC202211230028</t>
  </si>
  <si>
    <t>RC202211280003</t>
  </si>
  <si>
    <t>RC202211070003</t>
  </si>
  <si>
    <t>RC202211160023</t>
  </si>
  <si>
    <t>RC202209270015</t>
  </si>
  <si>
    <t>RR202211240011</t>
  </si>
  <si>
    <t>RR202211250005</t>
  </si>
  <si>
    <t>RR202211220012</t>
  </si>
  <si>
    <t>RR202211220003</t>
  </si>
  <si>
    <t>RR202211210005</t>
  </si>
  <si>
    <t>RR202211210006</t>
  </si>
  <si>
    <t>RC202204210013</t>
  </si>
  <si>
    <t>RC202204210012</t>
  </si>
  <si>
    <t>RR202211210003</t>
  </si>
  <si>
    <t>RR202211180010</t>
  </si>
  <si>
    <t>RR202211110003</t>
  </si>
  <si>
    <t>RC202205070006</t>
  </si>
  <si>
    <t>RC202211070005</t>
  </si>
  <si>
    <t>RC202210150001</t>
  </si>
  <si>
    <t>RC202211020025</t>
  </si>
  <si>
    <t>RC202211080004</t>
  </si>
  <si>
    <t>RR202206060001</t>
  </si>
  <si>
    <t>RR202211020005</t>
  </si>
  <si>
    <t>RC202209290030</t>
  </si>
  <si>
    <t>RR202210310003</t>
  </si>
  <si>
    <t>RR202210280004</t>
  </si>
  <si>
    <t>RC202210250010</t>
  </si>
  <si>
    <t>RC202210240014</t>
  </si>
  <si>
    <t>RR202210260011</t>
  </si>
  <si>
    <t>RC202210240008</t>
  </si>
  <si>
    <t>RC202210190011</t>
  </si>
  <si>
    <t>RC202210120009</t>
  </si>
  <si>
    <t>RC202210080009</t>
  </si>
  <si>
    <t>RR202206170005</t>
  </si>
  <si>
    <t>RC202208230004</t>
  </si>
  <si>
    <t>RR202209280006</t>
  </si>
  <si>
    <t>RC202209140003</t>
  </si>
  <si>
    <t>RR202209270002</t>
  </si>
  <si>
    <t>RC202206050001</t>
  </si>
  <si>
    <t>RR202209230008</t>
  </si>
  <si>
    <t>RR202209210003</t>
  </si>
  <si>
    <t>RR202209220001</t>
  </si>
  <si>
    <t>RC202207180031</t>
  </si>
  <si>
    <t>RC202208250019</t>
  </si>
  <si>
    <t>RC202209050017</t>
  </si>
  <si>
    <t>RC202209160014</t>
  </si>
  <si>
    <t>RC202209160013</t>
  </si>
  <si>
    <t>RC202209070003</t>
  </si>
  <si>
    <t>RC202208310016</t>
  </si>
  <si>
    <t>RC202207190011</t>
  </si>
  <si>
    <t>RC202208290025</t>
  </si>
  <si>
    <t>RC202208190001</t>
  </si>
  <si>
    <t>RC202208240010</t>
  </si>
  <si>
    <t>RC202207250031</t>
  </si>
  <si>
    <t>RC202208100010</t>
  </si>
  <si>
    <t>RC202207210029</t>
  </si>
  <si>
    <t>RC202208100009</t>
  </si>
  <si>
    <t>RC202207290005</t>
  </si>
  <si>
    <t>RC202208030003</t>
  </si>
  <si>
    <t>RC202208190019</t>
  </si>
  <si>
    <t>RC202208190018</t>
  </si>
  <si>
    <t>RC202208190017</t>
  </si>
  <si>
    <t>RC202208190016</t>
  </si>
  <si>
    <t>RC202208190015</t>
  </si>
  <si>
    <t>RC202208190014</t>
  </si>
  <si>
    <t>RC202208190013</t>
  </si>
  <si>
    <t>RC202208190012</t>
  </si>
  <si>
    <t>RC202208190011</t>
  </si>
  <si>
    <t>RC202208190010</t>
  </si>
  <si>
    <t>RC202207260024</t>
  </si>
  <si>
    <t>RC202207290013</t>
  </si>
  <si>
    <t>RC202207290012</t>
  </si>
  <si>
    <t>RC202207290007</t>
  </si>
  <si>
    <t>RC202207190017</t>
  </si>
  <si>
    <t>RC202208010005</t>
  </si>
  <si>
    <t>RC202207250034</t>
  </si>
  <si>
    <t>RC202207260018</t>
  </si>
  <si>
    <t>RC202207220105</t>
  </si>
  <si>
    <t>RC202207260019</t>
  </si>
  <si>
    <t>RC202207180024</t>
  </si>
  <si>
    <t>RR202207250001</t>
  </si>
  <si>
    <t>RC202206170009</t>
  </si>
  <si>
    <t>RC202207120008</t>
  </si>
  <si>
    <t>RC202207220009</t>
  </si>
  <si>
    <t>RC202207130142</t>
  </si>
  <si>
    <t>RC202207130140</t>
  </si>
  <si>
    <t>RC202207130139</t>
  </si>
  <si>
    <t>RC202206290025</t>
  </si>
  <si>
    <t>RC202206210025</t>
  </si>
  <si>
    <t>RC202207050009</t>
  </si>
  <si>
    <t>RC202207060014</t>
  </si>
  <si>
    <t>RC202206290002</t>
  </si>
  <si>
    <t>RC202206140008</t>
  </si>
  <si>
    <t>RC202206220015</t>
  </si>
  <si>
    <t>RC202206020017</t>
  </si>
  <si>
    <t>RR202206260001</t>
  </si>
  <si>
    <t>RC202207120049</t>
  </si>
  <si>
    <t>RC202205190017</t>
  </si>
  <si>
    <t>RR202206290004</t>
  </si>
  <si>
    <t>RC202205310001</t>
  </si>
  <si>
    <t>RC202204290014</t>
  </si>
  <si>
    <t>RC202205250009</t>
  </si>
  <si>
    <t>RC202205100007</t>
  </si>
  <si>
    <t>RC202205230006</t>
  </si>
  <si>
    <t>RC202206220009</t>
  </si>
  <si>
    <t>RC202204110006</t>
  </si>
  <si>
    <t>RR202209010007</t>
  </si>
  <si>
    <t>RC202205110011</t>
  </si>
  <si>
    <t>RC202205110001</t>
  </si>
  <si>
    <t>RC202206060003</t>
  </si>
  <si>
    <t>RC202204260002</t>
  </si>
  <si>
    <t>RC202204260001</t>
  </si>
  <si>
    <t>RC202204180006</t>
  </si>
  <si>
    <t>RC202203280002</t>
  </si>
  <si>
    <t>RR202203310001</t>
  </si>
  <si>
    <t>RC202203250011</t>
  </si>
  <si>
    <t>RC202203250025</t>
  </si>
  <si>
    <t>RC202409260009</t>
  </si>
  <si>
    <t>RR202207110007</t>
  </si>
  <si>
    <t>RR202207110008</t>
  </si>
  <si>
    <t>RC202205230011</t>
  </si>
  <si>
    <t>RC202303130007</t>
  </si>
  <si>
    <t>RC202206200009</t>
  </si>
  <si>
    <t>在行假FP项目毛利率达标分析</t>
  </si>
  <si>
    <t>长安汽车-2025-2026年CADDM领域级指标一阶段升级项目-FP项目</t>
  </si>
  <si>
    <t>中移湾区-2025-2026年通用类软件设计与构建支撑服务框架协议（有线巡检平台项目）-TM项目</t>
  </si>
  <si>
    <t>中移湾区-2025-2026年通用类软件支撑服务框架-水利厅TM项目</t>
  </si>
  <si>
    <t>中移湾区-2025-2026年通用类软件支撑服务框架-数据可信BI项目TM项目</t>
  </si>
  <si>
    <t>中移湾区-2025-2026年通用类软件支撑服务框架-数据脱敏TM项目</t>
  </si>
  <si>
    <t>中移湾区-2025-2026年通用类软件支撑服务框架-灵犀九天鸿蒙APPTM项目</t>
  </si>
  <si>
    <t>中移湾区-2025-2026年通用类软件支撑服务框架-数据安全保障TM项目</t>
  </si>
  <si>
    <t>项目暂停</t>
  </si>
  <si>
    <t>转切TM
1~2月项目需求尚未形成基线，需求变更较频繁，因此产出进度填报偏少，按照计划TR4过点后季度结算确认金额后，产出填报补回之前少报部分，预计4月之后逐步追回毛利</t>
  </si>
  <si>
    <t>5/10 自4月起转为TM项目合作模式，当前毛利偏差部分正在通过与客户沟通补充工作量的方式逐步弥补</t>
  </si>
  <si>
    <t>成都鼎桥-2026年ICP框架-山东黄金委托开发三期-FP项目</t>
  </si>
  <si>
    <t>北京励鼎-2026车衣&amp;玻璃膜项目系统开发支持项目-FP项目</t>
  </si>
  <si>
    <t>理想汽车-2026工厂老化和电检测试系统开发项目-FP项目</t>
  </si>
  <si>
    <t>达标</t>
  </si>
  <si>
    <t>无</t>
  </si>
  <si>
    <t>行致互联-2025年车主APP鸿蒙开发三期-FP项目</t>
  </si>
  <si>
    <t>收入成本为0</t>
  </si>
  <si>
    <t>行致互联-2025年车主APP鸿蒙开发二期-FP项目</t>
  </si>
  <si>
    <t>行致互联-2025年车主APP鸿蒙开发-FP项目</t>
  </si>
  <si>
    <t>P202602000029-(假FP）</t>
  </si>
  <si>
    <t>理想-2026年用户运营系统专项需求-FP项目</t>
  </si>
  <si>
    <t>已结项目毛利率达标分析</t>
  </si>
  <si>
    <t>结项毛利率</t>
  </si>
  <si>
    <t>毛利达标</t>
  </si>
  <si>
    <t>不达标原因</t>
  </si>
  <si>
    <t>措施及进展</t>
  </si>
  <si>
    <t>用友-2025年铁塔视联平台开发外包项目-FP项目</t>
  </si>
  <si>
    <t>铁塔项目拉通看：用友-2024-2025年铁塔能源低速充电平台开发外包项目-FP项目、用友-2024-2025年铁塔AIOT平台开发外包项目-FP项目、用友-2025年铁塔视联平台开发外包项目-FP项目、中国铁塔-2024年IT开发能力服务合同框架-PMS系统FP项目。毛利未达标原因：因25年铁塔未中标，涉及提前投入的280万产出回冲。</t>
  </si>
  <si>
    <t>铁塔2025年PMS交付工作量未结算，收入未计入，计划2026年重新中标后补结算</t>
  </si>
  <si>
    <t>史密斯-2025年非生产采购框架-定制开发FP项目</t>
  </si>
  <si>
    <t>史密斯项目为框架+订单模式，由于25年订单减少，人员与鼎桥MCX、UMP进行复用，产出需要拉统4个项目统一审视，整体还原毛利为GP1 18.8%，后续产出会持续在鼎桥项目上调增，拉通毛利达标，项目包括（P202502000280 史密斯/P202311000693 UMP委托开发2023-2024/P202501001105 UMP委托开发2025/P202501001101 MCX委托开发）</t>
  </si>
  <si>
    <t>理想汽车-2024-2026年罗克维尔斯智能商业开发委托协议ODC-2025Q4-FP项目</t>
  </si>
  <si>
    <t>项目从10开始再无新发包，当前ODC项目完成存量业务后，项目结项，产出据实上报</t>
  </si>
  <si>
    <t>常熟酒业-碰碰杯地域性SaaS系统开发项目-FP</t>
  </si>
  <si>
    <t>上线后试运行2个月的成本未在预算中评估，导致成本超预算；</t>
  </si>
  <si>
    <t>3/13 洽谈下一期合同金额的时候，会同客户协商将此部分金额涵盖</t>
  </si>
  <si>
    <t>中电智科-2025-2027年研发支撑服务项目技术服务框架协议-FP项目</t>
  </si>
  <si>
    <t xml:space="preserve"> 预估的工作量上报后被客户核减，预估结项毛利有5%左右，实际结项毛利13%。</t>
  </si>
  <si>
    <t>FP项目运营分析会遗留问题</t>
  </si>
  <si>
    <t>问题描述</t>
  </si>
  <si>
    <t>应对措施描述</t>
  </si>
  <si>
    <t>提出时间</t>
  </si>
  <si>
    <t>责任人</t>
  </si>
  <si>
    <t>计划完成时间</t>
  </si>
  <si>
    <t>实际完成时间</t>
  </si>
  <si>
    <t>当前状态</t>
  </si>
  <si>
    <t>进展</t>
  </si>
  <si>
    <t>翼支付-2024-2025年农垦Tob电商研发项目-FP项目</t>
  </si>
  <si>
    <t>【合同风险】：上一期项目NoPO合同未拿回，导致项目挂起重新立项，该新项目承诺25年8月签回合同</t>
  </si>
  <si>
    <t>【措施】近期的措施是：要延期合同拿回时间，推动樊总批流程；
长期的措施是：推动销售签署合同</t>
  </si>
  <si>
    <t>李剑锋
李大浩（销售侧）</t>
  </si>
  <si>
    <t>关闭</t>
  </si>
  <si>
    <t>8.14 合同拿回时间延期到12/30
7.31 廖总已审批完，合同延期。
7.10 客户已完成采购流程，预计一周内挂网招标
6.19 月底启动招投标；合同延期有待推动报批
6/5  客户内部立项6月底招投标，邮件申请合同延期找宇总审批到廖总。
4.17 客户发起立项流程，预计5月进行第一轮招投标预计300w。24年客户欠160w合计25年共200w左右，通过中电智恒过单。</t>
  </si>
  <si>
    <t>【合同风险】该项目AIG作为总集方与深开鸿合同未签订，原承诺2月内签回现延迟到3月份，导致内部分包给解决方案业务部项目被挂起收入计0</t>
  </si>
  <si>
    <t>【措施】跟进AIG与深开鸿签约进展</t>
  </si>
  <si>
    <t>沙建银（交付侧）
刘贺（销售侧）</t>
  </si>
  <si>
    <t>5.13 合同已拿回上传系统。
4.29AIG侧反馈最新进展，与开鸿合同拿回日期延后到5.30，日期变更申请已邮件报廖总审批通过。</t>
  </si>
  <si>
    <t>【合同风险】项目为NoPO立项，立项承诺合同签署日期为2024.11.15，当前合同尚未签订</t>
  </si>
  <si>
    <t>【措施】问题已纳入部门重点跟踪事项，由项目经理整理验收报告后协同销售侧找客户签字</t>
  </si>
  <si>
    <t>沙建银（交付侧）
张先建（销售侧）</t>
  </si>
  <si>
    <t>9.19 运营审视会上沙哥已确认合同已签订待回款。
7.31 暂无进展
7.10 新销售赵肖飞待述职后去重庆沟通。
6.19 项目经理与客户对接，客户无响应，待求助上升集团
6.4 销售张先建已离职，待新销售交接后找新销售对接。
4.28 销售侧张先建反馈合同最快4月内，最晚5月内可以签回</t>
  </si>
  <si>
    <t>重庆数字陆海新通道门户及驾驶舱建设项目</t>
  </si>
  <si>
    <t>NoPO项目合同风险，当前甲方内部对项目建设成本出处有争议，项目金额缩减的风险很高，合同拿回风险也很高，需要销售侧强力推动</t>
  </si>
  <si>
    <t>关于重庆数字陆海项目nopo金额大，合同风险高的问题，会后由沙建银将项概要情况整理发大勇总，由大勇总帮忙上升至集团层面重点跟进</t>
  </si>
  <si>
    <t>万成林</t>
  </si>
  <si>
    <t>打开</t>
  </si>
  <si>
    <t>会后已由沙建银整理项目概况发送大勇总在集团层面跟进；3月底项目负责人黄海博去重庆与中移集成负责人做了线下沟通，客户负责人承诺会将项目预算的事情专门去跟重庆移动做一次沟通，明确一期费用和二期项目建设内容后再会给我们答复。目前我方现场支撑人力已撤出，在相关问题未明确前暂停投入。</t>
  </si>
  <si>
    <t>关于项目发包不稳定项目断档导致的产出不足，闲置成本增加问题，如何通过销售资源配置从销售入口寻求改善项目经营情况</t>
  </si>
  <si>
    <t>会后讨论是否可以通过增加销售资源和拓宽销售入口来看一看理想有没有其它业务机会，帮这个项目团队多找补一些需求</t>
  </si>
  <si>
    <t>大勇总
任永涛
侯黎明</t>
  </si>
  <si>
    <t>4月初根据需求情况调整人力规模到32人，①根据项目排产情况提前规划人力跨项目投入，减少成本损耗，根据产出任务完成情况考核人员投入工作量，取消周末加班上报。②在常州本地投入驻场人员，减少出差，降低成本。③下订单后根据交付计划签署短期用工合同，减少后期闲置成本。④面向理想采购人员积极沟通争取其他定制类项目，当前挖掘AI需求一个，待报价。4月中标7个订单（总11个），金额190W，产能提升，根据订单进度4月GP1提升到20%。</t>
  </si>
  <si>
    <t>前期部分售前解决方案人力工时填报在项目上导致成本超出，关于售前解决方按协助其他BG和销售组织支撑售前活动相关的人力工时和差旅成本，目前都是解决方案组织内部找项目解决，需要明确合理的成本分摊机制</t>
  </si>
  <si>
    <t>由李剑锋、汤华兴讨论明确售前解决方案支撑场景与相关成本分摊规则，原则上讲：对于打单成功的合同，项目落到哪个交付单元售前成本就由哪个单元承担，打单没中的要明确一个售前成本分摊规则，规则确定后提交晓宇总和顾总审议通过，出个规范正式发文出来，以后按规范执行；对于售前解决方案支撑部门来说，要做好商机的筛选和初审，评判和选择有价值高成功率的商机去投入</t>
  </si>
  <si>
    <t>李剑锋、汤华兴讨论明确规则，晓宇总、顾总审议通过后执行</t>
  </si>
  <si>
    <t>6.19 已落地
5.22 措施落地效果待审视
4.28电信解决方案与销售部月度联席会议上晓宇总、李剑锋及沙建银与销售部顾总、子琦总就该问题做了讨论，初步形成了共识，售前成本归属到对应项目，商机出现如需要输出解决方案和出差支撑客户现场交流的，由对应销售提前邮件向子琦总和顾总报批，根据商机价值和成功概率内部评估可行后再提供成本编码给解决方案做成本填报。</t>
  </si>
  <si>
    <t>1.陕西高法大运维项目
2.陕西消防-2024-2025年电动自行车安全专项整治工作系统-FP项目
3.深圳光明区-2024-2025年鸿蒙物联网平台-鸿蒙FP项目 
三个丢单高风险NoPO项目</t>
  </si>
  <si>
    <t>【合同风险】3个高风险NoPO项目，合同超过承诺日期未签回，当前销售侧反馈大概率丢单，相关收入已回冲，已投入成本要与销售侧明确分摊机制</t>
  </si>
  <si>
    <t>【措施】
1、整理3个项目情况，纳入与AIG沟通议题，与AIG明确沉没成本分摊事宜；
2、完善NoPO立项审批机制，明确要求：对于跨集团的NoPO项目立项合作交付，必须在立项申请邮件中明确和约定清楚，假如将来丢标或者金额缩减的话，沉没成本如何分摊的问题（销售组织和交付组织对半分摊还是怎样？）如果是集团内部的NoPO项目发生上述情况，那就是谁申请的NoPO谁负责承担成本；
3、完善NoPO商机评审机制，输出NoPO商机风险评估Checklist，满足哪些条件，综合评估多高概率才可以决策NoPO提前投入，有明确的决策上升机制，根据标的金额、售前投入金额不同上升到不同的层级进行决策，降低盲目投入风险。</t>
  </si>
  <si>
    <t>大勇总
晓宇总
李剑锋
沙建银</t>
  </si>
  <si>
    <t>9.24 项目授权成本分摊方案初稿完成，需要和各周边部门评审后再在集团汇报
7.31 成本分摊，还需与ABG确认。
7.10 与AIG分摊成本。NOPO相关机制已输出
6.19  解决方案团队已梳理形成商机评估因素Checklist，会后发出并拉通销售组织一起讨论完善并形成执行规范；</t>
  </si>
  <si>
    <t>使用AIGC工具在解决方案业务场景中进一步探索和推广降本增效</t>
  </si>
  <si>
    <t>鸿蒙生态皋春明团队已在项目开发中使用AI编码辅助工具做了使用，会后拉通解决方案团队，组织一次分享，然后找合适项目做尝试并进一步推广</t>
  </si>
  <si>
    <t>【措施】会后拉通皋春明约时间组织一次分享</t>
  </si>
  <si>
    <t>沙建银</t>
  </si>
  <si>
    <t>6.24 双方已拉会组织分享交流</t>
  </si>
  <si>
    <t>农业项目</t>
  </si>
  <si>
    <t>1.农业项目整体核算，结果发给大勇总
2.商机阶段人力投入问题讨论（大勇总、汤总、老沙、白）</t>
  </si>
  <si>
    <t>沙建银（交付侧）
大勇总
汤总</t>
  </si>
  <si>
    <t>1.农业项目整体结果已经发给大勇总
2.8/21 已完成商机阶段的人力投入问题讨论</t>
  </si>
  <si>
    <t>华勤测试项目</t>
  </si>
  <si>
    <t>华勤项目是否能够和泛终端的ODM项目形成人力共用</t>
  </si>
  <si>
    <t>路学海
老白</t>
  </si>
  <si>
    <t>8/20 已完成</t>
  </si>
  <si>
    <t>1.长安汽车-2024-2025年CADDM指标在线分析及优化项目-FP项目
2、长安汽车-2025年企业数字化需求管理系统项目</t>
  </si>
  <si>
    <t>1.长安汽车-2024-2025年CADDM指标在线分析及优化项目-FP项目结项后做好人力安置，下次会议讲一下人员去向
2、长安汽车-2025年企业数字化需求管理系统项目技术服务合同-FP项目 尽最大可能保证项目交付的前提下做好成本管控，争取改善运营结果</t>
  </si>
  <si>
    <t>CADDM项目讲一下人员后续调整去向</t>
  </si>
  <si>
    <t>侯黎明</t>
  </si>
  <si>
    <t>10.29 9月运营损益单月已回正，CADDM项目已结项，需求管理系统的线下真实毛利数据预计结项达成5%。
9.19 运营审视会结论：1、关注单月盈利情况，需守住回正底线；进度填报有问题，建议项目经理弄一版线下真实的NR和成本数据
2、CADDM项目整体按计划收尾，需重点控制二期需求范围和人员成本
8.30 1、CDDM项目二期客户指定我司继续承接，一期项目人员到二期继续投入，9月淘汰置换1人
2、需求管理系统项目8月的成本对比7月已经减少2w</t>
  </si>
  <si>
    <t>罗克维尔斯智能商业项目继续调优回到正常运营水平，下次会议明确回到正常运营水平的时间</t>
  </si>
  <si>
    <t>9月会议汇报当月运营情况</t>
  </si>
  <si>
    <t>10.29 9月运营损益当月已回正。
9.19 运营审视会结论：大勇总要求务必保证单月回正，建议从客户侧寻找预算调整空间。
需建立更严格的人员成本管控机制，优先保障核心业务线盈利。
项目存在持续亏损风险，需加速人员优化和业务转型</t>
  </si>
  <si>
    <t>农业项目群</t>
  </si>
  <si>
    <t>【农业项目群】亏损</t>
  </si>
  <si>
    <t>9月份预期会签一个200多万国产化农业项目，如该项目未签下，则对团队中高成本人员做出调整；</t>
  </si>
  <si>
    <t>10.29 持续跟进中，尚无进展。
9.19 该项目暂无进展</t>
  </si>
  <si>
    <t>南京联创项目</t>
  </si>
  <si>
    <t>南京联创等6个运营填报异常</t>
  </si>
  <si>
    <t>项目10月填报修正</t>
  </si>
  <si>
    <t>10.29 除南京联创外其余项目毛利已正常
9.19 9月产出填报进行纠偏</t>
  </si>
  <si>
    <t>1月项目人数</t>
  </si>
  <si>
    <t>2月项目人数</t>
  </si>
  <si>
    <t>3月项目人数</t>
  </si>
  <si>
    <t>4月项目人数</t>
  </si>
  <si>
    <t>5月项目人数</t>
  </si>
  <si>
    <t>6月项目人数</t>
  </si>
  <si>
    <t>7月项目人数</t>
  </si>
  <si>
    <t>8月项目人数</t>
  </si>
  <si>
    <t>9月项目人数</t>
  </si>
  <si>
    <t>10月项目人数</t>
  </si>
  <si>
    <t>11月项目人数</t>
  </si>
  <si>
    <t>12月项目人数</t>
  </si>
  <si>
    <t>结算方式</t>
  </si>
  <si>
    <t>类别</t>
  </si>
  <si>
    <t>项目整体毛利目标预算</t>
  </si>
  <si>
    <t>项目开始-当前实际累计</t>
  </si>
  <si>
    <t>项目开始-25年实际累计</t>
  </si>
  <si>
    <t>26年YTD实际累计12月</t>
  </si>
  <si>
    <t>26年YTD实际累计11月</t>
  </si>
  <si>
    <t>26年YTD实际累计10月</t>
  </si>
  <si>
    <t>26年YTD实际累计9月</t>
  </si>
  <si>
    <t>26年YTD实际累计8月</t>
  </si>
  <si>
    <t>26年YTD实际累计7月</t>
  </si>
  <si>
    <t>26年YTD实际累计6月</t>
  </si>
  <si>
    <t>26年YTD实际累计5月</t>
  </si>
  <si>
    <t>26年YTD实际累计4月</t>
  </si>
  <si>
    <t>26年YTD实际累计3月</t>
  </si>
  <si>
    <t>26年YTD实际累计2月</t>
  </si>
  <si>
    <t>26年YTD实际累计1月</t>
  </si>
  <si>
    <t>项目周期偏差
（实际-预估）</t>
  </si>
  <si>
    <t>YTD当年偏差
（实际-预估）</t>
  </si>
  <si>
    <t>项目周期偏差原因分析
（截止25年底毛利偏差原因）</t>
  </si>
  <si>
    <t>YTD当年偏差原因分析</t>
  </si>
  <si>
    <t>改进措施</t>
  </si>
  <si>
    <t>真实经营数据</t>
  </si>
  <si>
    <t>2025年</t>
  </si>
  <si>
    <t>2024年</t>
  </si>
  <si>
    <t>2023年</t>
  </si>
  <si>
    <t>无投入</t>
  </si>
  <si>
    <t>工作量结算</t>
  </si>
  <si>
    <t>累计收入（NR）</t>
  </si>
  <si>
    <t>1、因25年铁塔未中标，涉及提前投入的280万产出，回冲
2、项目25年7月结束，之后都是闲置成本挂在项目上</t>
  </si>
  <si>
    <t>1人的闲置/释放成本挂在项目上，持续拉低项目毛利</t>
  </si>
  <si>
    <t>项目已结束，该部分产出已确认追不回</t>
  </si>
  <si>
    <t>人工成本（成本１）</t>
  </si>
  <si>
    <t>闲置成本（成本2）</t>
  </si>
  <si>
    <t>差旅费（成本３）</t>
  </si>
  <si>
    <t>其他成本（成本３）</t>
  </si>
  <si>
    <t>累计成本</t>
  </si>
  <si>
    <t>GP1毛利</t>
  </si>
  <si>
    <t>GP1毛利率(%)</t>
  </si>
  <si>
    <t>GP3毛利</t>
  </si>
  <si>
    <t>GP3毛利率(%)</t>
  </si>
  <si>
    <t>总价进度结算</t>
  </si>
  <si>
    <t>1、长安大数据中心重点项目，咨询+实施+产品运营项目，前期需求调研阶段，客户要求投入流程体系顾问、产品顾问、敏捷专家、 产品经理等高成本人员多，且异地出差费用高，导致成本超预算。6月 7月进入研发测试周期，临时借调人员集中投入导致毛利进一步拉低。
2、项目产出上报偏差问题，当前总体进展70%，项目总金额82W，累计成本49.8W，根据进度实际应上报NR57.4W，项目毛利11.5%，基本达标。</t>
  </si>
  <si>
    <t>预计7月底释放1个顾问，1个UI、3个研发测试人员，8月底释放1个产品顾问，缩减成本</t>
  </si>
  <si>
    <t>结项负毛利。</t>
  </si>
  <si>
    <t>除项目经理外，人员与长安TM、理想项目复用</t>
  </si>
  <si>
    <t>项目实际人数：21人
人力成本表人数：21人，合计17人月</t>
  </si>
  <si>
    <t>项目实际人数：14人
人力成本表人数：14人，合计12.5人月</t>
  </si>
  <si>
    <t>10月交付进度填报偏差大，导致10月的产出多报，在11月进行纠偏回调</t>
  </si>
  <si>
    <t>实际投入与预算尽量贴合，保证产出稳定</t>
  </si>
  <si>
    <t>3/12 2月交付进度已追回，当月毛利回正</t>
  </si>
  <si>
    <t>项目实际人数：14人
人力成本表人数：14人，合计12.67人月</t>
  </si>
  <si>
    <t>项目实际人数：4人
人力成本表人数：4人，合计4人月</t>
  </si>
  <si>
    <t>3/13 25年的差旅成本去年没让报，集中在项目结项最后一个月产生大量的差旅和报销成本</t>
  </si>
  <si>
    <t>3/13 项目结项，在推动客户验收和洽谈下一期。当前整体毛利在6个点，低于预算。</t>
  </si>
  <si>
    <t>中国电信-2024-2025年中国电信安徽电信翼支付平台扩容改造工程项目-FP项目</t>
  </si>
  <si>
    <t>3/13 本次算产出取的是成本进度，项目前期规划成本未使用，导致成本进度低于交付进度。按实际交付进度80%计算，实际产出578727.83*0.8=462982，当前成本39.2w，实际累计毛利14%</t>
  </si>
  <si>
    <t>中国电信江西公司-2025年统一支付平台维保项目-FP项目</t>
  </si>
  <si>
    <t xml:space="preserve">P202408001384 </t>
  </si>
  <si>
    <t>中国移动上海-2024年上海公司电子商务等平台操作系统国产化改造开发项目-FP项目</t>
  </si>
  <si>
    <t>项目变更待提交，产出未知</t>
  </si>
  <si>
    <t>省级电信项目群4个</t>
  </si>
  <si>
    <t>中移信息-2025-2027年一级充值支付中心系统维护服务（中软国际）框架采购-TM项目</t>
  </si>
  <si>
    <t>项目实际人数：40人
人力成本表人数：40人，合计38.67人月</t>
  </si>
  <si>
    <t>项目实际人数：58人
人力成本表人数：58人，合计58人月</t>
  </si>
  <si>
    <t>人头结算</t>
  </si>
  <si>
    <t>还有48w产出未报出：客户要求支援做个创新智能体，成本落在2月，产出3月出来</t>
  </si>
  <si>
    <t>开票报出产出</t>
  </si>
  <si>
    <t>3/13 客户让开发一个业务创新系统，金额48万，本月开票调增后，预计毛利可提升到12%</t>
  </si>
  <si>
    <t>项目合同为延续合同，24年未使用份额进行续签，25年合同预算不足。</t>
  </si>
  <si>
    <t>该项目只收款不报产</t>
  </si>
  <si>
    <t>中移信息-2025-2026年一级充值支付中心系统开发七期-FP项目</t>
  </si>
  <si>
    <t>项目实际人数：20人
人力成本表人数：20人，合计20人月</t>
  </si>
  <si>
    <t>项目实际人数：0人
人力成本表人数：0人，合计0人月</t>
  </si>
  <si>
    <t>3/13 七期项目产出进度填报偏差；本月因封网，人员支援做创新智能体。</t>
  </si>
  <si>
    <t>预计等七期开票验收，剩余产出会全部报出，毛利恢复正常</t>
  </si>
  <si>
    <t>3/13 3月会将产出全部报出，毛利将恢复正常</t>
  </si>
  <si>
    <t>中移信息项目群FP</t>
  </si>
  <si>
    <t>项目实际人数：1人
人力成本表人数：1人，合计1人月</t>
  </si>
  <si>
    <t>10月新立项项目，复用省级项目人员，预估的工作量上报后被客户核减，预估结项毛利有5%左右。
交付进度填报偏差，非省级电信的人员投入，项目经理不知道人员成本，交付进度报少了</t>
  </si>
  <si>
    <t>缩短投入人力，减少成本，从4人月减少到1个月</t>
  </si>
  <si>
    <t>3/13 预估的工作量上报后被客户核减，预估结项毛利有5%左右，实际结项毛利13%。</t>
  </si>
  <si>
    <t>项目实际人数：6人
人力成本表人数：6人，合计4.62人月</t>
  </si>
  <si>
    <t>项目实际人数：6人
人力成本表人数：6人，合计6人月</t>
  </si>
  <si>
    <t>3/13 交付进度低于成本进度，原因是项目延期，依赖的装修进度延后，以及第三方的产品未到货。</t>
  </si>
  <si>
    <t>估计要延后到5 ~6月。3月份就只投入1个人对接了，其它工作都暂停。</t>
  </si>
  <si>
    <t>3月只留1人，其他人员挪到其他项目支撑。</t>
  </si>
  <si>
    <t>项目实际人数：16人
人力成本表人数：16人，合计9.43人月</t>
  </si>
  <si>
    <t>项目实际人数：22人
人力成本表人数：22人，合计20.7人月</t>
  </si>
  <si>
    <t>项目暂停，交接期成本大于产出</t>
  </si>
  <si>
    <t>人员投入ICP框架下其他项目，ICP框架合同下毛利达标</t>
  </si>
  <si>
    <t>实际已结项</t>
  </si>
  <si>
    <t>P202501001101
假FP</t>
  </si>
  <si>
    <t>过点前项目需求尚未形成基线，存在需求变更等，因此产出填报较少</t>
  </si>
  <si>
    <t>按照项目交付计划过点季度结算确认金额后，产出填报补回之前少报部分。</t>
  </si>
  <si>
    <t>P202603000336</t>
  </si>
  <si>
    <t>江苏端木-2026年OneNET一体交付服务2025年第一批-数智西塞项目(一期)-FP项目</t>
  </si>
  <si>
    <t>项目实际人数：xx人
人力成本表人数：xx人，合计xx人月</t>
  </si>
  <si>
    <t>P202603000504</t>
  </si>
  <si>
    <t>深圳移动-2026年-深圳民政局政务服务能力提升项目-FP项目</t>
  </si>
  <si>
    <t>2025.12月底合同签回，金额调整为65.1万，重新报批毛利率目标为38%左右；
2025.11月NoPO超期合同未签回，收入回冲</t>
  </si>
  <si>
    <t>客户已启动内部合同盖章流程，预计12月底前可签回</t>
  </si>
  <si>
    <t>系统计算收入偏差所致，按实际完工进度测算毛利率为35%
(114716.98-74453.93)/114716.98=0.35</t>
  </si>
  <si>
    <t xml:space="preserve"> -   </t>
  </si>
  <si>
    <t>进度填报偏差，PM对人力成本没估准导致</t>
  </si>
  <si>
    <t>下月按照实际成本调整填报进度</t>
  </si>
  <si>
    <t>中移集成-2025年北京市某单位开发服务080273甄选项目-FP项目</t>
  </si>
  <si>
    <t>系统计算收入偏差，按实际完工进度测算毛利率为-1%
(798581.8-806736.11)/798581.8=-1.02%</t>
  </si>
  <si>
    <t>前期投入成本高于预算，12月预计投入人力控制在3人月以内</t>
  </si>
  <si>
    <t>2025年已结项</t>
  </si>
  <si>
    <t>2026年已结项</t>
  </si>
  <si>
    <t>四川大学-2025年机电系统创新设计辅助软件-FP项目</t>
  </si>
  <si>
    <t>项目启动初期处于进度爬坡期，因AES以填报进度与成本进度取小计收入，导致7月计入收入低于实际，9月交付进度已填报至90%，成本进度只有40%</t>
  </si>
  <si>
    <t>后续正常交付会逐步拉升至正常毛利水平</t>
  </si>
  <si>
    <t>当前毛利率已达到立项目标</t>
  </si>
  <si>
    <t xml:space="preserve"> 2026-06-30</t>
  </si>
  <si>
    <t>因4月项目经理填报进度偏差导致交付进度低于成本完工进度，5月已拉回一部分，6月项目暂停投入，剩余部分后续月份逐步拉回</t>
  </si>
  <si>
    <t>已提醒项目经理系统进度计算逻辑，项目经理重新测算后在下月填报时予以纠正</t>
  </si>
  <si>
    <t>6月项目暂停投入，7月重新启动交付后逐步拉回毛利率</t>
  </si>
  <si>
    <t>项目24年nopo立项金额250万，合同签回后金额缩减为100万（通过联创过单），导致预算毛利率为负（PM发起变更流程按缩减后金额变更人力投入成本预算）</t>
  </si>
  <si>
    <t>8月因项目变更未及时审批通过导致无法填报收入；
25年1月开始投入交付，项目经理未填报进度导致未计入收入，4~5月PM已填报拉升进度，6月漏填进度</t>
  </si>
  <si>
    <t>项目经理根据合同金额调整和变更成本计划，4月补报交付进度</t>
  </si>
  <si>
    <t>项目预算成本已于4.17完成变更；5月已补填交付进度至49.64%，随着进度进度持续拉升，预计整体毛利率可以达成</t>
  </si>
  <si>
    <t>P202603000287</t>
  </si>
  <si>
    <t>中国电信江西公司-2026年统一支付平台维保项目-FP项目</t>
  </si>
  <si>
    <t>测算整体亏损约6.2万，2~3月人力投入超支，另外5~6月额外投入1名驻场产品人员现场牵引和收集二期需求，该部分成本属于本期项目计划外成本；7月份项目变更延期，加入3年运维期</t>
  </si>
  <si>
    <t>12月：关于补充需求开发事宜，经BU总请示晓宇总后决定继续投入开发，使得项目可验收并把剩余的75万待收款要回来。
补充需求的开发成本仍从当前项目里面出，领导已知悉项目亏损会进一步拉大。</t>
  </si>
  <si>
    <t>项目nopo到期合同未签回被挂起，已填报收入冲回</t>
  </si>
  <si>
    <t>立项合同金额400万，实际签回金额306.84万，缩减近100万导致实际毛利率未达到预算水平</t>
  </si>
  <si>
    <t>数字陆海项目nopo金额大，合同风险高，已上升至集团层面重点跟进；4月底我方现场支撑人力已撤出，在与客户就一期费用和二期项目建设内容等相关问题未明确前不再投入。</t>
  </si>
  <si>
    <t>8.15 暂无新进展
7.10  中移反馈因涉及一部分增项需求与甲方就报价金额还没谈拢，目前还在商谈中，等具体金额确定以后才能启动签约
6/26 4月因合同超期未签回收入被回冲，其中数字陆海项目5月重新申请延迟签回日期至9月底，现系统内累计填报收入已恢复；中移集成反馈6月份发包，预计下月可以签订合同。</t>
  </si>
  <si>
    <t>项目前几个月交付进度填报过高，经与运营沟通后从4月开始回调了进度，导致毛利率偏低</t>
  </si>
  <si>
    <t>按未来收入和成本整体测算全周期毛利率高于预算目标</t>
  </si>
  <si>
    <t>项目已转切鸿蒙交付，7月开始不再跟踪</t>
  </si>
  <si>
    <t>2025年7月转切鸿蒙组织，电信不再跟踪</t>
  </si>
  <si>
    <t>6月人员投入远景能源项目未填报收入</t>
  </si>
  <si>
    <t>审计署审计干部培训中心（审计宣传中心）-信息报送系统2025年度运维服务合同-FP项目</t>
  </si>
  <si>
    <t>周期性运维项目，系统每月自动计入收入，复用人力支撑</t>
  </si>
  <si>
    <t>甘肃省畜牧技术推广总站-2024-2025年甘肃省畜牧业统计监测系统项目运行维护合同-FP项目</t>
  </si>
  <si>
    <t>周期性运维项目，系统每月自动计入收入，1月一次性计入云服务器采购成本导致毛利为负，全周期毛利率水平与预算一致</t>
  </si>
  <si>
    <t>按成本目标规划投入</t>
  </si>
  <si>
    <t>项目全周期毛利率达标；
农业老项目，24年已交付完，当前在运维期，25年8~12月为报剩余产出填报工时与进度；
25年7月成本为农业采集运维项目部分运维人力成本，该项目于6.底结项，续期合同7月才开始招标故7月无法立项。</t>
  </si>
  <si>
    <t>当前测算毛利率高于预算，原因是实际投入人力成本低于预算</t>
  </si>
  <si>
    <t>全国畜牧总站-2025年度畜牧业综合信息平台种畜禽运维项目-fp项目</t>
  </si>
  <si>
    <t>周期性运维项目，系统每月自动计入收入，4~8月每月投入人力成本1.86万超出预算</t>
  </si>
  <si>
    <t>11月投入0.48万成本降低</t>
  </si>
  <si>
    <t>中监所-2025年OA办公系统升级改造项目-研究生管理模块-FP项目</t>
  </si>
  <si>
    <t>固定投入1人，人力成本已超出预算</t>
  </si>
  <si>
    <t>建议项目经理及时变更后续月份成本投入计划</t>
  </si>
  <si>
    <t>全国畜牧总站-畜牧核心数据查询APP开发-FP项目</t>
  </si>
  <si>
    <t>项目已于12月中旬上线了并验收回款，后面不再投入。已投入成本超出预算2W，预计全周期GP3%毛利率7.55%</t>
  </si>
  <si>
    <t>后续不再投入人力，随着交付进度提升毛利率</t>
  </si>
  <si>
    <t>农业农村部信息中心-农业信息采集系统2025年度运行维护服务项目-FP运维</t>
  </si>
  <si>
    <t>全国畜牧总站-2025年农生物育种大数据与知识产权支撑体系建设联合实施4-FP项目（有分包）</t>
  </si>
  <si>
    <t>农业科研项目，12月成本13.76万，超出当月NR 2.9万，导致亏损</t>
  </si>
  <si>
    <t>d</t>
  </si>
  <si>
    <t>中国兽医药品监察所-2025-2026年OA办公系统运行维护服务-FP项目</t>
  </si>
  <si>
    <t>农业运维项目，收入由系统每月自动计入，成本视实际投入情况填报</t>
  </si>
  <si>
    <t>审计署审计干部培训中心（审计宣传中心）-信息报送系统2026年度运维服务合同-FP项目</t>
  </si>
  <si>
    <t>甘肃省畜牧技术推广总站-甘肃省畜牧业统计监测系统项目2026年度运维-FP项目</t>
  </si>
  <si>
    <t>全国畜牧总站-2026年畜牧核心数据查询APP（牧数查）项目-FP项目</t>
  </si>
  <si>
    <t>P202603000431</t>
  </si>
  <si>
    <t>全国畜牧总站-畜牧业综合信息平台种畜禽子系统2026年度运维-FP项目</t>
  </si>
  <si>
    <t>史密斯2023框架合同
（2月投入10人，合计10人月）</t>
  </si>
  <si>
    <t>系统毛利填写错误，实际毛利待确认</t>
  </si>
  <si>
    <t>1、当前项目在原定合同上进行增补，目前协议还未签回，只有客户正式邮件，历史产出本月财务进度扎差，预估扎差80W。
2、10月产出未填报到系统中。
还原GP：10月GP1% 10%，GP3% 10%，25年YTDGP1 3.98%</t>
  </si>
  <si>
    <t>1月进展：临时投入几天，合同增加追踪中。
12月进展：
交付进展：12月19日人力5人，12.24日人员撤出，本月交付结项。
合同情况：主合同950W，增补合同已拿回25W，170W正在流程中，剩余金额客户方正在申请中，预估26年Q1能拿回。
毛利率预估：预估毛利YTDGP3 2%～3%。</t>
  </si>
  <si>
    <t>YTD GP3 %～3%。</t>
  </si>
  <si>
    <t>项目实际人数：12人
人力成本表人数：12人，合计12人月</t>
  </si>
  <si>
    <t>项目实际人数：10人
人力成本表人数：10人，合计9.75人月</t>
  </si>
  <si>
    <t>之前立项时未将分包收入支出单独立项
，产出存在超报，当前已经将分包项目单独立项，需调整产出保证数据证实，再进么2-3个月调整，当前实际产出是300W，减去78W的汕头分包</t>
  </si>
  <si>
    <t>1、需调整产出保证数据据实。
2、进行人员成本优化</t>
  </si>
  <si>
    <t>理想汽车(Q1-Q4)</t>
  </si>
  <si>
    <t>项目实际人数：11人
人力成本表人数：8.19人，合计8.19人月</t>
  </si>
  <si>
    <t>项目实际人数：17人
人力成本表人数：23人，合计19.68人月</t>
  </si>
  <si>
    <t>进度</t>
  </si>
  <si>
    <t>2月产出报少</t>
  </si>
  <si>
    <t>1、根据项目实际进度填报产出
2、每月根据项目情况，对项目排产计划及进度计划进行审视，控制当前人力成本。</t>
  </si>
  <si>
    <t>P202510000728-(假FP）</t>
  </si>
  <si>
    <t>人力成本表人数：10人，合计10人月</t>
  </si>
  <si>
    <t>人/天</t>
  </si>
  <si>
    <t>P202601001343-(假FP）</t>
  </si>
  <si>
    <t>人力成本表人数：3人，合计3人月</t>
  </si>
  <si>
    <t>人力成本表人数：3人，合计1.75人月</t>
  </si>
  <si>
    <t>P202512000528-(假FP）</t>
  </si>
  <si>
    <t>人力成本表人数：31人，合计29.5人月</t>
  </si>
  <si>
    <t>人力成本表人数：30人，合计29.94人月</t>
  </si>
  <si>
    <t>工作量+人月</t>
  </si>
  <si>
    <t>P202601001110-(假FP）</t>
  </si>
  <si>
    <t>人力成本表人数：2人，合计2人月</t>
  </si>
  <si>
    <t>人力成本表人数：1人，合计1人月</t>
  </si>
  <si>
    <t>P202508000030-（假FP）</t>
  </si>
  <si>
    <t>人力成本表人数：0人，合计0人月</t>
  </si>
  <si>
    <t>P202508000034-（假FP）</t>
  </si>
  <si>
    <t>P202507000892-（假FP）</t>
  </si>
  <si>
    <t>未开始</t>
  </si>
  <si>
    <t>项目开始-24年实际累计</t>
  </si>
  <si>
    <t>25年YTD实际累计9月</t>
  </si>
  <si>
    <t>25年YTD实际累计8月</t>
  </si>
  <si>
    <t>25年YTD实际累计7月</t>
  </si>
  <si>
    <t>25年YTD实际累计6月</t>
  </si>
  <si>
    <t>25年YTD实际累计5月</t>
  </si>
  <si>
    <t>25年YTD实际累计4月</t>
  </si>
  <si>
    <t>25年YTD实际累计3月</t>
  </si>
  <si>
    <t>25年YTD实际累计2月</t>
  </si>
  <si>
    <t>25年YTD实际累计1月</t>
  </si>
  <si>
    <t>项目周期偏差原因分析
（截止24年底毛利偏差原因）</t>
  </si>
  <si>
    <t>无投入，已结项</t>
  </si>
  <si>
    <t>中移动信息2022-2024年智慧中台运营中心一级充值支付中心系统维护服务(中软国际)框架采购合同</t>
  </si>
  <si>
    <t>中移动信息-应用软件开发与集成服务采购2023-2024-一级充值支付中心五期FP项目
（无投入）</t>
  </si>
  <si>
    <t>项目实际人数：42人
人力成本表人数：42人，合计42人月</t>
  </si>
  <si>
    <t>项目实际人数：36人
人力成本表人数：35.85人，合计38.85人月</t>
  </si>
  <si>
    <t>项目实际人数：37人
人力成本表人数：37人，合计37人月</t>
  </si>
  <si>
    <t>项目实际人数：39人
人力成本表人数：39人，合计39人月</t>
  </si>
  <si>
    <t>剔除分包5个点，系统预算毛利目标16.75%</t>
  </si>
  <si>
    <t>项目实际人数：22人
人力成本表人数：22人，合计22人月</t>
  </si>
  <si>
    <t>项目实际人数：21人
人力成本表人数：20.2人，合计20.2人月</t>
  </si>
  <si>
    <t>9月无投入</t>
  </si>
  <si>
    <t>项目合同为延续合同，24年未使用份额进行续签，25年合同预算不足。
剔除分包10个点，系统预算毛利目标35.94%</t>
  </si>
  <si>
    <t>该项目不挂成本不报产出，只收款</t>
  </si>
  <si>
    <t xml:space="preserve">剔除分包10个点，系统预算毛利目标16.88%
</t>
  </si>
  <si>
    <t>剔除分包10个点，系统预算毛利目标16.88%</t>
  </si>
  <si>
    <t>P202501000425
P202408001430
P202408001384  P202506000735</t>
  </si>
  <si>
    <t>省级项目群</t>
  </si>
  <si>
    <t>多项目整合</t>
  </si>
  <si>
    <t>项目实际人数：5人
人力成本表人数：5人，合计5人月</t>
  </si>
  <si>
    <t>项目实际人数：0人，
人力成本表人数：0人，合计0人月</t>
  </si>
  <si>
    <t>项目实际人数：2人，
人力成本表人数：2人，合计2人月</t>
  </si>
  <si>
    <t>项目实际人数：5人，
人力成本表人数：5人，合计5人月</t>
  </si>
  <si>
    <t>项目实际人数：1人，
人力成本表人数：1人，合计1人月</t>
  </si>
  <si>
    <t>每月从FP项目排产表取全量的在行项目</t>
  </si>
  <si>
    <t>低毛利的项目，需项目经理提供项目预算，预估毛利达标时间给QA，单独管理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</si>
</sst>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mmm/yy;@"/>
    <numFmt numFmtId="177" formatCode="0.00_);[Red]\(0.00\)"/>
    <numFmt numFmtId="178" formatCode="yyyy/m/d;@"/>
    <numFmt numFmtId="179" formatCode="0.0%"/>
    <numFmt numFmtId="180" formatCode="0.00_ "/>
    <numFmt numFmtId="181" formatCode="0.000_ "/>
    <numFmt numFmtId="182" formatCode="yyyy/mm/dd"/>
  </numFmts>
  <fonts count="60">
    <font>
      <sz val="11"/>
      <color theme="1"/>
      <name val="等线"/>
      <charset val="134"/>
      <scheme val="minor"/>
    </font>
    <font>
      <sz val="8"/>
      <color theme="1"/>
      <name val="微软雅黑"/>
      <charset val="134"/>
    </font>
    <font>
      <sz val="11"/>
      <color theme="1"/>
      <name val="微软雅黑"/>
      <charset val="134"/>
    </font>
    <font>
      <b/>
      <sz val="9"/>
      <name val="微软雅黑"/>
      <charset val="134"/>
    </font>
    <font>
      <b/>
      <sz val="9"/>
      <color rgb="FFFF0000"/>
      <name val="微软雅黑"/>
      <charset val="134"/>
    </font>
    <font>
      <sz val="9"/>
      <name val="微软雅黑"/>
      <charset val="134"/>
    </font>
    <font>
      <sz val="9"/>
      <color rgb="FF000000"/>
      <name val="微软雅黑"/>
      <charset val="134"/>
    </font>
    <font>
      <sz val="9"/>
      <color theme="1"/>
      <name val="微软雅黑"/>
      <charset val="134"/>
    </font>
    <font>
      <sz val="9"/>
      <color rgb="FFFF0000"/>
      <name val="微软雅黑"/>
      <charset val="134"/>
    </font>
    <font>
      <b/>
      <sz val="9"/>
      <color theme="1"/>
      <name val="微软雅黑"/>
      <charset val="134"/>
    </font>
    <font>
      <sz val="9"/>
      <color rgb="FF606266"/>
      <name val="微软雅黑"/>
      <charset val="134"/>
    </font>
    <font>
      <b/>
      <sz val="8"/>
      <color theme="1"/>
      <name val="微软雅黑"/>
      <charset val="134"/>
    </font>
    <font>
      <b/>
      <sz val="11"/>
      <color theme="1"/>
      <name val="等线"/>
      <charset val="134"/>
      <scheme val="minor"/>
    </font>
    <font>
      <sz val="9"/>
      <color indexed="8"/>
      <name val="微软雅黑"/>
      <charset val="134"/>
    </font>
    <font>
      <sz val="10.5"/>
      <color rgb="FF606266"/>
      <name val="等线"/>
      <charset val="134"/>
      <scheme val="minor"/>
    </font>
    <font>
      <b/>
      <sz val="10.5"/>
      <color rgb="FF606266"/>
      <name val="等线"/>
      <charset val="134"/>
      <scheme val="minor"/>
    </font>
    <font>
      <sz val="10"/>
      <color theme="1"/>
      <name val="微软雅黑"/>
      <charset val="134"/>
    </font>
    <font>
      <sz val="11"/>
      <color rgb="FF000000"/>
      <name val="等线"/>
      <charset val="134"/>
      <scheme val="minor"/>
    </font>
    <font>
      <b/>
      <sz val="11"/>
      <color theme="1"/>
      <name val="微软雅黑"/>
      <charset val="134"/>
    </font>
    <font>
      <b/>
      <sz val="9"/>
      <color rgb="FF000000"/>
      <name val="微软雅黑"/>
      <charset val="134"/>
    </font>
    <font>
      <sz val="8"/>
      <color rgb="FF000000"/>
      <name val="微软雅黑"/>
      <charset val="134"/>
    </font>
    <font>
      <b/>
      <sz val="10"/>
      <color rgb="FF000000"/>
      <name val="微软雅黑"/>
      <charset val="134"/>
    </font>
    <font>
      <b/>
      <sz val="8"/>
      <color rgb="FF000000"/>
      <name val="微软雅黑"/>
      <charset val="134"/>
    </font>
    <font>
      <sz val="8"/>
      <color rgb="FFFF0000"/>
      <name val="微软雅黑"/>
      <charset val="134"/>
    </font>
    <font>
      <sz val="11"/>
      <color rgb="FFFF0000"/>
      <name val="微软雅黑"/>
      <charset val="134"/>
    </font>
    <font>
      <b/>
      <sz val="8"/>
      <color rgb="FFFF0000"/>
      <name val="微软雅黑"/>
      <charset val="134"/>
    </font>
    <font>
      <sz val="8"/>
      <name val="微软雅黑"/>
      <charset val="134"/>
    </font>
    <font>
      <sz val="11"/>
      <color rgb="FF000000"/>
      <name val="微软雅黑"/>
      <charset val="134"/>
    </font>
    <font>
      <b/>
      <sz val="10"/>
      <color rgb="FFFFFFFF"/>
      <name val="宋体"/>
      <charset val="134"/>
    </font>
    <font>
      <b/>
      <sz val="10"/>
      <color rgb="FFFF0000"/>
      <name val="宋体"/>
      <charset val="134"/>
    </font>
    <font>
      <sz val="10"/>
      <name val="宋体"/>
      <charset val="134"/>
    </font>
    <font>
      <sz val="10"/>
      <color rgb="FF000000"/>
      <name val="宋体"/>
      <charset val="134"/>
    </font>
    <font>
      <sz val="10"/>
      <color rgb="FF606266"/>
      <name val="微软雅黑"/>
      <charset val="134"/>
    </font>
    <font>
      <sz val="10"/>
      <color rgb="FFFF0000"/>
      <name val="微软雅黑"/>
      <charset val="134"/>
    </font>
    <font>
      <sz val="6"/>
      <color theme="1"/>
      <name val="微软雅黑"/>
      <charset val="134"/>
    </font>
    <font>
      <sz val="9"/>
      <color theme="1"/>
      <name val="等线"/>
      <charset val="134"/>
      <scheme val="minor"/>
    </font>
    <font>
      <sz val="9"/>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sz val="10"/>
      <name val="宋体"/>
      <charset val="134"/>
    </font>
    <font>
      <b/>
      <sz val="9"/>
      <name val="宋体"/>
      <charset val="134"/>
    </font>
    <font>
      <sz val="9"/>
      <name val="宋体"/>
      <charset val="134"/>
    </font>
  </fonts>
  <fills count="62">
    <fill>
      <patternFill patternType="none"/>
    </fill>
    <fill>
      <patternFill patternType="gray125"/>
    </fill>
    <fill>
      <patternFill patternType="solid">
        <fgColor theme="4" tint="0.599993896298105"/>
        <bgColor indexed="64"/>
      </patternFill>
    </fill>
    <fill>
      <patternFill patternType="solid">
        <fgColor rgb="FFFFFF00"/>
        <bgColor indexed="64"/>
      </patternFill>
    </fill>
    <fill>
      <patternFill patternType="solid">
        <fgColor rgb="FFD9D9D9"/>
        <bgColor indexed="64"/>
      </patternFill>
    </fill>
    <fill>
      <patternFill patternType="solid">
        <fgColor theme="0" tint="-0.249977111117893"/>
        <bgColor indexed="64"/>
      </patternFill>
    </fill>
    <fill>
      <patternFill patternType="solid">
        <fgColor theme="7" tint="0.799462874233222"/>
        <bgColor indexed="64"/>
      </patternFill>
    </fill>
    <fill>
      <patternFill patternType="solid">
        <fgColor theme="0" tint="-0.149937437055574"/>
        <bgColor indexed="64"/>
      </patternFill>
    </fill>
    <fill>
      <patternFill patternType="solid">
        <fgColor theme="7" tint="0.799432355723746"/>
        <bgColor indexed="64"/>
      </patternFill>
    </fill>
    <fill>
      <patternFill patternType="solid">
        <fgColor theme="0"/>
        <bgColor indexed="64"/>
      </patternFill>
    </fill>
    <fill>
      <patternFill patternType="solid">
        <fgColor rgb="FFFFFFFF"/>
        <bgColor indexed="64"/>
      </patternFill>
    </fill>
    <fill>
      <patternFill patternType="solid">
        <fgColor rgb="FFF5F7FA"/>
        <bgColor indexed="64"/>
      </patternFill>
    </fill>
    <fill>
      <patternFill patternType="solid">
        <fgColor rgb="FFE2F0D9"/>
        <bgColor indexed="64"/>
      </patternFill>
    </fill>
    <fill>
      <patternFill patternType="solid">
        <fgColor theme="0" tint="-0.15"/>
        <bgColor indexed="64"/>
      </patternFill>
    </fill>
    <fill>
      <patternFill patternType="solid">
        <fgColor theme="0" tint="-0.25"/>
        <bgColor indexed="64"/>
      </patternFill>
    </fill>
    <fill>
      <patternFill patternType="solid">
        <fgColor rgb="FFDBDBDB"/>
        <bgColor indexed="64"/>
      </patternFill>
    </fill>
    <fill>
      <patternFill patternType="solid">
        <fgColor rgb="FFFFF2CC"/>
        <bgColor indexed="64"/>
      </patternFill>
    </fill>
    <fill>
      <patternFill patternType="solid">
        <fgColor rgb="FFBFBFBF"/>
        <bgColor indexed="64"/>
      </patternFill>
    </fill>
    <fill>
      <patternFill patternType="solid">
        <fgColor rgb="FFAFABAB"/>
        <bgColor indexed="64"/>
      </patternFill>
    </fill>
    <fill>
      <patternFill patternType="solid">
        <fgColor rgb="FFFFFF00"/>
        <bgColor rgb="FF000000"/>
      </patternFill>
    </fill>
    <fill>
      <patternFill patternType="solid">
        <fgColor rgb="FFCCFFFF"/>
        <bgColor indexed="64"/>
      </patternFill>
    </fill>
    <fill>
      <patternFill patternType="solid">
        <fgColor rgb="FFBDD7EE"/>
        <bgColor rgb="FF000000"/>
      </patternFill>
    </fill>
    <fill>
      <patternFill patternType="solid">
        <fgColor rgb="FFE2F0D9"/>
        <bgColor rgb="FF000000"/>
      </patternFill>
    </fill>
    <fill>
      <patternFill patternType="solid">
        <fgColor theme="4" tint="0.6"/>
        <bgColor indexed="64"/>
      </patternFill>
    </fill>
    <fill>
      <patternFill patternType="solid">
        <fgColor rgb="FFBDD7EE"/>
        <bgColor indexed="64"/>
      </patternFill>
    </fill>
    <fill>
      <patternFill patternType="solid">
        <fgColor theme="7" tint="0.8"/>
        <bgColor indexed="64"/>
      </patternFill>
    </fill>
    <fill>
      <patternFill patternType="solid">
        <fgColor rgb="FFFBE5D6"/>
        <bgColor indexed="64"/>
      </patternFill>
    </fill>
    <fill>
      <patternFill patternType="solid">
        <fgColor rgb="FF0066CC"/>
        <bgColor rgb="FF000000"/>
      </patternFill>
    </fill>
    <fill>
      <patternFill patternType="solid">
        <fgColor rgb="FF0066CC"/>
        <bgColor indexed="64"/>
      </patternFill>
    </fill>
    <fill>
      <patternFill patternType="solid">
        <fgColor theme="9" tint="0.8"/>
        <bgColor indexed="64"/>
      </patternFill>
    </fill>
    <fill>
      <patternFill patternType="solid">
        <fgColor rgb="FFF2DCDB"/>
        <bgColor indexed="64"/>
      </patternFill>
    </fill>
    <fill>
      <patternFill patternType="solid">
        <fgColor rgb="FFFFD966"/>
        <bgColor indexed="64"/>
      </patternFill>
    </fill>
    <fill>
      <patternFill patternType="solid">
        <fgColor theme="9"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66">
    <border>
      <left/>
      <right/>
      <top/>
      <bottom/>
      <diagonal/>
    </border>
    <border>
      <left style="medium">
        <color auto="1"/>
      </left>
      <right style="thin">
        <color auto="1"/>
      </right>
      <top style="medium">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style="thin">
        <color rgb="FF000000"/>
      </left>
      <right/>
      <top/>
      <bottom style="thin">
        <color rgb="FF000000"/>
      </bottom>
      <diagonal/>
    </border>
    <border>
      <left style="thin">
        <color auto="1"/>
      </left>
      <right/>
      <top style="thin">
        <color auto="1"/>
      </top>
      <bottom style="thin">
        <color auto="1"/>
      </bottom>
      <diagonal/>
    </border>
    <border>
      <left style="thin">
        <color rgb="FF000000"/>
      </left>
      <right/>
      <top/>
      <bottom/>
      <diagonal/>
    </border>
    <border>
      <left style="thin">
        <color auto="1"/>
      </left>
      <right/>
      <top style="thin">
        <color auto="1"/>
      </top>
      <bottom/>
      <diagonal/>
    </border>
    <border>
      <left style="thin">
        <color rgb="FF000000"/>
      </left>
      <right style="thin">
        <color auto="1"/>
      </right>
      <top style="thin">
        <color auto="1"/>
      </top>
      <bottom style="thin">
        <color auto="1"/>
      </bottom>
      <diagonal/>
    </border>
    <border>
      <left style="thin">
        <color rgb="FF000000"/>
      </left>
      <right style="thin">
        <color auto="1"/>
      </right>
      <top/>
      <bottom/>
      <diagonal/>
    </border>
    <border>
      <left style="thin">
        <color rgb="FF000000"/>
      </left>
      <right style="thin">
        <color auto="1"/>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rgb="FF000000"/>
      </left>
      <right/>
      <top style="thin">
        <color rgb="FF000000"/>
      </top>
      <bottom style="thin">
        <color rgb="FF000000"/>
      </bottom>
      <diagonal/>
    </border>
    <border>
      <left/>
      <right style="medium">
        <color rgb="FFEBEEF5"/>
      </right>
      <top/>
      <bottom style="medium">
        <color rgb="FFEBEEF5"/>
      </bottom>
      <diagonal/>
    </border>
    <border>
      <left/>
      <right style="thin">
        <color auto="1"/>
      </right>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rgb="FF000000"/>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bottom style="thin">
        <color auto="1"/>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rgb="FF000000"/>
      </bottom>
      <diagonal/>
    </border>
    <border>
      <left style="thin">
        <color rgb="FF000000"/>
      </left>
      <right/>
      <top style="thin">
        <color rgb="FF000000"/>
      </top>
      <bottom/>
      <diagonal/>
    </border>
    <border>
      <left/>
      <right style="medium">
        <color rgb="FFEBEEF5"/>
      </right>
      <top/>
      <bottom/>
      <diagonal/>
    </border>
    <border>
      <left/>
      <right style="thin">
        <color auto="1"/>
      </right>
      <top style="thin">
        <color auto="1"/>
      </top>
      <bottom style="thin">
        <color auto="1"/>
      </bottom>
      <diagonal/>
    </border>
    <border>
      <left/>
      <right style="thin">
        <color auto="1"/>
      </right>
      <top style="thin">
        <color auto="1"/>
      </top>
      <bottom style="thin">
        <color rgb="FF000000"/>
      </bottom>
      <diagonal/>
    </border>
    <border>
      <left/>
      <right style="thin">
        <color auto="1"/>
      </right>
      <top/>
      <bottom style="thin">
        <color rgb="FF000000"/>
      </bottom>
      <diagonal/>
    </border>
    <border>
      <left style="thin">
        <color rgb="FF000000"/>
      </left>
      <right/>
      <top style="thin">
        <color auto="1"/>
      </top>
      <bottom style="thin">
        <color auto="1"/>
      </bottom>
      <diagonal/>
    </border>
    <border>
      <left style="thin">
        <color rgb="FF000000"/>
      </left>
      <right/>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bottom/>
      <diagonal/>
    </border>
    <border>
      <left style="thin">
        <color auto="1"/>
      </left>
      <right style="thin">
        <color rgb="FF000000"/>
      </right>
      <top/>
      <bottom style="thin">
        <color auto="1"/>
      </bottom>
      <diagonal/>
    </border>
    <border>
      <left/>
      <right/>
      <top style="thin">
        <color rgb="FF000000"/>
      </top>
      <bottom style="thin">
        <color rgb="FF000000"/>
      </bottom>
      <diagonal/>
    </border>
    <border>
      <left/>
      <right/>
      <top style="thin">
        <color auto="1"/>
      </top>
      <bottom style="thin">
        <color auto="1"/>
      </bottom>
      <diagonal/>
    </border>
    <border>
      <left/>
      <right/>
      <top/>
      <bottom style="thin">
        <color rgb="FF000000"/>
      </bottom>
      <diagonal/>
    </border>
    <border>
      <left style="thin">
        <color rgb="FF000000"/>
      </left>
      <right style="thin">
        <color auto="1"/>
      </right>
      <top/>
      <bottom style="thin">
        <color rgb="FF000000"/>
      </bottom>
      <diagonal/>
    </border>
    <border>
      <left/>
      <right/>
      <top/>
      <bottom style="thin">
        <color auto="1"/>
      </bottom>
      <diagonal/>
    </border>
    <border>
      <left style="thin">
        <color rgb="FF000000"/>
      </left>
      <right style="thin">
        <color auto="1"/>
      </right>
      <top style="thin">
        <color rgb="FF000000"/>
      </top>
      <bottom style="thin">
        <color auto="1"/>
      </bottom>
      <diagonal/>
    </border>
    <border>
      <left style="thin">
        <color rgb="FF000000"/>
      </left>
      <right style="thin">
        <color auto="1"/>
      </right>
      <top style="thin">
        <color auto="1"/>
      </top>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7" fillId="0" borderId="0">
      <alignment vertical="center"/>
    </xf>
    <xf numFmtId="0" fontId="38" fillId="0" borderId="0">
      <alignment vertical="center"/>
    </xf>
    <xf numFmtId="0" fontId="0" fillId="33" borderId="58">
      <alignment vertical="center"/>
    </xf>
    <xf numFmtId="0" fontId="39" fillId="0" borderId="0">
      <alignment vertical="center"/>
    </xf>
    <xf numFmtId="0" fontId="40" fillId="0" borderId="0">
      <alignment vertical="center"/>
    </xf>
    <xf numFmtId="0" fontId="41" fillId="0" borderId="0">
      <alignment vertical="center"/>
    </xf>
    <xf numFmtId="0" fontId="42" fillId="0" borderId="59">
      <alignment vertical="center"/>
    </xf>
    <xf numFmtId="0" fontId="43" fillId="0" borderId="59">
      <alignment vertical="center"/>
    </xf>
    <xf numFmtId="0" fontId="44" fillId="0" borderId="60">
      <alignment vertical="center"/>
    </xf>
    <xf numFmtId="0" fontId="44" fillId="0" borderId="0">
      <alignment vertical="center"/>
    </xf>
    <xf numFmtId="0" fontId="45" fillId="34" borderId="61">
      <alignment vertical="center"/>
    </xf>
    <xf numFmtId="0" fontId="46" fillId="35" borderId="62">
      <alignment vertical="center"/>
    </xf>
    <xf numFmtId="0" fontId="47" fillId="35" borderId="61">
      <alignment vertical="center"/>
    </xf>
    <xf numFmtId="0" fontId="48" fillId="36" borderId="63">
      <alignment vertical="center"/>
    </xf>
    <xf numFmtId="0" fontId="49" fillId="0" borderId="64">
      <alignment vertical="center"/>
    </xf>
    <xf numFmtId="0" fontId="50" fillId="0" borderId="65">
      <alignment vertical="center"/>
    </xf>
    <xf numFmtId="0" fontId="51" fillId="37" borderId="0">
      <alignment vertical="center"/>
    </xf>
    <xf numFmtId="0" fontId="52" fillId="38" borderId="0">
      <alignment vertical="center"/>
    </xf>
    <xf numFmtId="0" fontId="53" fillId="39" borderId="0">
      <alignment vertical="center"/>
    </xf>
    <xf numFmtId="0" fontId="54" fillId="40" borderId="0">
      <alignment vertical="center"/>
    </xf>
    <xf numFmtId="0" fontId="55" fillId="41" borderId="0">
      <alignment vertical="center"/>
    </xf>
    <xf numFmtId="0" fontId="55" fillId="2" borderId="0">
      <alignment vertical="center"/>
    </xf>
    <xf numFmtId="0" fontId="54" fillId="42" borderId="0">
      <alignment vertical="center"/>
    </xf>
    <xf numFmtId="0" fontId="54" fillId="43" borderId="0">
      <alignment vertical="center"/>
    </xf>
    <xf numFmtId="0" fontId="55" fillId="44" borderId="0">
      <alignment vertical="center"/>
    </xf>
    <xf numFmtId="0" fontId="55" fillId="45" borderId="0">
      <alignment vertical="center"/>
    </xf>
    <xf numFmtId="0" fontId="54" fillId="46" borderId="0">
      <alignment vertical="center"/>
    </xf>
    <xf numFmtId="0" fontId="54" fillId="47" borderId="0">
      <alignment vertical="center"/>
    </xf>
    <xf numFmtId="0" fontId="55" fillId="48" borderId="0">
      <alignment vertical="center"/>
    </xf>
    <xf numFmtId="0" fontId="55" fillId="49" borderId="0">
      <alignment vertical="center"/>
    </xf>
    <xf numFmtId="0" fontId="54" fillId="50" borderId="0">
      <alignment vertical="center"/>
    </xf>
    <xf numFmtId="0" fontId="54" fillId="51" borderId="0">
      <alignment vertical="center"/>
    </xf>
    <xf numFmtId="0" fontId="55" fillId="52" borderId="0">
      <alignment vertical="center"/>
    </xf>
    <xf numFmtId="0" fontId="55" fillId="53" borderId="0">
      <alignment vertical="center"/>
    </xf>
    <xf numFmtId="0" fontId="54" fillId="54" borderId="0">
      <alignment vertical="center"/>
    </xf>
    <xf numFmtId="0" fontId="54" fillId="55" borderId="0">
      <alignment vertical="center"/>
    </xf>
    <xf numFmtId="0" fontId="55" fillId="56" borderId="0">
      <alignment vertical="center"/>
    </xf>
    <xf numFmtId="0" fontId="55" fillId="57" borderId="0">
      <alignment vertical="center"/>
    </xf>
    <xf numFmtId="0" fontId="54" fillId="58" borderId="0">
      <alignment vertical="center"/>
    </xf>
    <xf numFmtId="0" fontId="54" fillId="59" borderId="0">
      <alignment vertical="center"/>
    </xf>
    <xf numFmtId="0" fontId="55" fillId="60" borderId="0">
      <alignment vertical="center"/>
    </xf>
    <xf numFmtId="0" fontId="55" fillId="32" borderId="0">
      <alignment vertical="center"/>
    </xf>
    <xf numFmtId="0" fontId="54" fillId="61" borderId="0">
      <alignment vertical="center"/>
    </xf>
    <xf numFmtId="0" fontId="0" fillId="0" borderId="0"/>
    <xf numFmtId="0" fontId="0" fillId="0" borderId="0"/>
    <xf numFmtId="9" fontId="0" fillId="0" borderId="0">
      <alignment vertical="center"/>
    </xf>
    <xf numFmtId="43" fontId="0" fillId="0" borderId="0">
      <alignment vertical="center"/>
    </xf>
    <xf numFmtId="43" fontId="56" fillId="0" borderId="0">
      <alignment vertical="center"/>
    </xf>
    <xf numFmtId="176" fontId="0" fillId="0" borderId="0"/>
  </cellStyleXfs>
  <cellXfs count="676">
    <xf numFmtId="0" fontId="0" fillId="0" borderId="0" xfId="0"/>
    <xf numFmtId="0" fontId="1" fillId="0" borderId="0" xfId="0" applyFont="1" applyAlignment="1">
      <alignment horizontal="center"/>
    </xf>
    <xf numFmtId="0" fontId="1" fillId="0" borderId="0" xfId="0" applyFont="1"/>
    <xf numFmtId="0" fontId="2" fillId="0" borderId="0" xfId="0" applyFont="1"/>
    <xf numFmtId="0" fontId="1" fillId="0" borderId="0" xfId="0" applyFont="1" applyAlignment="1">
      <alignment horizontal="right" vertical="center"/>
    </xf>
    <xf numFmtId="0" fontId="0" fillId="0" borderId="0" xfId="0" applyAlignment="1">
      <alignment horizontal="center"/>
    </xf>
    <xf numFmtId="0" fontId="3" fillId="2" borderId="1" xfId="50" applyFont="1" applyFill="1" applyBorder="1" applyAlignment="1">
      <alignment horizontal="center" vertical="center"/>
    </xf>
    <xf numFmtId="0" fontId="4" fillId="3" borderId="2" xfId="50" applyFont="1" applyFill="1" applyBorder="1" applyAlignment="1">
      <alignment horizontal="center" vertical="center"/>
    </xf>
    <xf numFmtId="0" fontId="5" fillId="4" borderId="2" xfId="50" applyFont="1" applyFill="1" applyBorder="1" applyAlignment="1">
      <alignment horizontal="center" vertical="center" wrapText="1"/>
    </xf>
    <xf numFmtId="0" fontId="5" fillId="4" borderId="2" xfId="50" applyFont="1" applyFill="1" applyBorder="1" applyAlignment="1">
      <alignment vertical="center" wrapText="1"/>
    </xf>
    <xf numFmtId="14" fontId="5" fillId="4" borderId="2" xfId="50" applyNumberFormat="1" applyFont="1" applyFill="1" applyBorder="1" applyAlignment="1">
      <alignment horizontal="center" vertical="center" wrapText="1"/>
    </xf>
    <xf numFmtId="177" fontId="6" fillId="4" borderId="2" xfId="5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0" fillId="0" borderId="4" xfId="0" applyBorder="1"/>
    <xf numFmtId="0" fontId="0" fillId="0" borderId="3" xfId="0" applyBorder="1"/>
    <xf numFmtId="0" fontId="7" fillId="4" borderId="2" xfId="0" applyFont="1" applyFill="1" applyBorder="1" applyAlignment="1">
      <alignment horizontal="center" vertical="center" wrapText="1"/>
    </xf>
    <xf numFmtId="0" fontId="7" fillId="4" borderId="2" xfId="0" applyFont="1" applyFill="1" applyBorder="1" applyAlignment="1">
      <alignment vertical="center" wrapText="1"/>
    </xf>
    <xf numFmtId="178" fontId="7" fillId="4" borderId="2" xfId="0" applyNumberFormat="1" applyFont="1" applyFill="1" applyBorder="1" applyAlignment="1">
      <alignment horizontal="center" vertical="center"/>
    </xf>
    <xf numFmtId="0" fontId="7" fillId="4" borderId="5" xfId="0" applyFont="1" applyFill="1" applyBorder="1" applyAlignment="1">
      <alignment horizontal="center" vertical="center" wrapText="1"/>
    </xf>
    <xf numFmtId="0" fontId="6" fillId="4" borderId="6" xfId="0" applyFont="1" applyFill="1" applyBorder="1" applyAlignment="1">
      <alignment horizontal="left" vertical="center" wrapText="1"/>
    </xf>
    <xf numFmtId="178" fontId="7" fillId="4" borderId="6" xfId="0" applyNumberFormat="1" applyFont="1" applyFill="1" applyBorder="1" applyAlignment="1">
      <alignment horizontal="center" vertical="center"/>
    </xf>
    <xf numFmtId="0" fontId="0" fillId="0" borderId="7" xfId="0" applyBorder="1"/>
    <xf numFmtId="0" fontId="0" fillId="0" borderId="8" xfId="0" applyBorder="1"/>
    <xf numFmtId="0" fontId="0" fillId="0" borderId="9" xfId="0" applyBorder="1"/>
    <xf numFmtId="0" fontId="0" fillId="0" borderId="10" xfId="0" applyBorder="1"/>
    <xf numFmtId="0" fontId="7" fillId="0" borderId="5" xfId="0" applyFont="1" applyBorder="1" applyAlignment="1">
      <alignment horizontal="center" vertical="center" wrapText="1"/>
    </xf>
    <xf numFmtId="0" fontId="6" fillId="0" borderId="6" xfId="0" applyFont="1" applyBorder="1" applyAlignment="1">
      <alignment horizontal="left" vertical="center" wrapText="1"/>
    </xf>
    <xf numFmtId="178" fontId="7" fillId="0" borderId="6" xfId="0" applyNumberFormat="1" applyFont="1" applyBorder="1" applyAlignment="1">
      <alignment horizontal="center" vertical="center"/>
    </xf>
    <xf numFmtId="0" fontId="8" fillId="0" borderId="3" xfId="0" applyFont="1" applyBorder="1" applyAlignment="1">
      <alignment horizontal="left" vertical="center" wrapText="1"/>
    </xf>
    <xf numFmtId="14" fontId="5" fillId="0" borderId="6" xfId="50" applyNumberFormat="1" applyFont="1" applyBorder="1" applyAlignment="1">
      <alignment horizontal="center" vertical="center" wrapText="1"/>
    </xf>
    <xf numFmtId="0" fontId="5" fillId="0" borderId="5" xfId="50" applyFont="1" applyBorder="1" applyAlignment="1">
      <alignment horizontal="center" vertical="center" wrapText="1"/>
    </xf>
    <xf numFmtId="0" fontId="6" fillId="0" borderId="6" xfId="50" applyFont="1" applyBorder="1" applyAlignment="1">
      <alignment horizontal="left" vertical="center" wrapText="1"/>
    </xf>
    <xf numFmtId="0" fontId="7" fillId="0" borderId="6" xfId="0" applyFont="1" applyBorder="1" applyAlignment="1">
      <alignment horizontal="center" vertical="center" wrapText="1"/>
    </xf>
    <xf numFmtId="0" fontId="0" fillId="0" borderId="11" xfId="0" applyBorder="1"/>
    <xf numFmtId="0" fontId="0" fillId="0" borderId="12" xfId="0" applyBorder="1"/>
    <xf numFmtId="0" fontId="0" fillId="0" borderId="13" xfId="0" applyBorder="1"/>
    <xf numFmtId="0" fontId="3" fillId="2" borderId="14" xfId="50" applyFont="1" applyFill="1" applyBorder="1" applyAlignment="1">
      <alignment horizontal="center" vertical="center"/>
    </xf>
    <xf numFmtId="0" fontId="3" fillId="2" borderId="15" xfId="50" applyFont="1" applyFill="1" applyBorder="1" applyAlignment="1">
      <alignment horizontal="center" vertical="center"/>
    </xf>
    <xf numFmtId="0" fontId="3" fillId="2" borderId="15" xfId="50" applyFont="1" applyFill="1" applyBorder="1" applyAlignment="1">
      <alignment horizontal="center" vertical="center" wrapText="1"/>
    </xf>
    <xf numFmtId="0" fontId="3" fillId="5" borderId="2" xfId="50" applyFont="1" applyFill="1" applyBorder="1" applyAlignment="1">
      <alignment horizontal="center" vertical="center"/>
    </xf>
    <xf numFmtId="14" fontId="5" fillId="4" borderId="6" xfId="50" applyNumberFormat="1" applyFont="1" applyFill="1" applyBorder="1" applyAlignment="1">
      <alignment horizontal="center" vertical="center" wrapText="1"/>
    </xf>
    <xf numFmtId="0" fontId="5" fillId="4" borderId="2" xfId="50" applyFont="1" applyFill="1" applyBorder="1" applyAlignment="1">
      <alignment horizontal="center" vertical="center"/>
    </xf>
    <xf numFmtId="43" fontId="7" fillId="4" borderId="2" xfId="1" applyFont="1" applyFill="1" applyBorder="1" applyAlignment="1">
      <alignment vertical="center" wrapText="1"/>
    </xf>
    <xf numFmtId="43" fontId="7" fillId="4" borderId="6" xfId="0" applyNumberFormat="1" applyFont="1" applyFill="1" applyBorder="1" applyAlignment="1">
      <alignment horizontal="right" vertical="center"/>
    </xf>
    <xf numFmtId="43" fontId="7" fillId="4" borderId="2" xfId="0" applyNumberFormat="1" applyFont="1" applyFill="1" applyBorder="1" applyAlignment="1">
      <alignment horizontal="right" vertical="center"/>
    </xf>
    <xf numFmtId="43" fontId="7" fillId="4" borderId="2" xfId="1" applyFont="1" applyFill="1" applyBorder="1" applyAlignment="1">
      <alignment vertical="center"/>
    </xf>
    <xf numFmtId="43" fontId="7" fillId="4" borderId="2" xfId="1" applyFont="1" applyFill="1" applyBorder="1" applyAlignment="1">
      <alignment horizontal="right" vertical="center"/>
    </xf>
    <xf numFmtId="0" fontId="4" fillId="4" borderId="2" xfId="50" applyFont="1" applyFill="1" applyBorder="1" applyAlignment="1">
      <alignment horizontal="center" vertical="center"/>
    </xf>
    <xf numFmtId="10" fontId="9" fillId="4" borderId="2" xfId="0" applyNumberFormat="1" applyFont="1" applyFill="1" applyBorder="1" applyAlignment="1">
      <alignment horizontal="center" vertical="center"/>
    </xf>
    <xf numFmtId="10" fontId="9" fillId="4" borderId="6" xfId="0" applyNumberFormat="1" applyFont="1" applyFill="1" applyBorder="1" applyAlignment="1">
      <alignment horizontal="center" vertical="center"/>
    </xf>
    <xf numFmtId="14" fontId="5" fillId="4" borderId="16" xfId="50" applyNumberFormat="1" applyFont="1" applyFill="1" applyBorder="1" applyAlignment="1">
      <alignment horizontal="center" vertical="center" wrapText="1"/>
    </xf>
    <xf numFmtId="0" fontId="5" fillId="4" borderId="6" xfId="50" applyFont="1" applyFill="1" applyBorder="1" applyAlignment="1">
      <alignment horizontal="center" vertical="center"/>
    </xf>
    <xf numFmtId="0" fontId="4" fillId="4" borderId="6" xfId="50" applyFont="1" applyFill="1" applyBorder="1" applyAlignment="1">
      <alignment horizontal="center" vertical="center"/>
    </xf>
    <xf numFmtId="0" fontId="4" fillId="4" borderId="16" xfId="50" applyFont="1" applyFill="1" applyBorder="1" applyAlignment="1">
      <alignment horizontal="center" vertical="center"/>
    </xf>
    <xf numFmtId="14" fontId="5" fillId="0" borderId="6" xfId="50" applyNumberFormat="1" applyFont="1" applyBorder="1" applyAlignment="1">
      <alignment horizontal="left" vertical="center" wrapText="1"/>
    </xf>
    <xf numFmtId="0" fontId="5" fillId="0" borderId="6" xfId="50" applyFont="1" applyBorder="1" applyAlignment="1">
      <alignment horizontal="center" vertical="center"/>
    </xf>
    <xf numFmtId="43" fontId="7" fillId="0" borderId="2" xfId="1" applyFont="1" applyBorder="1" applyAlignment="1">
      <alignment vertical="center"/>
    </xf>
    <xf numFmtId="43" fontId="7" fillId="0" borderId="6" xfId="0" applyNumberFormat="1" applyFont="1" applyBorder="1" applyAlignment="1">
      <alignment horizontal="right" vertical="center"/>
    </xf>
    <xf numFmtId="43" fontId="7" fillId="0" borderId="2" xfId="0" applyNumberFormat="1" applyFont="1" applyBorder="1" applyAlignment="1">
      <alignment horizontal="right" vertical="center"/>
    </xf>
    <xf numFmtId="43" fontId="7" fillId="0" borderId="2" xfId="1" applyFont="1" applyBorder="1" applyAlignment="1">
      <alignment horizontal="right" vertical="center"/>
    </xf>
    <xf numFmtId="0" fontId="4" fillId="0" borderId="6" xfId="50" applyFont="1" applyBorder="1" applyAlignment="1">
      <alignment horizontal="center" vertical="center"/>
    </xf>
    <xf numFmtId="10" fontId="9" fillId="0" borderId="2" xfId="0" applyNumberFormat="1" applyFont="1" applyBorder="1" applyAlignment="1">
      <alignment horizontal="center" vertical="center"/>
    </xf>
    <xf numFmtId="10" fontId="9" fillId="0" borderId="6" xfId="0" applyNumberFormat="1" applyFont="1" applyBorder="1" applyAlignment="1">
      <alignment horizontal="center" vertical="center"/>
    </xf>
    <xf numFmtId="43" fontId="7" fillId="0" borderId="2" xfId="1" applyFont="1" applyBorder="1" applyAlignment="1">
      <alignment vertical="center" wrapText="1"/>
    </xf>
    <xf numFmtId="0" fontId="3" fillId="3" borderId="8" xfId="50" applyFont="1" applyFill="1" applyBorder="1" applyAlignment="1">
      <alignment horizontal="center" vertical="center"/>
    </xf>
    <xf numFmtId="0" fontId="3" fillId="6" borderId="2" xfId="50" applyFont="1" applyFill="1" applyBorder="1" applyAlignment="1">
      <alignment horizontal="center" vertical="center"/>
    </xf>
    <xf numFmtId="43" fontId="7" fillId="7" borderId="6" xfId="0" applyNumberFormat="1" applyFont="1" applyFill="1" applyBorder="1" applyAlignment="1">
      <alignment vertical="center"/>
    </xf>
    <xf numFmtId="43" fontId="7" fillId="4" borderId="6" xfId="0" applyNumberFormat="1" applyFont="1" applyFill="1" applyBorder="1" applyAlignment="1">
      <alignment vertical="center"/>
    </xf>
    <xf numFmtId="43" fontId="7" fillId="7" borderId="6" xfId="0" applyNumberFormat="1" applyFont="1" applyFill="1" applyBorder="1" applyAlignment="1">
      <alignment horizontal="right" vertical="center"/>
    </xf>
    <xf numFmtId="10" fontId="9" fillId="7" borderId="6" xfId="0" applyNumberFormat="1" applyFont="1" applyFill="1" applyBorder="1" applyAlignment="1">
      <alignment horizontal="center" vertical="center"/>
    </xf>
    <xf numFmtId="43" fontId="7" fillId="0" borderId="6" xfId="0" applyNumberFormat="1" applyFont="1" applyBorder="1" applyAlignment="1">
      <alignment vertical="center"/>
    </xf>
    <xf numFmtId="0" fontId="3" fillId="3" borderId="2" xfId="50" applyFont="1" applyFill="1" applyBorder="1" applyAlignment="1">
      <alignment horizontal="center" vertical="center" wrapText="1"/>
    </xf>
    <xf numFmtId="0" fontId="3" fillId="3" borderId="2" xfId="50" applyFont="1" applyFill="1" applyBorder="1" applyAlignment="1">
      <alignment horizontal="center" vertical="center"/>
    </xf>
    <xf numFmtId="0" fontId="3" fillId="3" borderId="6" xfId="50" applyFont="1" applyFill="1" applyBorder="1" applyAlignment="1">
      <alignment horizontal="center" vertical="center"/>
    </xf>
    <xf numFmtId="0" fontId="4" fillId="3" borderId="8" xfId="50" applyFont="1" applyFill="1" applyBorder="1" applyAlignment="1">
      <alignment horizontal="center" vertical="center"/>
    </xf>
    <xf numFmtId="10" fontId="7" fillId="0" borderId="2" xfId="3" applyNumberFormat="1" applyFont="1" applyBorder="1" applyAlignment="1">
      <alignment horizontal="right" vertical="center"/>
    </xf>
    <xf numFmtId="0" fontId="6" fillId="4" borderId="10" xfId="0" applyFont="1" applyFill="1" applyBorder="1" applyAlignment="1">
      <alignment horizontal="left" vertical="center" wrapText="1"/>
    </xf>
    <xf numFmtId="0" fontId="7" fillId="4" borderId="17" xfId="0" applyFont="1" applyFill="1" applyBorder="1" applyAlignment="1">
      <alignment horizontal="left" vertical="center" wrapText="1"/>
    </xf>
    <xf numFmtId="0" fontId="7" fillId="4" borderId="18" xfId="0" applyFont="1" applyFill="1" applyBorder="1" applyAlignment="1">
      <alignment horizontal="left" vertical="center" wrapText="1"/>
    </xf>
    <xf numFmtId="0" fontId="7" fillId="4" borderId="10" xfId="0" applyFont="1" applyFill="1" applyBorder="1" applyAlignment="1">
      <alignment horizontal="center" vertical="center" wrapText="1"/>
    </xf>
    <xf numFmtId="0" fontId="7" fillId="4" borderId="19" xfId="0" applyFont="1" applyFill="1" applyBorder="1" applyAlignment="1">
      <alignment horizontal="left" vertical="center" wrapText="1"/>
    </xf>
    <xf numFmtId="0" fontId="0" fillId="0" borderId="20" xfId="0" applyBorder="1"/>
    <xf numFmtId="179" fontId="7" fillId="0" borderId="2" xfId="3" applyNumberFormat="1" applyFont="1" applyBorder="1" applyAlignment="1">
      <alignment horizontal="center"/>
    </xf>
    <xf numFmtId="0" fontId="0" fillId="0" borderId="17" xfId="0" applyBorder="1"/>
    <xf numFmtId="0" fontId="0" fillId="0" borderId="18" xfId="0" applyBorder="1"/>
    <xf numFmtId="0" fontId="7" fillId="4" borderId="6" xfId="0" applyFont="1" applyFill="1" applyBorder="1" applyAlignment="1">
      <alignment horizontal="right" vertical="center"/>
    </xf>
    <xf numFmtId="0" fontId="7" fillId="4" borderId="19" xfId="0" applyFont="1" applyFill="1" applyBorder="1" applyAlignment="1">
      <alignment horizontal="right" vertical="center"/>
    </xf>
    <xf numFmtId="0" fontId="7" fillId="4" borderId="2" xfId="0" applyFont="1" applyFill="1" applyBorder="1" applyAlignment="1">
      <alignment horizontal="left" vertical="center" wrapText="1"/>
    </xf>
    <xf numFmtId="0" fontId="10" fillId="4" borderId="6" xfId="0" applyFont="1" applyFill="1" applyBorder="1" applyAlignment="1">
      <alignment horizontal="left" vertical="center" wrapText="1"/>
    </xf>
    <xf numFmtId="0" fontId="10" fillId="4" borderId="19" xfId="0" applyFont="1" applyFill="1" applyBorder="1" applyAlignment="1">
      <alignment horizontal="right" vertical="center" wrapText="1"/>
    </xf>
    <xf numFmtId="0" fontId="10" fillId="4" borderId="21" xfId="0" applyFont="1" applyFill="1" applyBorder="1" applyAlignment="1">
      <alignment horizontal="right" vertical="center" wrapText="1"/>
    </xf>
    <xf numFmtId="0" fontId="7" fillId="0" borderId="10" xfId="0" applyFont="1" applyBorder="1" applyAlignment="1">
      <alignment horizontal="right" vertical="center"/>
    </xf>
    <xf numFmtId="0" fontId="7" fillId="0" borderId="17" xfId="0" applyFont="1" applyBorder="1" applyAlignment="1">
      <alignment horizontal="left" vertical="center" wrapText="1"/>
    </xf>
    <xf numFmtId="0" fontId="7" fillId="0" borderId="3" xfId="0" applyFont="1" applyBorder="1" applyAlignment="1">
      <alignment horizontal="left" vertical="center" wrapText="1"/>
    </xf>
    <xf numFmtId="0" fontId="7" fillId="0" borderId="10" xfId="0" applyFont="1" applyBorder="1" applyAlignment="1">
      <alignment horizontal="center" vertical="center" wrapText="1"/>
    </xf>
    <xf numFmtId="0" fontId="6" fillId="0" borderId="22" xfId="0" applyFont="1" applyBorder="1" applyAlignment="1">
      <alignment horizontal="left" vertical="center" wrapText="1"/>
    </xf>
    <xf numFmtId="0" fontId="7" fillId="0" borderId="6" xfId="0" applyFont="1" applyBorder="1" applyAlignment="1">
      <alignment horizontal="left" vertical="center" wrapText="1"/>
    </xf>
    <xf numFmtId="0" fontId="0" fillId="0" borderId="23" xfId="0" applyBorder="1"/>
    <xf numFmtId="0" fontId="0" fillId="0" borderId="24" xfId="0" applyBorder="1"/>
    <xf numFmtId="0" fontId="7" fillId="0" borderId="6" xfId="0" applyFont="1" applyBorder="1" applyAlignment="1">
      <alignment horizontal="left" vertical="top" wrapText="1"/>
    </xf>
    <xf numFmtId="0" fontId="3" fillId="8" borderId="14" xfId="50" applyFont="1" applyFill="1" applyBorder="1" applyAlignment="1">
      <alignment horizontal="center" vertical="center"/>
    </xf>
    <xf numFmtId="0" fontId="7" fillId="4" borderId="22" xfId="0" applyFont="1" applyFill="1" applyBorder="1" applyAlignment="1">
      <alignment horizontal="left" vertical="center" wrapText="1"/>
    </xf>
    <xf numFmtId="0" fontId="7" fillId="4" borderId="6" xfId="0" applyFont="1" applyFill="1" applyBorder="1" applyAlignment="1">
      <alignment horizontal="left" vertical="center" wrapText="1"/>
    </xf>
    <xf numFmtId="0" fontId="7" fillId="4" borderId="16" xfId="0" applyFont="1" applyFill="1" applyBorder="1" applyAlignment="1">
      <alignment horizontal="left" vertical="center" wrapText="1"/>
    </xf>
    <xf numFmtId="4" fontId="6" fillId="0" borderId="2" xfId="0" applyNumberFormat="1" applyFont="1" applyBorder="1" applyAlignment="1">
      <alignment horizontal="right" vertical="center"/>
    </xf>
    <xf numFmtId="4" fontId="7" fillId="0" borderId="6" xfId="0" applyNumberFormat="1" applyFont="1" applyBorder="1" applyAlignment="1">
      <alignment horizontal="right" vertical="center" wrapText="1"/>
    </xf>
    <xf numFmtId="4" fontId="7" fillId="0" borderId="10" xfId="0" applyNumberFormat="1" applyFont="1" applyBorder="1" applyAlignment="1">
      <alignment horizontal="right" vertical="center" wrapText="1"/>
    </xf>
    <xf numFmtId="0" fontId="7" fillId="0" borderId="10" xfId="0" applyFont="1" applyBorder="1" applyAlignment="1">
      <alignment horizontal="right" vertical="center" wrapText="1"/>
    </xf>
    <xf numFmtId="4" fontId="6" fillId="0" borderId="2" xfId="0" applyNumberFormat="1" applyFont="1" applyBorder="1" applyAlignment="1">
      <alignment horizontal="right" vertical="center" wrapText="1"/>
    </xf>
    <xf numFmtId="0" fontId="7" fillId="0" borderId="6" xfId="0" applyFont="1" applyBorder="1" applyAlignment="1">
      <alignment horizontal="right" vertical="center" wrapText="1"/>
    </xf>
    <xf numFmtId="4" fontId="6" fillId="0" borderId="0" xfId="0" applyNumberFormat="1" applyFont="1" applyAlignment="1">
      <alignment horizontal="right" vertical="center" wrapText="1"/>
    </xf>
    <xf numFmtId="0" fontId="6" fillId="0" borderId="0" xfId="0" applyFont="1" applyAlignment="1">
      <alignment horizontal="right" vertical="center" wrapText="1"/>
    </xf>
    <xf numFmtId="0" fontId="6" fillId="0" borderId="2" xfId="0" applyFont="1" applyBorder="1" applyAlignment="1">
      <alignment horizontal="right" vertical="center"/>
    </xf>
    <xf numFmtId="10" fontId="9" fillId="0" borderId="6" xfId="0" applyNumberFormat="1" applyFont="1" applyBorder="1" applyAlignment="1">
      <alignment horizontal="right" vertical="center"/>
    </xf>
    <xf numFmtId="4" fontId="6" fillId="0" borderId="6" xfId="0" applyNumberFormat="1" applyFont="1" applyBorder="1" applyAlignment="1">
      <alignment horizontal="right" vertical="center"/>
    </xf>
    <xf numFmtId="4" fontId="7" fillId="9" borderId="6" xfId="0" applyNumberFormat="1" applyFont="1" applyFill="1" applyBorder="1" applyAlignment="1">
      <alignment horizontal="right" vertical="center"/>
    </xf>
    <xf numFmtId="0" fontId="3" fillId="5" borderId="14" xfId="50" applyFont="1" applyFill="1" applyBorder="1" applyAlignment="1">
      <alignment horizontal="center" vertical="center"/>
    </xf>
    <xf numFmtId="0" fontId="3" fillId="6" borderId="25" xfId="50" applyFont="1" applyFill="1" applyBorder="1" applyAlignment="1">
      <alignment horizontal="center" vertical="center"/>
    </xf>
    <xf numFmtId="4" fontId="6" fillId="4" borderId="6" xfId="0" applyNumberFormat="1" applyFont="1" applyFill="1" applyBorder="1" applyAlignment="1">
      <alignment horizontal="right" vertical="center"/>
    </xf>
    <xf numFmtId="4" fontId="6" fillId="4" borderId="19" xfId="0" applyNumberFormat="1" applyFont="1" applyFill="1" applyBorder="1" applyAlignment="1">
      <alignment horizontal="right" vertical="center"/>
    </xf>
    <xf numFmtId="177" fontId="7" fillId="4" borderId="19" xfId="0" applyNumberFormat="1" applyFont="1" applyFill="1" applyBorder="1" applyAlignment="1">
      <alignment horizontal="right" vertical="center" wrapText="1"/>
    </xf>
    <xf numFmtId="0" fontId="1" fillId="4" borderId="26" xfId="0" applyFont="1" applyFill="1" applyBorder="1"/>
    <xf numFmtId="43" fontId="1" fillId="4" borderId="6" xfId="1" applyFont="1" applyFill="1" applyBorder="1" applyAlignment="1">
      <alignment vertical="center"/>
    </xf>
    <xf numFmtId="4" fontId="7" fillId="4" borderId="19" xfId="0" applyNumberFormat="1" applyFont="1" applyFill="1" applyBorder="1" applyAlignment="1">
      <alignment horizontal="right" vertical="center"/>
    </xf>
    <xf numFmtId="177" fontId="7" fillId="4" borderId="19" xfId="0" applyNumberFormat="1" applyFont="1" applyFill="1" applyBorder="1" applyAlignment="1">
      <alignment horizontal="right" vertical="center"/>
    </xf>
    <xf numFmtId="4" fontId="7" fillId="4" borderId="6" xfId="0" applyNumberFormat="1" applyFont="1" applyFill="1" applyBorder="1" applyAlignment="1">
      <alignment horizontal="right" vertical="center"/>
    </xf>
    <xf numFmtId="4" fontId="7" fillId="4" borderId="6" xfId="0" applyNumberFormat="1" applyFont="1" applyFill="1" applyBorder="1" applyAlignment="1">
      <alignment horizontal="right" vertical="center" wrapText="1"/>
    </xf>
    <xf numFmtId="4" fontId="7" fillId="4" borderId="19" xfId="0" applyNumberFormat="1" applyFont="1" applyFill="1" applyBorder="1" applyAlignment="1">
      <alignment horizontal="right" vertical="center" wrapText="1"/>
    </xf>
    <xf numFmtId="4" fontId="7" fillId="4" borderId="0" xfId="0" applyNumberFormat="1" applyFont="1" applyFill="1" applyAlignment="1">
      <alignment horizontal="right" vertical="center"/>
    </xf>
    <xf numFmtId="0" fontId="7" fillId="4" borderId="27" xfId="0" applyFont="1" applyFill="1" applyBorder="1" applyAlignment="1">
      <alignment horizontal="right" vertical="center"/>
    </xf>
    <xf numFmtId="0" fontId="0" fillId="4" borderId="26" xfId="0" applyFill="1" applyBorder="1"/>
    <xf numFmtId="0" fontId="0" fillId="10" borderId="0" xfId="0" applyFill="1"/>
    <xf numFmtId="0" fontId="11" fillId="4" borderId="26" xfId="0" applyFont="1" applyFill="1" applyBorder="1"/>
    <xf numFmtId="0" fontId="0" fillId="10" borderId="28" xfId="0" applyFill="1" applyBorder="1"/>
    <xf numFmtId="0" fontId="0" fillId="11" borderId="28" xfId="0" applyFill="1" applyBorder="1"/>
    <xf numFmtId="180" fontId="6" fillId="4" borderId="27" xfId="0" applyNumberFormat="1" applyFont="1" applyFill="1" applyBorder="1" applyAlignment="1">
      <alignment horizontal="right" vertical="center"/>
    </xf>
    <xf numFmtId="181" fontId="7" fillId="4" borderId="19" xfId="0" applyNumberFormat="1" applyFont="1" applyFill="1" applyBorder="1" applyAlignment="1">
      <alignment horizontal="right" vertical="center"/>
    </xf>
    <xf numFmtId="0" fontId="12" fillId="4" borderId="26" xfId="0" applyFont="1" applyFill="1" applyBorder="1"/>
    <xf numFmtId="4" fontId="7" fillId="0" borderId="0" xfId="0" applyNumberFormat="1" applyFont="1" applyAlignment="1">
      <alignment horizontal="right" vertical="center"/>
    </xf>
    <xf numFmtId="0" fontId="7" fillId="0" borderId="27" xfId="0" applyFont="1" applyBorder="1" applyAlignment="1">
      <alignment horizontal="right" vertical="center"/>
    </xf>
    <xf numFmtId="0" fontId="1" fillId="0" borderId="26" xfId="0" applyFont="1" applyBorder="1"/>
    <xf numFmtId="4" fontId="7" fillId="0" borderId="19" xfId="0" applyNumberFormat="1" applyFont="1" applyBorder="1" applyAlignment="1">
      <alignment horizontal="right" vertical="center"/>
    </xf>
    <xf numFmtId="177" fontId="7" fillId="0" borderId="19" xfId="0" applyNumberFormat="1" applyFont="1" applyBorder="1" applyAlignment="1">
      <alignment horizontal="right" vertical="center"/>
    </xf>
    <xf numFmtId="0" fontId="7" fillId="0" borderId="19" xfId="0" applyFont="1" applyBorder="1" applyAlignment="1">
      <alignment horizontal="right" vertical="center"/>
    </xf>
    <xf numFmtId="4" fontId="7" fillId="9" borderId="6" xfId="0" applyNumberFormat="1" applyFont="1" applyFill="1" applyBorder="1" applyAlignment="1">
      <alignment horizontal="right" vertical="center" wrapText="1"/>
    </xf>
    <xf numFmtId="4" fontId="7" fillId="0" borderId="19" xfId="0" applyNumberFormat="1" applyFont="1" applyBorder="1" applyAlignment="1">
      <alignment horizontal="right" vertical="center" wrapText="1"/>
    </xf>
    <xf numFmtId="0" fontId="1" fillId="10" borderId="26" xfId="0" applyFont="1" applyFill="1" applyBorder="1"/>
    <xf numFmtId="0" fontId="0" fillId="10" borderId="26" xfId="0" applyFill="1" applyBorder="1"/>
    <xf numFmtId="0" fontId="11" fillId="0" borderId="26" xfId="0" applyFont="1" applyBorder="1"/>
    <xf numFmtId="4" fontId="6" fillId="0" borderId="19" xfId="0" applyNumberFormat="1" applyFont="1" applyBorder="1" applyAlignment="1">
      <alignment horizontal="right" vertical="center"/>
    </xf>
    <xf numFmtId="177" fontId="7" fillId="0" borderId="19" xfId="0" applyNumberFormat="1" applyFont="1" applyBorder="1" applyAlignment="1">
      <alignment horizontal="right" vertical="center" wrapText="1"/>
    </xf>
    <xf numFmtId="43" fontId="7" fillId="0" borderId="6" xfId="1" applyFont="1" applyBorder="1" applyAlignment="1">
      <alignment horizontal="right" vertical="center"/>
    </xf>
    <xf numFmtId="4" fontId="7" fillId="9" borderId="19" xfId="0" applyNumberFormat="1" applyFont="1" applyFill="1" applyBorder="1" applyAlignment="1">
      <alignment horizontal="right" vertical="center"/>
    </xf>
    <xf numFmtId="4" fontId="7" fillId="9" borderId="19" xfId="0" applyNumberFormat="1" applyFont="1" applyFill="1" applyBorder="1" applyAlignment="1">
      <alignment horizontal="right" vertical="center" wrapText="1"/>
    </xf>
    <xf numFmtId="0" fontId="7" fillId="0" borderId="0" xfId="0" applyFont="1" applyAlignment="1">
      <alignment horizontal="right" vertical="center" wrapText="1"/>
    </xf>
    <xf numFmtId="180" fontId="6" fillId="0" borderId="27" xfId="0" applyNumberFormat="1" applyFont="1" applyBorder="1" applyAlignment="1">
      <alignment horizontal="right" vertical="center"/>
    </xf>
    <xf numFmtId="0" fontId="0" fillId="0" borderId="29" xfId="0" applyBorder="1"/>
    <xf numFmtId="0" fontId="7" fillId="12" borderId="6" xfId="0" applyFont="1" applyFill="1" applyBorder="1" applyAlignment="1">
      <alignment horizontal="center" vertical="center" wrapText="1"/>
    </xf>
    <xf numFmtId="0" fontId="6" fillId="12" borderId="6" xfId="0" applyFont="1" applyFill="1" applyBorder="1" applyAlignment="1">
      <alignment horizontal="left" vertical="center" wrapText="1"/>
    </xf>
    <xf numFmtId="178" fontId="7" fillId="12" borderId="6" xfId="0" applyNumberFormat="1" applyFont="1" applyFill="1" applyBorder="1" applyAlignment="1">
      <alignment horizontal="center" vertical="center"/>
    </xf>
    <xf numFmtId="0" fontId="8" fillId="12" borderId="3" xfId="0" applyFont="1" applyFill="1" applyBorder="1" applyAlignment="1">
      <alignment horizontal="left" vertical="center" wrapText="1"/>
    </xf>
    <xf numFmtId="14" fontId="5" fillId="12" borderId="6" xfId="50" applyNumberFormat="1" applyFont="1" applyFill="1" applyBorder="1" applyAlignment="1">
      <alignment horizontal="center" vertical="center" wrapText="1"/>
    </xf>
    <xf numFmtId="43" fontId="6" fillId="0" borderId="2" xfId="0" applyNumberFormat="1" applyFont="1" applyBorder="1" applyAlignment="1">
      <alignment vertical="center"/>
    </xf>
    <xf numFmtId="0" fontId="1" fillId="0" borderId="30" xfId="0" applyFont="1" applyBorder="1"/>
    <xf numFmtId="4" fontId="7" fillId="0" borderId="0" xfId="0" applyNumberFormat="1" applyFont="1" applyAlignment="1">
      <alignment horizontal="right" vertical="center" wrapText="1"/>
    </xf>
    <xf numFmtId="4" fontId="0" fillId="0" borderId="0" xfId="0" applyNumberFormat="1"/>
    <xf numFmtId="0" fontId="0" fillId="0" borderId="0" xfId="0" applyAlignment="1">
      <alignment wrapText="1"/>
    </xf>
    <xf numFmtId="0" fontId="3" fillId="2" borderId="2" xfId="50" applyFont="1" applyFill="1" applyBorder="1" applyAlignment="1">
      <alignment horizontal="center" vertical="center" wrapText="1"/>
    </xf>
    <xf numFmtId="0" fontId="3" fillId="2" borderId="2" xfId="50" applyFont="1" applyFill="1" applyBorder="1" applyAlignment="1">
      <alignment horizontal="center" vertical="center"/>
    </xf>
    <xf numFmtId="4" fontId="7" fillId="13" borderId="5" xfId="0" applyNumberFormat="1" applyFont="1" applyFill="1" applyBorder="1" applyAlignment="1">
      <alignment horizontal="center" vertical="center" wrapText="1"/>
    </xf>
    <xf numFmtId="4" fontId="6" fillId="13" borderId="6" xfId="0" applyNumberFormat="1" applyFont="1" applyFill="1" applyBorder="1" applyAlignment="1">
      <alignment horizontal="left" vertical="center" wrapText="1"/>
    </xf>
    <xf numFmtId="178" fontId="7" fillId="13" borderId="2" xfId="0" applyNumberFormat="1" applyFont="1" applyFill="1" applyBorder="1" applyAlignment="1">
      <alignment horizontal="center" vertical="center"/>
    </xf>
    <xf numFmtId="178" fontId="7" fillId="4" borderId="27" xfId="0" applyNumberFormat="1" applyFont="1" applyFill="1" applyBorder="1" applyAlignment="1">
      <alignment horizontal="center" vertical="center"/>
    </xf>
    <xf numFmtId="178" fontId="7" fillId="4" borderId="31" xfId="0" applyNumberFormat="1" applyFont="1" applyFill="1" applyBorder="1" applyAlignment="1">
      <alignment horizontal="center" vertical="center"/>
    </xf>
    <xf numFmtId="0" fontId="8" fillId="4" borderId="3" xfId="0" applyFont="1" applyFill="1" applyBorder="1" applyAlignment="1">
      <alignment horizontal="left" vertical="center" wrapText="1"/>
    </xf>
    <xf numFmtId="178" fontId="7" fillId="4" borderId="16" xfId="0" applyNumberFormat="1" applyFont="1" applyFill="1" applyBorder="1" applyAlignment="1">
      <alignment horizontal="center" vertical="center"/>
    </xf>
    <xf numFmtId="178" fontId="7" fillId="4" borderId="8" xfId="0" applyNumberFormat="1" applyFont="1" applyFill="1" applyBorder="1" applyAlignment="1">
      <alignment horizontal="center" vertical="center"/>
    </xf>
    <xf numFmtId="0" fontId="0" fillId="0" borderId="31" xfId="0" applyBorder="1"/>
    <xf numFmtId="178" fontId="7" fillId="4" borderId="10" xfId="0" applyNumberFormat="1" applyFont="1" applyFill="1" applyBorder="1" applyAlignment="1">
      <alignment horizontal="center" vertical="center"/>
    </xf>
    <xf numFmtId="0" fontId="6" fillId="4" borderId="2" xfId="50" applyFont="1" applyFill="1" applyBorder="1" applyAlignment="1">
      <alignment horizontal="left" vertical="center" wrapText="1"/>
    </xf>
    <xf numFmtId="14" fontId="5" fillId="4" borderId="27" xfId="50" applyNumberFormat="1" applyFont="1" applyFill="1" applyBorder="1" applyAlignment="1">
      <alignment horizontal="center" vertical="center" wrapText="1"/>
    </xf>
    <xf numFmtId="0" fontId="5" fillId="4" borderId="31" xfId="50" applyFont="1" applyFill="1" applyBorder="1" applyAlignment="1">
      <alignment horizontal="center" vertical="center" wrapText="1"/>
    </xf>
    <xf numFmtId="4" fontId="6" fillId="4" borderId="2" xfId="0" applyNumberFormat="1" applyFont="1" applyFill="1" applyBorder="1" applyAlignment="1">
      <alignment horizontal="left" vertical="center" wrapText="1"/>
    </xf>
    <xf numFmtId="14" fontId="5" fillId="4" borderId="31" xfId="50" applyNumberFormat="1" applyFont="1" applyFill="1" applyBorder="1" applyAlignment="1">
      <alignment horizontal="center" vertical="center" wrapText="1"/>
    </xf>
    <xf numFmtId="0" fontId="8" fillId="4" borderId="4" xfId="0" applyFont="1" applyFill="1" applyBorder="1" applyAlignment="1">
      <alignment horizontal="left" vertical="center" wrapText="1"/>
    </xf>
    <xf numFmtId="0" fontId="8" fillId="4" borderId="2" xfId="0" applyFont="1" applyFill="1" applyBorder="1" applyAlignment="1">
      <alignment horizontal="left" vertical="center" wrapText="1"/>
    </xf>
    <xf numFmtId="4" fontId="7" fillId="0" borderId="2" xfId="0" applyNumberFormat="1" applyFont="1" applyBorder="1" applyAlignment="1">
      <alignment horizontal="center" vertical="center" wrapText="1"/>
    </xf>
    <xf numFmtId="4" fontId="7" fillId="0" borderId="2" xfId="0" applyNumberFormat="1" applyFont="1" applyBorder="1" applyAlignment="1">
      <alignment horizontal="left" vertical="center" wrapText="1"/>
    </xf>
    <xf numFmtId="178" fontId="7" fillId="0" borderId="2" xfId="0" applyNumberFormat="1" applyFont="1" applyBorder="1" applyAlignment="1">
      <alignment horizontal="center" vertical="center"/>
    </xf>
    <xf numFmtId="0" fontId="5" fillId="0" borderId="31" xfId="50" applyFont="1" applyBorder="1" applyAlignment="1">
      <alignment horizontal="center" vertical="center" wrapText="1"/>
    </xf>
    <xf numFmtId="0" fontId="0" fillId="0" borderId="2" xfId="0" applyBorder="1"/>
    <xf numFmtId="4" fontId="7" fillId="4" borderId="2" xfId="0" applyNumberFormat="1" applyFont="1" applyFill="1" applyBorder="1" applyAlignment="1">
      <alignment horizontal="center" vertical="center" wrapText="1"/>
    </xf>
    <xf numFmtId="4" fontId="6" fillId="3" borderId="2" xfId="0" applyNumberFormat="1" applyFont="1" applyFill="1" applyBorder="1" applyAlignment="1">
      <alignment horizontal="left" vertical="center" wrapText="1"/>
    </xf>
    <xf numFmtId="0" fontId="0" fillId="4" borderId="2" xfId="0" applyFill="1" applyBorder="1"/>
    <xf numFmtId="4" fontId="6" fillId="0" borderId="2" xfId="0" applyNumberFormat="1" applyFont="1" applyBorder="1" applyAlignment="1">
      <alignment horizontal="left" vertical="center" wrapText="1"/>
    </xf>
    <xf numFmtId="14" fontId="5" fillId="0" borderId="31" xfId="50" applyNumberFormat="1" applyFont="1" applyBorder="1" applyAlignment="1">
      <alignment horizontal="center" vertical="center" wrapText="1"/>
    </xf>
    <xf numFmtId="0" fontId="0" fillId="0" borderId="6" xfId="0" applyBorder="1"/>
    <xf numFmtId="177" fontId="6" fillId="4" borderId="6" xfId="50" applyNumberFormat="1" applyFont="1" applyFill="1" applyBorder="1" applyAlignment="1">
      <alignment horizontal="center" vertical="center" wrapText="1"/>
    </xf>
    <xf numFmtId="0" fontId="4" fillId="4" borderId="3" xfId="0" applyFont="1" applyFill="1" applyBorder="1" applyAlignment="1">
      <alignment horizontal="left" vertical="center" wrapText="1"/>
    </xf>
    <xf numFmtId="0" fontId="8" fillId="4" borderId="32" xfId="0" applyFont="1" applyFill="1" applyBorder="1" applyAlignment="1">
      <alignment horizontal="left" vertical="center" wrapText="1"/>
    </xf>
    <xf numFmtId="0" fontId="0" fillId="0" borderId="33" xfId="0" applyBorder="1"/>
    <xf numFmtId="0" fontId="8" fillId="0" borderId="2" xfId="0" applyFont="1" applyBorder="1" applyAlignment="1">
      <alignment horizontal="left" vertical="center" wrapText="1"/>
    </xf>
    <xf numFmtId="4" fontId="5" fillId="4" borderId="6" xfId="50" applyNumberFormat="1" applyFont="1" applyFill="1" applyBorder="1" applyAlignment="1">
      <alignment horizontal="center" vertical="center"/>
    </xf>
    <xf numFmtId="4" fontId="7" fillId="4" borderId="2" xfId="0" applyNumberFormat="1" applyFont="1" applyFill="1" applyBorder="1" applyAlignment="1">
      <alignment vertical="center"/>
    </xf>
    <xf numFmtId="43" fontId="5" fillId="4" borderId="2" xfId="52" applyFont="1" applyFill="1" applyBorder="1" applyAlignment="1">
      <alignment horizontal="right" vertical="center"/>
    </xf>
    <xf numFmtId="0" fontId="6" fillId="4" borderId="2" xfId="0" applyFont="1" applyFill="1" applyBorder="1" applyAlignment="1">
      <alignment horizontal="center" vertical="center"/>
    </xf>
    <xf numFmtId="0" fontId="4" fillId="4" borderId="2" xfId="0" applyFont="1" applyFill="1" applyBorder="1" applyAlignment="1">
      <alignment horizontal="center" vertical="center"/>
    </xf>
    <xf numFmtId="43" fontId="9" fillId="4" borderId="2" xfId="0" applyNumberFormat="1" applyFont="1" applyFill="1" applyBorder="1" applyAlignment="1">
      <alignment horizontal="right" vertical="center"/>
    </xf>
    <xf numFmtId="4" fontId="5" fillId="4" borderId="2" xfId="50" applyNumberFormat="1" applyFont="1" applyFill="1" applyBorder="1" applyAlignment="1">
      <alignment horizontal="center" vertical="center"/>
    </xf>
    <xf numFmtId="0" fontId="4" fillId="4" borderId="34" xfId="50" applyFont="1" applyFill="1" applyBorder="1" applyAlignment="1">
      <alignment horizontal="center" vertical="center"/>
    </xf>
    <xf numFmtId="10" fontId="9" fillId="4" borderId="34" xfId="0" applyNumberFormat="1" applyFont="1" applyFill="1" applyBorder="1" applyAlignment="1">
      <alignment horizontal="center" vertical="center"/>
    </xf>
    <xf numFmtId="14" fontId="5" fillId="0" borderId="2" xfId="50" applyNumberFormat="1" applyFont="1" applyBorder="1" applyAlignment="1">
      <alignment horizontal="center" vertical="center" wrapText="1"/>
    </xf>
    <xf numFmtId="0" fontId="6" fillId="0" borderId="2" xfId="0" applyFont="1" applyBorder="1" applyAlignment="1">
      <alignment horizontal="center" vertical="center"/>
    </xf>
    <xf numFmtId="0" fontId="5" fillId="0" borderId="2" xfId="50" applyFont="1" applyBorder="1" applyAlignment="1">
      <alignment horizontal="center" vertical="center"/>
    </xf>
    <xf numFmtId="43" fontId="5" fillId="0" borderId="2" xfId="52" applyFont="1" applyBorder="1" applyAlignment="1">
      <alignment horizontal="right" vertical="center"/>
    </xf>
    <xf numFmtId="0" fontId="4" fillId="0" borderId="2" xfId="0" applyFont="1" applyBorder="1" applyAlignment="1">
      <alignment horizontal="center" vertical="center"/>
    </xf>
    <xf numFmtId="43" fontId="9" fillId="0" borderId="2" xfId="0" applyNumberFormat="1" applyFont="1" applyBorder="1" applyAlignment="1">
      <alignment horizontal="right" vertical="center"/>
    </xf>
    <xf numFmtId="43" fontId="7" fillId="4" borderId="2" xfId="0" applyNumberFormat="1" applyFont="1" applyFill="1" applyBorder="1" applyAlignment="1">
      <alignment vertical="center"/>
    </xf>
    <xf numFmtId="10" fontId="9" fillId="4" borderId="16" xfId="0" applyNumberFormat="1" applyFont="1" applyFill="1" applyBorder="1" applyAlignment="1">
      <alignment horizontal="center" vertical="center"/>
    </xf>
    <xf numFmtId="43" fontId="7" fillId="0" borderId="2" xfId="0" applyNumberFormat="1" applyFont="1" applyBorder="1" applyAlignment="1">
      <alignment vertical="center"/>
    </xf>
    <xf numFmtId="10" fontId="7" fillId="4" borderId="2" xfId="3" applyNumberFormat="1" applyFont="1" applyFill="1" applyBorder="1" applyAlignment="1">
      <alignment horizontal="right" vertical="center"/>
    </xf>
    <xf numFmtId="10" fontId="7" fillId="4" borderId="6" xfId="3" applyNumberFormat="1" applyFont="1" applyFill="1" applyBorder="1" applyAlignment="1">
      <alignment horizontal="center" vertical="center"/>
    </xf>
    <xf numFmtId="4" fontId="7" fillId="4" borderId="6" xfId="0" applyNumberFormat="1" applyFont="1" applyFill="1" applyBorder="1" applyAlignment="1">
      <alignment horizontal="left" vertical="center" wrapText="1"/>
    </xf>
    <xf numFmtId="4" fontId="7" fillId="4" borderId="19" xfId="0" applyNumberFormat="1" applyFont="1" applyFill="1" applyBorder="1" applyAlignment="1">
      <alignment horizontal="left" vertical="center" wrapText="1"/>
    </xf>
    <xf numFmtId="179" fontId="7" fillId="4" borderId="2" xfId="3" applyNumberFormat="1" applyFont="1" applyFill="1" applyBorder="1" applyAlignment="1">
      <alignment horizontal="center"/>
    </xf>
    <xf numFmtId="10" fontId="7" fillId="4" borderId="2" xfId="3" applyNumberFormat="1" applyFont="1" applyFill="1" applyBorder="1" applyAlignment="1">
      <alignment horizontal="center" vertical="center" wrapText="1"/>
    </xf>
    <xf numFmtId="0" fontId="6" fillId="4" borderId="2" xfId="0" applyFont="1" applyFill="1" applyBorder="1" applyAlignment="1">
      <alignment horizontal="left" vertical="center" wrapText="1"/>
    </xf>
    <xf numFmtId="0" fontId="7" fillId="4" borderId="10" xfId="0" applyFont="1" applyFill="1" applyBorder="1" applyAlignment="1">
      <alignment horizontal="left" vertical="center" wrapText="1"/>
    </xf>
    <xf numFmtId="0" fontId="0" fillId="4" borderId="2" xfId="0" applyFill="1" applyBorder="1" applyAlignment="1">
      <alignment horizontal="center"/>
    </xf>
    <xf numFmtId="10" fontId="7" fillId="4" borderId="2" xfId="3" applyNumberFormat="1" applyFont="1" applyFill="1" applyBorder="1" applyAlignment="1">
      <alignment horizontal="left" vertical="center" wrapText="1"/>
    </xf>
    <xf numFmtId="0" fontId="0" fillId="0" borderId="2" xfId="0" applyBorder="1" applyAlignment="1">
      <alignment horizontal="center"/>
    </xf>
    <xf numFmtId="10" fontId="7" fillId="0" borderId="2" xfId="3" applyNumberFormat="1" applyFont="1" applyBorder="1" applyAlignment="1">
      <alignment horizontal="left" vertical="center" wrapText="1"/>
    </xf>
    <xf numFmtId="10" fontId="7" fillId="0" borderId="2" xfId="3" applyNumberFormat="1" applyFont="1" applyBorder="1" applyAlignment="1">
      <alignment horizontal="center" vertical="center" wrapText="1"/>
    </xf>
    <xf numFmtId="0" fontId="7" fillId="0" borderId="2" xfId="0" applyFont="1" applyBorder="1" applyAlignment="1">
      <alignment horizontal="center" vertical="center" wrapText="1"/>
    </xf>
    <xf numFmtId="0" fontId="7" fillId="4" borderId="35" xfId="0" applyFont="1" applyFill="1" applyBorder="1" applyAlignment="1">
      <alignment horizontal="center" vertical="center" wrapText="1"/>
    </xf>
    <xf numFmtId="0" fontId="0" fillId="0" borderId="36" xfId="0" applyBorder="1"/>
    <xf numFmtId="0" fontId="0" fillId="0" borderId="37" xfId="0" applyBorder="1"/>
    <xf numFmtId="4" fontId="6" fillId="4" borderId="2" xfId="0" applyNumberFormat="1" applyFont="1" applyFill="1" applyBorder="1" applyAlignment="1">
      <alignment vertical="center"/>
    </xf>
    <xf numFmtId="4" fontId="7" fillId="4" borderId="6" xfId="50" applyNumberFormat="1" applyFont="1" applyFill="1" applyBorder="1" applyAlignment="1">
      <alignment vertical="center"/>
    </xf>
    <xf numFmtId="43" fontId="7" fillId="4" borderId="16" xfId="0" applyNumberFormat="1" applyFont="1" applyFill="1" applyBorder="1" applyAlignment="1">
      <alignment horizontal="right" vertical="center"/>
    </xf>
    <xf numFmtId="4" fontId="6" fillId="0" borderId="2" xfId="0" applyNumberFormat="1" applyFont="1" applyBorder="1" applyAlignment="1">
      <alignment vertical="center"/>
    </xf>
    <xf numFmtId="4" fontId="7" fillId="0" borderId="6" xfId="50" applyNumberFormat="1" applyFont="1" applyBorder="1" applyAlignment="1">
      <alignment vertical="center"/>
    </xf>
    <xf numFmtId="43" fontId="7" fillId="0" borderId="16" xfId="0" applyNumberFormat="1" applyFont="1" applyBorder="1" applyAlignment="1">
      <alignment horizontal="right" vertical="center"/>
    </xf>
    <xf numFmtId="4" fontId="6" fillId="4" borderId="0" xfId="0" applyNumberFormat="1" applyFont="1" applyFill="1" applyAlignment="1">
      <alignment vertical="center"/>
    </xf>
    <xf numFmtId="4" fontId="7" fillId="4" borderId="19" xfId="0" applyNumberFormat="1" applyFont="1" applyFill="1" applyBorder="1" applyAlignment="1">
      <alignment vertical="center"/>
    </xf>
    <xf numFmtId="4" fontId="7" fillId="13" borderId="38" xfId="0" applyNumberFormat="1" applyFont="1" applyFill="1" applyBorder="1" applyAlignment="1">
      <alignment vertical="center"/>
    </xf>
    <xf numFmtId="4" fontId="10" fillId="13" borderId="6" xfId="0" applyNumberFormat="1" applyFont="1" applyFill="1" applyBorder="1" applyAlignment="1">
      <alignment vertical="center"/>
    </xf>
    <xf numFmtId="4" fontId="7" fillId="13" borderId="6" xfId="0" applyNumberFormat="1" applyFont="1" applyFill="1" applyBorder="1" applyAlignment="1">
      <alignment vertical="center"/>
    </xf>
    <xf numFmtId="0" fontId="0" fillId="4" borderId="27" xfId="0" applyFill="1" applyBorder="1"/>
    <xf numFmtId="0" fontId="0" fillId="13" borderId="6" xfId="0" applyFill="1" applyBorder="1"/>
    <xf numFmtId="43" fontId="7" fillId="4" borderId="21" xfId="0" applyNumberFormat="1" applyFont="1" applyFill="1" applyBorder="1" applyAlignment="1">
      <alignment horizontal="right" vertical="center"/>
    </xf>
    <xf numFmtId="10" fontId="9" fillId="4" borderId="27" xfId="0" applyNumberFormat="1" applyFont="1" applyFill="1" applyBorder="1" applyAlignment="1">
      <alignment horizontal="center" vertical="center"/>
    </xf>
    <xf numFmtId="0" fontId="7" fillId="13" borderId="6" xfId="0" applyFont="1" applyFill="1" applyBorder="1" applyAlignment="1">
      <alignment vertical="center"/>
    </xf>
    <xf numFmtId="43" fontId="7" fillId="4" borderId="27" xfId="0" applyNumberFormat="1" applyFont="1" applyFill="1" applyBorder="1" applyAlignment="1">
      <alignment horizontal="right" vertical="center"/>
    </xf>
    <xf numFmtId="0" fontId="7" fillId="13" borderId="39" xfId="0" applyFont="1" applyFill="1" applyBorder="1" applyAlignment="1">
      <alignment vertical="center"/>
    </xf>
    <xf numFmtId="4" fontId="13" fillId="4" borderId="2" xfId="0" applyNumberFormat="1" applyFont="1" applyFill="1" applyBorder="1" applyAlignment="1">
      <alignment vertical="center"/>
    </xf>
    <xf numFmtId="0" fontId="7" fillId="4" borderId="2" xfId="0" applyFont="1" applyFill="1" applyBorder="1" applyAlignment="1">
      <alignment horizontal="right" vertical="center"/>
    </xf>
    <xf numFmtId="0" fontId="2" fillId="4" borderId="2" xfId="0" applyFont="1" applyFill="1" applyBorder="1" applyAlignment="1">
      <alignment horizontal="right" vertical="center"/>
    </xf>
    <xf numFmtId="0" fontId="0" fillId="4" borderId="34" xfId="0" applyFill="1" applyBorder="1" applyAlignment="1">
      <alignment horizontal="center"/>
    </xf>
    <xf numFmtId="0" fontId="2" fillId="0" borderId="2" xfId="0" applyFont="1" applyBorder="1" applyAlignment="1">
      <alignment horizontal="right" vertical="center"/>
    </xf>
    <xf numFmtId="4" fontId="6" fillId="0" borderId="35" xfId="0" applyNumberFormat="1" applyFont="1" applyBorder="1" applyAlignment="1">
      <alignment vertical="center"/>
    </xf>
    <xf numFmtId="10" fontId="9" fillId="0" borderId="29" xfId="0" applyNumberFormat="1" applyFont="1" applyBorder="1" applyAlignment="1">
      <alignment horizontal="center" vertical="center"/>
    </xf>
    <xf numFmtId="4" fontId="6" fillId="4" borderId="35" xfId="0" applyNumberFormat="1" applyFont="1" applyFill="1" applyBorder="1" applyAlignment="1">
      <alignment vertical="center"/>
    </xf>
    <xf numFmtId="10" fontId="9" fillId="4" borderId="29" xfId="0" applyNumberFormat="1" applyFont="1" applyFill="1" applyBorder="1" applyAlignment="1">
      <alignment horizontal="center" vertical="center"/>
    </xf>
    <xf numFmtId="178" fontId="7" fillId="0" borderId="27" xfId="0" applyNumberFormat="1" applyFont="1" applyBorder="1" applyAlignment="1">
      <alignment horizontal="center" vertical="center"/>
    </xf>
    <xf numFmtId="0" fontId="6" fillId="0" borderId="2" xfId="0" applyFont="1" applyBorder="1" applyAlignment="1">
      <alignment horizontal="left" vertical="center" wrapText="1"/>
    </xf>
    <xf numFmtId="0" fontId="0" fillId="0" borderId="34" xfId="0" applyBorder="1"/>
    <xf numFmtId="0" fontId="4" fillId="0" borderId="34" xfId="0" applyFont="1" applyBorder="1" applyAlignment="1">
      <alignment horizontal="center" vertical="center"/>
    </xf>
    <xf numFmtId="10" fontId="9" fillId="0" borderId="34" xfId="0" applyNumberFormat="1" applyFont="1" applyBorder="1" applyAlignment="1">
      <alignment horizontal="center" vertical="center"/>
    </xf>
    <xf numFmtId="10" fontId="9" fillId="0" borderId="16" xfId="0" applyNumberFormat="1" applyFont="1" applyBorder="1" applyAlignment="1">
      <alignment horizontal="center" vertical="center"/>
    </xf>
    <xf numFmtId="179" fontId="7" fillId="0" borderId="34" xfId="3" applyNumberFormat="1" applyFont="1" applyBorder="1" applyAlignment="1">
      <alignment horizontal="center"/>
    </xf>
    <xf numFmtId="4" fontId="7" fillId="0" borderId="2" xfId="50" applyNumberFormat="1" applyFont="1" applyBorder="1" applyAlignment="1">
      <alignment vertical="center"/>
    </xf>
    <xf numFmtId="0" fontId="14" fillId="0" borderId="0" xfId="0" applyFont="1"/>
    <xf numFmtId="4" fontId="6" fillId="0" borderId="27" xfId="0" applyNumberFormat="1" applyFont="1" applyBorder="1" applyAlignment="1">
      <alignment vertical="center"/>
    </xf>
    <xf numFmtId="4" fontId="15" fillId="10" borderId="2" xfId="0" applyNumberFormat="1" applyFont="1" applyFill="1" applyBorder="1" applyAlignment="1">
      <alignment horizontal="center" vertical="center" wrapText="1"/>
    </xf>
    <xf numFmtId="4" fontId="7" fillId="0" borderId="19" xfId="50" applyNumberFormat="1" applyFont="1" applyBorder="1" applyAlignment="1">
      <alignment vertical="center"/>
    </xf>
    <xf numFmtId="4" fontId="14" fillId="10" borderId="2" xfId="0" applyNumberFormat="1" applyFont="1" applyFill="1" applyBorder="1" applyAlignment="1">
      <alignment horizontal="center" vertical="center" wrapText="1"/>
    </xf>
    <xf numFmtId="0" fontId="14" fillId="10" borderId="2" xfId="0" applyFont="1" applyFill="1" applyBorder="1" applyAlignment="1">
      <alignment horizontal="center" vertical="center" wrapText="1"/>
    </xf>
    <xf numFmtId="43" fontId="7" fillId="0" borderId="21" xfId="0" applyNumberFormat="1" applyFont="1" applyBorder="1" applyAlignment="1">
      <alignment horizontal="right" vertical="center"/>
    </xf>
    <xf numFmtId="10" fontId="9" fillId="0" borderId="27" xfId="0" applyNumberFormat="1" applyFont="1" applyBorder="1" applyAlignment="1">
      <alignment horizontal="center" vertical="center"/>
    </xf>
    <xf numFmtId="43" fontId="7" fillId="0" borderId="27" xfId="0" applyNumberFormat="1" applyFont="1" applyBorder="1" applyAlignment="1">
      <alignment horizontal="right" vertical="center"/>
    </xf>
    <xf numFmtId="10" fontId="9" fillId="0" borderId="40" xfId="0" applyNumberFormat="1" applyFont="1" applyBorder="1" applyAlignment="1">
      <alignment horizontal="center" vertical="center"/>
    </xf>
    <xf numFmtId="4" fontId="6" fillId="0" borderId="27" xfId="0" applyNumberFormat="1" applyFont="1" applyBorder="1" applyAlignment="1">
      <alignment vertical="center" wrapText="1"/>
    </xf>
    <xf numFmtId="4" fontId="15" fillId="11" borderId="2" xfId="0" applyNumberFormat="1" applyFont="1" applyFill="1" applyBorder="1" applyAlignment="1">
      <alignment horizontal="center" vertical="center" wrapText="1"/>
    </xf>
    <xf numFmtId="4" fontId="6" fillId="0" borderId="2" xfId="0" applyNumberFormat="1" applyFont="1" applyBorder="1" applyAlignment="1">
      <alignment vertical="center" wrapText="1"/>
    </xf>
    <xf numFmtId="4" fontId="15" fillId="0" borderId="2" xfId="0" applyNumberFormat="1" applyFont="1" applyBorder="1" applyAlignment="1">
      <alignment horizontal="center" vertical="center" wrapText="1"/>
    </xf>
    <xf numFmtId="4" fontId="14" fillId="0" borderId="2" xfId="0" applyNumberFormat="1" applyFont="1" applyBorder="1" applyAlignment="1">
      <alignment horizontal="center" vertical="center" wrapText="1"/>
    </xf>
    <xf numFmtId="0" fontId="14" fillId="0" borderId="2" xfId="0" applyFont="1" applyBorder="1" applyAlignment="1">
      <alignment horizontal="center" vertical="center" wrapText="1"/>
    </xf>
    <xf numFmtId="4" fontId="15" fillId="0" borderId="41" xfId="0" applyNumberFormat="1" applyFont="1" applyBorder="1" applyAlignment="1">
      <alignment horizontal="center" vertical="center" wrapText="1"/>
    </xf>
    <xf numFmtId="0" fontId="14" fillId="0" borderId="0" xfId="0" applyFont="1" applyAlignment="1">
      <alignment horizontal="center" vertical="center" wrapText="1"/>
    </xf>
    <xf numFmtId="4" fontId="7" fillId="0" borderId="0" xfId="50" applyNumberFormat="1" applyFont="1" applyAlignment="1">
      <alignment vertical="center"/>
    </xf>
    <xf numFmtId="43" fontId="5" fillId="0" borderId="0" xfId="52" applyFont="1" applyAlignment="1">
      <alignment horizontal="right" vertical="center"/>
    </xf>
    <xf numFmtId="43" fontId="7" fillId="0" borderId="0" xfId="0" applyNumberFormat="1" applyFont="1" applyAlignment="1">
      <alignment horizontal="right" vertical="center"/>
    </xf>
    <xf numFmtId="10" fontId="9" fillId="0" borderId="0" xfId="0" applyNumberFormat="1" applyFont="1" applyAlignment="1">
      <alignment horizontal="center" vertical="center"/>
    </xf>
    <xf numFmtId="4" fontId="15" fillId="0" borderId="28" xfId="0" applyNumberFormat="1" applyFont="1" applyBorder="1" applyAlignment="1">
      <alignment horizontal="center" vertical="center" wrapText="1"/>
    </xf>
    <xf numFmtId="4" fontId="14" fillId="0" borderId="28" xfId="0" applyNumberFormat="1" applyFont="1" applyBorder="1" applyAlignment="1">
      <alignment horizontal="center" vertical="center" wrapText="1"/>
    </xf>
    <xf numFmtId="0" fontId="14" fillId="0" borderId="28" xfId="0" applyFont="1" applyBorder="1" applyAlignment="1">
      <alignment horizontal="center" vertical="center" wrapText="1"/>
    </xf>
    <xf numFmtId="43" fontId="5" fillId="0" borderId="27" xfId="52" applyFont="1" applyBorder="1" applyAlignment="1">
      <alignment horizontal="right" vertical="center"/>
    </xf>
    <xf numFmtId="0" fontId="0" fillId="0" borderId="0" xfId="0" applyAlignment="1">
      <alignment horizontal="left"/>
    </xf>
    <xf numFmtId="0" fontId="0" fillId="0" borderId="0" xfId="0" applyAlignment="1">
      <alignment horizontal="left" wrapText="1"/>
    </xf>
    <xf numFmtId="0" fontId="6" fillId="0" borderId="3" xfId="0" applyFont="1" applyBorder="1" applyAlignment="1">
      <alignment horizontal="center" vertical="center"/>
    </xf>
    <xf numFmtId="0" fontId="6" fillId="0" borderId="3" xfId="0" applyFont="1" applyBorder="1" applyAlignment="1">
      <alignment horizontal="left" vertical="center" wrapText="1"/>
    </xf>
    <xf numFmtId="14" fontId="6" fillId="0" borderId="3" xfId="0" applyNumberFormat="1" applyFont="1" applyBorder="1" applyAlignment="1">
      <alignment horizontal="center" vertical="center"/>
    </xf>
    <xf numFmtId="14" fontId="6" fillId="0" borderId="3" xfId="0" applyNumberFormat="1" applyFont="1" applyBorder="1" applyAlignment="1">
      <alignment horizontal="left" vertical="center" wrapText="1"/>
    </xf>
    <xf numFmtId="43" fontId="7" fillId="0" borderId="2" xfId="0" applyNumberFormat="1" applyFont="1" applyBorder="1" applyAlignment="1">
      <alignment horizontal="center" vertical="center" wrapText="1"/>
    </xf>
    <xf numFmtId="0" fontId="6" fillId="14" borderId="3" xfId="0" applyFont="1" applyFill="1" applyBorder="1" applyAlignment="1">
      <alignment horizontal="center" vertical="center"/>
    </xf>
    <xf numFmtId="0" fontId="6" fillId="14" borderId="3" xfId="0" applyFont="1" applyFill="1" applyBorder="1" applyAlignment="1">
      <alignment horizontal="left" vertical="center" wrapText="1"/>
    </xf>
    <xf numFmtId="14" fontId="6" fillId="14" borderId="3" xfId="0" applyNumberFormat="1" applyFont="1" applyFill="1" applyBorder="1" applyAlignment="1">
      <alignment horizontal="center" vertical="center"/>
    </xf>
    <xf numFmtId="43" fontId="7" fillId="14" borderId="2" xfId="0" applyNumberFormat="1" applyFont="1" applyFill="1" applyBorder="1" applyAlignment="1">
      <alignment horizontal="center" vertical="center" wrapText="1"/>
    </xf>
    <xf numFmtId="0" fontId="8" fillId="15" borderId="3" xfId="0" applyFont="1" applyFill="1" applyBorder="1" applyAlignment="1">
      <alignment horizontal="left" vertical="center" wrapText="1"/>
    </xf>
    <xf numFmtId="0" fontId="6" fillId="15" borderId="3" xfId="0" applyFont="1" applyFill="1" applyBorder="1" applyAlignment="1">
      <alignment horizontal="left" vertical="center" wrapText="1"/>
    </xf>
    <xf numFmtId="43" fontId="7" fillId="15" borderId="2" xfId="0" applyNumberFormat="1" applyFont="1" applyFill="1" applyBorder="1" applyAlignment="1">
      <alignment horizontal="right" vertical="center"/>
    </xf>
    <xf numFmtId="43" fontId="7" fillId="15" borderId="2" xfId="0" applyNumberFormat="1" applyFont="1" applyFill="1" applyBorder="1" applyAlignment="1">
      <alignment horizontal="center" vertical="center" wrapText="1"/>
    </xf>
    <xf numFmtId="43" fontId="7" fillId="15" borderId="34" xfId="0" applyNumberFormat="1" applyFont="1" applyFill="1" applyBorder="1" applyAlignment="1">
      <alignment horizontal="center" vertical="center" wrapText="1"/>
    </xf>
    <xf numFmtId="43" fontId="7" fillId="15" borderId="4" xfId="0" applyNumberFormat="1" applyFont="1" applyFill="1" applyBorder="1" applyAlignment="1">
      <alignment horizontal="center" vertical="center"/>
    </xf>
    <xf numFmtId="0" fontId="6" fillId="0" borderId="4" xfId="0" applyFont="1" applyBorder="1" applyAlignment="1">
      <alignment horizontal="center" vertical="center" wrapText="1"/>
    </xf>
    <xf numFmtId="43" fontId="7" fillId="15" borderId="3" xfId="0" applyNumberFormat="1" applyFont="1" applyFill="1" applyBorder="1" applyAlignment="1">
      <alignment horizontal="center" vertical="center"/>
    </xf>
    <xf numFmtId="43" fontId="7" fillId="0" borderId="2" xfId="0" applyNumberFormat="1" applyFont="1" applyBorder="1" applyAlignment="1">
      <alignment horizontal="left" vertical="center" wrapText="1"/>
    </xf>
    <xf numFmtId="0" fontId="5" fillId="0" borderId="3" xfId="50" applyFont="1" applyBorder="1" applyAlignment="1">
      <alignment horizontal="center" vertical="center"/>
    </xf>
    <xf numFmtId="43" fontId="7" fillId="14" borderId="2" xfId="0" applyNumberFormat="1" applyFont="1" applyFill="1" applyBorder="1" applyAlignment="1">
      <alignment horizontal="right" vertical="center"/>
    </xf>
    <xf numFmtId="43" fontId="5" fillId="14" borderId="2" xfId="52" applyFont="1" applyFill="1" applyBorder="1" applyAlignment="1">
      <alignment horizontal="right" vertical="center"/>
    </xf>
    <xf numFmtId="0" fontId="4" fillId="0" borderId="2" xfId="50" applyFont="1" applyBorder="1" applyAlignment="1">
      <alignment horizontal="center" vertical="center"/>
    </xf>
    <xf numFmtId="10" fontId="9" fillId="14" borderId="2" xfId="0" applyNumberFormat="1" applyFont="1" applyFill="1" applyBorder="1" applyAlignment="1">
      <alignment horizontal="center" vertical="center"/>
    </xf>
    <xf numFmtId="0" fontId="5" fillId="14" borderId="3" xfId="50" applyFont="1" applyFill="1" applyBorder="1" applyAlignment="1">
      <alignment horizontal="center" vertical="center"/>
    </xf>
    <xf numFmtId="0" fontId="5" fillId="14" borderId="2" xfId="50" applyFont="1" applyFill="1" applyBorder="1" applyAlignment="1">
      <alignment horizontal="center" vertical="center"/>
    </xf>
    <xf numFmtId="0" fontId="4" fillId="14" borderId="2" xfId="50" applyFont="1" applyFill="1" applyBorder="1" applyAlignment="1">
      <alignment horizontal="center" vertical="center"/>
    </xf>
    <xf numFmtId="0" fontId="3" fillId="3" borderId="34" xfId="50" applyFont="1" applyFill="1" applyBorder="1" applyAlignment="1">
      <alignment horizontal="center" vertical="center" wrapText="1"/>
    </xf>
    <xf numFmtId="0" fontId="3" fillId="3" borderId="34" xfId="50" applyFont="1" applyFill="1" applyBorder="1" applyAlignment="1">
      <alignment horizontal="center" vertical="center"/>
    </xf>
    <xf numFmtId="9" fontId="7" fillId="0" borderId="2" xfId="3" applyFont="1" applyBorder="1" applyAlignment="1">
      <alignment horizontal="center" vertical="center"/>
    </xf>
    <xf numFmtId="0" fontId="7" fillId="0" borderId="39" xfId="0" applyFont="1" applyBorder="1" applyAlignment="1">
      <alignment horizontal="center" vertical="center" wrapText="1"/>
    </xf>
    <xf numFmtId="0" fontId="7" fillId="0" borderId="39" xfId="0" applyFont="1" applyBorder="1" applyAlignment="1">
      <alignment horizontal="left" vertical="center" wrapText="1"/>
    </xf>
    <xf numFmtId="0" fontId="8" fillId="0" borderId="2" xfId="0" applyFont="1" applyBorder="1" applyAlignment="1">
      <alignment horizontal="center" vertical="center" wrapText="1"/>
    </xf>
    <xf numFmtId="9" fontId="7" fillId="0" borderId="2" xfId="3" applyFont="1" applyBorder="1" applyAlignment="1">
      <alignment horizontal="center"/>
    </xf>
    <xf numFmtId="0" fontId="7" fillId="0" borderId="2" xfId="0" applyFont="1" applyBorder="1" applyAlignment="1">
      <alignment horizontal="left" vertical="center" wrapText="1"/>
    </xf>
    <xf numFmtId="9" fontId="7" fillId="14" borderId="2" xfId="3" applyFont="1" applyFill="1" applyBorder="1" applyAlignment="1">
      <alignment horizontal="center" vertical="center"/>
    </xf>
    <xf numFmtId="0" fontId="7" fillId="14" borderId="2" xfId="0" applyFont="1" applyFill="1" applyBorder="1" applyAlignment="1">
      <alignment horizontal="center" vertical="center" wrapText="1"/>
    </xf>
    <xf numFmtId="0" fontId="8" fillId="14" borderId="2" xfId="0" applyFont="1" applyFill="1" applyBorder="1" applyAlignment="1">
      <alignment horizontal="left" vertical="center" wrapText="1"/>
    </xf>
    <xf numFmtId="0" fontId="7" fillId="14" borderId="2" xfId="0" applyFont="1" applyFill="1" applyBorder="1" applyAlignment="1">
      <alignment horizontal="left" vertical="center" wrapText="1"/>
    </xf>
    <xf numFmtId="0" fontId="8" fillId="14" borderId="2" xfId="0" applyFont="1" applyFill="1" applyBorder="1" applyAlignment="1">
      <alignment horizontal="center" vertical="center" wrapText="1"/>
    </xf>
    <xf numFmtId="9" fontId="7" fillId="14" borderId="2" xfId="3" applyFont="1" applyFill="1" applyBorder="1" applyAlignment="1">
      <alignment horizontal="center"/>
    </xf>
    <xf numFmtId="179" fontId="7" fillId="14" borderId="2" xfId="3" applyNumberFormat="1" applyFont="1" applyFill="1" applyBorder="1" applyAlignment="1">
      <alignment horizontal="center"/>
    </xf>
    <xf numFmtId="0" fontId="3" fillId="14" borderId="2" xfId="50" applyFont="1" applyFill="1" applyBorder="1" applyAlignment="1">
      <alignment horizontal="center" vertical="center"/>
    </xf>
    <xf numFmtId="0" fontId="7" fillId="14" borderId="2" xfId="0" applyFont="1" applyFill="1" applyBorder="1" applyAlignment="1">
      <alignment horizontal="right" vertical="center"/>
    </xf>
    <xf numFmtId="0" fontId="2" fillId="0" borderId="2" xfId="0" applyFont="1" applyBorder="1" applyAlignment="1">
      <alignment horizontal="center" vertical="center"/>
    </xf>
    <xf numFmtId="43" fontId="9" fillId="14" borderId="2" xfId="0" applyNumberFormat="1" applyFont="1" applyFill="1" applyBorder="1" applyAlignment="1">
      <alignment horizontal="center" vertical="center"/>
    </xf>
    <xf numFmtId="0" fontId="2" fillId="0" borderId="4" xfId="0" applyFont="1" applyBorder="1" applyAlignment="1">
      <alignment horizontal="center" vertical="center"/>
    </xf>
    <xf numFmtId="0" fontId="2" fillId="14" borderId="2" xfId="0" applyFont="1" applyFill="1" applyBorder="1" applyAlignment="1">
      <alignment horizontal="center" vertical="center"/>
    </xf>
    <xf numFmtId="43" fontId="7" fillId="15" borderId="2" xfId="0" applyNumberFormat="1" applyFont="1" applyFill="1" applyBorder="1" applyAlignment="1">
      <alignment horizontal="left" vertical="center" wrapText="1"/>
    </xf>
    <xf numFmtId="43" fontId="7" fillId="15" borderId="34" xfId="0" applyNumberFormat="1" applyFont="1" applyFill="1" applyBorder="1" applyAlignment="1">
      <alignment horizontal="left" vertical="center" wrapText="1"/>
    </xf>
    <xf numFmtId="43" fontId="7" fillId="15" borderId="4" xfId="0" applyNumberFormat="1" applyFont="1" applyFill="1" applyBorder="1" applyAlignment="1">
      <alignment horizontal="left" vertical="center"/>
    </xf>
    <xf numFmtId="43" fontId="7" fillId="15" borderId="3" xfId="0" applyNumberFormat="1" applyFont="1" applyFill="1" applyBorder="1" applyAlignment="1">
      <alignment horizontal="left" vertical="center"/>
    </xf>
    <xf numFmtId="43" fontId="7" fillId="14" borderId="2" xfId="0" applyNumberFormat="1" applyFont="1" applyFill="1" applyBorder="1" applyAlignment="1">
      <alignment horizontal="left" vertical="center" wrapText="1"/>
    </xf>
    <xf numFmtId="14" fontId="6" fillId="0" borderId="2" xfId="0" applyNumberFormat="1" applyFont="1" applyBorder="1" applyAlignment="1">
      <alignment horizontal="center" vertical="center"/>
    </xf>
    <xf numFmtId="0" fontId="6" fillId="16" borderId="6" xfId="0" applyFont="1" applyFill="1" applyBorder="1" applyAlignment="1">
      <alignment horizontal="left" vertical="center" wrapText="1"/>
    </xf>
    <xf numFmtId="178" fontId="7" fillId="0" borderId="19" xfId="0" applyNumberFormat="1" applyFont="1" applyBorder="1" applyAlignment="1">
      <alignment horizontal="center" vertical="center"/>
    </xf>
    <xf numFmtId="0" fontId="6" fillId="15" borderId="3" xfId="0" applyFont="1" applyFill="1" applyBorder="1" applyAlignment="1">
      <alignment horizontal="center" vertical="center" wrapText="1"/>
    </xf>
    <xf numFmtId="0" fontId="6" fillId="15" borderId="4"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14" borderId="3" xfId="0" applyFont="1" applyFill="1" applyBorder="1" applyAlignment="1">
      <alignment horizontal="center" vertical="center" wrapText="1"/>
    </xf>
    <xf numFmtId="9" fontId="7" fillId="0" borderId="3" xfId="3" applyFont="1" applyBorder="1" applyAlignment="1">
      <alignment horizontal="left" vertical="center" wrapText="1"/>
    </xf>
    <xf numFmtId="0" fontId="7" fillId="0" borderId="3" xfId="0" applyFont="1" applyBorder="1" applyAlignment="1">
      <alignment horizontal="center" vertical="center" wrapText="1"/>
    </xf>
    <xf numFmtId="0" fontId="7" fillId="14" borderId="3" xfId="0" applyFont="1" applyFill="1" applyBorder="1" applyAlignment="1">
      <alignment horizontal="left" vertical="center" wrapText="1"/>
    </xf>
    <xf numFmtId="0" fontId="8" fillId="14" borderId="3" xfId="0" applyFont="1" applyFill="1" applyBorder="1" applyAlignment="1">
      <alignment horizontal="left" vertical="center" wrapText="1"/>
    </xf>
    <xf numFmtId="4" fontId="7" fillId="17" borderId="6" xfId="0" applyNumberFormat="1" applyFont="1" applyFill="1" applyBorder="1" applyAlignment="1">
      <alignment horizontal="right" vertical="center" wrapText="1"/>
    </xf>
    <xf numFmtId="4" fontId="7" fillId="17" borderId="6" xfId="0" applyNumberFormat="1" applyFont="1" applyFill="1" applyBorder="1" applyAlignment="1">
      <alignment horizontal="right" vertical="center"/>
    </xf>
    <xf numFmtId="0" fontId="7" fillId="17" borderId="6" xfId="0" applyFont="1" applyFill="1" applyBorder="1" applyAlignment="1">
      <alignment horizontal="right" vertical="center"/>
    </xf>
    <xf numFmtId="43" fontId="5" fillId="18" borderId="6" xfId="52" applyFont="1" applyFill="1" applyBorder="1" applyAlignment="1">
      <alignment horizontal="right" vertical="center"/>
    </xf>
    <xf numFmtId="43" fontId="7" fillId="17" borderId="6" xfId="0" applyNumberFormat="1" applyFont="1" applyFill="1" applyBorder="1" applyAlignment="1">
      <alignment horizontal="right" vertical="center"/>
    </xf>
    <xf numFmtId="10" fontId="9" fillId="17" borderId="6" xfId="0" applyNumberFormat="1" applyFont="1" applyFill="1" applyBorder="1" applyAlignment="1">
      <alignment horizontal="center" vertical="center"/>
    </xf>
    <xf numFmtId="43" fontId="7" fillId="0" borderId="22" xfId="0" applyNumberFormat="1" applyFont="1" applyBorder="1" applyAlignment="1">
      <alignment horizontal="right" vertical="center"/>
    </xf>
    <xf numFmtId="0" fontId="5" fillId="0" borderId="5" xfId="0" applyFont="1" applyBorder="1" applyAlignment="1">
      <alignment horizontal="center" vertical="center" wrapText="1"/>
    </xf>
    <xf numFmtId="0" fontId="6" fillId="19" borderId="39" xfId="0" applyFont="1" applyFill="1" applyBorder="1" applyAlignment="1">
      <alignment horizontal="left" vertical="center" wrapText="1"/>
    </xf>
    <xf numFmtId="14" fontId="5" fillId="0" borderId="6" xfId="0" applyNumberFormat="1" applyFont="1" applyBorder="1" applyAlignment="1">
      <alignment horizontal="center" vertical="center" wrapText="1"/>
    </xf>
    <xf numFmtId="14" fontId="5" fillId="0" borderId="19" xfId="0" applyNumberFormat="1" applyFont="1" applyBorder="1" applyAlignment="1">
      <alignment horizontal="center" vertical="center" wrapText="1"/>
    </xf>
    <xf numFmtId="43" fontId="5" fillId="17" borderId="2" xfId="52" applyFont="1" applyFill="1" applyBorder="1" applyAlignment="1">
      <alignment horizontal="right" vertical="center"/>
    </xf>
    <xf numFmtId="43" fontId="7" fillId="17" borderId="2" xfId="0" applyNumberFormat="1" applyFont="1" applyFill="1" applyBorder="1" applyAlignment="1">
      <alignment horizontal="right" vertical="center"/>
    </xf>
    <xf numFmtId="10" fontId="9" fillId="17" borderId="2" xfId="0" applyNumberFormat="1" applyFont="1" applyFill="1" applyBorder="1" applyAlignment="1">
      <alignment horizontal="center" vertical="center"/>
    </xf>
    <xf numFmtId="43" fontId="7" fillId="0" borderId="2" xfId="0" applyNumberFormat="1" applyFont="1" applyBorder="1" applyAlignment="1">
      <alignment horizontal="right" vertical="center" wrapText="1"/>
    </xf>
    <xf numFmtId="4" fontId="6" fillId="17" borderId="6" xfId="0" applyNumberFormat="1" applyFont="1" applyFill="1" applyBorder="1" applyAlignment="1">
      <alignment horizontal="right" vertical="center"/>
    </xf>
    <xf numFmtId="43" fontId="9" fillId="17" borderId="2" xfId="0" applyNumberFormat="1" applyFont="1" applyFill="1" applyBorder="1" applyAlignment="1">
      <alignment horizontal="center" vertical="center"/>
    </xf>
    <xf numFmtId="0" fontId="7" fillId="14" borderId="2" xfId="0" applyFont="1" applyFill="1" applyBorder="1" applyAlignment="1">
      <alignment horizontal="center" vertical="center"/>
    </xf>
    <xf numFmtId="0" fontId="6" fillId="14" borderId="2" xfId="0" applyFont="1" applyFill="1" applyBorder="1" applyAlignment="1">
      <alignment horizontal="left" vertical="center" wrapText="1"/>
    </xf>
    <xf numFmtId="178" fontId="7" fillId="14" borderId="2" xfId="0" applyNumberFormat="1" applyFont="1" applyFill="1" applyBorder="1" applyAlignment="1">
      <alignment horizontal="center" vertical="center"/>
    </xf>
    <xf numFmtId="0" fontId="6" fillId="4" borderId="3" xfId="0" applyFont="1" applyFill="1" applyBorder="1" applyAlignment="1">
      <alignment horizontal="left" vertical="center" wrapText="1"/>
    </xf>
    <xf numFmtId="0" fontId="5" fillId="0" borderId="2" xfId="50" applyFont="1" applyBorder="1" applyAlignment="1">
      <alignment horizontal="center" vertical="center" wrapText="1"/>
    </xf>
    <xf numFmtId="0" fontId="6" fillId="0" borderId="2" xfId="50" applyFont="1" applyBorder="1" applyAlignment="1">
      <alignment horizontal="left" vertical="center" wrapText="1"/>
    </xf>
    <xf numFmtId="0" fontId="5" fillId="14" borderId="2" xfId="50" applyFont="1" applyFill="1" applyBorder="1" applyAlignment="1">
      <alignment horizontal="center" vertical="center" wrapText="1"/>
    </xf>
    <xf numFmtId="0" fontId="6" fillId="14" borderId="2" xfId="50" applyFont="1" applyFill="1" applyBorder="1" applyAlignment="1">
      <alignment horizontal="left" vertical="center" wrapText="1"/>
    </xf>
    <xf numFmtId="14" fontId="5" fillId="14" borderId="2" xfId="50" applyNumberFormat="1"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14" borderId="2" xfId="0" applyFont="1" applyFill="1" applyBorder="1" applyAlignment="1">
      <alignment horizontal="center" vertical="center"/>
    </xf>
    <xf numFmtId="0" fontId="4" fillId="14" borderId="2" xfId="0" applyFont="1" applyFill="1" applyBorder="1" applyAlignment="1">
      <alignment horizontal="center" vertical="center"/>
    </xf>
    <xf numFmtId="9" fontId="7" fillId="14" borderId="2" xfId="3" applyFont="1" applyFill="1" applyBorder="1" applyAlignment="1">
      <alignment horizontal="left" vertical="center" wrapText="1"/>
    </xf>
    <xf numFmtId="0" fontId="7" fillId="14" borderId="34" xfId="0" applyFont="1" applyFill="1" applyBorder="1" applyAlignment="1">
      <alignment horizontal="left" vertical="center" wrapText="1"/>
    </xf>
    <xf numFmtId="0" fontId="7" fillId="14" borderId="4" xfId="0" applyFont="1" applyFill="1" applyBorder="1" applyAlignment="1">
      <alignment horizontal="left" vertical="center" wrapText="1"/>
    </xf>
    <xf numFmtId="9" fontId="7" fillId="0" borderId="2" xfId="3" applyFont="1" applyBorder="1" applyAlignment="1">
      <alignment horizontal="left" vertical="center" wrapText="1"/>
    </xf>
    <xf numFmtId="0" fontId="7" fillId="14" borderId="34" xfId="0" applyFont="1" applyFill="1" applyBorder="1" applyAlignment="1">
      <alignment horizontal="center"/>
    </xf>
    <xf numFmtId="0" fontId="7" fillId="14" borderId="34" xfId="0" applyFont="1" applyFill="1" applyBorder="1" applyAlignment="1">
      <alignment horizontal="center" vertical="center" wrapText="1"/>
    </xf>
    <xf numFmtId="0" fontId="7" fillId="14" borderId="4" xfId="0" applyFont="1" applyFill="1" applyBorder="1" applyAlignment="1">
      <alignment horizontal="center"/>
    </xf>
    <xf numFmtId="0" fontId="7" fillId="14" borderId="4" xfId="0" applyFont="1" applyFill="1" applyBorder="1" applyAlignment="1">
      <alignment horizontal="center" vertical="center" wrapText="1"/>
    </xf>
    <xf numFmtId="0" fontId="2" fillId="14" borderId="2" xfId="0" applyFont="1" applyFill="1" applyBorder="1" applyAlignment="1">
      <alignment horizontal="right" vertical="center"/>
    </xf>
    <xf numFmtId="0" fontId="2" fillId="14" borderId="4" xfId="0" applyFont="1" applyFill="1" applyBorder="1" applyAlignment="1">
      <alignment horizontal="center" vertical="center"/>
    </xf>
    <xf numFmtId="10" fontId="3" fillId="14" borderId="2" xfId="50" applyNumberFormat="1" applyFont="1" applyFill="1" applyBorder="1" applyAlignment="1">
      <alignment horizontal="right" vertical="center"/>
    </xf>
    <xf numFmtId="0" fontId="2" fillId="14" borderId="2" xfId="0" applyFont="1" applyFill="1" applyBorder="1" applyAlignment="1">
      <alignment horizontal="left" vertical="center" wrapText="1"/>
    </xf>
    <xf numFmtId="14" fontId="6" fillId="0" borderId="2" xfId="0" applyNumberFormat="1" applyFont="1" applyBorder="1" applyAlignment="1">
      <alignment horizontal="center" vertical="center" wrapText="1"/>
    </xf>
    <xf numFmtId="14" fontId="5" fillId="0" borderId="10" xfId="50" applyNumberFormat="1" applyFont="1" applyBorder="1" applyAlignment="1">
      <alignment horizontal="left" vertical="center" wrapText="1"/>
    </xf>
    <xf numFmtId="14" fontId="5" fillId="0" borderId="10" xfId="50" applyNumberFormat="1" applyFont="1" applyBorder="1" applyAlignment="1">
      <alignment horizontal="center" vertical="center" wrapText="1"/>
    </xf>
    <xf numFmtId="0" fontId="7" fillId="14" borderId="3" xfId="0" applyFont="1" applyFill="1" applyBorder="1" applyAlignment="1">
      <alignment horizontal="center"/>
    </xf>
    <xf numFmtId="0" fontId="7" fillId="14" borderId="3" xfId="0" applyFont="1" applyFill="1" applyBorder="1" applyAlignment="1">
      <alignment horizontal="center" vertical="center" wrapText="1"/>
    </xf>
    <xf numFmtId="43" fontId="7" fillId="0" borderId="2" xfId="0" applyNumberFormat="1" applyFont="1" applyBorder="1" applyAlignment="1">
      <alignment horizontal="center"/>
    </xf>
    <xf numFmtId="10" fontId="8" fillId="0" borderId="3" xfId="0" applyNumberFormat="1" applyFont="1" applyBorder="1" applyAlignment="1">
      <alignment horizontal="center" vertical="center" wrapText="1"/>
    </xf>
    <xf numFmtId="10" fontId="7" fillId="0" borderId="2" xfId="0" applyNumberFormat="1" applyFont="1" applyBorder="1" applyAlignment="1">
      <alignment horizontal="center" vertical="center" wrapText="1"/>
    </xf>
    <xf numFmtId="43" fontId="6" fillId="14" borderId="27" xfId="0" applyNumberFormat="1" applyFont="1" applyFill="1" applyBorder="1" applyAlignment="1">
      <alignment horizontal="center" vertical="center"/>
    </xf>
    <xf numFmtId="0" fontId="7" fillId="14" borderId="35" xfId="0" applyFont="1" applyFill="1" applyBorder="1" applyAlignment="1">
      <alignment horizontal="right" vertical="center"/>
    </xf>
    <xf numFmtId="43" fontId="5" fillId="14" borderId="27" xfId="52" applyFont="1" applyFill="1" applyBorder="1" applyAlignment="1">
      <alignment horizontal="right" vertical="center"/>
    </xf>
    <xf numFmtId="43" fontId="5" fillId="14" borderId="35" xfId="52" applyFont="1" applyFill="1" applyBorder="1" applyAlignment="1">
      <alignment horizontal="right" vertical="center"/>
    </xf>
    <xf numFmtId="43" fontId="7" fillId="14" borderId="19" xfId="0" applyNumberFormat="1" applyFont="1" applyFill="1" applyBorder="1" applyAlignment="1">
      <alignment horizontal="right" vertical="center"/>
    </xf>
    <xf numFmtId="10" fontId="9" fillId="14" borderId="27" xfId="0" applyNumberFormat="1" applyFont="1" applyFill="1" applyBorder="1" applyAlignment="1">
      <alignment horizontal="center" vertical="center"/>
    </xf>
    <xf numFmtId="43" fontId="7" fillId="14" borderId="35" xfId="0" applyNumberFormat="1" applyFont="1" applyFill="1" applyBorder="1" applyAlignment="1">
      <alignment horizontal="right" vertical="center"/>
    </xf>
    <xf numFmtId="43" fontId="7" fillId="14" borderId="42" xfId="0" applyNumberFormat="1" applyFont="1" applyFill="1" applyBorder="1" applyAlignment="1">
      <alignment horizontal="right" vertical="center"/>
    </xf>
    <xf numFmtId="10" fontId="9" fillId="14" borderId="42" xfId="0" applyNumberFormat="1" applyFont="1" applyFill="1" applyBorder="1" applyAlignment="1">
      <alignment horizontal="center" vertical="center"/>
    </xf>
    <xf numFmtId="43" fontId="7" fillId="14" borderId="27" xfId="0" applyNumberFormat="1" applyFont="1" applyFill="1" applyBorder="1" applyAlignment="1">
      <alignment horizontal="right" vertical="center"/>
    </xf>
    <xf numFmtId="0" fontId="2" fillId="14" borderId="35" xfId="0" applyFont="1" applyFill="1" applyBorder="1" applyAlignment="1">
      <alignment horizontal="right" vertical="center"/>
    </xf>
    <xf numFmtId="10" fontId="3" fillId="0" borderId="2" xfId="50" applyNumberFormat="1" applyFont="1" applyBorder="1" applyAlignment="1">
      <alignment horizontal="right" vertical="center"/>
    </xf>
    <xf numFmtId="178" fontId="6" fillId="0" borderId="3" xfId="0" applyNumberFormat="1" applyFont="1" applyBorder="1" applyAlignment="1">
      <alignment horizontal="center" vertical="center"/>
    </xf>
    <xf numFmtId="0" fontId="16" fillId="0" borderId="2" xfId="0" applyFont="1" applyBorder="1"/>
    <xf numFmtId="0" fontId="17" fillId="0" borderId="0" xfId="0" applyFont="1"/>
    <xf numFmtId="0" fontId="6" fillId="4" borderId="2" xfId="50" applyFont="1" applyFill="1" applyBorder="1" applyAlignment="1">
      <alignment horizontal="center" vertical="center" wrapText="1"/>
    </xf>
    <xf numFmtId="0" fontId="6" fillId="0" borderId="2" xfId="50" applyFont="1" applyBorder="1" applyAlignment="1">
      <alignment horizontal="center" vertical="center" wrapText="1"/>
    </xf>
    <xf numFmtId="0" fontId="8" fillId="0" borderId="6" xfId="0" applyFont="1" applyBorder="1" applyAlignment="1">
      <alignment horizontal="left" vertical="center" wrapText="1"/>
    </xf>
    <xf numFmtId="0" fontId="6" fillId="0" borderId="6" xfId="0" applyFont="1" applyBorder="1" applyAlignment="1">
      <alignment horizontal="center" vertical="center" wrapText="1"/>
    </xf>
    <xf numFmtId="14" fontId="5" fillId="4" borderId="35" xfId="50" applyNumberFormat="1" applyFont="1" applyFill="1" applyBorder="1" applyAlignment="1">
      <alignment horizontal="center" vertical="center" wrapText="1"/>
    </xf>
    <xf numFmtId="43" fontId="5" fillId="4" borderId="2" xfId="52" applyFont="1" applyFill="1" applyBorder="1" applyAlignment="1">
      <alignment horizontal="right" vertical="center" wrapText="1"/>
    </xf>
    <xf numFmtId="14" fontId="5" fillId="4" borderId="42" xfId="50" applyNumberFormat="1" applyFont="1" applyFill="1" applyBorder="1" applyAlignment="1">
      <alignment horizontal="center" vertical="center" wrapText="1"/>
    </xf>
    <xf numFmtId="14" fontId="5" fillId="0" borderId="42" xfId="50" applyNumberFormat="1" applyFont="1" applyBorder="1" applyAlignment="1">
      <alignment horizontal="center" vertical="center" wrapText="1"/>
    </xf>
    <xf numFmtId="43" fontId="5" fillId="0" borderId="2" xfId="52" applyFont="1" applyBorder="1" applyAlignment="1">
      <alignment horizontal="right" vertical="center" wrapText="1"/>
    </xf>
    <xf numFmtId="10" fontId="7" fillId="4" borderId="2" xfId="3" applyNumberFormat="1" applyFont="1" applyFill="1" applyBorder="1" applyAlignment="1">
      <alignment horizontal="center" vertical="center"/>
    </xf>
    <xf numFmtId="0" fontId="7" fillId="4" borderId="2" xfId="0" applyFont="1" applyFill="1" applyBorder="1" applyAlignment="1">
      <alignment horizontal="center"/>
    </xf>
    <xf numFmtId="10" fontId="7" fillId="0" borderId="2" xfId="3" applyNumberFormat="1" applyFont="1" applyBorder="1" applyAlignment="1">
      <alignment horizontal="center" vertical="center"/>
    </xf>
    <xf numFmtId="0" fontId="7" fillId="0" borderId="2" xfId="0" applyFont="1" applyBorder="1" applyAlignment="1">
      <alignment horizontal="center" vertical="center"/>
    </xf>
    <xf numFmtId="0" fontId="7" fillId="4" borderId="2" xfId="0" applyFont="1" applyFill="1" applyBorder="1" applyAlignment="1">
      <alignment horizontal="center" vertical="center"/>
    </xf>
    <xf numFmtId="0" fontId="3" fillId="6" borderId="22" xfId="50" applyFont="1" applyFill="1" applyBorder="1" applyAlignment="1">
      <alignment horizontal="center" vertical="center"/>
    </xf>
    <xf numFmtId="0" fontId="3" fillId="5" borderId="6" xfId="50" applyFont="1" applyFill="1" applyBorder="1" applyAlignment="1">
      <alignment horizontal="center" vertical="center"/>
    </xf>
    <xf numFmtId="0" fontId="3" fillId="6" borderId="6" xfId="50" applyFont="1" applyFill="1" applyBorder="1" applyAlignment="1">
      <alignment horizontal="center" vertical="center"/>
    </xf>
    <xf numFmtId="43" fontId="7" fillId="4" borderId="22" xfId="0" applyNumberFormat="1" applyFont="1" applyFill="1" applyBorder="1" applyAlignment="1">
      <alignment horizontal="right" vertical="center"/>
    </xf>
    <xf numFmtId="0" fontId="0" fillId="4" borderId="6" xfId="0" applyFill="1" applyBorder="1"/>
    <xf numFmtId="43" fontId="5" fillId="4" borderId="22" xfId="52" applyFont="1" applyFill="1" applyBorder="1" applyAlignment="1">
      <alignment horizontal="right" vertical="center"/>
    </xf>
    <xf numFmtId="43" fontId="5" fillId="4" borderId="6" xfId="52" applyFont="1" applyFill="1" applyBorder="1" applyAlignment="1">
      <alignment horizontal="right" vertical="center"/>
    </xf>
    <xf numFmtId="10" fontId="9" fillId="4" borderId="22" xfId="0" applyNumberFormat="1" applyFont="1" applyFill="1" applyBorder="1" applyAlignment="1">
      <alignment horizontal="center" vertical="center"/>
    </xf>
    <xf numFmtId="43" fontId="5" fillId="0" borderId="22" xfId="52" applyFont="1" applyBorder="1" applyAlignment="1">
      <alignment horizontal="right" vertical="center"/>
    </xf>
    <xf numFmtId="43" fontId="5" fillId="0" borderId="6" xfId="52" applyFont="1" applyBorder="1" applyAlignment="1">
      <alignment horizontal="right" vertical="center"/>
    </xf>
    <xf numFmtId="10" fontId="9" fillId="0" borderId="22" xfId="0" applyNumberFormat="1" applyFont="1" applyBorder="1" applyAlignment="1">
      <alignment horizontal="center" vertical="center"/>
    </xf>
    <xf numFmtId="180" fontId="6" fillId="0" borderId="6" xfId="0" applyNumberFormat="1" applyFont="1" applyBorder="1" applyAlignment="1">
      <alignment horizontal="right" vertical="center"/>
    </xf>
    <xf numFmtId="0" fontId="1" fillId="0" borderId="6" xfId="0" applyFont="1" applyBorder="1"/>
    <xf numFmtId="177" fontId="7" fillId="0" borderId="6" xfId="0" applyNumberFormat="1" applyFont="1" applyBorder="1" applyAlignment="1">
      <alignment horizontal="right" vertical="center" wrapText="1"/>
    </xf>
    <xf numFmtId="177" fontId="7" fillId="0" borderId="6" xfId="0" applyNumberFormat="1" applyFont="1" applyBorder="1" applyAlignment="1">
      <alignment horizontal="right" vertical="center"/>
    </xf>
    <xf numFmtId="0" fontId="7" fillId="0" borderId="6" xfId="0" applyFont="1" applyBorder="1" applyAlignment="1">
      <alignment horizontal="right" vertical="center"/>
    </xf>
    <xf numFmtId="0" fontId="7" fillId="4" borderId="6" xfId="0" applyFont="1" applyFill="1" applyBorder="1" applyAlignment="1">
      <alignment horizontal="center" vertical="center" wrapText="1"/>
    </xf>
    <xf numFmtId="178" fontId="7" fillId="4" borderId="19" xfId="0" applyNumberFormat="1" applyFont="1" applyFill="1" applyBorder="1" applyAlignment="1">
      <alignment horizontal="center" vertical="center"/>
    </xf>
    <xf numFmtId="0" fontId="8" fillId="4" borderId="6" xfId="0" applyFont="1" applyFill="1" applyBorder="1" applyAlignment="1">
      <alignment horizontal="left" vertical="center" wrapText="1"/>
    </xf>
    <xf numFmtId="0" fontId="6" fillId="4" borderId="6" xfId="0" applyFont="1" applyFill="1" applyBorder="1" applyAlignment="1">
      <alignment horizontal="center" vertical="center" wrapText="1"/>
    </xf>
    <xf numFmtId="0" fontId="5" fillId="17" borderId="5" xfId="50" applyFont="1" applyFill="1" applyBorder="1" applyAlignment="1">
      <alignment horizontal="center" vertical="center" wrapText="1"/>
    </xf>
    <xf numFmtId="0" fontId="6" fillId="17" borderId="6" xfId="50" applyFont="1" applyFill="1" applyBorder="1" applyAlignment="1">
      <alignment horizontal="left" vertical="center" wrapText="1"/>
    </xf>
    <xf numFmtId="14" fontId="5" fillId="17" borderId="6" xfId="50" applyNumberFormat="1" applyFont="1" applyFill="1" applyBorder="1" applyAlignment="1">
      <alignment horizontal="center" vertical="center" wrapText="1"/>
    </xf>
    <xf numFmtId="14" fontId="5" fillId="17" borderId="19" xfId="50" applyNumberFormat="1" applyFont="1" applyFill="1" applyBorder="1" applyAlignment="1">
      <alignment horizontal="center" vertical="center" wrapText="1"/>
    </xf>
    <xf numFmtId="0" fontId="6" fillId="17" borderId="6" xfId="0" applyFont="1" applyFill="1" applyBorder="1" applyAlignment="1">
      <alignment horizontal="left" vertical="center" wrapText="1"/>
    </xf>
    <xf numFmtId="0" fontId="8" fillId="17" borderId="6" xfId="0" applyFont="1" applyFill="1" applyBorder="1" applyAlignment="1">
      <alignment horizontal="left" vertical="center" wrapText="1"/>
    </xf>
    <xf numFmtId="0" fontId="6" fillId="17" borderId="6" xfId="0" applyFont="1" applyFill="1" applyBorder="1" applyAlignment="1">
      <alignment horizontal="center" vertical="center" wrapText="1"/>
    </xf>
    <xf numFmtId="0" fontId="6" fillId="12" borderId="6" xfId="50" applyFont="1" applyFill="1" applyBorder="1" applyAlignment="1">
      <alignment horizontal="left" vertical="center" wrapText="1"/>
    </xf>
    <xf numFmtId="14" fontId="5" fillId="0" borderId="19" xfId="50" applyNumberFormat="1" applyFont="1" applyBorder="1" applyAlignment="1">
      <alignment horizontal="center" vertical="center" wrapText="1"/>
    </xf>
    <xf numFmtId="14" fontId="5" fillId="17" borderId="6" xfId="50" applyNumberFormat="1" applyFont="1" applyFill="1" applyBorder="1" applyAlignment="1">
      <alignment horizontal="left" vertical="center" wrapText="1"/>
    </xf>
    <xf numFmtId="14" fontId="5" fillId="17" borderId="42" xfId="50" applyNumberFormat="1" applyFont="1" applyFill="1" applyBorder="1" applyAlignment="1">
      <alignment horizontal="center" vertical="center" wrapText="1"/>
    </xf>
    <xf numFmtId="0" fontId="5" fillId="17" borderId="6" xfId="50" applyFont="1" applyFill="1" applyBorder="1" applyAlignment="1">
      <alignment horizontal="center" vertical="center"/>
    </xf>
    <xf numFmtId="43" fontId="7" fillId="17" borderId="2" xfId="1" applyFont="1" applyFill="1" applyBorder="1" applyAlignment="1">
      <alignment vertical="center" wrapText="1"/>
    </xf>
    <xf numFmtId="43" fontId="7" fillId="17" borderId="2" xfId="1" applyFont="1" applyFill="1" applyBorder="1" applyAlignment="1">
      <alignment vertical="center"/>
    </xf>
    <xf numFmtId="0" fontId="5" fillId="17" borderId="2" xfId="50" applyFont="1" applyFill="1" applyBorder="1" applyAlignment="1">
      <alignment horizontal="center" vertical="center"/>
    </xf>
    <xf numFmtId="43" fontId="7" fillId="17" borderId="2" xfId="1" applyFont="1" applyFill="1" applyBorder="1" applyAlignment="1">
      <alignment horizontal="right" vertical="center"/>
    </xf>
    <xf numFmtId="0" fontId="4" fillId="17" borderId="6" xfId="50" applyFont="1" applyFill="1" applyBorder="1" applyAlignment="1">
      <alignment horizontal="center" vertical="center"/>
    </xf>
    <xf numFmtId="43" fontId="7" fillId="17" borderId="6" xfId="0" applyNumberFormat="1" applyFont="1" applyFill="1" applyBorder="1" applyAlignment="1">
      <alignment vertical="center"/>
    </xf>
    <xf numFmtId="0" fontId="7" fillId="4" borderId="6" xfId="0" applyFont="1" applyFill="1" applyBorder="1" applyAlignment="1">
      <alignment horizontal="left" vertical="top" wrapText="1"/>
    </xf>
    <xf numFmtId="0" fontId="7" fillId="4" borderId="3" xfId="0" applyFont="1" applyFill="1" applyBorder="1" applyAlignment="1">
      <alignment horizontal="left" vertical="center" wrapText="1"/>
    </xf>
    <xf numFmtId="10" fontId="7" fillId="17" borderId="2" xfId="3" applyNumberFormat="1" applyFont="1" applyFill="1" applyBorder="1" applyAlignment="1">
      <alignment horizontal="right" vertical="center"/>
    </xf>
    <xf numFmtId="0" fontId="6" fillId="17" borderId="22" xfId="0" applyFont="1" applyFill="1" applyBorder="1" applyAlignment="1">
      <alignment horizontal="left" vertical="center" wrapText="1"/>
    </xf>
    <xf numFmtId="0" fontId="7" fillId="17" borderId="6" xfId="0" applyFont="1" applyFill="1" applyBorder="1" applyAlignment="1">
      <alignment horizontal="left" vertical="center" wrapText="1"/>
    </xf>
    <xf numFmtId="0" fontId="7" fillId="17" borderId="3" xfId="0" applyFont="1" applyFill="1" applyBorder="1" applyAlignment="1">
      <alignment horizontal="left" vertical="center" wrapText="1"/>
    </xf>
    <xf numFmtId="0" fontId="7" fillId="17" borderId="10" xfId="0" applyFont="1" applyFill="1" applyBorder="1" applyAlignment="1">
      <alignment horizontal="center" vertical="center" wrapText="1"/>
    </xf>
    <xf numFmtId="179" fontId="7" fillId="17" borderId="2" xfId="3" applyNumberFormat="1" applyFont="1" applyFill="1" applyBorder="1" applyAlignment="1">
      <alignment horizontal="center"/>
    </xf>
    <xf numFmtId="180" fontId="6" fillId="4" borderId="6" xfId="0" applyNumberFormat="1" applyFont="1" applyFill="1" applyBorder="1" applyAlignment="1">
      <alignment horizontal="right" vertical="center"/>
    </xf>
    <xf numFmtId="177" fontId="7" fillId="4" borderId="6" xfId="0" applyNumberFormat="1" applyFont="1" applyFill="1" applyBorder="1" applyAlignment="1">
      <alignment horizontal="right" vertical="center" wrapText="1"/>
    </xf>
    <xf numFmtId="177" fontId="7" fillId="4" borderId="6" xfId="0" applyNumberFormat="1" applyFont="1" applyFill="1" applyBorder="1" applyAlignment="1">
      <alignment horizontal="right" vertical="center"/>
    </xf>
    <xf numFmtId="43" fontId="7" fillId="0" borderId="6" xfId="1" applyFont="1" applyBorder="1" applyAlignment="1">
      <alignment vertical="center"/>
    </xf>
    <xf numFmtId="4" fontId="7" fillId="0" borderId="6" xfId="0" applyNumberFormat="1" applyFont="1" applyBorder="1" applyAlignment="1">
      <alignment horizontal="right" vertical="center"/>
    </xf>
    <xf numFmtId="0" fontId="1" fillId="10" borderId="6" xfId="0" applyFont="1" applyFill="1" applyBorder="1"/>
    <xf numFmtId="0" fontId="0" fillId="10" borderId="6" xfId="0" applyFill="1" applyBorder="1"/>
    <xf numFmtId="0" fontId="11" fillId="0" borderId="6" xfId="0" applyFont="1" applyBorder="1"/>
    <xf numFmtId="43" fontId="7" fillId="17" borderId="22" xfId="0" applyNumberFormat="1" applyFont="1" applyFill="1" applyBorder="1" applyAlignment="1">
      <alignment horizontal="right" vertical="center"/>
    </xf>
    <xf numFmtId="177" fontId="7" fillId="17" borderId="6" xfId="0" applyNumberFormat="1" applyFont="1" applyFill="1" applyBorder="1" applyAlignment="1">
      <alignment horizontal="right" vertical="center" wrapText="1"/>
    </xf>
    <xf numFmtId="0" fontId="1" fillId="17" borderId="6" xfId="0" applyFont="1" applyFill="1" applyBorder="1"/>
    <xf numFmtId="177" fontId="7" fillId="17" borderId="6" xfId="0" applyNumberFormat="1" applyFont="1" applyFill="1" applyBorder="1" applyAlignment="1">
      <alignment horizontal="right" vertical="center"/>
    </xf>
    <xf numFmtId="43" fontId="5" fillId="17" borderId="22" xfId="52" applyFont="1" applyFill="1" applyBorder="1" applyAlignment="1">
      <alignment horizontal="right" vertical="center"/>
    </xf>
    <xf numFmtId="43" fontId="5" fillId="17" borderId="6" xfId="52" applyFont="1" applyFill="1" applyBorder="1" applyAlignment="1">
      <alignment horizontal="right" vertical="center"/>
    </xf>
    <xf numFmtId="0" fontId="0" fillId="17" borderId="6" xfId="0" applyFill="1" applyBorder="1"/>
    <xf numFmtId="10" fontId="9" fillId="17" borderId="22" xfId="0" applyNumberFormat="1" applyFont="1" applyFill="1" applyBorder="1" applyAlignment="1">
      <alignment horizontal="center" vertical="center"/>
    </xf>
    <xf numFmtId="0" fontId="5" fillId="0" borderId="2" xfId="0" applyFont="1" applyBorder="1" applyAlignment="1">
      <alignment horizontal="center" vertical="center" wrapText="1"/>
    </xf>
    <xf numFmtId="178" fontId="6" fillId="0" borderId="2" xfId="0" applyNumberFormat="1" applyFont="1" applyBorder="1" applyAlignment="1">
      <alignment horizontal="center" vertical="center"/>
    </xf>
    <xf numFmtId="178" fontId="6" fillId="0" borderId="27" xfId="0" applyNumberFormat="1" applyFont="1" applyBorder="1" applyAlignment="1">
      <alignment horizontal="center" vertical="center"/>
    </xf>
    <xf numFmtId="0" fontId="17" fillId="0" borderId="6" xfId="0" applyFont="1" applyBorder="1"/>
    <xf numFmtId="0" fontId="17" fillId="0" borderId="16" xfId="0" applyFont="1" applyBorder="1"/>
    <xf numFmtId="0" fontId="0" fillId="0" borderId="16" xfId="0" applyBorder="1"/>
    <xf numFmtId="0" fontId="5" fillId="0" borderId="6" xfId="0" applyFont="1" applyBorder="1" applyAlignment="1">
      <alignment horizontal="center" vertical="center" wrapText="1"/>
    </xf>
    <xf numFmtId="178" fontId="6" fillId="0" borderId="6" xfId="0" applyNumberFormat="1" applyFont="1" applyBorder="1" applyAlignment="1">
      <alignment horizontal="center" vertical="center"/>
    </xf>
    <xf numFmtId="177" fontId="6" fillId="0" borderId="6" xfId="0" applyNumberFormat="1" applyFont="1" applyBorder="1" applyAlignment="1">
      <alignment horizontal="center" vertical="center" wrapText="1"/>
    </xf>
    <xf numFmtId="177" fontId="6" fillId="0" borderId="6" xfId="50" applyNumberFormat="1" applyFont="1" applyBorder="1" applyAlignment="1">
      <alignment horizontal="center" vertical="center" wrapText="1"/>
    </xf>
    <xf numFmtId="14" fontId="5" fillId="0" borderId="43" xfId="0" applyNumberFormat="1" applyFont="1" applyBorder="1" applyAlignment="1">
      <alignment horizontal="center" vertical="center" wrapText="1"/>
    </xf>
    <xf numFmtId="43" fontId="5" fillId="0" borderId="2" xfId="0" applyNumberFormat="1" applyFont="1" applyBorder="1" applyAlignment="1">
      <alignment horizontal="right" vertical="center"/>
    </xf>
    <xf numFmtId="43" fontId="5" fillId="0" borderId="3" xfId="0" applyNumberFormat="1" applyFont="1" applyBorder="1" applyAlignment="1">
      <alignment horizontal="right" vertical="center" wrapText="1"/>
    </xf>
    <xf numFmtId="43" fontId="5" fillId="0" borderId="3" xfId="0" applyNumberFormat="1" applyFont="1" applyBorder="1" applyAlignment="1">
      <alignment horizontal="right" vertical="center"/>
    </xf>
    <xf numFmtId="0" fontId="0" fillId="0" borderId="44" xfId="0" applyBorder="1"/>
    <xf numFmtId="0" fontId="4" fillId="0" borderId="16" xfId="50" applyFont="1" applyBorder="1" applyAlignment="1">
      <alignment horizontal="center" vertical="center"/>
    </xf>
    <xf numFmtId="43" fontId="5" fillId="0" borderId="6" xfId="0" applyNumberFormat="1" applyFont="1" applyBorder="1" applyAlignment="1">
      <alignment horizontal="right" vertical="center"/>
    </xf>
    <xf numFmtId="43" fontId="5" fillId="0" borderId="6" xfId="0" applyNumberFormat="1" applyFont="1" applyBorder="1" applyAlignment="1">
      <alignment horizontal="right" vertical="center" wrapText="1"/>
    </xf>
    <xf numFmtId="10" fontId="9" fillId="7" borderId="16" xfId="0" applyNumberFormat="1" applyFont="1" applyFill="1" applyBorder="1" applyAlignment="1">
      <alignment horizontal="center" vertical="center"/>
    </xf>
    <xf numFmtId="0" fontId="7" fillId="0" borderId="8" xfId="0" applyFont="1" applyBorder="1" applyAlignment="1">
      <alignment horizontal="center" vertical="center" wrapText="1"/>
    </xf>
    <xf numFmtId="0" fontId="7" fillId="0" borderId="19" xfId="0" applyFont="1" applyBorder="1" applyAlignment="1">
      <alignment horizontal="left" vertical="center" wrapText="1"/>
    </xf>
    <xf numFmtId="0" fontId="6" fillId="0" borderId="45" xfId="0" applyFont="1" applyBorder="1" applyAlignment="1">
      <alignment horizontal="left" vertical="center" wrapText="1"/>
    </xf>
    <xf numFmtId="0" fontId="0" fillId="0" borderId="46" xfId="0" applyBorder="1"/>
    <xf numFmtId="0" fontId="7" fillId="0" borderId="47" xfId="0" applyFont="1" applyBorder="1" applyAlignment="1">
      <alignment horizontal="center" vertical="center" wrapText="1"/>
    </xf>
    <xf numFmtId="0" fontId="0" fillId="0" borderId="48" xfId="0" applyBorder="1"/>
    <xf numFmtId="0" fontId="0" fillId="0" borderId="49" xfId="0" applyBorder="1"/>
    <xf numFmtId="10" fontId="7" fillId="0" borderId="6" xfId="3" applyNumberFormat="1" applyFont="1" applyBorder="1" applyAlignment="1">
      <alignment horizontal="right" vertical="center"/>
    </xf>
    <xf numFmtId="179" fontId="7" fillId="0" borderId="6" xfId="3" applyNumberFormat="1" applyFont="1" applyBorder="1" applyAlignment="1">
      <alignment horizontal="center"/>
    </xf>
    <xf numFmtId="43" fontId="7" fillId="0" borderId="6" xfId="1" applyFont="1" applyBorder="1" applyAlignment="1">
      <alignment vertical="center" wrapText="1"/>
    </xf>
    <xf numFmtId="4" fontId="15" fillId="0" borderId="0" xfId="0" applyNumberFormat="1" applyFont="1"/>
    <xf numFmtId="0" fontId="18" fillId="0" borderId="2" xfId="0" applyFont="1" applyBorder="1" applyAlignment="1">
      <alignment horizontal="center"/>
    </xf>
    <xf numFmtId="0" fontId="0" fillId="0" borderId="50" xfId="0" applyBorder="1"/>
    <xf numFmtId="0" fontId="19" fillId="20" borderId="2" xfId="0" applyFont="1" applyFill="1" applyBorder="1" applyAlignment="1">
      <alignment horizontal="center" vertical="center" wrapText="1"/>
    </xf>
    <xf numFmtId="0" fontId="19" fillId="20" borderId="2" xfId="0" applyFont="1" applyFill="1" applyBorder="1" applyAlignment="1">
      <alignment horizontal="center" vertical="center"/>
    </xf>
    <xf numFmtId="182" fontId="19" fillId="20" borderId="2" xfId="0" applyNumberFormat="1" applyFont="1" applyFill="1" applyBorder="1" applyAlignment="1">
      <alignment horizontal="center" vertical="center" wrapText="1"/>
    </xf>
    <xf numFmtId="0" fontId="20" fillId="0" borderId="2" xfId="0" applyFont="1" applyBorder="1" applyAlignment="1">
      <alignment horizontal="left" vertical="center" wrapText="1"/>
    </xf>
    <xf numFmtId="14" fontId="20" fillId="0" borderId="2" xfId="0" applyNumberFormat="1" applyFont="1" applyBorder="1" applyAlignment="1">
      <alignment horizontal="center" vertical="center"/>
    </xf>
    <xf numFmtId="0" fontId="20" fillId="0" borderId="2" xfId="0" applyFont="1" applyBorder="1" applyAlignment="1">
      <alignment horizontal="center" vertical="center" wrapText="1"/>
    </xf>
    <xf numFmtId="0" fontId="20" fillId="0" borderId="2" xfId="0" applyFont="1" applyBorder="1" applyAlignment="1">
      <alignment horizontal="justify" vertical="center" wrapText="1"/>
    </xf>
    <xf numFmtId="0" fontId="20" fillId="0" borderId="2" xfId="0" applyFont="1" applyBorder="1" applyAlignment="1">
      <alignment horizontal="center"/>
    </xf>
    <xf numFmtId="0" fontId="20" fillId="0" borderId="35" xfId="0" applyFont="1" applyBorder="1" applyAlignment="1">
      <alignment vertical="center" wrapText="1"/>
    </xf>
    <xf numFmtId="0" fontId="20" fillId="0" borderId="2" xfId="0" applyFont="1" applyBorder="1" applyAlignment="1">
      <alignment vertical="center" wrapText="1"/>
    </xf>
    <xf numFmtId="182" fontId="20" fillId="0" borderId="2" xfId="0" applyNumberFormat="1" applyFont="1" applyBorder="1" applyAlignment="1">
      <alignment horizontal="center" vertical="center"/>
    </xf>
    <xf numFmtId="0" fontId="20" fillId="0" borderId="2" xfId="0" applyFont="1" applyBorder="1" applyAlignment="1">
      <alignment horizontal="center" vertical="center"/>
    </xf>
    <xf numFmtId="0" fontId="0" fillId="0" borderId="35" xfId="0" applyBorder="1"/>
    <xf numFmtId="0" fontId="2" fillId="0" borderId="0" xfId="0" applyFont="1" applyAlignment="1">
      <alignment horizontal="center" vertical="center"/>
    </xf>
    <xf numFmtId="0" fontId="21" fillId="21" borderId="6" xfId="0" applyFont="1" applyFill="1" applyBorder="1" applyAlignment="1">
      <alignment horizontal="center" vertical="center" wrapText="1"/>
    </xf>
    <xf numFmtId="0" fontId="0" fillId="0" borderId="51" xfId="0" applyBorder="1"/>
    <xf numFmtId="0" fontId="22" fillId="21" borderId="3" xfId="0" applyFont="1" applyFill="1" applyBorder="1" applyAlignment="1">
      <alignment horizontal="center" vertical="center" wrapText="1"/>
    </xf>
    <xf numFmtId="0" fontId="22" fillId="21" borderId="10" xfId="0" applyFont="1" applyFill="1" applyBorder="1" applyAlignment="1">
      <alignment horizontal="center" vertical="center" wrapText="1"/>
    </xf>
    <xf numFmtId="0" fontId="22" fillId="21" borderId="29" xfId="0" applyFont="1" applyFill="1" applyBorder="1" applyAlignment="1">
      <alignment horizontal="center" vertical="center" wrapText="1"/>
    </xf>
    <xf numFmtId="0" fontId="22" fillId="21" borderId="13" xfId="0" applyFont="1" applyFill="1" applyBorder="1" applyAlignment="1">
      <alignment horizontal="center" vertical="center" wrapText="1"/>
    </xf>
    <xf numFmtId="0" fontId="20" fillId="0" borderId="38" xfId="0" applyFont="1" applyBorder="1" applyAlignment="1">
      <alignment horizontal="left" vertical="center" wrapText="1"/>
    </xf>
    <xf numFmtId="14" fontId="20" fillId="0" borderId="29" xfId="0" applyNumberFormat="1" applyFont="1" applyBorder="1" applyAlignment="1">
      <alignment horizontal="center" vertical="center"/>
    </xf>
    <xf numFmtId="14" fontId="20" fillId="0" borderId="2" xfId="0" applyNumberFormat="1" applyFont="1" applyBorder="1" applyAlignment="1">
      <alignment horizontal="left" vertical="center" wrapText="1"/>
    </xf>
    <xf numFmtId="10" fontId="20" fillId="12" borderId="2" xfId="0" applyNumberFormat="1" applyFont="1" applyFill="1" applyBorder="1" applyAlignment="1">
      <alignment horizontal="center" vertical="center" wrapText="1"/>
    </xf>
    <xf numFmtId="10" fontId="23" fillId="22" borderId="42" xfId="0" applyNumberFormat="1" applyFont="1" applyFill="1" applyBorder="1" applyAlignment="1">
      <alignment horizontal="center" vertical="center" wrapText="1"/>
    </xf>
    <xf numFmtId="0" fontId="23" fillId="0" borderId="2" xfId="0" applyFont="1" applyBorder="1" applyAlignment="1">
      <alignment vertical="center" wrapText="1"/>
    </xf>
    <xf numFmtId="10" fontId="20" fillId="22" borderId="42" xfId="0" applyNumberFormat="1" applyFont="1" applyFill="1" applyBorder="1" applyAlignment="1">
      <alignment horizontal="center" vertical="center" wrapText="1"/>
    </xf>
    <xf numFmtId="0" fontId="0" fillId="0" borderId="42" xfId="0" applyBorder="1"/>
    <xf numFmtId="0" fontId="24" fillId="0" borderId="0" xfId="0" applyFont="1"/>
    <xf numFmtId="0" fontId="23" fillId="0" borderId="0" xfId="0" applyFont="1" applyAlignment="1">
      <alignment vertical="center" wrapText="1"/>
    </xf>
    <xf numFmtId="0" fontId="24" fillId="0" borderId="0" xfId="0" applyFont="1" applyAlignment="1">
      <alignment vertical="center"/>
    </xf>
    <xf numFmtId="0" fontId="24" fillId="0" borderId="0" xfId="0" applyFont="1" applyAlignment="1">
      <alignment horizontal="left" vertical="center" wrapText="1"/>
    </xf>
    <xf numFmtId="0" fontId="21" fillId="23" borderId="6" xfId="0" applyFont="1" applyFill="1" applyBorder="1" applyAlignment="1">
      <alignment horizontal="center" vertical="center"/>
    </xf>
    <xf numFmtId="0" fontId="22" fillId="24" borderId="3" xfId="0" applyFont="1" applyFill="1" applyBorder="1" applyAlignment="1">
      <alignment horizontal="center" vertical="center" wrapText="1"/>
    </xf>
    <xf numFmtId="0" fontId="11" fillId="16" borderId="3" xfId="0" applyFont="1" applyFill="1" applyBorder="1" applyAlignment="1">
      <alignment horizontal="center" vertical="center" wrapText="1"/>
    </xf>
    <xf numFmtId="0" fontId="11" fillId="25" borderId="2" xfId="0" applyFont="1" applyFill="1" applyBorder="1" applyAlignment="1">
      <alignment horizontal="center" vertical="center" wrapText="1"/>
    </xf>
    <xf numFmtId="14" fontId="20" fillId="0" borderId="2" xfId="0" applyNumberFormat="1" applyFont="1" applyBorder="1" applyAlignment="1">
      <alignment horizontal="left" vertical="center"/>
    </xf>
    <xf numFmtId="0" fontId="20" fillId="0" borderId="2" xfId="0" applyFont="1" applyBorder="1" applyAlignment="1">
      <alignment horizontal="left" vertical="center"/>
    </xf>
    <xf numFmtId="0" fontId="20" fillId="3" borderId="2" xfId="0" applyFont="1" applyFill="1" applyBorder="1" applyAlignment="1">
      <alignment horizontal="left" vertical="center" wrapText="1"/>
    </xf>
    <xf numFmtId="10" fontId="25" fillId="3" borderId="2" xfId="0" applyNumberFormat="1" applyFont="1" applyFill="1" applyBorder="1" applyAlignment="1">
      <alignment horizontal="left" vertical="center" wrapText="1"/>
    </xf>
    <xf numFmtId="10" fontId="20" fillId="3" borderId="2" xfId="0" applyNumberFormat="1" applyFont="1" applyFill="1" applyBorder="1" applyAlignment="1">
      <alignment horizontal="center" vertical="center" wrapText="1"/>
    </xf>
    <xf numFmtId="10" fontId="25" fillId="3" borderId="2" xfId="0" applyNumberFormat="1" applyFont="1" applyFill="1" applyBorder="1" applyAlignment="1">
      <alignment horizontal="center" vertical="center" wrapText="1"/>
    </xf>
    <xf numFmtId="10" fontId="26" fillId="0" borderId="2" xfId="0" applyNumberFormat="1" applyFont="1" applyBorder="1" applyAlignment="1">
      <alignment horizontal="left" vertical="center" wrapText="1"/>
    </xf>
    <xf numFmtId="4" fontId="7" fillId="0" borderId="2" xfId="0" applyNumberFormat="1" applyFont="1" applyBorder="1" applyAlignment="1">
      <alignment horizontal="center" vertical="center"/>
    </xf>
    <xf numFmtId="0" fontId="0" fillId="0" borderId="52" xfId="0" applyBorder="1"/>
    <xf numFmtId="0" fontId="11" fillId="3" borderId="2" xfId="0" applyFont="1" applyFill="1" applyBorder="1" applyAlignment="1">
      <alignment horizontal="center" vertical="center" wrapText="1"/>
    </xf>
    <xf numFmtId="0" fontId="11" fillId="16" borderId="53" xfId="0" applyFont="1" applyFill="1" applyBorder="1" applyAlignment="1">
      <alignment horizontal="center" vertical="center" wrapText="1"/>
    </xf>
    <xf numFmtId="0" fontId="20" fillId="12" borderId="2" xfId="0" applyFont="1" applyFill="1" applyBorder="1" applyAlignment="1">
      <alignment horizontal="center" vertical="center" wrapText="1"/>
    </xf>
    <xf numFmtId="0" fontId="22" fillId="26" borderId="10" xfId="0" applyFont="1" applyFill="1" applyBorder="1" applyAlignment="1">
      <alignment horizontal="center" vertical="center" wrapText="1"/>
    </xf>
    <xf numFmtId="0" fontId="22" fillId="26" borderId="2" xfId="0" applyFont="1" applyFill="1" applyBorder="1" applyAlignment="1">
      <alignment horizontal="center" vertical="center" wrapText="1"/>
    </xf>
    <xf numFmtId="0" fontId="0" fillId="0" borderId="54" xfId="0" applyBorder="1"/>
    <xf numFmtId="0" fontId="22" fillId="3" borderId="2" xfId="0" applyFont="1" applyFill="1" applyBorder="1" applyAlignment="1">
      <alignment horizontal="center" vertical="center" wrapText="1"/>
    </xf>
    <xf numFmtId="0" fontId="27" fillId="0" borderId="0" xfId="0" applyFont="1" applyAlignment="1">
      <alignment vertical="center"/>
    </xf>
    <xf numFmtId="0" fontId="22" fillId="26" borderId="3" xfId="0" applyFont="1" applyFill="1" applyBorder="1" applyAlignment="1">
      <alignment horizontal="center" vertical="center" wrapText="1"/>
    </xf>
    <xf numFmtId="10" fontId="23" fillId="12" borderId="2" xfId="0" applyNumberFormat="1" applyFont="1" applyFill="1" applyBorder="1" applyAlignment="1">
      <alignment horizontal="center" vertical="center" wrapText="1"/>
    </xf>
    <xf numFmtId="179" fontId="23" fillId="0" borderId="0" xfId="0" applyNumberFormat="1" applyFont="1" applyAlignment="1">
      <alignment vertical="center"/>
    </xf>
    <xf numFmtId="0" fontId="22" fillId="3" borderId="3" xfId="0" applyFont="1" applyFill="1" applyBorder="1" applyAlignment="1">
      <alignment horizontal="center" vertical="center" wrapText="1"/>
    </xf>
    <xf numFmtId="0" fontId="1" fillId="0" borderId="2" xfId="0" applyFont="1" applyBorder="1" applyAlignment="1">
      <alignment vertical="center" wrapText="1"/>
    </xf>
    <xf numFmtId="0" fontId="1" fillId="0" borderId="55" xfId="0" applyFont="1" applyBorder="1" applyAlignment="1">
      <alignment vertical="center" wrapText="1"/>
    </xf>
    <xf numFmtId="0" fontId="1" fillId="0" borderId="38" xfId="0" applyFont="1" applyBorder="1" applyAlignment="1">
      <alignment vertical="center" wrapText="1"/>
    </xf>
    <xf numFmtId="0" fontId="1" fillId="0" borderId="22" xfId="0" applyFont="1" applyBorder="1" applyAlignment="1">
      <alignment vertical="center" wrapText="1"/>
    </xf>
    <xf numFmtId="0" fontId="1" fillId="0" borderId="6" xfId="0" applyFont="1" applyBorder="1" applyAlignment="1">
      <alignment vertical="center" wrapText="1"/>
    </xf>
    <xf numFmtId="0" fontId="27" fillId="0" borderId="35" xfId="0" applyFont="1" applyBorder="1"/>
    <xf numFmtId="0" fontId="20" fillId="0" borderId="4" xfId="0" applyFont="1" applyBorder="1" applyAlignment="1">
      <alignment horizontal="center" vertical="center" wrapText="1"/>
    </xf>
    <xf numFmtId="0" fontId="20" fillId="0" borderId="36" xfId="0" applyFont="1" applyBorder="1" applyAlignment="1">
      <alignment vertical="center" wrapText="1"/>
    </xf>
    <xf numFmtId="0" fontId="1" fillId="0" borderId="34" xfId="0" applyFont="1" applyBorder="1" applyAlignment="1">
      <alignment vertical="center" wrapText="1"/>
    </xf>
    <xf numFmtId="0" fontId="1" fillId="0" borderId="56" xfId="0" applyFont="1" applyBorder="1" applyAlignment="1">
      <alignment vertical="center" wrapText="1"/>
    </xf>
    <xf numFmtId="0" fontId="2" fillId="0" borderId="38" xfId="0" applyFont="1" applyBorder="1"/>
    <xf numFmtId="0" fontId="2" fillId="0" borderId="6" xfId="0" applyFont="1" applyBorder="1"/>
    <xf numFmtId="0" fontId="28" fillId="27" borderId="6" xfId="0" applyFont="1" applyFill="1" applyBorder="1" applyAlignment="1">
      <alignment horizontal="center" vertical="center" wrapText="1"/>
    </xf>
    <xf numFmtId="0" fontId="28" fillId="27" borderId="42" xfId="0" applyFont="1" applyFill="1" applyBorder="1" applyAlignment="1">
      <alignment horizontal="center" vertical="center" wrapText="1"/>
    </xf>
    <xf numFmtId="0" fontId="29" fillId="27" borderId="42" xfId="0" applyFont="1" applyFill="1" applyBorder="1" applyAlignment="1">
      <alignment horizontal="center" vertical="center" wrapText="1"/>
    </xf>
    <xf numFmtId="0" fontId="30" fillId="0" borderId="0" xfId="0" applyFont="1" applyAlignment="1">
      <alignment vertical="center"/>
    </xf>
    <xf numFmtId="0" fontId="28" fillId="28" borderId="2" xfId="0" applyFont="1" applyFill="1" applyBorder="1" applyAlignment="1">
      <alignment horizontal="center" vertical="center" wrapText="1"/>
    </xf>
    <xf numFmtId="0" fontId="31" fillId="0" borderId="0" xfId="0" applyFont="1" applyAlignment="1">
      <alignment vertical="center"/>
    </xf>
    <xf numFmtId="0" fontId="1" fillId="0" borderId="0" xfId="0" applyFont="1" applyAlignment="1">
      <alignment vertical="center" wrapText="1"/>
    </xf>
    <xf numFmtId="0" fontId="2" fillId="0" borderId="0" xfId="0" applyFont="1" applyAlignment="1">
      <alignment horizontal="left" wrapText="1"/>
    </xf>
    <xf numFmtId="0" fontId="27" fillId="0" borderId="0" xfId="0" applyFont="1"/>
    <xf numFmtId="0" fontId="2" fillId="0" borderId="0" xfId="0" applyFont="1" applyAlignment="1">
      <alignment wrapText="1"/>
    </xf>
    <xf numFmtId="0" fontId="11" fillId="16" borderId="18" xfId="0" applyFont="1" applyFill="1" applyBorder="1" applyAlignment="1">
      <alignment horizontal="center" vertical="center" wrapText="1"/>
    </xf>
    <xf numFmtId="14" fontId="20" fillId="0" borderId="2" xfId="0" applyNumberFormat="1" applyFont="1" applyBorder="1" applyAlignment="1">
      <alignment horizontal="center" vertical="center" wrapText="1"/>
    </xf>
    <xf numFmtId="10" fontId="25" fillId="0" borderId="2" xfId="0" applyNumberFormat="1" applyFont="1" applyBorder="1" applyAlignment="1">
      <alignment horizontal="left" vertical="center" wrapText="1"/>
    </xf>
    <xf numFmtId="10" fontId="25" fillId="12" borderId="2" xfId="0" applyNumberFormat="1" applyFont="1" applyFill="1" applyBorder="1" applyAlignment="1">
      <alignment horizontal="center" vertical="center" wrapText="1"/>
    </xf>
    <xf numFmtId="10" fontId="20" fillId="0" borderId="2" xfId="0" applyNumberFormat="1" applyFont="1" applyBorder="1" applyAlignment="1">
      <alignment horizontal="left" vertical="center" wrapText="1"/>
    </xf>
    <xf numFmtId="0" fontId="1" fillId="0" borderId="2" xfId="0" applyFont="1" applyBorder="1" applyAlignment="1">
      <alignment vertical="center"/>
    </xf>
    <xf numFmtId="10" fontId="20" fillId="29" borderId="2" xfId="0" applyNumberFormat="1" applyFont="1" applyFill="1" applyBorder="1" applyAlignment="1">
      <alignment horizontal="center" vertical="center" wrapText="1"/>
    </xf>
    <xf numFmtId="10" fontId="23" fillId="0" borderId="2" xfId="0" applyNumberFormat="1" applyFont="1" applyBorder="1" applyAlignment="1">
      <alignment horizontal="left" vertical="center" wrapText="1"/>
    </xf>
    <xf numFmtId="14" fontId="20" fillId="0" borderId="34" xfId="0" applyNumberFormat="1" applyFont="1" applyBorder="1" applyAlignment="1">
      <alignment horizontal="center" vertical="center"/>
    </xf>
    <xf numFmtId="14" fontId="20" fillId="0" borderId="34" xfId="0" applyNumberFormat="1" applyFont="1" applyBorder="1" applyAlignment="1">
      <alignment horizontal="left" vertical="center" wrapText="1"/>
    </xf>
    <xf numFmtId="0" fontId="20" fillId="0" borderId="34" xfId="0" applyFont="1" applyBorder="1" applyAlignment="1">
      <alignment horizontal="left" vertical="center" wrapText="1"/>
    </xf>
    <xf numFmtId="10" fontId="20" fillId="12" borderId="34" xfId="0" applyNumberFormat="1" applyFont="1" applyFill="1" applyBorder="1" applyAlignment="1">
      <alignment horizontal="center" vertical="center" wrapText="1"/>
    </xf>
    <xf numFmtId="10" fontId="23" fillId="29" borderId="2" xfId="0" applyNumberFormat="1" applyFont="1" applyFill="1" applyBorder="1" applyAlignment="1">
      <alignment horizontal="center" vertical="center" wrapText="1"/>
    </xf>
    <xf numFmtId="10" fontId="20" fillId="29" borderId="34" xfId="0" applyNumberFormat="1" applyFont="1" applyFill="1" applyBorder="1" applyAlignment="1">
      <alignment horizontal="center" vertical="center" wrapText="1"/>
    </xf>
    <xf numFmtId="9" fontId="20" fillId="12" borderId="2" xfId="0" applyNumberFormat="1" applyFont="1" applyFill="1" applyBorder="1" applyAlignment="1">
      <alignment horizontal="center" vertical="center" wrapText="1"/>
    </xf>
    <xf numFmtId="0" fontId="20" fillId="29" borderId="2" xfId="0" applyFont="1" applyFill="1" applyBorder="1" applyAlignment="1">
      <alignment horizontal="center" vertical="center" wrapText="1"/>
    </xf>
    <xf numFmtId="10" fontId="23" fillId="12" borderId="34" xfId="0" applyNumberFormat="1" applyFont="1" applyFill="1" applyBorder="1" applyAlignment="1">
      <alignment horizontal="center" vertical="center" wrapText="1"/>
    </xf>
    <xf numFmtId="0" fontId="20" fillId="0" borderId="22" xfId="0" applyFont="1" applyBorder="1" applyAlignment="1">
      <alignment vertical="center" wrapText="1"/>
    </xf>
    <xf numFmtId="0" fontId="20" fillId="0" borderId="35" xfId="0" applyFont="1" applyBorder="1" applyAlignment="1">
      <alignment horizontal="center" vertical="center"/>
    </xf>
    <xf numFmtId="0" fontId="20" fillId="0" borderId="34" xfId="0" applyFont="1" applyBorder="1" applyAlignment="1">
      <alignment vertical="center" wrapText="1"/>
    </xf>
    <xf numFmtId="0" fontId="20" fillId="0" borderId="57" xfId="0" applyFont="1" applyBorder="1" applyAlignment="1">
      <alignment horizontal="center" vertical="center"/>
    </xf>
    <xf numFmtId="0" fontId="22" fillId="0" borderId="2" xfId="0" applyFont="1" applyBorder="1" applyAlignment="1">
      <alignment vertical="center" wrapText="1"/>
    </xf>
    <xf numFmtId="10" fontId="32" fillId="0" borderId="22" xfId="0" applyNumberFormat="1" applyFont="1" applyBorder="1" applyAlignment="1">
      <alignment horizontal="center" vertical="center"/>
    </xf>
    <xf numFmtId="10" fontId="33" fillId="0" borderId="22" xfId="0" applyNumberFormat="1" applyFont="1" applyBorder="1" applyAlignment="1">
      <alignment horizontal="center" vertical="center"/>
    </xf>
    <xf numFmtId="0" fontId="2" fillId="0" borderId="22" xfId="0" applyFont="1" applyBorder="1"/>
    <xf numFmtId="0" fontId="0" fillId="0" borderId="22" xfId="0" applyBorder="1"/>
    <xf numFmtId="0" fontId="0" fillId="0" borderId="56" xfId="0" applyBorder="1"/>
    <xf numFmtId="0" fontId="1" fillId="0" borderId="0" xfId="0" applyFont="1" applyAlignment="1">
      <alignment horizontal="left"/>
    </xf>
    <xf numFmtId="178" fontId="1" fillId="0" borderId="0" xfId="0" applyNumberFormat="1" applyFont="1" applyAlignment="1">
      <alignment horizontal="left"/>
    </xf>
    <xf numFmtId="0" fontId="22" fillId="30" borderId="2" xfId="0" applyFont="1" applyFill="1" applyBorder="1" applyAlignment="1">
      <alignment horizontal="center" vertical="center"/>
    </xf>
    <xf numFmtId="178" fontId="22" fillId="30" borderId="2" xfId="0" applyNumberFormat="1" applyFont="1" applyFill="1" applyBorder="1" applyAlignment="1">
      <alignment horizontal="center" vertical="center"/>
    </xf>
    <xf numFmtId="0" fontId="22" fillId="31" borderId="2" xfId="0" applyFont="1" applyFill="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178" fontId="1" fillId="0" borderId="2" xfId="0" applyNumberFormat="1" applyFont="1" applyBorder="1" applyAlignment="1">
      <alignment horizontal="left" vertical="center"/>
    </xf>
    <xf numFmtId="178" fontId="1" fillId="3" borderId="2" xfId="0" applyNumberFormat="1" applyFont="1" applyFill="1" applyBorder="1" applyAlignment="1">
      <alignment horizontal="left" vertical="center"/>
    </xf>
    <xf numFmtId="0" fontId="22" fillId="0" borderId="2" xfId="0" applyFont="1" applyBorder="1" applyAlignment="1">
      <alignment horizontal="center" vertical="center"/>
    </xf>
    <xf numFmtId="0" fontId="1" fillId="0" borderId="2" xfId="0" applyFont="1" applyBorder="1"/>
    <xf numFmtId="0" fontId="23" fillId="0" borderId="2" xfId="0" applyFont="1" applyBorder="1"/>
    <xf numFmtId="0" fontId="1" fillId="0" borderId="2" xfId="0" applyFont="1" applyBorder="1" applyAlignment="1">
      <alignment horizontal="center"/>
    </xf>
    <xf numFmtId="0" fontId="5" fillId="0" borderId="2" xfId="0" applyFont="1" applyBorder="1" applyAlignment="1">
      <alignment horizontal="center" vertical="center"/>
    </xf>
    <xf numFmtId="0" fontId="5" fillId="0" borderId="34" xfId="0" applyFont="1" applyBorder="1" applyAlignment="1">
      <alignment horizontal="center" vertical="center"/>
    </xf>
    <xf numFmtId="0" fontId="26" fillId="0" borderId="2" xfId="0" applyFont="1" applyBorder="1" applyAlignment="1">
      <alignment horizontal="center"/>
    </xf>
    <xf numFmtId="14" fontId="20" fillId="0" borderId="3" xfId="0" applyNumberFormat="1" applyFont="1" applyBorder="1" applyAlignment="1">
      <alignment horizontal="left" vertical="center"/>
    </xf>
    <xf numFmtId="0" fontId="20" fillId="0" borderId="2" xfId="0" applyFont="1" applyBorder="1" applyAlignment="1">
      <alignment vertical="center"/>
    </xf>
    <xf numFmtId="0" fontId="5" fillId="0" borderId="2" xfId="0" applyFont="1" applyBorder="1" applyAlignment="1">
      <alignment vertical="center"/>
    </xf>
    <xf numFmtId="0" fontId="20" fillId="3" borderId="2" xfId="0" applyFont="1" applyFill="1" applyBorder="1" applyAlignment="1">
      <alignment horizontal="center" vertical="center"/>
    </xf>
    <xf numFmtId="0" fontId="20" fillId="3" borderId="2" xfId="0" applyFont="1" applyFill="1" applyBorder="1" applyAlignment="1">
      <alignment horizontal="left" vertical="center"/>
    </xf>
    <xf numFmtId="0" fontId="34" fillId="3" borderId="16" xfId="0" applyFont="1" applyFill="1" applyBorder="1" applyAlignment="1">
      <alignment horizontal="left" vertical="center"/>
    </xf>
    <xf numFmtId="0" fontId="34" fillId="3" borderId="6" xfId="0" applyFont="1" applyFill="1" applyBorder="1" applyAlignment="1">
      <alignment horizontal="left" vertical="center"/>
    </xf>
    <xf numFmtId="0" fontId="34" fillId="0" borderId="6" xfId="0" applyFont="1" applyBorder="1" applyAlignment="1">
      <alignment horizontal="left" vertical="center"/>
    </xf>
    <xf numFmtId="176" fontId="9" fillId="32" borderId="6" xfId="54" applyFont="1" applyFill="1" applyBorder="1" applyAlignment="1">
      <alignment horizontal="left" vertical="center"/>
    </xf>
    <xf numFmtId="176" fontId="4" fillId="32" borderId="6" xfId="54" applyFont="1" applyFill="1" applyBorder="1" applyAlignment="1">
      <alignment horizontal="left" vertical="center"/>
    </xf>
    <xf numFmtId="176" fontId="7" fillId="0" borderId="6" xfId="54" applyFont="1" applyBorder="1" applyAlignment="1">
      <alignment horizontal="left" vertical="center"/>
    </xf>
    <xf numFmtId="176" fontId="7" fillId="0" borderId="6" xfId="54" applyFont="1" applyBorder="1"/>
    <xf numFmtId="0" fontId="35" fillId="0" borderId="6" xfId="0" applyFont="1" applyBorder="1"/>
    <xf numFmtId="176" fontId="8" fillId="0" borderId="6" xfId="54" applyFont="1" applyBorder="1" applyAlignment="1">
      <alignment horizontal="left" vertical="center"/>
    </xf>
    <xf numFmtId="176" fontId="8" fillId="0" borderId="6" xfId="54" applyFont="1" applyBorder="1"/>
    <xf numFmtId="0" fontId="7" fillId="0" borderId="6" xfId="0" applyFont="1" applyBorder="1"/>
    <xf numFmtId="0" fontId="36" fillId="0" borderId="6" xfId="0" applyFont="1" applyBorder="1"/>
    <xf numFmtId="43" fontId="7" fillId="0" borderId="6" xfId="54" applyNumberFormat="1" applyFont="1" applyBorder="1" applyAlignment="1">
      <alignment horizontal="left"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 name="常规 2" xfId="50"/>
    <cellStyle name="百分比 2" xfId="51"/>
    <cellStyle name="千位分隔 2" xfId="52"/>
    <cellStyle name="千位分隔 5" xfId="53"/>
    <cellStyle name="常规 7" xfId="54"/>
  </cellStyles>
  <dxfs count="6">
    <dxf>
      <font>
        <color rgb="FF9C0006"/>
      </font>
      <fill>
        <patternFill patternType="solid">
          <bgColor rgb="FFFFC7CE"/>
        </patternFill>
      </fill>
    </dxf>
    <dxf>
      <fill>
        <patternFill patternType="solid">
          <bgColor rgb="FFFF0C01"/>
        </patternFill>
      </fill>
    </dxf>
    <dxf>
      <fill>
        <patternFill patternType="solid">
          <bgColor rgb="FFFF0C01"/>
        </patternFill>
      </fill>
    </dxf>
    <dxf>
      <font>
        <strike val="0"/>
        <color rgb="FFFF0000"/>
      </font>
    </dxf>
    <dxf>
      <font>
        <color rgb="FFFF0000"/>
      </font>
    </dxf>
    <dxf>
      <font>
        <b val="1"/>
        <strike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72390</xdr:colOff>
      <xdr:row>0</xdr:row>
      <xdr:rowOff>635</xdr:rowOff>
    </xdr:from>
    <xdr:to>
      <xdr:col>19</xdr:col>
      <xdr:colOff>36195</xdr:colOff>
      <xdr:row>33</xdr:row>
      <xdr:rowOff>20955</xdr:rowOff>
    </xdr:to>
    <xdr:pic>
      <xdr:nvPicPr>
        <xdr:cNvPr id="21020" name="图片 1"/>
        <xdr:cNvPicPr/>
      </xdr:nvPicPr>
      <xdr:blipFill>
        <a:blip r:embed="rId1"/>
        <a:stretch>
          <a:fillRect/>
        </a:stretch>
      </xdr:blipFill>
      <xdr:spPr>
        <a:xfrm>
          <a:off x="20210145" y="635"/>
          <a:ext cx="3693795" cy="4735195"/>
        </a:xfrm>
        <a:prstGeom prst="rect">
          <a:avLst/>
        </a:prstGeom>
        <a:noFill/>
        <a:ln w="9525">
          <a:noFill/>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6"/>
  <sheetViews>
    <sheetView topLeftCell="A13" workbookViewId="0">
      <selection activeCell="A2" sqref="A2:A10"/>
    </sheetView>
  </sheetViews>
  <sheetFormatPr defaultColWidth="8.66371681415929" defaultRowHeight="13.85" outlineLevelCol="4"/>
  <cols>
    <col min="1" max="1" width="29.6637168141593" customWidth="1"/>
    <col min="2" max="2" width="13.7787610619469" customWidth="1"/>
    <col min="3" max="3" width="27.2212389380531" customWidth="1"/>
    <col min="4" max="4" width="8.89380530973451" customWidth="1"/>
    <col min="5" max="5" width="33.1061946902655" customWidth="1"/>
  </cols>
  <sheetData>
    <row r="1" spans="1:5">
      <c r="A1" s="666" t="s">
        <v>0</v>
      </c>
      <c r="B1" s="666" t="s">
        <v>1</v>
      </c>
      <c r="C1" s="667" t="s">
        <v>2</v>
      </c>
      <c r="D1" s="666" t="s">
        <v>3</v>
      </c>
      <c r="E1" s="666" t="s">
        <v>4</v>
      </c>
    </row>
    <row r="2" spans="1:5">
      <c r="A2" s="668" t="s">
        <v>5</v>
      </c>
      <c r="B2" s="668" t="s">
        <v>6</v>
      </c>
      <c r="C2" s="668" t="s">
        <v>5</v>
      </c>
      <c r="D2" s="669" t="s">
        <v>6</v>
      </c>
      <c r="E2" s="670"/>
    </row>
    <row r="3" spans="1:5">
      <c r="A3" s="668" t="s">
        <v>7</v>
      </c>
      <c r="B3" s="668" t="s">
        <v>6</v>
      </c>
      <c r="C3" s="668" t="s">
        <v>7</v>
      </c>
      <c r="D3" s="669" t="s">
        <v>6</v>
      </c>
      <c r="E3" s="670"/>
    </row>
    <row r="4" spans="1:5">
      <c r="A4" s="668" t="s">
        <v>8</v>
      </c>
      <c r="B4" s="668" t="s">
        <v>6</v>
      </c>
      <c r="C4" s="668" t="s">
        <v>8</v>
      </c>
      <c r="D4" s="669" t="s">
        <v>6</v>
      </c>
      <c r="E4" s="670"/>
    </row>
    <row r="5" spans="1:5">
      <c r="A5" s="668" t="s">
        <v>9</v>
      </c>
      <c r="B5" s="668" t="s">
        <v>6</v>
      </c>
      <c r="C5" s="668" t="s">
        <v>9</v>
      </c>
      <c r="D5" s="669" t="s">
        <v>6</v>
      </c>
      <c r="E5" s="670"/>
    </row>
    <row r="6" spans="1:5">
      <c r="A6" s="669" t="s">
        <v>10</v>
      </c>
      <c r="B6" s="668" t="s">
        <v>6</v>
      </c>
      <c r="C6" s="668" t="s">
        <v>11</v>
      </c>
      <c r="D6" s="669" t="s">
        <v>6</v>
      </c>
      <c r="E6" s="670"/>
    </row>
    <row r="7" spans="1:5">
      <c r="A7" s="668" t="s">
        <v>12</v>
      </c>
      <c r="B7" s="668" t="s">
        <v>12</v>
      </c>
      <c r="C7" s="668" t="s">
        <v>12</v>
      </c>
      <c r="D7" s="669" t="s">
        <v>12</v>
      </c>
      <c r="E7" s="670"/>
    </row>
    <row r="8" spans="1:5">
      <c r="A8" s="669" t="s">
        <v>13</v>
      </c>
      <c r="B8" s="668" t="s">
        <v>12</v>
      </c>
      <c r="C8" s="668" t="s">
        <v>13</v>
      </c>
      <c r="D8" s="669" t="s">
        <v>12</v>
      </c>
      <c r="E8" s="670"/>
    </row>
    <row r="9" spans="1:5">
      <c r="A9" s="671" t="s">
        <v>14</v>
      </c>
      <c r="B9" s="668" t="s">
        <v>15</v>
      </c>
      <c r="C9" s="668" t="s">
        <v>14</v>
      </c>
      <c r="D9" s="669" t="s">
        <v>16</v>
      </c>
      <c r="E9" s="670" t="s">
        <v>17</v>
      </c>
    </row>
    <row r="10" spans="1:5">
      <c r="A10" s="671" t="s">
        <v>18</v>
      </c>
      <c r="B10" s="668" t="s">
        <v>15</v>
      </c>
      <c r="C10" s="668" t="s">
        <v>14</v>
      </c>
      <c r="D10" s="669" t="s">
        <v>16</v>
      </c>
      <c r="E10" s="670" t="s">
        <v>17</v>
      </c>
    </row>
    <row r="11" spans="1:5">
      <c r="A11" s="671" t="s">
        <v>19</v>
      </c>
      <c r="B11" s="668" t="s">
        <v>15</v>
      </c>
      <c r="C11" s="668" t="s">
        <v>19</v>
      </c>
      <c r="D11" s="669" t="s">
        <v>16</v>
      </c>
      <c r="E11" s="670" t="s">
        <v>17</v>
      </c>
    </row>
    <row r="12" spans="1:5">
      <c r="A12" s="672" t="s">
        <v>20</v>
      </c>
      <c r="B12" s="668" t="s">
        <v>15</v>
      </c>
      <c r="C12" s="669" t="s">
        <v>21</v>
      </c>
      <c r="D12" s="669" t="s">
        <v>22</v>
      </c>
      <c r="E12" s="670" t="s">
        <v>17</v>
      </c>
    </row>
    <row r="13" spans="1:5">
      <c r="A13" s="672" t="s">
        <v>23</v>
      </c>
      <c r="B13" s="668" t="s">
        <v>15</v>
      </c>
      <c r="C13" s="669" t="s">
        <v>21</v>
      </c>
      <c r="D13" s="669" t="s">
        <v>22</v>
      </c>
      <c r="E13" s="670" t="s">
        <v>17</v>
      </c>
    </row>
    <row r="14" spans="1:5">
      <c r="A14" s="672" t="s">
        <v>24</v>
      </c>
      <c r="B14" s="668" t="s">
        <v>15</v>
      </c>
      <c r="C14" s="669" t="s">
        <v>21</v>
      </c>
      <c r="D14" s="669" t="s">
        <v>22</v>
      </c>
      <c r="E14" s="673" t="s">
        <v>17</v>
      </c>
    </row>
    <row r="15" spans="1:5">
      <c r="A15" s="672" t="s">
        <v>25</v>
      </c>
      <c r="B15" s="668" t="s">
        <v>15</v>
      </c>
      <c r="C15" s="669" t="s">
        <v>21</v>
      </c>
      <c r="D15" s="669" t="s">
        <v>22</v>
      </c>
      <c r="E15" s="670" t="s">
        <v>17</v>
      </c>
    </row>
    <row r="16" spans="1:5">
      <c r="A16" s="672" t="s">
        <v>26</v>
      </c>
      <c r="B16" s="668" t="s">
        <v>15</v>
      </c>
      <c r="C16" s="669" t="s">
        <v>21</v>
      </c>
      <c r="D16" s="669" t="s">
        <v>22</v>
      </c>
      <c r="E16" s="670" t="s">
        <v>17</v>
      </c>
    </row>
    <row r="17" spans="1:5">
      <c r="A17" s="669" t="s">
        <v>27</v>
      </c>
      <c r="B17" s="668" t="s">
        <v>15</v>
      </c>
      <c r="C17" s="669" t="s">
        <v>21</v>
      </c>
      <c r="D17" s="669" t="s">
        <v>22</v>
      </c>
      <c r="E17" s="670"/>
    </row>
    <row r="18" spans="1:5">
      <c r="A18" s="669" t="s">
        <v>28</v>
      </c>
      <c r="B18" s="668" t="s">
        <v>15</v>
      </c>
      <c r="C18" s="669" t="s">
        <v>21</v>
      </c>
      <c r="D18" s="669" t="s">
        <v>22</v>
      </c>
      <c r="E18" s="670"/>
    </row>
    <row r="19" spans="1:5">
      <c r="A19" s="669" t="s">
        <v>29</v>
      </c>
      <c r="B19" s="668" t="s">
        <v>15</v>
      </c>
      <c r="C19" s="669" t="s">
        <v>21</v>
      </c>
      <c r="D19" s="669" t="s">
        <v>22</v>
      </c>
      <c r="E19" s="670"/>
    </row>
    <row r="20" spans="1:5">
      <c r="A20" s="669" t="s">
        <v>30</v>
      </c>
      <c r="B20" s="668" t="s">
        <v>15</v>
      </c>
      <c r="C20" s="669" t="s">
        <v>31</v>
      </c>
      <c r="D20" s="669" t="s">
        <v>22</v>
      </c>
      <c r="E20" s="670"/>
    </row>
    <row r="21" spans="1:5">
      <c r="A21" s="669" t="s">
        <v>32</v>
      </c>
      <c r="B21" s="668" t="s">
        <v>15</v>
      </c>
      <c r="C21" s="669" t="s">
        <v>31</v>
      </c>
      <c r="D21" s="669" t="s">
        <v>22</v>
      </c>
      <c r="E21" s="670"/>
    </row>
    <row r="22" spans="1:5">
      <c r="A22" s="669" t="s">
        <v>33</v>
      </c>
      <c r="B22" s="668" t="s">
        <v>15</v>
      </c>
      <c r="C22" s="669" t="s">
        <v>31</v>
      </c>
      <c r="D22" s="669" t="s">
        <v>22</v>
      </c>
      <c r="E22" s="670"/>
    </row>
    <row r="23" spans="1:5">
      <c r="A23" s="669" t="s">
        <v>34</v>
      </c>
      <c r="B23" s="668" t="s">
        <v>15</v>
      </c>
      <c r="C23" s="669" t="s">
        <v>31</v>
      </c>
      <c r="D23" s="669" t="s">
        <v>22</v>
      </c>
      <c r="E23" s="670"/>
    </row>
    <row r="24" spans="1:5">
      <c r="A24" s="669" t="s">
        <v>35</v>
      </c>
      <c r="B24" s="668" t="s">
        <v>15</v>
      </c>
      <c r="C24" s="669" t="s">
        <v>31</v>
      </c>
      <c r="D24" s="669" t="s">
        <v>22</v>
      </c>
      <c r="E24" s="670"/>
    </row>
    <row r="25" spans="1:5">
      <c r="A25" s="669" t="s">
        <v>36</v>
      </c>
      <c r="B25" s="668" t="s">
        <v>15</v>
      </c>
      <c r="C25" s="669" t="s">
        <v>31</v>
      </c>
      <c r="D25" s="669" t="s">
        <v>22</v>
      </c>
      <c r="E25" s="670"/>
    </row>
    <row r="26" spans="1:5">
      <c r="A26" s="669" t="s">
        <v>37</v>
      </c>
      <c r="B26" s="668" t="s">
        <v>38</v>
      </c>
      <c r="C26" s="669" t="s">
        <v>39</v>
      </c>
      <c r="D26" s="669" t="s">
        <v>40</v>
      </c>
      <c r="E26" s="670"/>
    </row>
    <row r="27" spans="1:5">
      <c r="A27" s="669" t="s">
        <v>41</v>
      </c>
      <c r="B27" s="668" t="s">
        <v>38</v>
      </c>
      <c r="C27" s="669" t="s">
        <v>39</v>
      </c>
      <c r="D27" s="669" t="s">
        <v>40</v>
      </c>
      <c r="E27" s="670"/>
    </row>
    <row r="28" spans="1:5">
      <c r="A28" s="669" t="s">
        <v>42</v>
      </c>
      <c r="B28" s="668"/>
      <c r="C28" s="669"/>
      <c r="D28" s="669" t="s">
        <v>40</v>
      </c>
      <c r="E28" s="670"/>
    </row>
    <row r="29" spans="1:5">
      <c r="A29" s="669" t="s">
        <v>43</v>
      </c>
      <c r="B29" s="668" t="s">
        <v>44</v>
      </c>
      <c r="C29" s="669" t="s">
        <v>45</v>
      </c>
      <c r="D29" s="669" t="s">
        <v>40</v>
      </c>
      <c r="E29" s="670" t="s">
        <v>17</v>
      </c>
    </row>
    <row r="30" spans="1:5">
      <c r="A30" s="669" t="s">
        <v>46</v>
      </c>
      <c r="B30" s="668" t="s">
        <v>44</v>
      </c>
      <c r="C30" s="669" t="s">
        <v>47</v>
      </c>
      <c r="D30" s="669" t="s">
        <v>40</v>
      </c>
      <c r="E30" s="670"/>
    </row>
    <row r="31" spans="1:5">
      <c r="A31" s="669" t="s">
        <v>48</v>
      </c>
      <c r="B31" s="668" t="s">
        <v>44</v>
      </c>
      <c r="C31" s="669" t="s">
        <v>49</v>
      </c>
      <c r="D31" s="669" t="s">
        <v>40</v>
      </c>
      <c r="E31" s="674" t="s">
        <v>50</v>
      </c>
    </row>
    <row r="32" spans="1:5">
      <c r="A32" s="669" t="s">
        <v>51</v>
      </c>
      <c r="B32" s="668" t="s">
        <v>44</v>
      </c>
      <c r="C32" s="669" t="s">
        <v>52</v>
      </c>
      <c r="D32" s="669" t="s">
        <v>53</v>
      </c>
      <c r="E32" s="670"/>
    </row>
    <row r="33" spans="1:5">
      <c r="A33" s="669" t="s">
        <v>54</v>
      </c>
      <c r="B33" s="668" t="s">
        <v>44</v>
      </c>
      <c r="C33" s="669" t="s">
        <v>55</v>
      </c>
      <c r="D33" s="669" t="s">
        <v>53</v>
      </c>
      <c r="E33" s="670"/>
    </row>
    <row r="34" spans="1:5">
      <c r="A34" s="672" t="s">
        <v>56</v>
      </c>
      <c r="B34" s="671" t="s">
        <v>15</v>
      </c>
      <c r="C34" s="672" t="s">
        <v>57</v>
      </c>
      <c r="D34" s="672" t="s">
        <v>53</v>
      </c>
      <c r="E34" s="670"/>
    </row>
    <row r="35" spans="1:5">
      <c r="A35" s="672" t="s">
        <v>58</v>
      </c>
      <c r="B35" s="671" t="s">
        <v>44</v>
      </c>
      <c r="C35" s="672" t="s">
        <v>59</v>
      </c>
      <c r="D35" s="672" t="s">
        <v>53</v>
      </c>
      <c r="E35" s="670"/>
    </row>
    <row r="36" spans="1:5">
      <c r="A36" s="669" t="s">
        <v>60</v>
      </c>
      <c r="B36" s="668" t="s">
        <v>15</v>
      </c>
      <c r="C36" s="669" t="s">
        <v>57</v>
      </c>
      <c r="D36" s="669" t="s">
        <v>61</v>
      </c>
      <c r="E36" s="670"/>
    </row>
    <row r="37" spans="1:5">
      <c r="A37" s="669" t="s">
        <v>62</v>
      </c>
      <c r="B37" s="668" t="s">
        <v>44</v>
      </c>
      <c r="C37" s="669" t="s">
        <v>63</v>
      </c>
      <c r="D37" s="669" t="s">
        <v>61</v>
      </c>
      <c r="E37" s="670"/>
    </row>
    <row r="38" spans="1:5">
      <c r="A38" s="669" t="s">
        <v>64</v>
      </c>
      <c r="B38" s="668" t="s">
        <v>44</v>
      </c>
      <c r="C38" s="669" t="s">
        <v>59</v>
      </c>
      <c r="D38" s="669" t="s">
        <v>61</v>
      </c>
      <c r="E38" s="670"/>
    </row>
    <row r="39" spans="1:5">
      <c r="A39" s="669" t="s">
        <v>65</v>
      </c>
      <c r="B39" s="668" t="s">
        <v>44</v>
      </c>
      <c r="C39" s="669" t="s">
        <v>66</v>
      </c>
      <c r="D39" s="669" t="s">
        <v>61</v>
      </c>
      <c r="E39" s="670"/>
    </row>
    <row r="40" spans="1:5">
      <c r="A40" s="669" t="s">
        <v>67</v>
      </c>
      <c r="B40" s="668" t="s">
        <v>44</v>
      </c>
      <c r="C40" s="669" t="s">
        <v>68</v>
      </c>
      <c r="D40" s="669" t="s">
        <v>61</v>
      </c>
      <c r="E40" s="670"/>
    </row>
    <row r="41" spans="1:5">
      <c r="A41" s="669" t="s">
        <v>69</v>
      </c>
      <c r="B41" s="668"/>
      <c r="C41" s="669"/>
      <c r="D41" s="669" t="s">
        <v>61</v>
      </c>
      <c r="E41" s="670"/>
    </row>
    <row r="42" spans="1:5">
      <c r="A42" s="669" t="s">
        <v>70</v>
      </c>
      <c r="B42" s="668"/>
      <c r="C42" s="669"/>
      <c r="D42" s="669" t="s">
        <v>61</v>
      </c>
      <c r="E42" s="670"/>
    </row>
    <row r="43" spans="1:5">
      <c r="A43" s="668" t="s">
        <v>71</v>
      </c>
      <c r="B43" s="668" t="e">
        <v>#N/A</v>
      </c>
      <c r="C43" s="668" t="s">
        <v>72</v>
      </c>
      <c r="D43" s="675"/>
      <c r="E43" s="670"/>
    </row>
    <row r="44" spans="1:5">
      <c r="A44" s="668" t="s">
        <v>73</v>
      </c>
      <c r="B44" s="668"/>
      <c r="C44" s="668"/>
      <c r="D44" s="675"/>
      <c r="E44" s="670"/>
    </row>
    <row r="45" spans="1:5">
      <c r="A45" s="668" t="s">
        <v>74</v>
      </c>
      <c r="B45" s="668"/>
      <c r="C45" s="668"/>
      <c r="D45" s="675"/>
      <c r="E45" s="670"/>
    </row>
    <row r="46" spans="1:5">
      <c r="A46" s="669" t="s">
        <v>75</v>
      </c>
      <c r="B46" s="668" t="s">
        <v>15</v>
      </c>
      <c r="C46" s="668" t="s">
        <v>57</v>
      </c>
      <c r="D46" s="675"/>
      <c r="E46" s="670"/>
    </row>
    <row r="47" spans="1:5">
      <c r="A47" s="668" t="s">
        <v>76</v>
      </c>
      <c r="B47" s="668" t="s">
        <v>44</v>
      </c>
      <c r="C47" s="668" t="s">
        <v>59</v>
      </c>
      <c r="D47" s="675"/>
      <c r="E47" s="670"/>
    </row>
    <row r="48" spans="1:5">
      <c r="A48" s="669" t="s">
        <v>77</v>
      </c>
      <c r="B48" s="668" t="s">
        <v>44</v>
      </c>
      <c r="C48" s="668" t="s">
        <v>63</v>
      </c>
      <c r="D48" s="669"/>
      <c r="E48" s="670"/>
    </row>
    <row r="49" spans="1:5">
      <c r="A49" s="668" t="s">
        <v>78</v>
      </c>
      <c r="B49" s="668"/>
      <c r="C49" s="668"/>
      <c r="D49" s="675"/>
      <c r="E49" s="670"/>
    </row>
    <row r="50" spans="1:5">
      <c r="A50" s="668" t="s">
        <v>79</v>
      </c>
      <c r="B50" s="668"/>
      <c r="C50" s="668"/>
      <c r="D50" s="675"/>
      <c r="E50" s="670"/>
    </row>
    <row r="51" spans="1:5">
      <c r="A51" s="668" t="s">
        <v>80</v>
      </c>
      <c r="B51" s="668"/>
      <c r="C51" s="668"/>
      <c r="D51" s="675"/>
      <c r="E51" s="670"/>
    </row>
    <row r="52" spans="1:5">
      <c r="A52" s="668" t="s">
        <v>81</v>
      </c>
      <c r="B52" s="668"/>
      <c r="C52" s="668"/>
      <c r="D52" s="675"/>
      <c r="E52" s="670"/>
    </row>
    <row r="53" spans="1:5">
      <c r="A53" s="668" t="s">
        <v>82</v>
      </c>
      <c r="B53" s="668"/>
      <c r="C53" s="668"/>
      <c r="D53" s="675"/>
      <c r="E53" s="670"/>
    </row>
    <row r="54" spans="1:5">
      <c r="A54" s="668" t="s">
        <v>83</v>
      </c>
      <c r="B54" s="668"/>
      <c r="C54" s="668"/>
      <c r="D54" s="675"/>
      <c r="E54" s="670"/>
    </row>
    <row r="55" spans="1:5">
      <c r="A55" s="669" t="s">
        <v>84</v>
      </c>
      <c r="B55" s="668"/>
      <c r="C55" s="668"/>
      <c r="D55" s="669"/>
      <c r="E55" s="670"/>
    </row>
    <row r="56" spans="1:5">
      <c r="A56" s="669" t="s">
        <v>85</v>
      </c>
      <c r="B56" s="668" t="s">
        <v>44</v>
      </c>
      <c r="C56" s="668" t="s">
        <v>59</v>
      </c>
      <c r="D56" s="669"/>
      <c r="E56" s="670"/>
    </row>
    <row r="57" spans="1:5">
      <c r="A57" s="669" t="s">
        <v>86</v>
      </c>
      <c r="B57" s="668" t="s">
        <v>44</v>
      </c>
      <c r="C57" s="668" t="s">
        <v>68</v>
      </c>
      <c r="D57" s="669"/>
      <c r="E57" s="670"/>
    </row>
    <row r="58" spans="1:5">
      <c r="A58" s="669" t="s">
        <v>87</v>
      </c>
      <c r="B58" s="668" t="s">
        <v>44</v>
      </c>
      <c r="C58" s="668" t="s">
        <v>66</v>
      </c>
      <c r="D58" s="669"/>
      <c r="E58" s="670"/>
    </row>
    <row r="59" spans="1:5">
      <c r="A59" s="669" t="s">
        <v>88</v>
      </c>
      <c r="B59" s="668"/>
      <c r="C59" s="668" t="s">
        <v>89</v>
      </c>
      <c r="D59" s="669"/>
      <c r="E59" s="670"/>
    </row>
    <row r="60" spans="1:5">
      <c r="A60" s="669" t="s">
        <v>90</v>
      </c>
      <c r="B60" s="668"/>
      <c r="C60" s="668"/>
      <c r="D60" s="669"/>
      <c r="E60" s="670"/>
    </row>
    <row r="61" spans="1:5">
      <c r="A61" s="669" t="s">
        <v>91</v>
      </c>
      <c r="B61" s="669"/>
      <c r="C61" s="669"/>
      <c r="D61" s="669"/>
      <c r="E61" s="670"/>
    </row>
    <row r="62" spans="1:5">
      <c r="A62" s="669" t="s">
        <v>92</v>
      </c>
      <c r="B62" s="669"/>
      <c r="C62" s="669"/>
      <c r="D62" s="669"/>
      <c r="E62" s="670"/>
    </row>
    <row r="63" spans="1:5">
      <c r="A63" s="669" t="s">
        <v>93</v>
      </c>
      <c r="B63" s="669"/>
      <c r="C63" s="669"/>
      <c r="D63" s="669"/>
      <c r="E63" s="670"/>
    </row>
    <row r="64" spans="1:5">
      <c r="A64" s="669" t="s">
        <v>94</v>
      </c>
      <c r="B64" s="669"/>
      <c r="C64" s="669"/>
      <c r="D64" s="669"/>
      <c r="E64" s="670"/>
    </row>
    <row r="65" spans="1:5">
      <c r="A65" s="669" t="s">
        <v>95</v>
      </c>
      <c r="B65" s="669"/>
      <c r="C65" s="669"/>
      <c r="D65" s="669"/>
      <c r="E65" s="670"/>
    </row>
    <row r="66" spans="1:5">
      <c r="A66" s="669" t="s">
        <v>96</v>
      </c>
      <c r="B66" s="669"/>
      <c r="C66" s="669"/>
      <c r="D66" s="669" t="s">
        <v>40</v>
      </c>
      <c r="E66" s="670"/>
    </row>
  </sheetData>
  <conditionalFormatting sqref="A15">
    <cfRule type="duplicateValues" dxfId="0" priority="39"/>
    <cfRule type="duplicateValues" dxfId="0" priority="40"/>
    <cfRule type="duplicateValues" dxfId="0" priority="23"/>
    <cfRule type="duplicateValues" dxfId="0" priority="24"/>
    <cfRule type="duplicateValues" dxfId="0" priority="25"/>
    <cfRule type="duplicateValues" dxfId="0" priority="26"/>
    <cfRule type="duplicateValues" dxfId="0" priority="27"/>
    <cfRule type="duplicateValues" dxfId="0" priority="28"/>
    <cfRule type="duplicateValues" dxfId="0" priority="29"/>
    <cfRule type="duplicateValues" dxfId="0" priority="30"/>
    <cfRule type="duplicateValues" dxfId="0" priority="31"/>
    <cfRule type="duplicateValues" dxfId="0" priority="32"/>
    <cfRule type="duplicateValues" dxfId="0" priority="33"/>
    <cfRule type="duplicateValues" dxfId="0" priority="34"/>
    <cfRule type="duplicateValues" dxfId="0" priority="35"/>
    <cfRule type="duplicateValues" dxfId="0" priority="36"/>
    <cfRule type="duplicateValues" dxfId="0" priority="37"/>
    <cfRule type="duplicateValues" dxfId="0" priority="38"/>
  </conditionalFormatting>
  <conditionalFormatting sqref="A18">
    <cfRule type="duplicateValues" dxfId="0" priority="1"/>
    <cfRule type="duplicateValues" dxfId="0" priority="2"/>
    <cfRule type="duplicateValues" dxfId="0" priority="20"/>
    <cfRule type="duplicateValues" dxfId="0" priority="19"/>
    <cfRule type="duplicateValues" dxfId="0" priority="18"/>
    <cfRule type="duplicateValues" dxfId="0" priority="17"/>
    <cfRule type="duplicateValues" dxfId="0" priority="16"/>
    <cfRule type="duplicateValues" dxfId="0" priority="15"/>
    <cfRule type="duplicateValues" dxfId="0" priority="14"/>
    <cfRule type="duplicateValues" dxfId="0" priority="13"/>
    <cfRule type="duplicateValues" dxfId="0" priority="12"/>
    <cfRule type="duplicateValues" dxfId="0" priority="10"/>
    <cfRule type="duplicateValues" dxfId="0" priority="11"/>
    <cfRule type="duplicateValues" dxfId="0" priority="9"/>
    <cfRule type="duplicateValues" dxfId="0" priority="8"/>
    <cfRule type="duplicateValues" dxfId="0" priority="7"/>
    <cfRule type="duplicateValues" dxfId="0" priority="6"/>
    <cfRule type="duplicateValues" dxfId="0" priority="5"/>
    <cfRule type="duplicateValues" dxfId="0" priority="4"/>
    <cfRule type="duplicateValues" dxfId="0" priority="3"/>
  </conditionalFormatting>
  <conditionalFormatting sqref="A57:A60">
    <cfRule type="duplicateValues" dxfId="0" priority="43"/>
    <cfRule type="duplicateValues" dxfId="0" priority="44"/>
    <cfRule type="duplicateValues" dxfId="0" priority="45"/>
    <cfRule type="duplicateValues" dxfId="0" priority="46"/>
    <cfRule type="duplicateValues" dxfId="0" priority="47"/>
    <cfRule type="duplicateValues" dxfId="0" priority="48"/>
    <cfRule type="duplicateValues" dxfId="0" priority="49"/>
    <cfRule type="duplicateValues" dxfId="0" priority="50"/>
    <cfRule type="duplicateValues" dxfId="0" priority="51"/>
    <cfRule type="duplicateValues" dxfId="0" priority="52"/>
    <cfRule type="duplicateValues" dxfId="0" priority="53"/>
    <cfRule type="duplicateValues" dxfId="0" priority="54"/>
    <cfRule type="duplicateValues" dxfId="0" priority="55"/>
    <cfRule type="duplicateValues" dxfId="0" priority="57"/>
    <cfRule type="duplicateValues" dxfId="0" priority="58"/>
    <cfRule type="duplicateValues" dxfId="0" priority="56"/>
  </conditionalFormatting>
  <conditionalFormatting sqref="A1:A14 A16:A17 A19:A56 A61:A66">
    <cfRule type="duplicateValues" dxfId="0" priority="73"/>
    <cfRule type="duplicateValues" dxfId="0" priority="72"/>
    <cfRule type="duplicateValues" dxfId="0" priority="71"/>
    <cfRule type="duplicateValues" dxfId="0" priority="70"/>
    <cfRule type="duplicateValues" dxfId="0" priority="69"/>
    <cfRule type="duplicateValues" dxfId="0" priority="68"/>
    <cfRule type="duplicateValues" dxfId="0" priority="67"/>
    <cfRule type="duplicateValues" dxfId="0" priority="74"/>
    <cfRule type="duplicateValues" dxfId="0" priority="66"/>
    <cfRule type="duplicateValues" dxfId="0" priority="64"/>
    <cfRule type="duplicateValues" dxfId="0" priority="63"/>
    <cfRule type="duplicateValues" dxfId="0" priority="62"/>
    <cfRule type="duplicateValues" dxfId="0" priority="61"/>
    <cfRule type="duplicateValues" dxfId="0" priority="60"/>
    <cfRule type="duplicateValues" dxfId="0" priority="59"/>
    <cfRule type="duplicateValues" dxfId="0" priority="65"/>
  </conditionalFormatting>
  <conditionalFormatting sqref="A1:A14 A16:A17 A19:A66">
    <cfRule type="duplicateValues" dxfId="0" priority="42"/>
    <cfRule type="duplicateValues" dxfId="0" priority="41"/>
  </conditionalFormatting>
  <conditionalFormatting sqref="A1:A17 A19:A66">
    <cfRule type="duplicateValues" dxfId="0" priority="21"/>
    <cfRule type="duplicateValues" dxfId="0" priority="22"/>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57"/>
  <sheetViews>
    <sheetView zoomScale="90" zoomScaleNormal="90" topLeftCell="A131" workbookViewId="0">
      <selection activeCell="A155" sqref="$A155:$XFD157"/>
    </sheetView>
  </sheetViews>
  <sheetFormatPr defaultColWidth="8.66371681415929" defaultRowHeight="11.25"/>
  <cols>
    <col min="1" max="1" width="15.6637168141593" style="2" customWidth="1"/>
    <col min="2" max="2" width="14.1061946902655" style="2" customWidth="1"/>
    <col min="3" max="3" width="17.2212389380531" style="2" customWidth="1"/>
    <col min="4" max="4" width="56.8938053097345" style="642" customWidth="1"/>
    <col min="5" max="5" width="13.4424778761062" style="643" customWidth="1"/>
    <col min="6" max="6" width="13.1061946902655" style="643" customWidth="1"/>
    <col min="7" max="7" width="13.5575221238938" style="2" customWidth="1"/>
    <col min="8" max="8" width="21.1061946902655" style="1" customWidth="1"/>
    <col min="9" max="9" width="16.6637168141593" style="1" customWidth="1"/>
    <col min="10" max="10" width="12.7787610619469" style="2" customWidth="1"/>
    <col min="11" max="11" width="62.1061946902655" style="2" customWidth="1"/>
    <col min="12" max="12" width="8.66371681415929" style="2" customWidth="1"/>
    <col min="13" max="13" width="15.3362831858407" style="2" customWidth="1"/>
    <col min="14" max="16384" width="8.66371681415929" style="2" customWidth="1"/>
  </cols>
  <sheetData>
    <row r="1" spans="1:11">
      <c r="A1" s="644" t="s">
        <v>97</v>
      </c>
      <c r="B1" s="644" t="s">
        <v>98</v>
      </c>
      <c r="C1" s="644" t="s">
        <v>99</v>
      </c>
      <c r="D1" s="644" t="s">
        <v>100</v>
      </c>
      <c r="E1" s="645" t="s">
        <v>101</v>
      </c>
      <c r="F1" s="645" t="s">
        <v>102</v>
      </c>
      <c r="G1" s="645" t="s">
        <v>103</v>
      </c>
      <c r="H1" s="646" t="s">
        <v>104</v>
      </c>
      <c r="I1" s="646" t="s">
        <v>105</v>
      </c>
      <c r="J1" s="646" t="s">
        <v>106</v>
      </c>
      <c r="K1" s="651" t="s">
        <v>107</v>
      </c>
    </row>
    <row r="2" spans="1:11">
      <c r="A2" s="647" t="s">
        <v>108</v>
      </c>
      <c r="B2" s="647" t="s">
        <v>109</v>
      </c>
      <c r="C2" s="647" t="s">
        <v>110</v>
      </c>
      <c r="D2" s="648" t="s">
        <v>111</v>
      </c>
      <c r="E2" s="649">
        <v>45239</v>
      </c>
      <c r="F2" s="649">
        <v>45443</v>
      </c>
      <c r="G2" s="647" t="s">
        <v>112</v>
      </c>
      <c r="H2" s="647" t="s">
        <v>113</v>
      </c>
      <c r="I2" s="647" t="s">
        <v>114</v>
      </c>
      <c r="J2" s="652"/>
      <c r="K2" s="620" t="s">
        <v>114</v>
      </c>
    </row>
    <row r="3" spans="1:11">
      <c r="A3" s="647" t="s">
        <v>115</v>
      </c>
      <c r="B3" s="647" t="s">
        <v>116</v>
      </c>
      <c r="C3" s="647" t="s">
        <v>117</v>
      </c>
      <c r="D3" s="648" t="s">
        <v>118</v>
      </c>
      <c r="E3" s="649">
        <v>44562</v>
      </c>
      <c r="F3" s="649">
        <v>45838</v>
      </c>
      <c r="G3" s="647" t="s">
        <v>119</v>
      </c>
      <c r="H3" s="647" t="s">
        <v>113</v>
      </c>
      <c r="I3" s="647" t="s">
        <v>120</v>
      </c>
      <c r="J3" s="652"/>
      <c r="K3" s="620" t="s">
        <v>121</v>
      </c>
    </row>
    <row r="4" spans="1:11">
      <c r="A4" s="647" t="s">
        <v>115</v>
      </c>
      <c r="B4" s="647" t="s">
        <v>116</v>
      </c>
      <c r="C4" s="647" t="s">
        <v>122</v>
      </c>
      <c r="D4" s="648" t="s">
        <v>123</v>
      </c>
      <c r="E4" s="649">
        <v>44621</v>
      </c>
      <c r="F4" s="649">
        <v>45382</v>
      </c>
      <c r="G4" s="647" t="s">
        <v>119</v>
      </c>
      <c r="H4" s="647" t="s">
        <v>113</v>
      </c>
      <c r="I4" s="647" t="s">
        <v>114</v>
      </c>
      <c r="J4" s="652"/>
      <c r="K4" s="652" t="s">
        <v>114</v>
      </c>
    </row>
    <row r="5" spans="1:11">
      <c r="A5" s="647" t="s">
        <v>115</v>
      </c>
      <c r="B5" s="647" t="s">
        <v>116</v>
      </c>
      <c r="C5" s="647" t="s">
        <v>124</v>
      </c>
      <c r="D5" s="648" t="s">
        <v>125</v>
      </c>
      <c r="E5" s="649">
        <v>44621</v>
      </c>
      <c r="F5" s="649">
        <v>45382</v>
      </c>
      <c r="G5" s="647" t="s">
        <v>119</v>
      </c>
      <c r="H5" s="647" t="s">
        <v>113</v>
      </c>
      <c r="I5" s="647" t="s">
        <v>114</v>
      </c>
      <c r="J5" s="652"/>
      <c r="K5" s="652" t="s">
        <v>114</v>
      </c>
    </row>
    <row r="6" spans="1:13">
      <c r="A6" s="647" t="s">
        <v>115</v>
      </c>
      <c r="B6" s="647" t="s">
        <v>126</v>
      </c>
      <c r="C6" s="647" t="s">
        <v>127</v>
      </c>
      <c r="D6" s="648" t="s">
        <v>128</v>
      </c>
      <c r="E6" s="649">
        <v>44788</v>
      </c>
      <c r="F6" s="649">
        <v>45535</v>
      </c>
      <c r="G6" s="647" t="s">
        <v>129</v>
      </c>
      <c r="H6" s="647" t="s">
        <v>113</v>
      </c>
      <c r="I6" s="647" t="s">
        <v>114</v>
      </c>
      <c r="J6" s="652"/>
      <c r="K6" s="620" t="s">
        <v>130</v>
      </c>
      <c r="M6" s="2" t="s">
        <v>131</v>
      </c>
    </row>
    <row r="7" spans="1:13">
      <c r="A7" s="647" t="s">
        <v>132</v>
      </c>
      <c r="B7" s="647" t="s">
        <v>133</v>
      </c>
      <c r="C7" s="647" t="s">
        <v>134</v>
      </c>
      <c r="D7" s="648" t="s">
        <v>135</v>
      </c>
      <c r="E7" s="649">
        <v>44803</v>
      </c>
      <c r="F7" s="649">
        <v>45657</v>
      </c>
      <c r="G7" s="647" t="s">
        <v>129</v>
      </c>
      <c r="H7" s="647" t="s">
        <v>113</v>
      </c>
      <c r="I7" s="647" t="s">
        <v>114</v>
      </c>
      <c r="J7" s="652"/>
      <c r="K7" s="620" t="s">
        <v>114</v>
      </c>
      <c r="M7" s="2" t="s">
        <v>136</v>
      </c>
    </row>
    <row r="8" spans="1:13">
      <c r="A8" s="647" t="s">
        <v>115</v>
      </c>
      <c r="B8" s="647" t="s">
        <v>126</v>
      </c>
      <c r="C8" s="647" t="s">
        <v>137</v>
      </c>
      <c r="D8" s="648" t="s">
        <v>138</v>
      </c>
      <c r="E8" s="649">
        <v>44805</v>
      </c>
      <c r="F8" s="649">
        <v>45382</v>
      </c>
      <c r="G8" s="647" t="s">
        <v>129</v>
      </c>
      <c r="H8" s="647" t="s">
        <v>113</v>
      </c>
      <c r="I8" s="647" t="s">
        <v>114</v>
      </c>
      <c r="J8" s="652"/>
      <c r="K8" s="620" t="s">
        <v>114</v>
      </c>
      <c r="M8" s="2" t="s">
        <v>139</v>
      </c>
    </row>
    <row r="9" spans="1:13">
      <c r="A9" s="647" t="s">
        <v>115</v>
      </c>
      <c r="B9" s="647" t="s">
        <v>116</v>
      </c>
      <c r="C9" s="647" t="s">
        <v>140</v>
      </c>
      <c r="D9" s="648" t="s">
        <v>141</v>
      </c>
      <c r="E9" s="649">
        <v>44835</v>
      </c>
      <c r="F9" s="649">
        <v>45657</v>
      </c>
      <c r="G9" s="647" t="s">
        <v>142</v>
      </c>
      <c r="H9" s="647" t="s">
        <v>143</v>
      </c>
      <c r="I9" s="647" t="s">
        <v>144</v>
      </c>
      <c r="J9" s="652"/>
      <c r="K9" s="620"/>
      <c r="M9" s="2" t="s">
        <v>145</v>
      </c>
    </row>
    <row r="10" spans="1:11">
      <c r="A10" s="647" t="s">
        <v>115</v>
      </c>
      <c r="B10" s="647" t="s">
        <v>116</v>
      </c>
      <c r="C10" s="647" t="s">
        <v>146</v>
      </c>
      <c r="D10" s="648" t="s">
        <v>147</v>
      </c>
      <c r="E10" s="649">
        <v>44835</v>
      </c>
      <c r="F10" s="649">
        <v>45657</v>
      </c>
      <c r="G10" s="647" t="s">
        <v>142</v>
      </c>
      <c r="H10" s="647" t="s">
        <v>143</v>
      </c>
      <c r="I10" s="647" t="s">
        <v>144</v>
      </c>
      <c r="J10" s="652"/>
      <c r="K10" s="620"/>
    </row>
    <row r="11" spans="1:11">
      <c r="A11" s="647" t="s">
        <v>115</v>
      </c>
      <c r="B11" s="647" t="s">
        <v>116</v>
      </c>
      <c r="C11" s="647" t="s">
        <v>148</v>
      </c>
      <c r="D11" s="648" t="s">
        <v>149</v>
      </c>
      <c r="E11" s="649">
        <v>44896</v>
      </c>
      <c r="F11" s="649">
        <v>46356</v>
      </c>
      <c r="G11" s="647" t="s">
        <v>142</v>
      </c>
      <c r="H11" s="647" t="s">
        <v>113</v>
      </c>
      <c r="I11" s="647" t="s">
        <v>114</v>
      </c>
      <c r="J11" s="652"/>
      <c r="K11" s="620" t="s">
        <v>150</v>
      </c>
    </row>
    <row r="12" spans="1:11">
      <c r="A12" s="647" t="s">
        <v>151</v>
      </c>
      <c r="B12" s="647" t="s">
        <v>126</v>
      </c>
      <c r="C12" s="647" t="s">
        <v>152</v>
      </c>
      <c r="D12" s="648" t="s">
        <v>153</v>
      </c>
      <c r="E12" s="649">
        <v>44894</v>
      </c>
      <c r="F12" s="649">
        <v>45292</v>
      </c>
      <c r="G12" s="647" t="s">
        <v>129</v>
      </c>
      <c r="H12" s="647" t="s">
        <v>113</v>
      </c>
      <c r="I12" s="647" t="s">
        <v>114</v>
      </c>
      <c r="J12" s="652"/>
      <c r="K12" s="652" t="s">
        <v>114</v>
      </c>
    </row>
    <row r="13" spans="1:11">
      <c r="A13" s="647" t="s">
        <v>115</v>
      </c>
      <c r="B13" s="647" t="s">
        <v>126</v>
      </c>
      <c r="C13" s="647" t="s">
        <v>154</v>
      </c>
      <c r="D13" s="648" t="s">
        <v>155</v>
      </c>
      <c r="E13" s="649">
        <v>44903</v>
      </c>
      <c r="F13" s="649">
        <v>46034</v>
      </c>
      <c r="G13" s="647" t="s">
        <v>129</v>
      </c>
      <c r="H13" s="647" t="s">
        <v>143</v>
      </c>
      <c r="I13" s="647" t="s">
        <v>120</v>
      </c>
      <c r="J13" s="652"/>
      <c r="K13" s="620" t="s">
        <v>156</v>
      </c>
    </row>
    <row r="14" spans="1:11">
      <c r="A14" s="647" t="s">
        <v>115</v>
      </c>
      <c r="B14" s="647" t="s">
        <v>126</v>
      </c>
      <c r="C14" s="647" t="s">
        <v>157</v>
      </c>
      <c r="D14" s="648" t="s">
        <v>158</v>
      </c>
      <c r="E14" s="649">
        <v>44900</v>
      </c>
      <c r="F14" s="649">
        <v>45473</v>
      </c>
      <c r="G14" s="647" t="s">
        <v>129</v>
      </c>
      <c r="H14" s="647" t="s">
        <v>143</v>
      </c>
      <c r="I14" s="647" t="s">
        <v>120</v>
      </c>
      <c r="J14" s="652"/>
      <c r="K14" s="620" t="s">
        <v>156</v>
      </c>
    </row>
    <row r="15" spans="1:11">
      <c r="A15" s="647" t="s">
        <v>115</v>
      </c>
      <c r="B15" s="647" t="s">
        <v>126</v>
      </c>
      <c r="C15" s="647" t="s">
        <v>159</v>
      </c>
      <c r="D15" s="648" t="s">
        <v>160</v>
      </c>
      <c r="E15" s="649">
        <v>44917</v>
      </c>
      <c r="F15" s="649">
        <v>46326</v>
      </c>
      <c r="G15" s="647" t="s">
        <v>129</v>
      </c>
      <c r="H15" s="647" t="s">
        <v>143</v>
      </c>
      <c r="I15" s="647" t="s">
        <v>120</v>
      </c>
      <c r="J15" s="652"/>
      <c r="K15" s="620" t="s">
        <v>156</v>
      </c>
    </row>
    <row r="16" spans="1:11">
      <c r="A16" s="647" t="s">
        <v>108</v>
      </c>
      <c r="B16" s="647" t="s">
        <v>161</v>
      </c>
      <c r="C16" s="647" t="s">
        <v>162</v>
      </c>
      <c r="D16" s="648" t="s">
        <v>163</v>
      </c>
      <c r="E16" s="649">
        <v>44915</v>
      </c>
      <c r="F16" s="649">
        <v>45322</v>
      </c>
      <c r="G16" s="647" t="s">
        <v>129</v>
      </c>
      <c r="H16" s="647" t="s">
        <v>113</v>
      </c>
      <c r="I16" s="647" t="s">
        <v>114</v>
      </c>
      <c r="J16" s="652"/>
      <c r="K16" s="652" t="s">
        <v>114</v>
      </c>
    </row>
    <row r="17" spans="1:11">
      <c r="A17" s="647" t="s">
        <v>115</v>
      </c>
      <c r="B17" s="647" t="s">
        <v>126</v>
      </c>
      <c r="C17" s="647" t="s">
        <v>164</v>
      </c>
      <c r="D17" s="648" t="s">
        <v>165</v>
      </c>
      <c r="E17" s="649">
        <v>44964</v>
      </c>
      <c r="F17" s="649">
        <v>46241</v>
      </c>
      <c r="G17" s="647" t="s">
        <v>129</v>
      </c>
      <c r="H17" s="647" t="s">
        <v>113</v>
      </c>
      <c r="I17" s="647" t="s">
        <v>166</v>
      </c>
      <c r="J17" s="652"/>
      <c r="K17" s="620" t="s">
        <v>167</v>
      </c>
    </row>
    <row r="18" spans="1:11">
      <c r="A18" s="647" t="s">
        <v>115</v>
      </c>
      <c r="B18" s="647" t="s">
        <v>126</v>
      </c>
      <c r="C18" s="647" t="s">
        <v>168</v>
      </c>
      <c r="D18" s="648" t="s">
        <v>169</v>
      </c>
      <c r="E18" s="649">
        <v>44986</v>
      </c>
      <c r="F18" s="649">
        <v>45412</v>
      </c>
      <c r="G18" s="647" t="s">
        <v>129</v>
      </c>
      <c r="H18" s="647" t="s">
        <v>113</v>
      </c>
      <c r="I18" s="647" t="s">
        <v>166</v>
      </c>
      <c r="J18" s="652"/>
      <c r="K18" s="620" t="s">
        <v>167</v>
      </c>
    </row>
    <row r="19" spans="1:11">
      <c r="A19" s="647" t="s">
        <v>115</v>
      </c>
      <c r="B19" s="647" t="s">
        <v>126</v>
      </c>
      <c r="C19" s="647" t="s">
        <v>170</v>
      </c>
      <c r="D19" s="648" t="s">
        <v>171</v>
      </c>
      <c r="E19" s="649">
        <v>44986</v>
      </c>
      <c r="F19" s="649">
        <v>45351</v>
      </c>
      <c r="G19" s="647" t="s">
        <v>129</v>
      </c>
      <c r="H19" s="647" t="s">
        <v>113</v>
      </c>
      <c r="I19" s="647" t="s">
        <v>166</v>
      </c>
      <c r="J19" s="652"/>
      <c r="K19" s="620" t="s">
        <v>167</v>
      </c>
    </row>
    <row r="20" spans="1:11">
      <c r="A20" s="647" t="s">
        <v>115</v>
      </c>
      <c r="B20" s="647" t="s">
        <v>126</v>
      </c>
      <c r="C20" s="647" t="s">
        <v>172</v>
      </c>
      <c r="D20" s="648" t="s">
        <v>173</v>
      </c>
      <c r="E20" s="649">
        <v>45017</v>
      </c>
      <c r="F20" s="649">
        <v>45473</v>
      </c>
      <c r="G20" s="647" t="s">
        <v>129</v>
      </c>
      <c r="H20" s="647" t="s">
        <v>113</v>
      </c>
      <c r="I20" s="647" t="s">
        <v>166</v>
      </c>
      <c r="J20" s="652"/>
      <c r="K20" s="620" t="s">
        <v>167</v>
      </c>
    </row>
    <row r="21" spans="1:11">
      <c r="A21" s="647" t="s">
        <v>115</v>
      </c>
      <c r="B21" s="647" t="s">
        <v>116</v>
      </c>
      <c r="C21" s="647" t="s">
        <v>174</v>
      </c>
      <c r="D21" s="648" t="s">
        <v>175</v>
      </c>
      <c r="E21" s="649">
        <v>45012</v>
      </c>
      <c r="F21" s="649">
        <v>45743</v>
      </c>
      <c r="G21" s="647" t="s">
        <v>119</v>
      </c>
      <c r="H21" s="647" t="s">
        <v>143</v>
      </c>
      <c r="I21" s="647" t="s">
        <v>144</v>
      </c>
      <c r="J21" s="652"/>
      <c r="K21" s="620"/>
    </row>
    <row r="22" spans="1:11">
      <c r="A22" s="647" t="s">
        <v>115</v>
      </c>
      <c r="B22" s="647" t="s">
        <v>116</v>
      </c>
      <c r="C22" s="647" t="s">
        <v>176</v>
      </c>
      <c r="D22" s="648" t="s">
        <v>177</v>
      </c>
      <c r="E22" s="649">
        <v>45017</v>
      </c>
      <c r="F22" s="649">
        <v>45743</v>
      </c>
      <c r="G22" s="647" t="s">
        <v>119</v>
      </c>
      <c r="H22" s="647" t="s">
        <v>143</v>
      </c>
      <c r="I22" s="647" t="s">
        <v>144</v>
      </c>
      <c r="J22" s="652"/>
      <c r="K22" s="620"/>
    </row>
    <row r="23" spans="1:11">
      <c r="A23" s="647" t="s">
        <v>115</v>
      </c>
      <c r="B23" s="647" t="s">
        <v>116</v>
      </c>
      <c r="C23" s="647" t="s">
        <v>178</v>
      </c>
      <c r="D23" s="648" t="s">
        <v>179</v>
      </c>
      <c r="E23" s="649">
        <v>45017</v>
      </c>
      <c r="F23" s="649">
        <v>45743</v>
      </c>
      <c r="G23" s="647" t="s">
        <v>119</v>
      </c>
      <c r="H23" s="647" t="s">
        <v>143</v>
      </c>
      <c r="I23" s="647" t="s">
        <v>144</v>
      </c>
      <c r="J23" s="652"/>
      <c r="K23" s="620"/>
    </row>
    <row r="24" spans="1:11">
      <c r="A24" s="647" t="s">
        <v>115</v>
      </c>
      <c r="B24" s="647" t="s">
        <v>116</v>
      </c>
      <c r="C24" s="647" t="s">
        <v>180</v>
      </c>
      <c r="D24" s="648" t="s">
        <v>181</v>
      </c>
      <c r="E24" s="649">
        <v>45017</v>
      </c>
      <c r="F24" s="649">
        <v>45743</v>
      </c>
      <c r="G24" s="647" t="s">
        <v>119</v>
      </c>
      <c r="H24" s="647" t="s">
        <v>143</v>
      </c>
      <c r="I24" s="647" t="s">
        <v>144</v>
      </c>
      <c r="J24" s="652"/>
      <c r="K24" s="620"/>
    </row>
    <row r="25" spans="1:11">
      <c r="A25" s="647" t="s">
        <v>115</v>
      </c>
      <c r="B25" s="647" t="s">
        <v>116</v>
      </c>
      <c r="C25" s="647" t="s">
        <v>182</v>
      </c>
      <c r="D25" s="648" t="s">
        <v>183</v>
      </c>
      <c r="E25" s="649">
        <v>45017</v>
      </c>
      <c r="F25" s="649">
        <v>45743</v>
      </c>
      <c r="G25" s="647" t="s">
        <v>119</v>
      </c>
      <c r="H25" s="647" t="s">
        <v>143</v>
      </c>
      <c r="I25" s="647" t="s">
        <v>144</v>
      </c>
      <c r="J25" s="652"/>
      <c r="K25" s="620"/>
    </row>
    <row r="26" spans="1:11">
      <c r="A26" s="647" t="s">
        <v>115</v>
      </c>
      <c r="B26" s="647" t="s">
        <v>116</v>
      </c>
      <c r="C26" s="647" t="s">
        <v>184</v>
      </c>
      <c r="D26" s="648" t="s">
        <v>185</v>
      </c>
      <c r="E26" s="649">
        <v>45017</v>
      </c>
      <c r="F26" s="649">
        <v>45743</v>
      </c>
      <c r="G26" s="647" t="s">
        <v>119</v>
      </c>
      <c r="H26" s="647" t="s">
        <v>143</v>
      </c>
      <c r="I26" s="647" t="s">
        <v>144</v>
      </c>
      <c r="J26" s="652"/>
      <c r="K26" s="620"/>
    </row>
    <row r="27" spans="1:11">
      <c r="A27" s="647" t="s">
        <v>115</v>
      </c>
      <c r="B27" s="647" t="s">
        <v>116</v>
      </c>
      <c r="C27" s="647" t="s">
        <v>186</v>
      </c>
      <c r="D27" s="648" t="s">
        <v>187</v>
      </c>
      <c r="E27" s="649">
        <v>45017</v>
      </c>
      <c r="F27" s="649">
        <v>45743</v>
      </c>
      <c r="G27" s="647" t="s">
        <v>119</v>
      </c>
      <c r="H27" s="647" t="s">
        <v>143</v>
      </c>
      <c r="I27" s="647" t="s">
        <v>144</v>
      </c>
      <c r="J27" s="652"/>
      <c r="K27" s="620"/>
    </row>
    <row r="28" spans="1:11">
      <c r="A28" s="647" t="s">
        <v>115</v>
      </c>
      <c r="B28" s="647" t="s">
        <v>116</v>
      </c>
      <c r="C28" s="647" t="s">
        <v>188</v>
      </c>
      <c r="D28" s="648" t="s">
        <v>189</v>
      </c>
      <c r="E28" s="649">
        <v>45017</v>
      </c>
      <c r="F28" s="649">
        <v>45743</v>
      </c>
      <c r="G28" s="647" t="s">
        <v>119</v>
      </c>
      <c r="H28" s="647" t="s">
        <v>143</v>
      </c>
      <c r="I28" s="647" t="s">
        <v>144</v>
      </c>
      <c r="J28" s="652"/>
      <c r="K28" s="620"/>
    </row>
    <row r="29" spans="1:11">
      <c r="A29" s="647" t="s">
        <v>115</v>
      </c>
      <c r="B29" s="647" t="s">
        <v>116</v>
      </c>
      <c r="C29" s="647" t="s">
        <v>190</v>
      </c>
      <c r="D29" s="648" t="s">
        <v>191</v>
      </c>
      <c r="E29" s="649">
        <v>45017</v>
      </c>
      <c r="F29" s="649">
        <v>45743</v>
      </c>
      <c r="G29" s="647" t="s">
        <v>119</v>
      </c>
      <c r="H29" s="647" t="s">
        <v>143</v>
      </c>
      <c r="I29" s="647" t="s">
        <v>144</v>
      </c>
      <c r="J29" s="652"/>
      <c r="K29" s="620"/>
    </row>
    <row r="30" spans="1:11">
      <c r="A30" s="647" t="s">
        <v>132</v>
      </c>
      <c r="B30" s="647" t="s">
        <v>192</v>
      </c>
      <c r="C30" s="647" t="s">
        <v>193</v>
      </c>
      <c r="D30" s="648" t="s">
        <v>194</v>
      </c>
      <c r="E30" s="649">
        <v>45017</v>
      </c>
      <c r="F30" s="649">
        <v>45412</v>
      </c>
      <c r="G30" s="647" t="s">
        <v>112</v>
      </c>
      <c r="H30" s="647" t="s">
        <v>113</v>
      </c>
      <c r="I30" s="647" t="s">
        <v>114</v>
      </c>
      <c r="J30" s="652"/>
      <c r="K30" s="652"/>
    </row>
    <row r="31" spans="1:11">
      <c r="A31" s="647" t="s">
        <v>115</v>
      </c>
      <c r="B31" s="647" t="s">
        <v>126</v>
      </c>
      <c r="C31" s="647" t="s">
        <v>195</v>
      </c>
      <c r="D31" s="648" t="s">
        <v>196</v>
      </c>
      <c r="E31" s="649">
        <v>45039</v>
      </c>
      <c r="F31" s="649">
        <v>45769</v>
      </c>
      <c r="G31" s="647" t="s">
        <v>129</v>
      </c>
      <c r="H31" s="647" t="s">
        <v>113</v>
      </c>
      <c r="I31" s="647" t="s">
        <v>166</v>
      </c>
      <c r="J31" s="652"/>
      <c r="K31" s="620" t="s">
        <v>167</v>
      </c>
    </row>
    <row r="32" spans="1:11">
      <c r="A32" s="647" t="s">
        <v>132</v>
      </c>
      <c r="B32" s="647" t="s">
        <v>192</v>
      </c>
      <c r="C32" s="647" t="s">
        <v>197</v>
      </c>
      <c r="D32" s="648" t="s">
        <v>198</v>
      </c>
      <c r="E32" s="649">
        <v>45017</v>
      </c>
      <c r="F32" s="649">
        <v>45382</v>
      </c>
      <c r="G32" s="647" t="s">
        <v>112</v>
      </c>
      <c r="H32" s="647" t="s">
        <v>113</v>
      </c>
      <c r="I32" s="647" t="s">
        <v>114</v>
      </c>
      <c r="J32" s="652"/>
      <c r="K32" s="620" t="s">
        <v>199</v>
      </c>
    </row>
    <row r="33" spans="1:11">
      <c r="A33" s="647" t="s">
        <v>115</v>
      </c>
      <c r="B33" s="647" t="s">
        <v>126</v>
      </c>
      <c r="C33" s="647" t="s">
        <v>200</v>
      </c>
      <c r="D33" s="648" t="s">
        <v>201</v>
      </c>
      <c r="E33" s="649">
        <v>45051</v>
      </c>
      <c r="F33" s="649">
        <v>45416</v>
      </c>
      <c r="G33" s="647" t="s">
        <v>129</v>
      </c>
      <c r="H33" s="647" t="s">
        <v>113</v>
      </c>
      <c r="I33" s="647" t="s">
        <v>114</v>
      </c>
      <c r="J33" s="652"/>
      <c r="K33" s="620" t="s">
        <v>114</v>
      </c>
    </row>
    <row r="34" spans="1:11">
      <c r="A34" s="647" t="s">
        <v>115</v>
      </c>
      <c r="B34" s="647" t="s">
        <v>126</v>
      </c>
      <c r="C34" s="647" t="s">
        <v>202</v>
      </c>
      <c r="D34" s="648" t="s">
        <v>203</v>
      </c>
      <c r="E34" s="649">
        <v>45108</v>
      </c>
      <c r="F34" s="649">
        <v>46022</v>
      </c>
      <c r="G34" s="647" t="s">
        <v>129</v>
      </c>
      <c r="H34" s="647" t="s">
        <v>113</v>
      </c>
      <c r="I34" s="647" t="s">
        <v>166</v>
      </c>
      <c r="J34" s="652"/>
      <c r="K34" s="620" t="s">
        <v>167</v>
      </c>
    </row>
    <row r="35" spans="1:11">
      <c r="A35" s="647" t="s">
        <v>115</v>
      </c>
      <c r="B35" s="647" t="s">
        <v>126</v>
      </c>
      <c r="C35" s="647" t="s">
        <v>204</v>
      </c>
      <c r="D35" s="648" t="s">
        <v>205</v>
      </c>
      <c r="E35" s="649">
        <v>45078</v>
      </c>
      <c r="F35" s="649">
        <v>45443</v>
      </c>
      <c r="G35" s="647" t="s">
        <v>129</v>
      </c>
      <c r="H35" s="647" t="s">
        <v>113</v>
      </c>
      <c r="I35" s="647" t="s">
        <v>166</v>
      </c>
      <c r="J35" s="652"/>
      <c r="K35" s="620" t="s">
        <v>167</v>
      </c>
    </row>
    <row r="36" spans="1:11">
      <c r="A36" s="647" t="s">
        <v>115</v>
      </c>
      <c r="B36" s="647" t="s">
        <v>126</v>
      </c>
      <c r="C36" s="647" t="s">
        <v>206</v>
      </c>
      <c r="D36" s="648" t="s">
        <v>207</v>
      </c>
      <c r="E36" s="649">
        <v>45108</v>
      </c>
      <c r="F36" s="649">
        <v>45473</v>
      </c>
      <c r="G36" s="647" t="s">
        <v>129</v>
      </c>
      <c r="H36" s="647" t="s">
        <v>113</v>
      </c>
      <c r="I36" s="647" t="s">
        <v>166</v>
      </c>
      <c r="J36" s="652"/>
      <c r="K36" s="620" t="s">
        <v>167</v>
      </c>
    </row>
    <row r="37" spans="1:11">
      <c r="A37" s="647" t="s">
        <v>108</v>
      </c>
      <c r="B37" s="647" t="s">
        <v>208</v>
      </c>
      <c r="C37" s="647" t="s">
        <v>209</v>
      </c>
      <c r="D37" s="648" t="s">
        <v>210</v>
      </c>
      <c r="E37" s="649">
        <v>45047</v>
      </c>
      <c r="F37" s="649">
        <v>45657</v>
      </c>
      <c r="G37" s="647" t="s">
        <v>112</v>
      </c>
      <c r="H37" s="647" t="s">
        <v>143</v>
      </c>
      <c r="I37" s="647" t="s">
        <v>144</v>
      </c>
      <c r="J37" s="652"/>
      <c r="K37" s="620"/>
    </row>
    <row r="38" spans="1:11">
      <c r="A38" s="647" t="s">
        <v>115</v>
      </c>
      <c r="B38" s="647" t="s">
        <v>126</v>
      </c>
      <c r="C38" s="647" t="s">
        <v>211</v>
      </c>
      <c r="D38" s="648" t="s">
        <v>212</v>
      </c>
      <c r="E38" s="649">
        <v>45078</v>
      </c>
      <c r="F38" s="649">
        <v>45351</v>
      </c>
      <c r="G38" s="647" t="s">
        <v>129</v>
      </c>
      <c r="H38" s="647" t="s">
        <v>113</v>
      </c>
      <c r="I38" s="647" t="s">
        <v>114</v>
      </c>
      <c r="J38" s="652"/>
      <c r="K38" s="620" t="s">
        <v>114</v>
      </c>
    </row>
    <row r="39" spans="1:11">
      <c r="A39" s="647" t="s">
        <v>115</v>
      </c>
      <c r="B39" s="647" t="s">
        <v>116</v>
      </c>
      <c r="C39" s="647" t="s">
        <v>213</v>
      </c>
      <c r="D39" s="648" t="s">
        <v>214</v>
      </c>
      <c r="E39" s="649">
        <v>45078</v>
      </c>
      <c r="F39" s="649">
        <v>45412</v>
      </c>
      <c r="G39" s="647" t="s">
        <v>119</v>
      </c>
      <c r="H39" s="647" t="s">
        <v>113</v>
      </c>
      <c r="I39" s="647" t="s">
        <v>114</v>
      </c>
      <c r="J39" s="652"/>
      <c r="K39" s="652" t="s">
        <v>114</v>
      </c>
    </row>
    <row r="40" spans="1:11">
      <c r="A40" s="647" t="s">
        <v>115</v>
      </c>
      <c r="B40" s="647" t="s">
        <v>126</v>
      </c>
      <c r="C40" s="647" t="s">
        <v>215</v>
      </c>
      <c r="D40" s="648" t="s">
        <v>216</v>
      </c>
      <c r="E40" s="649">
        <v>45231</v>
      </c>
      <c r="F40" s="649">
        <v>45382</v>
      </c>
      <c r="G40" s="647" t="s">
        <v>129</v>
      </c>
      <c r="H40" s="647" t="s">
        <v>143</v>
      </c>
      <c r="I40" s="647" t="s">
        <v>144</v>
      </c>
      <c r="J40" s="652"/>
      <c r="K40" s="620"/>
    </row>
    <row r="41" spans="1:11">
      <c r="A41" s="647" t="s">
        <v>115</v>
      </c>
      <c r="B41" s="647" t="s">
        <v>126</v>
      </c>
      <c r="C41" s="647" t="s">
        <v>217</v>
      </c>
      <c r="D41" s="648" t="s">
        <v>218</v>
      </c>
      <c r="E41" s="649">
        <v>45108</v>
      </c>
      <c r="F41" s="649">
        <v>45474</v>
      </c>
      <c r="G41" s="647" t="s">
        <v>129</v>
      </c>
      <c r="H41" s="647" t="s">
        <v>113</v>
      </c>
      <c r="I41" s="647" t="s">
        <v>114</v>
      </c>
      <c r="J41" s="652"/>
      <c r="K41" s="620" t="s">
        <v>114</v>
      </c>
    </row>
    <row r="42" spans="1:11">
      <c r="A42" s="647" t="s">
        <v>115</v>
      </c>
      <c r="B42" s="647" t="s">
        <v>116</v>
      </c>
      <c r="C42" s="647" t="s">
        <v>219</v>
      </c>
      <c r="D42" s="648" t="s">
        <v>220</v>
      </c>
      <c r="E42" s="649">
        <v>45139</v>
      </c>
      <c r="F42" s="649">
        <v>45504</v>
      </c>
      <c r="G42" s="647" t="s">
        <v>142</v>
      </c>
      <c r="H42" s="647" t="s">
        <v>143</v>
      </c>
      <c r="I42" s="647" t="s">
        <v>144</v>
      </c>
      <c r="J42" s="652"/>
      <c r="K42" s="620" t="s">
        <v>221</v>
      </c>
    </row>
    <row r="43" spans="1:11">
      <c r="A43" s="647" t="s">
        <v>115</v>
      </c>
      <c r="B43" s="647" t="s">
        <v>116</v>
      </c>
      <c r="C43" s="647" t="s">
        <v>222</v>
      </c>
      <c r="D43" s="648" t="s">
        <v>223</v>
      </c>
      <c r="E43" s="649">
        <v>45139</v>
      </c>
      <c r="F43" s="649">
        <v>45534</v>
      </c>
      <c r="G43" s="647" t="s">
        <v>142</v>
      </c>
      <c r="H43" s="647" t="s">
        <v>143</v>
      </c>
      <c r="I43" s="647" t="s">
        <v>144</v>
      </c>
      <c r="J43" s="652"/>
      <c r="K43" s="620"/>
    </row>
    <row r="44" spans="1:11">
      <c r="A44" s="647" t="s">
        <v>132</v>
      </c>
      <c r="B44" s="647" t="s">
        <v>192</v>
      </c>
      <c r="C44" s="647" t="s">
        <v>224</v>
      </c>
      <c r="D44" s="648" t="s">
        <v>225</v>
      </c>
      <c r="E44" s="649">
        <v>45170</v>
      </c>
      <c r="F44" s="649">
        <v>45351</v>
      </c>
      <c r="G44" s="647" t="s">
        <v>112</v>
      </c>
      <c r="H44" s="647" t="s">
        <v>113</v>
      </c>
      <c r="I44" s="647" t="s">
        <v>114</v>
      </c>
      <c r="J44" s="652"/>
      <c r="K44" s="620" t="s">
        <v>199</v>
      </c>
    </row>
    <row r="45" spans="1:11">
      <c r="A45" s="647" t="s">
        <v>132</v>
      </c>
      <c r="B45" s="647" t="s">
        <v>192</v>
      </c>
      <c r="C45" s="647" t="s">
        <v>226</v>
      </c>
      <c r="D45" s="648" t="s">
        <v>227</v>
      </c>
      <c r="E45" s="649">
        <v>45170</v>
      </c>
      <c r="F45" s="649">
        <v>45351</v>
      </c>
      <c r="G45" s="647" t="s">
        <v>112</v>
      </c>
      <c r="H45" s="647" t="s">
        <v>113</v>
      </c>
      <c r="I45" s="647" t="s">
        <v>114</v>
      </c>
      <c r="J45" s="652"/>
      <c r="K45" s="620" t="s">
        <v>199</v>
      </c>
    </row>
    <row r="46" spans="1:11">
      <c r="A46" s="647" t="s">
        <v>132</v>
      </c>
      <c r="B46" s="647" t="s">
        <v>192</v>
      </c>
      <c r="C46" s="647" t="s">
        <v>228</v>
      </c>
      <c r="D46" s="648" t="s">
        <v>229</v>
      </c>
      <c r="E46" s="649">
        <v>45170</v>
      </c>
      <c r="F46" s="649">
        <v>45351</v>
      </c>
      <c r="G46" s="647" t="s">
        <v>112</v>
      </c>
      <c r="H46" s="647" t="s">
        <v>113</v>
      </c>
      <c r="I46" s="647" t="s">
        <v>114</v>
      </c>
      <c r="J46" s="652"/>
      <c r="K46" s="620" t="s">
        <v>199</v>
      </c>
    </row>
    <row r="47" spans="1:11">
      <c r="A47" s="647" t="s">
        <v>132</v>
      </c>
      <c r="B47" s="647" t="s">
        <v>192</v>
      </c>
      <c r="C47" s="647" t="s">
        <v>230</v>
      </c>
      <c r="D47" s="648" t="s">
        <v>231</v>
      </c>
      <c r="E47" s="649">
        <v>45170</v>
      </c>
      <c r="F47" s="649">
        <v>45351</v>
      </c>
      <c r="G47" s="647" t="s">
        <v>112</v>
      </c>
      <c r="H47" s="647" t="s">
        <v>113</v>
      </c>
      <c r="I47" s="647" t="s">
        <v>114</v>
      </c>
      <c r="J47" s="652"/>
      <c r="K47" s="620" t="s">
        <v>199</v>
      </c>
    </row>
    <row r="48" spans="1:11">
      <c r="A48" s="647" t="s">
        <v>115</v>
      </c>
      <c r="B48" s="647" t="s">
        <v>116</v>
      </c>
      <c r="C48" s="647" t="s">
        <v>232</v>
      </c>
      <c r="D48" s="648" t="s">
        <v>233</v>
      </c>
      <c r="E48" s="649">
        <v>45140</v>
      </c>
      <c r="F48" s="649">
        <v>45505</v>
      </c>
      <c r="G48" s="647" t="s">
        <v>142</v>
      </c>
      <c r="H48" s="647" t="s">
        <v>143</v>
      </c>
      <c r="I48" s="647" t="s">
        <v>144</v>
      </c>
      <c r="J48" s="652"/>
      <c r="K48" s="620" t="s">
        <v>221</v>
      </c>
    </row>
    <row r="49" spans="1:11">
      <c r="A49" s="647" t="s">
        <v>115</v>
      </c>
      <c r="B49" s="647" t="s">
        <v>116</v>
      </c>
      <c r="C49" s="647" t="s">
        <v>234</v>
      </c>
      <c r="D49" s="648" t="s">
        <v>235</v>
      </c>
      <c r="E49" s="649">
        <v>45108</v>
      </c>
      <c r="F49" s="649">
        <v>45473</v>
      </c>
      <c r="G49" s="647" t="s">
        <v>142</v>
      </c>
      <c r="H49" s="647" t="s">
        <v>143</v>
      </c>
      <c r="I49" s="647" t="s">
        <v>144</v>
      </c>
      <c r="J49" s="652"/>
      <c r="K49" s="620" t="s">
        <v>221</v>
      </c>
    </row>
    <row r="50" spans="1:11">
      <c r="A50" s="647" t="s">
        <v>115</v>
      </c>
      <c r="B50" s="647" t="s">
        <v>126</v>
      </c>
      <c r="C50" s="647" t="s">
        <v>236</v>
      </c>
      <c r="D50" s="648" t="s">
        <v>237</v>
      </c>
      <c r="E50" s="649">
        <v>45170</v>
      </c>
      <c r="F50" s="649">
        <v>45869</v>
      </c>
      <c r="G50" s="647" t="s">
        <v>129</v>
      </c>
      <c r="H50" s="647" t="s">
        <v>113</v>
      </c>
      <c r="I50" s="647" t="s">
        <v>166</v>
      </c>
      <c r="J50" s="652"/>
      <c r="K50" s="620" t="s">
        <v>238</v>
      </c>
    </row>
    <row r="51" spans="1:11">
      <c r="A51" s="647" t="s">
        <v>108</v>
      </c>
      <c r="B51" s="647" t="s">
        <v>208</v>
      </c>
      <c r="C51" s="647" t="s">
        <v>239</v>
      </c>
      <c r="D51" s="648" t="s">
        <v>240</v>
      </c>
      <c r="E51" s="649">
        <v>45177</v>
      </c>
      <c r="F51" s="649">
        <v>45329</v>
      </c>
      <c r="G51" s="647" t="s">
        <v>129</v>
      </c>
      <c r="H51" s="647" t="s">
        <v>113</v>
      </c>
      <c r="I51" s="647" t="s">
        <v>144</v>
      </c>
      <c r="J51" s="652"/>
      <c r="K51" s="652"/>
    </row>
    <row r="52" spans="1:11">
      <c r="A52" s="647" t="s">
        <v>115</v>
      </c>
      <c r="B52" s="647" t="s">
        <v>126</v>
      </c>
      <c r="C52" s="647" t="s">
        <v>241</v>
      </c>
      <c r="D52" s="648" t="s">
        <v>242</v>
      </c>
      <c r="E52" s="649">
        <v>45170</v>
      </c>
      <c r="F52" s="649">
        <v>45473</v>
      </c>
      <c r="G52" s="647" t="s">
        <v>129</v>
      </c>
      <c r="H52" s="647" t="s">
        <v>113</v>
      </c>
      <c r="I52" s="647" t="s">
        <v>166</v>
      </c>
      <c r="J52" s="652"/>
      <c r="K52" s="620" t="s">
        <v>243</v>
      </c>
    </row>
    <row r="53" spans="1:11">
      <c r="A53" s="647" t="s">
        <v>151</v>
      </c>
      <c r="B53" s="647" t="s">
        <v>126</v>
      </c>
      <c r="C53" s="647" t="s">
        <v>244</v>
      </c>
      <c r="D53" s="648" t="s">
        <v>245</v>
      </c>
      <c r="E53" s="650">
        <v>45170</v>
      </c>
      <c r="F53" s="650">
        <v>45901</v>
      </c>
      <c r="G53" s="647" t="s">
        <v>129</v>
      </c>
      <c r="H53" s="647" t="s">
        <v>113</v>
      </c>
      <c r="I53" s="647" t="s">
        <v>144</v>
      </c>
      <c r="J53" s="652"/>
      <c r="K53" s="653" t="s">
        <v>246</v>
      </c>
    </row>
    <row r="54" spans="1:11">
      <c r="A54" s="647" t="s">
        <v>115</v>
      </c>
      <c r="B54" s="647" t="s">
        <v>126</v>
      </c>
      <c r="C54" s="647" t="s">
        <v>247</v>
      </c>
      <c r="D54" s="648" t="s">
        <v>248</v>
      </c>
      <c r="E54" s="649">
        <v>45170</v>
      </c>
      <c r="F54" s="649">
        <v>45504</v>
      </c>
      <c r="G54" s="647" t="s">
        <v>129</v>
      </c>
      <c r="H54" s="647" t="s">
        <v>113</v>
      </c>
      <c r="I54" s="654" t="s">
        <v>144</v>
      </c>
      <c r="J54" s="652"/>
      <c r="K54" s="620" t="s">
        <v>249</v>
      </c>
    </row>
    <row r="55" spans="1:11">
      <c r="A55" s="647" t="s">
        <v>108</v>
      </c>
      <c r="B55" s="647" t="s">
        <v>250</v>
      </c>
      <c r="C55" s="647" t="s">
        <v>251</v>
      </c>
      <c r="D55" s="648" t="s">
        <v>252</v>
      </c>
      <c r="E55" s="649">
        <v>45231</v>
      </c>
      <c r="F55" s="649">
        <v>45322</v>
      </c>
      <c r="G55" s="647" t="s">
        <v>112</v>
      </c>
      <c r="H55" s="647" t="s">
        <v>113</v>
      </c>
      <c r="I55" s="654" t="s">
        <v>144</v>
      </c>
      <c r="J55" s="652"/>
      <c r="K55" s="652"/>
    </row>
    <row r="56" spans="1:11">
      <c r="A56" s="647" t="s">
        <v>115</v>
      </c>
      <c r="B56" s="647" t="s">
        <v>126</v>
      </c>
      <c r="C56" s="647" t="s">
        <v>253</v>
      </c>
      <c r="D56" s="648" t="s">
        <v>254</v>
      </c>
      <c r="E56" s="649">
        <v>45195</v>
      </c>
      <c r="F56" s="649">
        <v>45560</v>
      </c>
      <c r="G56" s="647" t="s">
        <v>129</v>
      </c>
      <c r="H56" s="647" t="s">
        <v>113</v>
      </c>
      <c r="I56" s="647" t="s">
        <v>166</v>
      </c>
      <c r="J56" s="652"/>
      <c r="K56" s="620" t="s">
        <v>167</v>
      </c>
    </row>
    <row r="57" spans="1:11">
      <c r="A57" s="647" t="s">
        <v>132</v>
      </c>
      <c r="B57" s="647" t="s">
        <v>192</v>
      </c>
      <c r="C57" s="647" t="s">
        <v>255</v>
      </c>
      <c r="D57" s="648" t="s">
        <v>256</v>
      </c>
      <c r="E57" s="649">
        <v>45170</v>
      </c>
      <c r="F57" s="649">
        <v>45382</v>
      </c>
      <c r="G57" s="647" t="s">
        <v>112</v>
      </c>
      <c r="H57" s="647" t="s">
        <v>113</v>
      </c>
      <c r="I57" s="647" t="s">
        <v>114</v>
      </c>
      <c r="J57" s="652"/>
      <c r="K57" s="620" t="s">
        <v>199</v>
      </c>
    </row>
    <row r="58" spans="1:11">
      <c r="A58" s="647" t="s">
        <v>115</v>
      </c>
      <c r="B58" s="647" t="s">
        <v>126</v>
      </c>
      <c r="C58" s="647" t="s">
        <v>257</v>
      </c>
      <c r="D58" s="648" t="s">
        <v>258</v>
      </c>
      <c r="E58" s="649">
        <v>45200</v>
      </c>
      <c r="F58" s="649">
        <v>45565</v>
      </c>
      <c r="G58" s="647" t="s">
        <v>129</v>
      </c>
      <c r="H58" s="647" t="s">
        <v>113</v>
      </c>
      <c r="I58" s="647" t="s">
        <v>166</v>
      </c>
      <c r="J58" s="652"/>
      <c r="K58" s="620" t="s">
        <v>167</v>
      </c>
    </row>
    <row r="59" spans="1:11">
      <c r="A59" s="647" t="s">
        <v>115</v>
      </c>
      <c r="B59" s="647" t="s">
        <v>126</v>
      </c>
      <c r="C59" s="647" t="s">
        <v>259</v>
      </c>
      <c r="D59" s="648" t="s">
        <v>260</v>
      </c>
      <c r="E59" s="649">
        <v>45108</v>
      </c>
      <c r="F59" s="649">
        <v>45473</v>
      </c>
      <c r="G59" s="647" t="s">
        <v>129</v>
      </c>
      <c r="H59" s="647" t="s">
        <v>143</v>
      </c>
      <c r="I59" s="647" t="s">
        <v>144</v>
      </c>
      <c r="J59" s="652"/>
      <c r="K59" s="620"/>
    </row>
    <row r="60" spans="1:11">
      <c r="A60" s="647" t="s">
        <v>115</v>
      </c>
      <c r="B60" s="647" t="s">
        <v>126</v>
      </c>
      <c r="C60" s="647" t="s">
        <v>261</v>
      </c>
      <c r="D60" s="648" t="s">
        <v>262</v>
      </c>
      <c r="E60" s="649">
        <v>45200</v>
      </c>
      <c r="F60" s="649">
        <v>45657</v>
      </c>
      <c r="G60" s="647" t="s">
        <v>129</v>
      </c>
      <c r="H60" s="647" t="s">
        <v>113</v>
      </c>
      <c r="I60" s="647" t="s">
        <v>166</v>
      </c>
      <c r="J60" s="652"/>
      <c r="K60" s="620" t="s">
        <v>238</v>
      </c>
    </row>
    <row r="61" spans="1:11">
      <c r="A61" s="647" t="s">
        <v>115</v>
      </c>
      <c r="B61" s="647" t="s">
        <v>116</v>
      </c>
      <c r="C61" s="647" t="s">
        <v>263</v>
      </c>
      <c r="D61" s="648" t="s">
        <v>264</v>
      </c>
      <c r="E61" s="649">
        <v>45200</v>
      </c>
      <c r="F61" s="649">
        <v>45627</v>
      </c>
      <c r="G61" s="647" t="s">
        <v>142</v>
      </c>
      <c r="H61" s="647" t="s">
        <v>143</v>
      </c>
      <c r="I61" s="647" t="s">
        <v>144</v>
      </c>
      <c r="J61" s="652"/>
      <c r="K61" s="620" t="s">
        <v>221</v>
      </c>
    </row>
    <row r="62" spans="1:11">
      <c r="A62" s="647" t="s">
        <v>151</v>
      </c>
      <c r="B62" s="647" t="s">
        <v>126</v>
      </c>
      <c r="C62" s="647" t="s">
        <v>265</v>
      </c>
      <c r="D62" s="648" t="s">
        <v>266</v>
      </c>
      <c r="E62" s="649">
        <v>45102</v>
      </c>
      <c r="F62" s="649">
        <v>45322</v>
      </c>
      <c r="G62" s="647" t="s">
        <v>129</v>
      </c>
      <c r="H62" s="647" t="s">
        <v>113</v>
      </c>
      <c r="I62" s="647" t="s">
        <v>114</v>
      </c>
      <c r="J62" s="652"/>
      <c r="K62" s="652"/>
    </row>
    <row r="63" spans="1:11">
      <c r="A63" s="647" t="s">
        <v>115</v>
      </c>
      <c r="B63" s="647" t="s">
        <v>126</v>
      </c>
      <c r="C63" s="647" t="s">
        <v>267</v>
      </c>
      <c r="D63" s="648" t="s">
        <v>268</v>
      </c>
      <c r="E63" s="649">
        <v>45257</v>
      </c>
      <c r="F63" s="649">
        <v>45657</v>
      </c>
      <c r="G63" s="647" t="s">
        <v>129</v>
      </c>
      <c r="H63" s="647" t="s">
        <v>143</v>
      </c>
      <c r="I63" s="647" t="s">
        <v>144</v>
      </c>
      <c r="J63" s="652"/>
      <c r="K63" s="620"/>
    </row>
    <row r="64" spans="1:11">
      <c r="A64" s="647" t="s">
        <v>108</v>
      </c>
      <c r="B64" s="647" t="s">
        <v>161</v>
      </c>
      <c r="C64" s="647" t="s">
        <v>269</v>
      </c>
      <c r="D64" s="648" t="s">
        <v>270</v>
      </c>
      <c r="E64" s="649">
        <v>45239</v>
      </c>
      <c r="F64" s="649">
        <v>45590</v>
      </c>
      <c r="G64" s="647" t="s">
        <v>129</v>
      </c>
      <c r="H64" s="647" t="s">
        <v>143</v>
      </c>
      <c r="I64" s="647" t="s">
        <v>144</v>
      </c>
      <c r="J64" s="652"/>
      <c r="K64" s="620"/>
    </row>
    <row r="65" spans="1:11">
      <c r="A65" s="647" t="s">
        <v>115</v>
      </c>
      <c r="B65" s="647" t="s">
        <v>126</v>
      </c>
      <c r="C65" s="647" t="s">
        <v>271</v>
      </c>
      <c r="D65" s="648" t="s">
        <v>272</v>
      </c>
      <c r="E65" s="649">
        <v>45261</v>
      </c>
      <c r="F65" s="649">
        <v>45657</v>
      </c>
      <c r="G65" s="647" t="s">
        <v>129</v>
      </c>
      <c r="H65" s="647" t="s">
        <v>143</v>
      </c>
      <c r="I65" s="647" t="s">
        <v>144</v>
      </c>
      <c r="J65" s="652"/>
      <c r="K65" s="620"/>
    </row>
    <row r="66" spans="1:11">
      <c r="A66" s="647" t="s">
        <v>115</v>
      </c>
      <c r="B66" s="647" t="s">
        <v>116</v>
      </c>
      <c r="C66" s="647" t="s">
        <v>273</v>
      </c>
      <c r="D66" s="648" t="s">
        <v>274</v>
      </c>
      <c r="E66" s="649">
        <v>45261</v>
      </c>
      <c r="F66" s="649">
        <v>45657</v>
      </c>
      <c r="G66" s="647" t="s">
        <v>142</v>
      </c>
      <c r="H66" s="647" t="s">
        <v>143</v>
      </c>
      <c r="I66" s="647" t="s">
        <v>144</v>
      </c>
      <c r="J66" s="652"/>
      <c r="K66" s="620" t="s">
        <v>221</v>
      </c>
    </row>
    <row r="67" spans="1:11">
      <c r="A67" s="647" t="s">
        <v>115</v>
      </c>
      <c r="B67" s="647" t="s">
        <v>116</v>
      </c>
      <c r="C67" s="647" t="s">
        <v>275</v>
      </c>
      <c r="D67" s="648" t="s">
        <v>276</v>
      </c>
      <c r="E67" s="649">
        <v>45261</v>
      </c>
      <c r="F67" s="649">
        <v>45627</v>
      </c>
      <c r="G67" s="647" t="s">
        <v>142</v>
      </c>
      <c r="H67" s="647" t="s">
        <v>143</v>
      </c>
      <c r="I67" s="647" t="s">
        <v>144</v>
      </c>
      <c r="J67" s="652"/>
      <c r="K67" s="620" t="s">
        <v>221</v>
      </c>
    </row>
    <row r="68" spans="1:11">
      <c r="A68" s="647" t="s">
        <v>115</v>
      </c>
      <c r="B68" s="647" t="s">
        <v>126</v>
      </c>
      <c r="C68" s="647" t="s">
        <v>277</v>
      </c>
      <c r="D68" s="648" t="s">
        <v>278</v>
      </c>
      <c r="E68" s="649">
        <v>45292</v>
      </c>
      <c r="F68" s="649">
        <v>45565</v>
      </c>
      <c r="G68" s="647" t="s">
        <v>129</v>
      </c>
      <c r="H68" s="647" t="s">
        <v>113</v>
      </c>
      <c r="I68" s="647" t="s">
        <v>114</v>
      </c>
      <c r="J68" s="652"/>
      <c r="K68" s="620" t="s">
        <v>279</v>
      </c>
    </row>
    <row r="69" spans="1:11">
      <c r="A69" s="647" t="s">
        <v>115</v>
      </c>
      <c r="B69" s="647" t="s">
        <v>126</v>
      </c>
      <c r="C69" s="647" t="s">
        <v>280</v>
      </c>
      <c r="D69" s="648" t="s">
        <v>281</v>
      </c>
      <c r="E69" s="649">
        <v>45292</v>
      </c>
      <c r="F69" s="649">
        <v>45657</v>
      </c>
      <c r="G69" s="647" t="s">
        <v>129</v>
      </c>
      <c r="H69" s="647" t="s">
        <v>143</v>
      </c>
      <c r="I69" s="647" t="s">
        <v>144</v>
      </c>
      <c r="J69" s="652"/>
      <c r="K69" s="620"/>
    </row>
    <row r="70" spans="1:11">
      <c r="A70" s="647" t="s">
        <v>108</v>
      </c>
      <c r="B70" s="647" t="s">
        <v>109</v>
      </c>
      <c r="C70" s="647" t="s">
        <v>282</v>
      </c>
      <c r="D70" s="648" t="s">
        <v>283</v>
      </c>
      <c r="E70" s="649">
        <v>45275</v>
      </c>
      <c r="F70" s="649">
        <v>45657</v>
      </c>
      <c r="G70" s="647" t="s">
        <v>112</v>
      </c>
      <c r="H70" s="647" t="s">
        <v>143</v>
      </c>
      <c r="I70" s="647" t="s">
        <v>144</v>
      </c>
      <c r="J70" s="652"/>
      <c r="K70" s="620"/>
    </row>
    <row r="71" spans="1:11">
      <c r="A71" s="647" t="s">
        <v>115</v>
      </c>
      <c r="B71" s="647" t="s">
        <v>126</v>
      </c>
      <c r="C71" s="647" t="s">
        <v>284</v>
      </c>
      <c r="D71" s="648" t="s">
        <v>285</v>
      </c>
      <c r="E71" s="649">
        <v>45292</v>
      </c>
      <c r="F71" s="649">
        <v>45658</v>
      </c>
      <c r="G71" s="647" t="s">
        <v>129</v>
      </c>
      <c r="H71" s="647" t="s">
        <v>143</v>
      </c>
      <c r="I71" s="647" t="s">
        <v>144</v>
      </c>
      <c r="J71" s="652"/>
      <c r="K71" s="620"/>
    </row>
    <row r="72" spans="1:11">
      <c r="A72" s="647" t="s">
        <v>115</v>
      </c>
      <c r="B72" s="647" t="s">
        <v>126</v>
      </c>
      <c r="C72" s="647" t="s">
        <v>286</v>
      </c>
      <c r="D72" s="648" t="s">
        <v>287</v>
      </c>
      <c r="E72" s="649">
        <v>45292</v>
      </c>
      <c r="F72" s="649">
        <v>45838</v>
      </c>
      <c r="G72" s="647" t="s">
        <v>129</v>
      </c>
      <c r="H72" s="654" t="s">
        <v>113</v>
      </c>
      <c r="I72" s="647" t="s">
        <v>144</v>
      </c>
      <c r="J72" s="652"/>
      <c r="K72" s="620" t="s">
        <v>288</v>
      </c>
    </row>
    <row r="73" spans="1:11">
      <c r="A73" s="647" t="s">
        <v>115</v>
      </c>
      <c r="B73" s="647" t="s">
        <v>116</v>
      </c>
      <c r="C73" s="647" t="s">
        <v>289</v>
      </c>
      <c r="D73" s="648" t="s">
        <v>290</v>
      </c>
      <c r="E73" s="649">
        <v>45322</v>
      </c>
      <c r="F73" s="649">
        <v>45716</v>
      </c>
      <c r="G73" s="647" t="s">
        <v>142</v>
      </c>
      <c r="H73" s="647" t="s">
        <v>143</v>
      </c>
      <c r="I73" s="647" t="s">
        <v>144</v>
      </c>
      <c r="J73" s="652"/>
      <c r="K73" s="620" t="s">
        <v>221</v>
      </c>
    </row>
    <row r="74" spans="1:11">
      <c r="A74" s="647" t="s">
        <v>291</v>
      </c>
      <c r="B74" s="647" t="s">
        <v>292</v>
      </c>
      <c r="C74" s="647" t="s">
        <v>293</v>
      </c>
      <c r="D74" s="648" t="s">
        <v>294</v>
      </c>
      <c r="E74" s="649">
        <v>45299</v>
      </c>
      <c r="F74" s="649">
        <v>45473</v>
      </c>
      <c r="G74" s="647" t="s">
        <v>129</v>
      </c>
      <c r="H74" s="647" t="s">
        <v>143</v>
      </c>
      <c r="I74" s="647" t="s">
        <v>144</v>
      </c>
      <c r="J74" s="652"/>
      <c r="K74" s="652"/>
    </row>
    <row r="75" spans="1:11">
      <c r="A75" s="647" t="s">
        <v>115</v>
      </c>
      <c r="B75" s="647" t="s">
        <v>116</v>
      </c>
      <c r="C75" s="647" t="s">
        <v>295</v>
      </c>
      <c r="D75" s="648" t="s">
        <v>296</v>
      </c>
      <c r="E75" s="649">
        <v>45292</v>
      </c>
      <c r="F75" s="649">
        <v>45657</v>
      </c>
      <c r="G75" s="647" t="s">
        <v>142</v>
      </c>
      <c r="H75" s="647" t="s">
        <v>143</v>
      </c>
      <c r="I75" s="647" t="s">
        <v>144</v>
      </c>
      <c r="J75" s="652"/>
      <c r="K75" s="620" t="s">
        <v>221</v>
      </c>
    </row>
    <row r="76" spans="1:11">
      <c r="A76" s="647" t="s">
        <v>132</v>
      </c>
      <c r="B76" s="647" t="s">
        <v>192</v>
      </c>
      <c r="C76" s="647" t="s">
        <v>297</v>
      </c>
      <c r="D76" s="648" t="s">
        <v>298</v>
      </c>
      <c r="E76" s="649">
        <v>45292</v>
      </c>
      <c r="F76" s="649">
        <v>45657</v>
      </c>
      <c r="G76" s="647" t="s">
        <v>129</v>
      </c>
      <c r="H76" s="647" t="s">
        <v>143</v>
      </c>
      <c r="I76" s="647" t="s">
        <v>144</v>
      </c>
      <c r="J76" s="652"/>
      <c r="K76" s="620"/>
    </row>
    <row r="77" spans="1:11">
      <c r="A77" s="647" t="s">
        <v>115</v>
      </c>
      <c r="B77" s="647" t="s">
        <v>116</v>
      </c>
      <c r="C77" s="647" t="s">
        <v>299</v>
      </c>
      <c r="D77" s="648" t="s">
        <v>300</v>
      </c>
      <c r="E77" s="649">
        <v>45292</v>
      </c>
      <c r="F77" s="649">
        <v>45443</v>
      </c>
      <c r="G77" s="647" t="s">
        <v>119</v>
      </c>
      <c r="H77" s="647" t="s">
        <v>143</v>
      </c>
      <c r="I77" s="647" t="s">
        <v>144</v>
      </c>
      <c r="J77" s="652"/>
      <c r="K77" s="620"/>
    </row>
    <row r="78" spans="1:11">
      <c r="A78" s="647" t="s">
        <v>132</v>
      </c>
      <c r="B78" s="647" t="s">
        <v>192</v>
      </c>
      <c r="C78" s="647" t="s">
        <v>301</v>
      </c>
      <c r="D78" s="648" t="s">
        <v>302</v>
      </c>
      <c r="E78" s="649">
        <v>45231</v>
      </c>
      <c r="F78" s="649">
        <v>45322</v>
      </c>
      <c r="G78" s="647" t="s">
        <v>112</v>
      </c>
      <c r="H78" s="647" t="s">
        <v>113</v>
      </c>
      <c r="I78" s="647" t="s">
        <v>114</v>
      </c>
      <c r="J78" s="652"/>
      <c r="K78" s="620" t="s">
        <v>114</v>
      </c>
    </row>
    <row r="79" spans="1:11">
      <c r="A79" s="647" t="s">
        <v>115</v>
      </c>
      <c r="B79" s="647" t="s">
        <v>126</v>
      </c>
      <c r="C79" s="647" t="s">
        <v>303</v>
      </c>
      <c r="D79" s="648" t="s">
        <v>304</v>
      </c>
      <c r="E79" s="649">
        <v>45313</v>
      </c>
      <c r="F79" s="649">
        <v>46071</v>
      </c>
      <c r="G79" s="647" t="s">
        <v>129</v>
      </c>
      <c r="H79" s="647" t="s">
        <v>113</v>
      </c>
      <c r="I79" s="647" t="s">
        <v>144</v>
      </c>
      <c r="J79" s="652"/>
      <c r="K79" s="620" t="s">
        <v>305</v>
      </c>
    </row>
    <row r="80" spans="1:11">
      <c r="A80" s="647" t="s">
        <v>132</v>
      </c>
      <c r="B80" s="647" t="s">
        <v>192</v>
      </c>
      <c r="C80" s="647" t="s">
        <v>306</v>
      </c>
      <c r="D80" s="648" t="s">
        <v>307</v>
      </c>
      <c r="E80" s="649">
        <v>45292</v>
      </c>
      <c r="F80" s="649">
        <v>45657</v>
      </c>
      <c r="G80" s="647" t="s">
        <v>112</v>
      </c>
      <c r="H80" s="647" t="s">
        <v>143</v>
      </c>
      <c r="I80" s="647" t="s">
        <v>144</v>
      </c>
      <c r="J80" s="652"/>
      <c r="K80" s="620"/>
    </row>
    <row r="81" spans="1:11">
      <c r="A81" s="647" t="s">
        <v>115</v>
      </c>
      <c r="B81" s="647" t="s">
        <v>116</v>
      </c>
      <c r="C81" s="647" t="s">
        <v>308</v>
      </c>
      <c r="D81" s="648" t="s">
        <v>309</v>
      </c>
      <c r="E81" s="649">
        <v>45323</v>
      </c>
      <c r="F81" s="649">
        <v>45688</v>
      </c>
      <c r="G81" s="647" t="s">
        <v>119</v>
      </c>
      <c r="H81" s="647" t="s">
        <v>143</v>
      </c>
      <c r="I81" s="647" t="s">
        <v>144</v>
      </c>
      <c r="J81" s="652"/>
      <c r="K81" s="620"/>
    </row>
    <row r="82" spans="1:11">
      <c r="A82" s="647" t="s">
        <v>115</v>
      </c>
      <c r="B82" s="647" t="s">
        <v>126</v>
      </c>
      <c r="C82" s="647" t="s">
        <v>310</v>
      </c>
      <c r="D82" s="648" t="s">
        <v>311</v>
      </c>
      <c r="E82" s="649">
        <v>45383</v>
      </c>
      <c r="F82" s="649">
        <v>45838</v>
      </c>
      <c r="G82" s="647" t="s">
        <v>129</v>
      </c>
      <c r="H82" s="647" t="s">
        <v>113</v>
      </c>
      <c r="I82" s="647" t="s">
        <v>144</v>
      </c>
      <c r="J82" s="652"/>
      <c r="K82" s="620" t="s">
        <v>312</v>
      </c>
    </row>
    <row r="83" spans="1:11">
      <c r="A83" s="647" t="s">
        <v>132</v>
      </c>
      <c r="B83" s="647" t="s">
        <v>192</v>
      </c>
      <c r="C83" s="647" t="s">
        <v>313</v>
      </c>
      <c r="D83" s="648" t="s">
        <v>314</v>
      </c>
      <c r="E83" s="649">
        <v>45352</v>
      </c>
      <c r="F83" s="649">
        <v>45535</v>
      </c>
      <c r="G83" s="647" t="s">
        <v>129</v>
      </c>
      <c r="H83" s="647" t="s">
        <v>143</v>
      </c>
      <c r="I83" s="647" t="s">
        <v>144</v>
      </c>
      <c r="J83" s="652"/>
      <c r="K83" s="620"/>
    </row>
    <row r="84" spans="1:11">
      <c r="A84" s="647" t="s">
        <v>108</v>
      </c>
      <c r="B84" s="647" t="s">
        <v>161</v>
      </c>
      <c r="C84" s="647" t="s">
        <v>315</v>
      </c>
      <c r="D84" s="648" t="s">
        <v>316</v>
      </c>
      <c r="E84" s="649">
        <v>45359</v>
      </c>
      <c r="F84" s="649">
        <v>45765</v>
      </c>
      <c r="G84" s="647" t="s">
        <v>129</v>
      </c>
      <c r="H84" s="647" t="s">
        <v>143</v>
      </c>
      <c r="I84" s="647" t="s">
        <v>144</v>
      </c>
      <c r="J84" s="652"/>
      <c r="K84" s="620"/>
    </row>
    <row r="85" spans="1:11">
      <c r="A85" s="647" t="s">
        <v>115</v>
      </c>
      <c r="B85" s="647" t="s">
        <v>126</v>
      </c>
      <c r="C85" s="647" t="s">
        <v>317</v>
      </c>
      <c r="D85" s="648" t="s">
        <v>318</v>
      </c>
      <c r="E85" s="649">
        <v>45371</v>
      </c>
      <c r="F85" s="649">
        <v>45657</v>
      </c>
      <c r="G85" s="647" t="s">
        <v>129</v>
      </c>
      <c r="H85" s="647" t="s">
        <v>143</v>
      </c>
      <c r="I85" s="647" t="s">
        <v>144</v>
      </c>
      <c r="J85" s="652"/>
      <c r="K85" s="620"/>
    </row>
    <row r="86" spans="1:11">
      <c r="A86" s="647" t="s">
        <v>115</v>
      </c>
      <c r="B86" s="647" t="s">
        <v>116</v>
      </c>
      <c r="C86" s="647" t="s">
        <v>319</v>
      </c>
      <c r="D86" s="648" t="s">
        <v>320</v>
      </c>
      <c r="E86" s="649">
        <v>45383</v>
      </c>
      <c r="F86" s="649">
        <v>45716</v>
      </c>
      <c r="G86" s="647" t="s">
        <v>142</v>
      </c>
      <c r="H86" s="647" t="s">
        <v>143</v>
      </c>
      <c r="I86" s="647" t="s">
        <v>144</v>
      </c>
      <c r="J86" s="652"/>
      <c r="K86" s="652" t="s">
        <v>221</v>
      </c>
    </row>
    <row r="87" spans="1:11">
      <c r="A87" s="647" t="s">
        <v>115</v>
      </c>
      <c r="B87" s="647" t="s">
        <v>126</v>
      </c>
      <c r="C87" s="647" t="s">
        <v>321</v>
      </c>
      <c r="D87" s="648" t="s">
        <v>322</v>
      </c>
      <c r="E87" s="649">
        <v>45383</v>
      </c>
      <c r="F87" s="649">
        <v>45747</v>
      </c>
      <c r="G87" s="647" t="s">
        <v>129</v>
      </c>
      <c r="H87" s="647" t="s">
        <v>143</v>
      </c>
      <c r="I87" s="647" t="s">
        <v>144</v>
      </c>
      <c r="J87" s="652"/>
      <c r="K87" s="620"/>
    </row>
    <row r="88" spans="1:11">
      <c r="A88" s="647" t="s">
        <v>115</v>
      </c>
      <c r="B88" s="647" t="s">
        <v>126</v>
      </c>
      <c r="C88" s="647" t="s">
        <v>323</v>
      </c>
      <c r="D88" s="648" t="s">
        <v>324</v>
      </c>
      <c r="E88" s="649">
        <v>45383</v>
      </c>
      <c r="F88" s="649">
        <v>45747</v>
      </c>
      <c r="G88" s="647" t="s">
        <v>129</v>
      </c>
      <c r="H88" s="647" t="s">
        <v>143</v>
      </c>
      <c r="I88" s="647" t="s">
        <v>144</v>
      </c>
      <c r="J88" s="652"/>
      <c r="K88" s="620"/>
    </row>
    <row r="89" spans="1:11">
      <c r="A89" s="647" t="s">
        <v>108</v>
      </c>
      <c r="B89" s="647" t="s">
        <v>325</v>
      </c>
      <c r="C89" s="647" t="s">
        <v>326</v>
      </c>
      <c r="D89" s="648" t="s">
        <v>327</v>
      </c>
      <c r="E89" s="649">
        <v>45356</v>
      </c>
      <c r="F89" s="649">
        <v>45418</v>
      </c>
      <c r="G89" s="647" t="s">
        <v>112</v>
      </c>
      <c r="H89" s="647" t="s">
        <v>113</v>
      </c>
      <c r="I89" s="647" t="s">
        <v>114</v>
      </c>
      <c r="J89" s="652"/>
      <c r="K89" s="620" t="s">
        <v>114</v>
      </c>
    </row>
    <row r="90" spans="1:11">
      <c r="A90" s="647" t="s">
        <v>108</v>
      </c>
      <c r="B90" s="647" t="s">
        <v>109</v>
      </c>
      <c r="C90" s="647" t="s">
        <v>328</v>
      </c>
      <c r="D90" s="648" t="s">
        <v>329</v>
      </c>
      <c r="E90" s="649">
        <v>45413</v>
      </c>
      <c r="F90" s="649">
        <v>45657</v>
      </c>
      <c r="G90" s="647" t="s">
        <v>112</v>
      </c>
      <c r="H90" s="647" t="s">
        <v>143</v>
      </c>
      <c r="I90" s="647" t="s">
        <v>144</v>
      </c>
      <c r="J90" s="652"/>
      <c r="K90" s="652"/>
    </row>
    <row r="91" spans="1:11">
      <c r="A91" s="647" t="s">
        <v>115</v>
      </c>
      <c r="B91" s="647" t="s">
        <v>126</v>
      </c>
      <c r="C91" s="647" t="s">
        <v>330</v>
      </c>
      <c r="D91" s="648" t="s">
        <v>331</v>
      </c>
      <c r="E91" s="649">
        <v>45444</v>
      </c>
      <c r="F91" s="649">
        <v>45535</v>
      </c>
      <c r="G91" s="647" t="s">
        <v>129</v>
      </c>
      <c r="H91" s="647" t="s">
        <v>143</v>
      </c>
      <c r="I91" s="647" t="s">
        <v>144</v>
      </c>
      <c r="J91" s="652"/>
      <c r="K91" s="652"/>
    </row>
    <row r="92" spans="1:11">
      <c r="A92" s="647" t="s">
        <v>108</v>
      </c>
      <c r="B92" s="647" t="s">
        <v>109</v>
      </c>
      <c r="C92" s="647" t="s">
        <v>332</v>
      </c>
      <c r="D92" s="648" t="s">
        <v>333</v>
      </c>
      <c r="E92" s="649">
        <v>45444</v>
      </c>
      <c r="F92" s="649">
        <v>45535</v>
      </c>
      <c r="G92" s="647" t="s">
        <v>112</v>
      </c>
      <c r="H92" s="647" t="s">
        <v>143</v>
      </c>
      <c r="I92" s="647" t="s">
        <v>144</v>
      </c>
      <c r="J92" s="652"/>
      <c r="K92" s="652"/>
    </row>
    <row r="93" spans="1:11">
      <c r="A93" s="647" t="s">
        <v>108</v>
      </c>
      <c r="B93" s="647" t="s">
        <v>109</v>
      </c>
      <c r="C93" s="647" t="s">
        <v>334</v>
      </c>
      <c r="D93" s="648" t="s">
        <v>335</v>
      </c>
      <c r="E93" s="649">
        <v>45444</v>
      </c>
      <c r="F93" s="649">
        <v>45565</v>
      </c>
      <c r="G93" s="647" t="s">
        <v>112</v>
      </c>
      <c r="H93" s="647" t="s">
        <v>143</v>
      </c>
      <c r="I93" s="647" t="s">
        <v>144</v>
      </c>
      <c r="J93" s="652"/>
      <c r="K93" s="652"/>
    </row>
    <row r="94" spans="1:11">
      <c r="A94" s="647" t="s">
        <v>108</v>
      </c>
      <c r="B94" s="647" t="s">
        <v>109</v>
      </c>
      <c r="C94" s="647" t="s">
        <v>336</v>
      </c>
      <c r="D94" s="648" t="s">
        <v>337</v>
      </c>
      <c r="E94" s="649">
        <v>45444</v>
      </c>
      <c r="F94" s="649">
        <v>45565</v>
      </c>
      <c r="G94" s="647" t="s">
        <v>112</v>
      </c>
      <c r="H94" s="647" t="s">
        <v>113</v>
      </c>
      <c r="I94" s="647" t="s">
        <v>114</v>
      </c>
      <c r="J94" s="652"/>
      <c r="K94" s="652" t="s">
        <v>114</v>
      </c>
    </row>
    <row r="95" spans="1:11">
      <c r="A95" s="647" t="s">
        <v>115</v>
      </c>
      <c r="B95" s="647" t="s">
        <v>116</v>
      </c>
      <c r="C95" s="647" t="s">
        <v>338</v>
      </c>
      <c r="D95" s="648" t="s">
        <v>339</v>
      </c>
      <c r="E95" s="649">
        <v>45456</v>
      </c>
      <c r="F95" s="649">
        <v>45820</v>
      </c>
      <c r="G95" s="647" t="s">
        <v>142</v>
      </c>
      <c r="H95" s="647" t="s">
        <v>113</v>
      </c>
      <c r="I95" s="647" t="s">
        <v>114</v>
      </c>
      <c r="J95" s="652"/>
      <c r="K95" s="652" t="s">
        <v>114</v>
      </c>
    </row>
    <row r="96" spans="1:11">
      <c r="A96" s="547" t="s">
        <v>132</v>
      </c>
      <c r="B96" s="547" t="s">
        <v>133</v>
      </c>
      <c r="C96" s="547" t="s">
        <v>340</v>
      </c>
      <c r="D96" s="648" t="s">
        <v>341</v>
      </c>
      <c r="E96" s="649">
        <v>45097</v>
      </c>
      <c r="F96" s="649">
        <v>46923</v>
      </c>
      <c r="G96" s="654" t="s">
        <v>129</v>
      </c>
      <c r="H96" s="654" t="s">
        <v>113</v>
      </c>
      <c r="I96" s="654" t="s">
        <v>144</v>
      </c>
      <c r="J96" s="652"/>
      <c r="K96" s="652" t="s">
        <v>342</v>
      </c>
    </row>
    <row r="97" spans="1:11">
      <c r="A97" s="547" t="s">
        <v>115</v>
      </c>
      <c r="B97" s="547" t="s">
        <v>116</v>
      </c>
      <c r="C97" s="547" t="s">
        <v>343</v>
      </c>
      <c r="D97" s="648" t="s">
        <v>344</v>
      </c>
      <c r="E97" s="649">
        <v>45474</v>
      </c>
      <c r="F97" s="649">
        <v>45565</v>
      </c>
      <c r="G97" s="654" t="s">
        <v>119</v>
      </c>
      <c r="H97" s="654" t="s">
        <v>113</v>
      </c>
      <c r="I97" s="647" t="s">
        <v>114</v>
      </c>
      <c r="J97" s="652"/>
      <c r="K97" s="659" t="s">
        <v>345</v>
      </c>
    </row>
    <row r="98" spans="1:11">
      <c r="A98" s="547" t="s">
        <v>115</v>
      </c>
      <c r="B98" s="547" t="s">
        <v>126</v>
      </c>
      <c r="C98" s="547" t="s">
        <v>346</v>
      </c>
      <c r="D98" s="648" t="s">
        <v>347</v>
      </c>
      <c r="E98" s="649">
        <v>45474</v>
      </c>
      <c r="F98" s="649">
        <v>45838</v>
      </c>
      <c r="G98" s="654" t="s">
        <v>129</v>
      </c>
      <c r="H98" s="654" t="s">
        <v>143</v>
      </c>
      <c r="I98" s="647" t="s">
        <v>144</v>
      </c>
      <c r="J98" s="652"/>
      <c r="K98" s="659"/>
    </row>
    <row r="99" spans="1:11">
      <c r="A99" s="547" t="s">
        <v>115</v>
      </c>
      <c r="B99" s="547" t="s">
        <v>126</v>
      </c>
      <c r="C99" s="547" t="s">
        <v>348</v>
      </c>
      <c r="D99" s="648" t="s">
        <v>349</v>
      </c>
      <c r="E99" s="649">
        <v>45474</v>
      </c>
      <c r="F99" s="649">
        <v>45657</v>
      </c>
      <c r="G99" s="654" t="s">
        <v>129</v>
      </c>
      <c r="H99" s="654" t="s">
        <v>143</v>
      </c>
      <c r="I99" s="647" t="s">
        <v>144</v>
      </c>
      <c r="J99" s="652"/>
      <c r="K99" s="659"/>
    </row>
    <row r="100" spans="1:11">
      <c r="A100" s="547" t="s">
        <v>108</v>
      </c>
      <c r="B100" s="547" t="s">
        <v>109</v>
      </c>
      <c r="C100" s="547" t="s">
        <v>350</v>
      </c>
      <c r="D100" s="648" t="s">
        <v>351</v>
      </c>
      <c r="E100" s="649">
        <v>45488</v>
      </c>
      <c r="F100" s="649">
        <v>45596</v>
      </c>
      <c r="G100" s="654" t="s">
        <v>112</v>
      </c>
      <c r="H100" s="654" t="s">
        <v>113</v>
      </c>
      <c r="I100" s="647" t="s">
        <v>144</v>
      </c>
      <c r="J100" s="652"/>
      <c r="K100" s="659" t="s">
        <v>352</v>
      </c>
    </row>
    <row r="101" spans="1:11">
      <c r="A101" s="547" t="s">
        <v>108</v>
      </c>
      <c r="B101" s="547" t="s">
        <v>109</v>
      </c>
      <c r="C101" s="547" t="s">
        <v>353</v>
      </c>
      <c r="D101" s="648" t="s">
        <v>354</v>
      </c>
      <c r="E101" s="649">
        <v>45474</v>
      </c>
      <c r="F101" s="649">
        <v>45504</v>
      </c>
      <c r="G101" s="654" t="s">
        <v>112</v>
      </c>
      <c r="H101" s="654" t="s">
        <v>113</v>
      </c>
      <c r="I101" s="647" t="s">
        <v>114</v>
      </c>
      <c r="J101" s="652"/>
      <c r="K101" s="659" t="s">
        <v>355</v>
      </c>
    </row>
    <row r="102" spans="1:11">
      <c r="A102" s="547" t="s">
        <v>108</v>
      </c>
      <c r="B102" s="547" t="s">
        <v>109</v>
      </c>
      <c r="C102" s="547" t="s">
        <v>356</v>
      </c>
      <c r="D102" s="648" t="s">
        <v>357</v>
      </c>
      <c r="E102" s="649">
        <v>45474</v>
      </c>
      <c r="F102" s="649">
        <v>45657</v>
      </c>
      <c r="G102" s="654" t="s">
        <v>112</v>
      </c>
      <c r="H102" s="654" t="s">
        <v>113</v>
      </c>
      <c r="I102" s="654" t="s">
        <v>144</v>
      </c>
      <c r="J102" s="652"/>
      <c r="K102" s="659" t="s">
        <v>358</v>
      </c>
    </row>
    <row r="103" spans="1:11">
      <c r="A103" s="547" t="s">
        <v>108</v>
      </c>
      <c r="B103" s="547" t="s">
        <v>325</v>
      </c>
      <c r="C103" s="547" t="s">
        <v>359</v>
      </c>
      <c r="D103" s="648" t="s">
        <v>360</v>
      </c>
      <c r="E103" s="649">
        <v>45413</v>
      </c>
      <c r="F103" s="649">
        <v>45657</v>
      </c>
      <c r="G103" s="654" t="s">
        <v>112</v>
      </c>
      <c r="H103" s="654" t="s">
        <v>113</v>
      </c>
      <c r="I103" s="654" t="s">
        <v>144</v>
      </c>
      <c r="J103" s="652"/>
      <c r="K103" s="659" t="s">
        <v>361</v>
      </c>
    </row>
    <row r="104" ht="14.25" customHeight="1" spans="1:11">
      <c r="A104" s="547" t="s">
        <v>362</v>
      </c>
      <c r="B104" s="547" t="s">
        <v>363</v>
      </c>
      <c r="C104" s="547" t="s">
        <v>364</v>
      </c>
      <c r="D104" s="648" t="s">
        <v>365</v>
      </c>
      <c r="E104" s="649">
        <v>45448</v>
      </c>
      <c r="F104" s="649">
        <v>45536</v>
      </c>
      <c r="G104" s="655" t="s">
        <v>119</v>
      </c>
      <c r="H104" s="654" t="s">
        <v>113</v>
      </c>
      <c r="I104" s="647" t="s">
        <v>114</v>
      </c>
      <c r="J104" s="652"/>
      <c r="K104" s="659" t="s">
        <v>366</v>
      </c>
    </row>
    <row r="105" ht="14.25" customHeight="1" spans="1:11">
      <c r="A105" s="547" t="s">
        <v>108</v>
      </c>
      <c r="B105" s="547" t="s">
        <v>325</v>
      </c>
      <c r="C105" s="547" t="s">
        <v>367</v>
      </c>
      <c r="D105" s="648" t="s">
        <v>368</v>
      </c>
      <c r="E105" s="649">
        <v>45444</v>
      </c>
      <c r="F105" s="649">
        <v>46053</v>
      </c>
      <c r="G105" s="655" t="s">
        <v>129</v>
      </c>
      <c r="H105" s="654" t="s">
        <v>143</v>
      </c>
      <c r="I105" s="647" t="s">
        <v>144</v>
      </c>
      <c r="J105" s="652"/>
      <c r="K105" s="659"/>
    </row>
    <row r="106" ht="14.25" customHeight="1" spans="1:11">
      <c r="A106" s="547" t="s">
        <v>115</v>
      </c>
      <c r="B106" s="547" t="s">
        <v>126</v>
      </c>
      <c r="C106" s="547" t="s">
        <v>369</v>
      </c>
      <c r="D106" s="648" t="s">
        <v>370</v>
      </c>
      <c r="E106" s="649">
        <v>45505</v>
      </c>
      <c r="F106" s="649">
        <v>45596</v>
      </c>
      <c r="G106" s="656" t="s">
        <v>129</v>
      </c>
      <c r="H106" s="654" t="s">
        <v>143</v>
      </c>
      <c r="I106" s="647" t="s">
        <v>144</v>
      </c>
      <c r="J106" s="652"/>
      <c r="K106" s="659"/>
    </row>
    <row r="107" ht="14.25" customHeight="1" spans="1:11">
      <c r="A107" s="547" t="s">
        <v>115</v>
      </c>
      <c r="B107" s="547" t="s">
        <v>126</v>
      </c>
      <c r="C107" s="547" t="s">
        <v>371</v>
      </c>
      <c r="D107" s="648" t="s">
        <v>372</v>
      </c>
      <c r="E107" s="649">
        <v>45536</v>
      </c>
      <c r="F107" s="649">
        <v>45900</v>
      </c>
      <c r="G107" s="655" t="s">
        <v>129</v>
      </c>
      <c r="H107" s="654" t="s">
        <v>143</v>
      </c>
      <c r="I107" s="647" t="s">
        <v>144</v>
      </c>
      <c r="J107" s="652"/>
      <c r="K107" s="659"/>
    </row>
    <row r="108" ht="14.25" customHeight="1" spans="1:11">
      <c r="A108" s="547" t="s">
        <v>115</v>
      </c>
      <c r="B108" s="547" t="s">
        <v>116</v>
      </c>
      <c r="C108" s="547" t="s">
        <v>373</v>
      </c>
      <c r="D108" s="648" t="s">
        <v>374</v>
      </c>
      <c r="E108" s="649">
        <v>45444</v>
      </c>
      <c r="F108" s="649">
        <v>45535</v>
      </c>
      <c r="G108" s="655" t="s">
        <v>119</v>
      </c>
      <c r="H108" s="654" t="s">
        <v>113</v>
      </c>
      <c r="I108" s="647" t="s">
        <v>114</v>
      </c>
      <c r="J108" s="652"/>
      <c r="K108" s="659" t="s">
        <v>345</v>
      </c>
    </row>
    <row r="109" ht="14.25" customHeight="1" spans="1:11">
      <c r="A109" s="547" t="s">
        <v>132</v>
      </c>
      <c r="B109" s="547" t="s">
        <v>133</v>
      </c>
      <c r="C109" s="547" t="s">
        <v>375</v>
      </c>
      <c r="D109" s="648" t="s">
        <v>376</v>
      </c>
      <c r="E109" s="649">
        <v>45478</v>
      </c>
      <c r="F109" s="649">
        <v>45535</v>
      </c>
      <c r="G109" s="655" t="s">
        <v>377</v>
      </c>
      <c r="H109" s="654" t="s">
        <v>113</v>
      </c>
      <c r="I109" s="647" t="s">
        <v>114</v>
      </c>
      <c r="J109" s="652"/>
      <c r="K109" s="659" t="s">
        <v>345</v>
      </c>
    </row>
    <row r="110" ht="14.25" customHeight="1" spans="1:11">
      <c r="A110" s="547" t="s">
        <v>132</v>
      </c>
      <c r="B110" s="547" t="s">
        <v>133</v>
      </c>
      <c r="C110" s="547" t="s">
        <v>378</v>
      </c>
      <c r="D110" s="648" t="s">
        <v>379</v>
      </c>
      <c r="E110" s="649">
        <v>45519</v>
      </c>
      <c r="F110" s="649">
        <v>45535</v>
      </c>
      <c r="G110" s="655" t="s">
        <v>377</v>
      </c>
      <c r="H110" s="654" t="s">
        <v>113</v>
      </c>
      <c r="I110" s="647" t="s">
        <v>114</v>
      </c>
      <c r="J110" s="652"/>
      <c r="K110" s="659" t="s">
        <v>345</v>
      </c>
    </row>
    <row r="111" ht="14.25" customHeight="1" spans="1:11">
      <c r="A111" s="547" t="s">
        <v>108</v>
      </c>
      <c r="B111" s="547" t="s">
        <v>161</v>
      </c>
      <c r="C111" s="547" t="s">
        <v>380</v>
      </c>
      <c r="D111" s="648" t="s">
        <v>381</v>
      </c>
      <c r="E111" s="649">
        <v>45505</v>
      </c>
      <c r="F111" s="649">
        <v>45535</v>
      </c>
      <c r="G111" s="655" t="s">
        <v>377</v>
      </c>
      <c r="H111" s="654" t="s">
        <v>113</v>
      </c>
      <c r="I111" s="647" t="s">
        <v>114</v>
      </c>
      <c r="J111" s="652"/>
      <c r="K111" s="659" t="s">
        <v>345</v>
      </c>
    </row>
    <row r="112" ht="14.25" customHeight="1" spans="1:11">
      <c r="A112" s="547" t="s">
        <v>108</v>
      </c>
      <c r="B112" s="547" t="s">
        <v>109</v>
      </c>
      <c r="C112" s="547" t="s">
        <v>382</v>
      </c>
      <c r="D112" s="648" t="s">
        <v>383</v>
      </c>
      <c r="E112" s="649">
        <v>45505</v>
      </c>
      <c r="F112" s="649">
        <v>45626</v>
      </c>
      <c r="G112" s="655" t="s">
        <v>112</v>
      </c>
      <c r="H112" s="654" t="s">
        <v>143</v>
      </c>
      <c r="I112" s="647" t="s">
        <v>144</v>
      </c>
      <c r="J112" s="652"/>
      <c r="K112" s="659"/>
    </row>
    <row r="113" ht="14.25" customHeight="1" spans="1:11">
      <c r="A113" s="547" t="s">
        <v>108</v>
      </c>
      <c r="B113" s="547" t="s">
        <v>109</v>
      </c>
      <c r="C113" s="547" t="s">
        <v>384</v>
      </c>
      <c r="D113" s="648" t="s">
        <v>385</v>
      </c>
      <c r="E113" s="649">
        <v>45505</v>
      </c>
      <c r="F113" s="649">
        <v>45626</v>
      </c>
      <c r="G113" s="655" t="s">
        <v>112</v>
      </c>
      <c r="H113" s="654" t="s">
        <v>113</v>
      </c>
      <c r="I113" s="647" t="s">
        <v>144</v>
      </c>
      <c r="J113" s="652"/>
      <c r="K113" s="660" t="s">
        <v>386</v>
      </c>
    </row>
    <row r="114" ht="14.25" customHeight="1" spans="1:11">
      <c r="A114" s="547" t="s">
        <v>115</v>
      </c>
      <c r="B114" s="547" t="s">
        <v>116</v>
      </c>
      <c r="C114" s="547" t="s">
        <v>387</v>
      </c>
      <c r="D114" s="648" t="s">
        <v>388</v>
      </c>
      <c r="E114" s="649">
        <v>45447</v>
      </c>
      <c r="F114" s="649">
        <v>46203</v>
      </c>
      <c r="G114" s="656" t="s">
        <v>129</v>
      </c>
      <c r="H114" s="654" t="s">
        <v>143</v>
      </c>
      <c r="I114" s="647" t="s">
        <v>144</v>
      </c>
      <c r="J114" s="652"/>
      <c r="K114" s="659"/>
    </row>
    <row r="115" ht="14.25" customHeight="1" spans="1:11">
      <c r="A115" s="547" t="s">
        <v>108</v>
      </c>
      <c r="B115" s="547" t="s">
        <v>325</v>
      </c>
      <c r="C115" s="547" t="s">
        <v>389</v>
      </c>
      <c r="D115" s="648" t="s">
        <v>390</v>
      </c>
      <c r="E115" s="649">
        <v>45444</v>
      </c>
      <c r="F115" s="649">
        <v>46203</v>
      </c>
      <c r="G115" s="656" t="s">
        <v>129</v>
      </c>
      <c r="H115" s="654" t="s">
        <v>143</v>
      </c>
      <c r="I115" s="647" t="s">
        <v>144</v>
      </c>
      <c r="J115" s="652"/>
      <c r="K115" s="659"/>
    </row>
    <row r="116" ht="14.25" customHeight="1" spans="1:11">
      <c r="A116" s="547" t="s">
        <v>115</v>
      </c>
      <c r="B116" s="547" t="s">
        <v>116</v>
      </c>
      <c r="C116" s="547" t="s">
        <v>391</v>
      </c>
      <c r="D116" s="648" t="s">
        <v>392</v>
      </c>
      <c r="E116" s="649">
        <v>45427</v>
      </c>
      <c r="F116" s="649">
        <v>46022</v>
      </c>
      <c r="G116" s="655" t="s">
        <v>119</v>
      </c>
      <c r="H116" s="654" t="s">
        <v>143</v>
      </c>
      <c r="I116" s="647" t="s">
        <v>144</v>
      </c>
      <c r="J116" s="652"/>
      <c r="K116" s="659"/>
    </row>
    <row r="117" ht="14.25" customHeight="1" spans="1:11">
      <c r="A117" s="547" t="s">
        <v>115</v>
      </c>
      <c r="B117" s="547" t="s">
        <v>116</v>
      </c>
      <c r="C117" s="547" t="s">
        <v>393</v>
      </c>
      <c r="D117" s="648" t="s">
        <v>394</v>
      </c>
      <c r="E117" s="649">
        <v>45427</v>
      </c>
      <c r="F117" s="649">
        <v>46022</v>
      </c>
      <c r="G117" s="655" t="s">
        <v>119</v>
      </c>
      <c r="H117" s="654" t="s">
        <v>143</v>
      </c>
      <c r="I117" s="647" t="s">
        <v>144</v>
      </c>
      <c r="J117" s="652"/>
      <c r="K117" s="659"/>
    </row>
    <row r="118" ht="14.25" customHeight="1" spans="1:11">
      <c r="A118" s="547" t="s">
        <v>115</v>
      </c>
      <c r="B118" s="547" t="s">
        <v>126</v>
      </c>
      <c r="C118" s="547" t="s">
        <v>395</v>
      </c>
      <c r="D118" s="648" t="s">
        <v>396</v>
      </c>
      <c r="E118" s="649">
        <v>45505</v>
      </c>
      <c r="F118" s="649">
        <v>45961</v>
      </c>
      <c r="G118" s="656" t="s">
        <v>129</v>
      </c>
      <c r="H118" s="654" t="s">
        <v>143</v>
      </c>
      <c r="I118" s="647" t="s">
        <v>144</v>
      </c>
      <c r="J118" s="652"/>
      <c r="K118" s="659"/>
    </row>
    <row r="119" ht="14.25" customHeight="1" spans="1:11">
      <c r="A119" s="547" t="s">
        <v>108</v>
      </c>
      <c r="B119" s="547" t="s">
        <v>109</v>
      </c>
      <c r="C119" s="547" t="s">
        <v>397</v>
      </c>
      <c r="D119" s="648" t="s">
        <v>398</v>
      </c>
      <c r="E119" s="649">
        <v>45536</v>
      </c>
      <c r="F119" s="649">
        <v>45626</v>
      </c>
      <c r="G119" s="655" t="s">
        <v>377</v>
      </c>
      <c r="H119" s="654" t="s">
        <v>113</v>
      </c>
      <c r="I119" s="654" t="s">
        <v>144</v>
      </c>
      <c r="J119" s="652"/>
      <c r="K119" s="659" t="s">
        <v>345</v>
      </c>
    </row>
    <row r="120" ht="14.25" customHeight="1" spans="1:11">
      <c r="A120" s="547" t="s">
        <v>115</v>
      </c>
      <c r="B120" s="547" t="s">
        <v>116</v>
      </c>
      <c r="C120" s="547" t="s">
        <v>399</v>
      </c>
      <c r="D120" s="648" t="s">
        <v>400</v>
      </c>
      <c r="E120" s="649">
        <v>45292</v>
      </c>
      <c r="F120" s="649">
        <v>45626</v>
      </c>
      <c r="G120" s="655" t="s">
        <v>119</v>
      </c>
      <c r="H120" s="654" t="s">
        <v>113</v>
      </c>
      <c r="I120" s="654" t="s">
        <v>144</v>
      </c>
      <c r="J120" s="652"/>
      <c r="K120" s="659" t="s">
        <v>401</v>
      </c>
    </row>
    <row r="121" ht="14.25" customHeight="1" spans="1:11">
      <c r="A121" s="547" t="s">
        <v>108</v>
      </c>
      <c r="B121" s="547" t="s">
        <v>325</v>
      </c>
      <c r="C121" s="547" t="s">
        <v>402</v>
      </c>
      <c r="D121" s="648" t="s">
        <v>403</v>
      </c>
      <c r="E121" s="649">
        <v>45536</v>
      </c>
      <c r="F121" s="649">
        <v>45747</v>
      </c>
      <c r="G121" s="655" t="s">
        <v>129</v>
      </c>
      <c r="H121" s="657" t="s">
        <v>143</v>
      </c>
      <c r="I121" s="654" t="s">
        <v>144</v>
      </c>
      <c r="J121" s="652"/>
      <c r="K121" s="659" t="s">
        <v>404</v>
      </c>
    </row>
    <row r="122" ht="14.25" customHeight="1" spans="1:11">
      <c r="A122" s="547" t="s">
        <v>108</v>
      </c>
      <c r="B122" s="547" t="s">
        <v>161</v>
      </c>
      <c r="C122" s="547" t="s">
        <v>405</v>
      </c>
      <c r="D122" s="648" t="s">
        <v>406</v>
      </c>
      <c r="E122" s="649">
        <v>45536</v>
      </c>
      <c r="F122" s="649">
        <v>45557</v>
      </c>
      <c r="G122" s="655" t="s">
        <v>377</v>
      </c>
      <c r="H122" s="654" t="s">
        <v>113</v>
      </c>
      <c r="I122" s="647" t="s">
        <v>114</v>
      </c>
      <c r="J122" s="652"/>
      <c r="K122" s="659" t="s">
        <v>345</v>
      </c>
    </row>
    <row r="123" ht="14.25" customHeight="1" spans="1:11">
      <c r="A123" s="547" t="s">
        <v>115</v>
      </c>
      <c r="B123" s="547" t="s">
        <v>116</v>
      </c>
      <c r="C123" s="547" t="s">
        <v>407</v>
      </c>
      <c r="D123" s="648" t="s">
        <v>408</v>
      </c>
      <c r="E123" s="649">
        <v>45536</v>
      </c>
      <c r="F123" s="649">
        <v>45596</v>
      </c>
      <c r="G123" s="655" t="s">
        <v>119</v>
      </c>
      <c r="H123" s="654" t="s">
        <v>113</v>
      </c>
      <c r="I123" s="647" t="s">
        <v>114</v>
      </c>
      <c r="J123" s="652"/>
      <c r="K123" s="659" t="s">
        <v>345</v>
      </c>
    </row>
    <row r="124" ht="14.25" customHeight="1" spans="1:11">
      <c r="A124" s="547" t="s">
        <v>132</v>
      </c>
      <c r="B124" s="547" t="s">
        <v>133</v>
      </c>
      <c r="C124" s="547" t="s">
        <v>409</v>
      </c>
      <c r="D124" s="648" t="s">
        <v>410</v>
      </c>
      <c r="E124" s="649">
        <v>45536</v>
      </c>
      <c r="F124" s="649">
        <v>45626</v>
      </c>
      <c r="G124" s="655" t="s">
        <v>377</v>
      </c>
      <c r="H124" s="654" t="s">
        <v>113</v>
      </c>
      <c r="I124" s="647" t="s">
        <v>114</v>
      </c>
      <c r="J124" s="652"/>
      <c r="K124" s="659" t="s">
        <v>345</v>
      </c>
    </row>
    <row r="125" ht="14.25" customHeight="1" spans="1:11">
      <c r="A125" s="547" t="s">
        <v>115</v>
      </c>
      <c r="B125" s="547" t="s">
        <v>126</v>
      </c>
      <c r="C125" s="547" t="s">
        <v>411</v>
      </c>
      <c r="D125" s="648" t="s">
        <v>412</v>
      </c>
      <c r="E125" s="649">
        <v>45536</v>
      </c>
      <c r="F125" s="649">
        <v>45596</v>
      </c>
      <c r="G125" s="656" t="s">
        <v>129</v>
      </c>
      <c r="H125" s="654" t="s">
        <v>143</v>
      </c>
      <c r="I125" s="647" t="s">
        <v>144</v>
      </c>
      <c r="J125" s="652"/>
      <c r="K125" s="659"/>
    </row>
    <row r="126" ht="14.25" customHeight="1" spans="1:11">
      <c r="A126" s="547" t="s">
        <v>413</v>
      </c>
      <c r="B126" s="547" t="s">
        <v>414</v>
      </c>
      <c r="C126" s="547" t="s">
        <v>415</v>
      </c>
      <c r="D126" s="648" t="s">
        <v>416</v>
      </c>
      <c r="E126" s="649">
        <v>45536</v>
      </c>
      <c r="F126" s="649">
        <v>46022</v>
      </c>
      <c r="G126" s="655" t="s">
        <v>377</v>
      </c>
      <c r="H126" s="654" t="s">
        <v>113</v>
      </c>
      <c r="I126" s="654" t="s">
        <v>144</v>
      </c>
      <c r="J126" s="652"/>
      <c r="K126" s="659" t="s">
        <v>417</v>
      </c>
    </row>
    <row r="127" ht="14.25" customHeight="1" spans="1:11">
      <c r="A127" s="547" t="s">
        <v>115</v>
      </c>
      <c r="B127" s="547" t="s">
        <v>126</v>
      </c>
      <c r="C127" s="547" t="s">
        <v>418</v>
      </c>
      <c r="D127" s="573" t="s">
        <v>419</v>
      </c>
      <c r="E127" s="658">
        <v>45566</v>
      </c>
      <c r="F127" s="658">
        <v>45747</v>
      </c>
      <c r="G127" s="655" t="s">
        <v>129</v>
      </c>
      <c r="H127" s="654" t="s">
        <v>143</v>
      </c>
      <c r="I127" s="654" t="s">
        <v>144</v>
      </c>
      <c r="J127" s="652"/>
      <c r="K127" s="652" t="s">
        <v>420</v>
      </c>
    </row>
    <row r="128" ht="14.25" customHeight="1" spans="1:11">
      <c r="A128" s="547" t="s">
        <v>115</v>
      </c>
      <c r="B128" s="547" t="s">
        <v>126</v>
      </c>
      <c r="C128" s="547" t="s">
        <v>421</v>
      </c>
      <c r="D128" s="573" t="s">
        <v>422</v>
      </c>
      <c r="E128" s="658">
        <v>45580</v>
      </c>
      <c r="F128" s="658">
        <v>45777</v>
      </c>
      <c r="G128" s="655" t="s">
        <v>129</v>
      </c>
      <c r="H128" s="654" t="s">
        <v>143</v>
      </c>
      <c r="I128" s="654" t="s">
        <v>144</v>
      </c>
      <c r="J128" s="652"/>
      <c r="K128" s="652"/>
    </row>
    <row r="129" ht="14.25" customHeight="1" spans="1:11">
      <c r="A129" s="547" t="s">
        <v>115</v>
      </c>
      <c r="B129" s="547" t="s">
        <v>126</v>
      </c>
      <c r="C129" s="547" t="s">
        <v>423</v>
      </c>
      <c r="D129" s="573" t="s">
        <v>424</v>
      </c>
      <c r="E129" s="658">
        <v>45597</v>
      </c>
      <c r="F129" s="658">
        <v>45747</v>
      </c>
      <c r="G129" s="655" t="s">
        <v>129</v>
      </c>
      <c r="H129" s="654" t="s">
        <v>143</v>
      </c>
      <c r="I129" s="654" t="s">
        <v>144</v>
      </c>
      <c r="J129" s="652"/>
      <c r="K129" s="652"/>
    </row>
    <row r="130" ht="14.25" customHeight="1" spans="1:11">
      <c r="A130" s="547" t="s">
        <v>115</v>
      </c>
      <c r="B130" s="547" t="s">
        <v>126</v>
      </c>
      <c r="C130" s="547" t="s">
        <v>425</v>
      </c>
      <c r="D130" s="573" t="s">
        <v>426</v>
      </c>
      <c r="E130" s="658">
        <v>45597</v>
      </c>
      <c r="F130" s="658">
        <v>45688</v>
      </c>
      <c r="G130" s="655" t="s">
        <v>129</v>
      </c>
      <c r="H130" s="654" t="s">
        <v>143</v>
      </c>
      <c r="I130" s="654" t="s">
        <v>144</v>
      </c>
      <c r="J130" s="652"/>
      <c r="K130" s="652"/>
    </row>
    <row r="131" ht="14.25" customHeight="1" spans="1:11">
      <c r="A131" s="547" t="s">
        <v>132</v>
      </c>
      <c r="B131" s="547" t="s">
        <v>133</v>
      </c>
      <c r="C131" s="547" t="s">
        <v>427</v>
      </c>
      <c r="D131" s="573" t="s">
        <v>428</v>
      </c>
      <c r="E131" s="658" t="s">
        <v>429</v>
      </c>
      <c r="F131" s="658" t="s">
        <v>430</v>
      </c>
      <c r="G131" s="655" t="s">
        <v>377</v>
      </c>
      <c r="H131" s="654" t="s">
        <v>113</v>
      </c>
      <c r="I131" s="654" t="s">
        <v>114</v>
      </c>
      <c r="J131" s="652"/>
      <c r="K131" s="652" t="s">
        <v>345</v>
      </c>
    </row>
    <row r="132" ht="14.25" customHeight="1" spans="1:11">
      <c r="A132" s="547" t="s">
        <v>291</v>
      </c>
      <c r="B132" s="547" t="s">
        <v>292</v>
      </c>
      <c r="C132" s="547" t="s">
        <v>431</v>
      </c>
      <c r="D132" s="573" t="s">
        <v>432</v>
      </c>
      <c r="E132" s="658" t="s">
        <v>433</v>
      </c>
      <c r="F132" s="658" t="s">
        <v>430</v>
      </c>
      <c r="G132" s="655" t="s">
        <v>377</v>
      </c>
      <c r="H132" s="654" t="s">
        <v>113</v>
      </c>
      <c r="I132" s="654" t="s">
        <v>114</v>
      </c>
      <c r="J132" s="652"/>
      <c r="K132" s="652" t="s">
        <v>345</v>
      </c>
    </row>
    <row r="133" ht="14.25" customHeight="1" spans="1:11">
      <c r="A133" s="547" t="s">
        <v>132</v>
      </c>
      <c r="B133" s="547" t="s">
        <v>192</v>
      </c>
      <c r="C133" s="547" t="s">
        <v>434</v>
      </c>
      <c r="D133" s="573" t="s">
        <v>435</v>
      </c>
      <c r="E133" s="658" t="s">
        <v>436</v>
      </c>
      <c r="F133" s="658" t="s">
        <v>437</v>
      </c>
      <c r="G133" s="655" t="s">
        <v>119</v>
      </c>
      <c r="H133" s="654" t="s">
        <v>143</v>
      </c>
      <c r="I133" s="654" t="s">
        <v>144</v>
      </c>
      <c r="J133" s="652"/>
      <c r="K133" s="652"/>
    </row>
    <row r="134" ht="14.25" customHeight="1" spans="1:11">
      <c r="A134" s="547" t="s">
        <v>115</v>
      </c>
      <c r="B134" s="547" t="s">
        <v>116</v>
      </c>
      <c r="C134" s="661" t="s">
        <v>438</v>
      </c>
      <c r="D134" s="662" t="s">
        <v>439</v>
      </c>
      <c r="E134" s="658" t="s">
        <v>440</v>
      </c>
      <c r="F134" s="658" t="s">
        <v>441</v>
      </c>
      <c r="G134" s="655" t="s">
        <v>142</v>
      </c>
      <c r="H134" s="654"/>
      <c r="I134" s="654"/>
      <c r="J134" s="652"/>
      <c r="K134" s="652"/>
    </row>
    <row r="135" ht="14.25" customHeight="1" spans="1:11">
      <c r="A135" s="547" t="s">
        <v>291</v>
      </c>
      <c r="B135" s="547" t="s">
        <v>292</v>
      </c>
      <c r="C135" s="661" t="s">
        <v>442</v>
      </c>
      <c r="D135" s="662" t="s">
        <v>443</v>
      </c>
      <c r="E135" s="658" t="s">
        <v>429</v>
      </c>
      <c r="F135" s="658" t="s">
        <v>444</v>
      </c>
      <c r="G135" s="655" t="s">
        <v>142</v>
      </c>
      <c r="H135" s="654"/>
      <c r="I135" s="654"/>
      <c r="J135" s="652"/>
      <c r="K135" s="652"/>
    </row>
    <row r="136" ht="14.25" customHeight="1" spans="1:11">
      <c r="A136" s="547" t="s">
        <v>115</v>
      </c>
      <c r="B136" s="547" t="s">
        <v>126</v>
      </c>
      <c r="C136" s="547" t="s">
        <v>445</v>
      </c>
      <c r="D136" s="573" t="s">
        <v>446</v>
      </c>
      <c r="E136" s="658">
        <v>45627</v>
      </c>
      <c r="F136" s="658">
        <v>46022</v>
      </c>
      <c r="G136" s="655" t="s">
        <v>129</v>
      </c>
      <c r="H136" s="654" t="s">
        <v>143</v>
      </c>
      <c r="I136" s="654" t="s">
        <v>144</v>
      </c>
      <c r="J136" s="652"/>
      <c r="K136" s="652"/>
    </row>
    <row r="137" ht="14.25" customHeight="1" spans="1:11">
      <c r="A137" s="547" t="s">
        <v>115</v>
      </c>
      <c r="B137" s="547" t="s">
        <v>126</v>
      </c>
      <c r="C137" s="547"/>
      <c r="D137" s="573"/>
      <c r="E137" s="658">
        <v>45566</v>
      </c>
      <c r="F137" s="658">
        <v>45747</v>
      </c>
      <c r="G137" s="655" t="s">
        <v>129</v>
      </c>
      <c r="H137" s="654" t="s">
        <v>143</v>
      </c>
      <c r="I137" s="654" t="s">
        <v>144</v>
      </c>
      <c r="J137" s="652"/>
      <c r="K137" s="652"/>
    </row>
    <row r="138" ht="14.25" customHeight="1" spans="1:11">
      <c r="A138" s="547" t="s">
        <v>115</v>
      </c>
      <c r="B138" s="547" t="s">
        <v>126</v>
      </c>
      <c r="C138" s="547"/>
      <c r="D138" s="573"/>
      <c r="E138" s="658">
        <v>45580</v>
      </c>
      <c r="F138" s="658">
        <v>45777</v>
      </c>
      <c r="G138" s="655" t="s">
        <v>129</v>
      </c>
      <c r="H138" s="654" t="s">
        <v>143</v>
      </c>
      <c r="I138" s="654" t="s">
        <v>144</v>
      </c>
      <c r="J138" s="652"/>
      <c r="K138" s="652"/>
    </row>
    <row r="139" ht="14.25" customHeight="1" spans="1:11">
      <c r="A139" s="547" t="s">
        <v>115</v>
      </c>
      <c r="B139" s="547" t="s">
        <v>126</v>
      </c>
      <c r="C139" s="547"/>
      <c r="D139" s="573"/>
      <c r="E139" s="658">
        <v>45597</v>
      </c>
      <c r="F139" s="658">
        <v>45747</v>
      </c>
      <c r="G139" s="655" t="s">
        <v>129</v>
      </c>
      <c r="H139" s="654" t="s">
        <v>143</v>
      </c>
      <c r="I139" s="654" t="s">
        <v>144</v>
      </c>
      <c r="J139" s="652"/>
      <c r="K139" s="652"/>
    </row>
    <row r="140" ht="14.25" customHeight="1" spans="1:11">
      <c r="A140" s="547" t="s">
        <v>115</v>
      </c>
      <c r="B140" s="547" t="s">
        <v>126</v>
      </c>
      <c r="C140" s="547"/>
      <c r="D140" s="573"/>
      <c r="E140" s="658">
        <v>45597</v>
      </c>
      <c r="F140" s="658">
        <v>45688</v>
      </c>
      <c r="G140" s="655" t="s">
        <v>129</v>
      </c>
      <c r="H140" s="654" t="s">
        <v>143</v>
      </c>
      <c r="I140" s="654" t="s">
        <v>144</v>
      </c>
      <c r="J140" s="652"/>
      <c r="K140" s="652"/>
    </row>
    <row r="141" ht="14.25" customHeight="1" spans="1:11">
      <c r="A141" s="547" t="s">
        <v>108</v>
      </c>
      <c r="B141" s="547" t="s">
        <v>109</v>
      </c>
      <c r="C141" s="661" t="s">
        <v>447</v>
      </c>
      <c r="D141" s="662" t="s">
        <v>448</v>
      </c>
      <c r="E141" s="658">
        <v>45627</v>
      </c>
      <c r="F141" s="658">
        <v>46022</v>
      </c>
      <c r="G141" s="655"/>
      <c r="H141" s="654"/>
      <c r="I141" s="654" t="s">
        <v>144</v>
      </c>
      <c r="J141" s="652"/>
      <c r="K141" s="663"/>
    </row>
    <row r="142" ht="14.25" customHeight="1" spans="1:11">
      <c r="A142" s="547" t="s">
        <v>115</v>
      </c>
      <c r="B142" s="547" t="s">
        <v>126</v>
      </c>
      <c r="C142" s="661" t="s">
        <v>449</v>
      </c>
      <c r="D142" s="662" t="s">
        <v>450</v>
      </c>
      <c r="E142" s="658"/>
      <c r="F142" s="658"/>
      <c r="G142" s="655"/>
      <c r="H142" s="654" t="s">
        <v>113</v>
      </c>
      <c r="I142" s="654"/>
      <c r="J142" s="652"/>
      <c r="K142" s="664" t="s">
        <v>451</v>
      </c>
    </row>
    <row r="143" ht="14.25" customHeight="1" spans="1:11">
      <c r="A143" s="547" t="s">
        <v>115</v>
      </c>
      <c r="B143" s="547" t="s">
        <v>116</v>
      </c>
      <c r="C143" s="661" t="s">
        <v>452</v>
      </c>
      <c r="D143" s="662" t="s">
        <v>453</v>
      </c>
      <c r="E143" s="658"/>
      <c r="F143" s="658"/>
      <c r="G143" s="655"/>
      <c r="H143" s="654"/>
      <c r="I143" s="654"/>
      <c r="J143" s="652"/>
      <c r="K143" s="663"/>
    </row>
    <row r="144" ht="14.25" customHeight="1" spans="1:11">
      <c r="A144" s="547" t="s">
        <v>115</v>
      </c>
      <c r="B144" s="547" t="s">
        <v>116</v>
      </c>
      <c r="C144" s="661" t="s">
        <v>454</v>
      </c>
      <c r="D144" s="662" t="s">
        <v>455</v>
      </c>
      <c r="E144" s="658"/>
      <c r="F144" s="658"/>
      <c r="G144" s="655"/>
      <c r="H144" s="654"/>
      <c r="I144" s="654"/>
      <c r="J144" s="652"/>
      <c r="K144" s="664"/>
    </row>
    <row r="145" ht="14.25" customHeight="1" spans="1:11">
      <c r="A145" s="547" t="s">
        <v>115</v>
      </c>
      <c r="B145" s="547" t="s">
        <v>116</v>
      </c>
      <c r="C145" s="661" t="s">
        <v>456</v>
      </c>
      <c r="D145" s="662" t="s">
        <v>457</v>
      </c>
      <c r="E145" s="658"/>
      <c r="F145" s="658"/>
      <c r="G145" s="655"/>
      <c r="H145" s="654"/>
      <c r="I145" s="654"/>
      <c r="J145" s="652"/>
      <c r="K145" s="664"/>
    </row>
    <row r="146" ht="14.25" customHeight="1" spans="1:11">
      <c r="A146" s="547" t="s">
        <v>108</v>
      </c>
      <c r="B146" s="547" t="s">
        <v>109</v>
      </c>
      <c r="C146" s="661" t="s">
        <v>458</v>
      </c>
      <c r="D146" s="662" t="s">
        <v>459</v>
      </c>
      <c r="E146" s="658"/>
      <c r="F146" s="658"/>
      <c r="G146" s="655"/>
      <c r="H146" s="654"/>
      <c r="I146" s="654"/>
      <c r="J146" s="652"/>
      <c r="K146" s="664"/>
    </row>
    <row r="147" ht="14.25" customHeight="1" spans="1:11">
      <c r="A147" s="547" t="s">
        <v>108</v>
      </c>
      <c r="B147" s="547" t="s">
        <v>208</v>
      </c>
      <c r="C147" s="661" t="s">
        <v>460</v>
      </c>
      <c r="D147" s="662" t="s">
        <v>461</v>
      </c>
      <c r="E147" s="658"/>
      <c r="F147" s="658"/>
      <c r="G147" s="655"/>
      <c r="H147" s="654"/>
      <c r="I147" s="654"/>
      <c r="J147" s="652"/>
      <c r="K147" s="664"/>
    </row>
    <row r="148" ht="14.25" customHeight="1" spans="1:11">
      <c r="A148" s="547" t="s">
        <v>108</v>
      </c>
      <c r="B148" s="547" t="s">
        <v>208</v>
      </c>
      <c r="C148" s="661" t="s">
        <v>462</v>
      </c>
      <c r="D148" s="662" t="s">
        <v>463</v>
      </c>
      <c r="E148" s="658"/>
      <c r="F148" s="658"/>
      <c r="G148" s="655"/>
      <c r="H148" s="654"/>
      <c r="I148" s="654"/>
      <c r="J148" s="652"/>
      <c r="K148" s="664"/>
    </row>
    <row r="149" ht="14.25" customHeight="1" spans="1:11">
      <c r="A149" s="547" t="s">
        <v>291</v>
      </c>
      <c r="B149" s="547" t="s">
        <v>292</v>
      </c>
      <c r="C149" s="661" t="s">
        <v>464</v>
      </c>
      <c r="D149" s="662" t="s">
        <v>465</v>
      </c>
      <c r="E149" s="658"/>
      <c r="F149" s="658"/>
      <c r="G149" s="655" t="s">
        <v>377</v>
      </c>
      <c r="H149" s="654" t="s">
        <v>113</v>
      </c>
      <c r="I149" s="654"/>
      <c r="J149" s="652"/>
      <c r="K149" s="664" t="s">
        <v>466</v>
      </c>
    </row>
    <row r="150" ht="14.25" customHeight="1" spans="1:11">
      <c r="A150" s="547" t="s">
        <v>132</v>
      </c>
      <c r="B150" s="547" t="s">
        <v>133</v>
      </c>
      <c r="C150" s="661" t="s">
        <v>467</v>
      </c>
      <c r="D150" s="662" t="s">
        <v>468</v>
      </c>
      <c r="E150" s="658"/>
      <c r="F150" s="658"/>
      <c r="G150" s="655" t="s">
        <v>377</v>
      </c>
      <c r="H150" s="654" t="s">
        <v>113</v>
      </c>
      <c r="I150" s="654"/>
      <c r="J150" s="652"/>
      <c r="K150" s="664" t="s">
        <v>451</v>
      </c>
    </row>
    <row r="151" ht="14.25" customHeight="1" spans="1:11">
      <c r="A151" s="547" t="s">
        <v>132</v>
      </c>
      <c r="B151" s="547" t="s">
        <v>133</v>
      </c>
      <c r="C151" s="661" t="s">
        <v>469</v>
      </c>
      <c r="D151" s="662" t="s">
        <v>470</v>
      </c>
      <c r="E151" s="658"/>
      <c r="F151" s="658"/>
      <c r="G151" s="655" t="s">
        <v>377</v>
      </c>
      <c r="H151" s="654" t="s">
        <v>113</v>
      </c>
      <c r="I151" s="654"/>
      <c r="J151" s="652"/>
      <c r="K151" s="664" t="s">
        <v>451</v>
      </c>
    </row>
    <row r="152" ht="14.25" customHeight="1" spans="1:11">
      <c r="A152" s="547" t="s">
        <v>132</v>
      </c>
      <c r="B152" s="547" t="s">
        <v>133</v>
      </c>
      <c r="C152" s="661" t="s">
        <v>471</v>
      </c>
      <c r="D152" s="662" t="s">
        <v>472</v>
      </c>
      <c r="E152" s="658"/>
      <c r="F152" s="658"/>
      <c r="G152" s="655" t="s">
        <v>377</v>
      </c>
      <c r="H152" s="654" t="s">
        <v>113</v>
      </c>
      <c r="I152" s="654"/>
      <c r="J152" s="652"/>
      <c r="K152" s="664" t="s">
        <v>473</v>
      </c>
    </row>
    <row r="153" ht="14.25" customHeight="1" spans="1:11">
      <c r="A153" s="547" t="s">
        <v>132</v>
      </c>
      <c r="B153" s="547" t="s">
        <v>133</v>
      </c>
      <c r="C153" s="661" t="s">
        <v>474</v>
      </c>
      <c r="D153" s="662" t="s">
        <v>475</v>
      </c>
      <c r="E153" s="658"/>
      <c r="F153" s="658"/>
      <c r="G153" s="655" t="s">
        <v>377</v>
      </c>
      <c r="H153" s="654" t="s">
        <v>113</v>
      </c>
      <c r="I153" s="654"/>
      <c r="J153" s="652"/>
      <c r="K153" s="664" t="s">
        <v>466</v>
      </c>
    </row>
    <row r="154" ht="14.25" customHeight="1" spans="1:11">
      <c r="A154" s="547" t="s">
        <v>132</v>
      </c>
      <c r="B154" s="547" t="s">
        <v>192</v>
      </c>
      <c r="C154" s="661" t="s">
        <v>476</v>
      </c>
      <c r="D154" s="662" t="s">
        <v>477</v>
      </c>
      <c r="E154" s="658"/>
      <c r="F154" s="658"/>
      <c r="G154" s="655" t="s">
        <v>377</v>
      </c>
      <c r="H154" s="654" t="s">
        <v>113</v>
      </c>
      <c r="I154" s="654"/>
      <c r="J154" s="652"/>
      <c r="K154" s="664" t="s">
        <v>451</v>
      </c>
    </row>
    <row r="155" ht="14.25" customHeight="1" spans="1:11">
      <c r="A155" s="547" t="s">
        <v>108</v>
      </c>
      <c r="B155" s="547" t="s">
        <v>109</v>
      </c>
      <c r="C155" s="661" t="s">
        <v>478</v>
      </c>
      <c r="D155" s="662" t="s">
        <v>479</v>
      </c>
      <c r="E155" s="658"/>
      <c r="F155" s="658"/>
      <c r="G155" s="655"/>
      <c r="H155" s="654"/>
      <c r="I155" s="654"/>
      <c r="J155" s="652"/>
      <c r="K155" s="665"/>
    </row>
    <row r="156" ht="14.25" customHeight="1" spans="1:11">
      <c r="A156" s="547" t="s">
        <v>108</v>
      </c>
      <c r="B156" s="547" t="s">
        <v>325</v>
      </c>
      <c r="C156" s="661" t="s">
        <v>480</v>
      </c>
      <c r="D156" s="662" t="s">
        <v>481</v>
      </c>
      <c r="E156" s="658"/>
      <c r="F156" s="658"/>
      <c r="G156" s="655"/>
      <c r="H156" s="654"/>
      <c r="I156" s="654"/>
      <c r="J156" s="652"/>
      <c r="K156" s="665" t="s">
        <v>482</v>
      </c>
    </row>
    <row r="157" ht="14.25" customHeight="1" spans="1:11">
      <c r="A157" s="547" t="s">
        <v>115</v>
      </c>
      <c r="B157" s="547" t="s">
        <v>126</v>
      </c>
      <c r="C157" s="661" t="s">
        <v>483</v>
      </c>
      <c r="D157" s="662" t="s">
        <v>484</v>
      </c>
      <c r="E157" s="658"/>
      <c r="F157" s="658"/>
      <c r="G157" s="655"/>
      <c r="H157" s="654"/>
      <c r="I157" s="654"/>
      <c r="J157" s="652"/>
      <c r="K157" s="665"/>
    </row>
  </sheetData>
  <autoFilter xmlns:etc="http://www.wps.cn/officeDocument/2017/etCustomData" ref="A1:K157" etc:filterBottomFollowUsedRange="0">
    <extLst/>
  </autoFilter>
  <conditionalFormatting sqref="C155">
    <cfRule type="expression" dxfId="1" priority="3">
      <formula>AND(SUMPRODUCT(IFERROR(1*(($C$155&amp;"x")=(C155&amp;"x")),0))&gt;1,NOT(ISBLANK(C155)))</formula>
    </cfRule>
  </conditionalFormatting>
  <conditionalFormatting sqref="C156">
    <cfRule type="expression" dxfId="1" priority="2">
      <formula>AND(SUMPRODUCT(IFERROR(1*(($C$156&amp;"x")=(C156&amp;"x")),0))&gt;1,NOT(ISBLANK(C156)))</formula>
    </cfRule>
  </conditionalFormatting>
  <conditionalFormatting sqref="C157">
    <cfRule type="expression" dxfId="1" priority="1">
      <formula>AND(SUMPRODUCT(IFERROR(1*(($C$157&amp;"x")=(C157&amp;"x")),0))&gt;1,NOT(ISBLANK(C157)))</formula>
    </cfRule>
  </conditionalFormatting>
  <conditionalFormatting sqref="C1:C154 C158:C65536">
    <cfRule type="duplicateValues" dxfId="2" priority="30"/>
  </conditionalFormatting>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799951170384838"/>
  </sheetPr>
  <dimension ref="A1:BW27"/>
  <sheetViews>
    <sheetView zoomScale="80" zoomScaleNormal="80" workbookViewId="0">
      <pane xSplit="7" ySplit="5" topLeftCell="H6" activePane="bottomRight" state="frozen"/>
      <selection/>
      <selection pane="topRight"/>
      <selection pane="bottomLeft"/>
      <selection pane="bottomRight" activeCell="A1" sqref="A1"/>
    </sheetView>
  </sheetViews>
  <sheetFormatPr defaultColWidth="8.89380530973451" defaultRowHeight="15"/>
  <cols>
    <col min="1" max="1" width="14" style="611" customWidth="1"/>
    <col min="2" max="2" width="9.66371681415929" style="3" customWidth="1"/>
    <col min="3" max="3" width="9.89380530973451" style="3" customWidth="1"/>
    <col min="4" max="4" width="11.9026548672566" style="612" customWidth="1"/>
    <col min="5" max="5" width="24.1946902654867" style="612" customWidth="1"/>
    <col min="6" max="6" width="10.1061946902655" style="612" customWidth="1"/>
    <col min="7" max="7" width="11.4424778761062" style="3" customWidth="1"/>
    <col min="8" max="9" width="8.89380530973451" style="3" customWidth="1"/>
    <col min="10" max="19" width="8.89380530973451" style="3" hidden="1" customWidth="1"/>
    <col min="20" max="21" width="8.89380530973451" style="3" customWidth="1"/>
    <col min="22" max="23" width="8.89380530973451" style="3" hidden="1" customWidth="1"/>
    <col min="24" max="25" width="10.8938053097345" style="3" hidden="1" customWidth="1"/>
    <col min="26" max="29" width="8.89380530973451" style="3" hidden="1" customWidth="1"/>
    <col min="30" max="31" width="10.8938053097345" style="3" hidden="1" customWidth="1"/>
    <col min="32" max="33" width="8.89380530973451" style="3" customWidth="1"/>
    <col min="34" max="34" width="10.1061946902655" style="3" hidden="1" customWidth="1"/>
    <col min="35" max="38" width="8.89380530973451" style="3" hidden="1" customWidth="1"/>
    <col min="39" max="39" width="10" style="3" hidden="1" customWidth="1"/>
    <col min="40" max="43" width="8.89380530973451" style="3" hidden="1" customWidth="1"/>
    <col min="44" max="45" width="8.89380530973451" style="3" customWidth="1"/>
    <col min="46" max="46" width="8.89380530973451" style="3" hidden="1" customWidth="1"/>
    <col min="47" max="47" width="11" style="3" hidden="1" customWidth="1"/>
    <col min="48" max="48" width="11.7787610619469" style="3" hidden="1" customWidth="1"/>
    <col min="49" max="52" width="9.66371681415929" style="3" hidden="1" customWidth="1"/>
    <col min="53" max="53" width="9.66371681415929" style="613" hidden="1" customWidth="1"/>
    <col min="54" max="55" width="11.2212389380531" style="613" hidden="1" customWidth="1"/>
    <col min="56" max="56" width="11.5575221238938" style="3" customWidth="1"/>
    <col min="57" max="57" width="13" style="3" customWidth="1"/>
    <col min="58" max="58" width="8.33628318584071" style="614" customWidth="1"/>
    <col min="59" max="59" width="7.33628318584071" style="2" customWidth="1"/>
    <col min="60" max="60" width="26.2212389380531" style="3" customWidth="1"/>
    <col min="61" max="61" width="21" style="3" customWidth="1"/>
    <col min="62" max="63" width="28.4424778761062" style="611" hidden="1" customWidth="1"/>
    <col min="64" max="64" width="28.4424778761062" style="611" customWidth="1"/>
    <col min="65" max="65" width="28.4424778761062" style="611" hidden="1" customWidth="1"/>
    <col min="66" max="66" width="30.1061946902655" style="611" hidden="1" customWidth="1"/>
    <col min="67" max="67" width="23.2212389380531" style="611" hidden="1" customWidth="1"/>
    <col min="68" max="68" width="19" style="611" hidden="1" customWidth="1"/>
    <col min="69" max="70" width="27.3362831858407" style="611" hidden="1" customWidth="1"/>
    <col min="71" max="71" width="18.8938053097345" style="611" hidden="1" customWidth="1"/>
    <col min="72" max="72" width="17.6637168141593" style="611" hidden="1" customWidth="1"/>
    <col min="73" max="73" width="28.4424778761062" style="611" hidden="1" customWidth="1"/>
    <col min="74" max="16384" width="8.89380530973451" style="3" customWidth="1"/>
  </cols>
  <sheetData>
    <row r="1" s="564" customFormat="1" ht="27" customHeight="1" spans="1:73">
      <c r="A1" s="565"/>
      <c r="B1" s="566" t="s">
        <v>485</v>
      </c>
      <c r="C1" s="566"/>
      <c r="D1" s="567"/>
      <c r="E1" s="567"/>
      <c r="F1" s="567"/>
      <c r="G1" s="566"/>
      <c r="H1" s="566"/>
      <c r="I1" s="566"/>
      <c r="J1" s="566"/>
      <c r="K1" s="566"/>
      <c r="L1" s="566"/>
      <c r="M1" s="566"/>
      <c r="N1" s="566"/>
      <c r="O1" s="566"/>
      <c r="P1" s="566"/>
      <c r="Q1" s="566"/>
      <c r="R1" s="566"/>
      <c r="S1" s="566"/>
      <c r="T1" s="566"/>
      <c r="U1" s="566"/>
      <c r="V1" s="566"/>
      <c r="W1" s="566"/>
      <c r="X1" s="566"/>
      <c r="Y1" s="566"/>
      <c r="Z1" s="566"/>
      <c r="AA1" s="566"/>
      <c r="AB1" s="566"/>
      <c r="AC1" s="566"/>
      <c r="AD1" s="566"/>
      <c r="AE1" s="566"/>
      <c r="AF1" s="566"/>
      <c r="AG1" s="566"/>
      <c r="AH1" s="566"/>
      <c r="AI1" s="566"/>
      <c r="AJ1" s="566"/>
      <c r="AK1" s="566"/>
      <c r="AL1" s="566"/>
      <c r="AM1" s="566"/>
      <c r="AN1" s="566"/>
      <c r="AO1" s="566"/>
      <c r="AP1" s="566"/>
      <c r="AQ1" s="566"/>
      <c r="AR1" s="566"/>
      <c r="AS1" s="566"/>
      <c r="AT1" s="566"/>
      <c r="AU1" s="566"/>
      <c r="AV1" s="566"/>
      <c r="AW1" s="566"/>
      <c r="AX1" s="566"/>
      <c r="AY1" s="566"/>
      <c r="AZ1" s="566"/>
      <c r="BA1" s="588"/>
      <c r="BB1" s="588"/>
      <c r="BC1" s="588"/>
      <c r="BD1" s="566"/>
      <c r="BE1" s="566"/>
      <c r="BF1" s="565" t="s">
        <v>486</v>
      </c>
      <c r="BG1" s="591">
        <f>14/29</f>
        <v>0.482758620689655</v>
      </c>
      <c r="BH1" s="591">
        <f>1-BG1</f>
        <v>0.517241379310345</v>
      </c>
      <c r="BI1" s="566"/>
      <c r="BJ1" s="565"/>
      <c r="BK1" s="565"/>
      <c r="BL1" s="565"/>
      <c r="BM1" s="565"/>
      <c r="BN1" s="565"/>
      <c r="BO1" s="565"/>
      <c r="BP1" s="565"/>
      <c r="BQ1" s="565"/>
      <c r="BR1" s="565"/>
      <c r="BS1" s="565"/>
      <c r="BT1" s="565"/>
      <c r="BU1" s="565"/>
    </row>
    <row r="2" spans="1:74">
      <c r="A2" s="568" t="s">
        <v>487</v>
      </c>
      <c r="B2" s="551"/>
      <c r="C2" s="551"/>
      <c r="D2" s="551"/>
      <c r="E2" s="551"/>
      <c r="F2" s="551"/>
      <c r="G2" s="551"/>
      <c r="H2" s="551"/>
      <c r="I2" s="551"/>
      <c r="J2" s="551"/>
      <c r="K2" s="551"/>
      <c r="L2" s="551"/>
      <c r="M2" s="551"/>
      <c r="N2" s="551"/>
      <c r="O2" s="551"/>
      <c r="P2" s="551"/>
      <c r="Q2" s="551"/>
      <c r="R2" s="551"/>
      <c r="S2" s="551"/>
      <c r="T2" s="551"/>
      <c r="U2" s="551"/>
      <c r="V2" s="551"/>
      <c r="W2" s="551"/>
      <c r="X2" s="551"/>
      <c r="Y2" s="551"/>
      <c r="Z2" s="551"/>
      <c r="AA2" s="551"/>
      <c r="AB2" s="551"/>
      <c r="AC2" s="551"/>
      <c r="AD2" s="551"/>
      <c r="AE2" s="551"/>
      <c r="AF2" s="551"/>
      <c r="AG2" s="551"/>
      <c r="AH2" s="551"/>
      <c r="AI2" s="551"/>
      <c r="AJ2" s="551"/>
      <c r="AK2" s="551"/>
      <c r="AL2" s="551"/>
      <c r="AM2" s="551"/>
      <c r="AN2" s="551"/>
      <c r="AO2" s="551"/>
      <c r="AP2" s="551"/>
      <c r="AQ2" s="551"/>
      <c r="AR2" s="551"/>
      <c r="AS2" s="551"/>
      <c r="AT2" s="551"/>
      <c r="AU2" s="551"/>
      <c r="AV2" s="551"/>
      <c r="AW2" s="551"/>
      <c r="AX2" s="551"/>
      <c r="AY2" s="551"/>
      <c r="AZ2" s="551"/>
      <c r="BA2" s="551"/>
      <c r="BB2" s="551"/>
      <c r="BC2" s="551"/>
      <c r="BD2" s="551"/>
      <c r="BE2" s="551"/>
      <c r="BF2" s="551"/>
      <c r="BG2" s="551"/>
      <c r="BH2" s="551"/>
      <c r="BI2" s="551"/>
      <c r="BJ2" s="551"/>
      <c r="BK2" s="551"/>
      <c r="BL2" s="551"/>
      <c r="BM2" s="551"/>
      <c r="BN2" s="551"/>
      <c r="BO2" s="551"/>
      <c r="BP2" s="551"/>
      <c r="BQ2" s="551"/>
      <c r="BR2" s="551"/>
      <c r="BS2" s="551"/>
      <c r="BT2" s="551"/>
      <c r="BU2" s="551"/>
      <c r="BV2" s="563"/>
    </row>
    <row r="3" spans="1:74">
      <c r="A3" s="569" t="s">
        <v>97</v>
      </c>
      <c r="B3" s="569" t="s">
        <v>101</v>
      </c>
      <c r="C3" s="569" t="s">
        <v>102</v>
      </c>
      <c r="D3" s="569" t="s">
        <v>488</v>
      </c>
      <c r="E3" s="569" t="s">
        <v>100</v>
      </c>
      <c r="F3" s="569" t="s">
        <v>489</v>
      </c>
      <c r="G3" s="569" t="s">
        <v>490</v>
      </c>
      <c r="H3" s="615" t="s">
        <v>491</v>
      </c>
      <c r="T3" s="582" t="s">
        <v>492</v>
      </c>
      <c r="AE3" s="35"/>
      <c r="AF3" s="584" t="s">
        <v>493</v>
      </c>
      <c r="AQ3" s="35"/>
      <c r="AR3" s="589" t="s">
        <v>494</v>
      </c>
      <c r="BC3" s="235"/>
      <c r="BD3" s="592" t="s">
        <v>495</v>
      </c>
      <c r="BE3" s="592" t="s">
        <v>496</v>
      </c>
      <c r="BF3" s="569" t="s">
        <v>497</v>
      </c>
      <c r="BG3" s="569" t="s">
        <v>498</v>
      </c>
      <c r="BH3" s="592" t="s">
        <v>499</v>
      </c>
      <c r="BI3" s="569" t="s">
        <v>500</v>
      </c>
      <c r="BJ3" s="569" t="s">
        <v>501</v>
      </c>
      <c r="BK3" s="569" t="s">
        <v>502</v>
      </c>
      <c r="BL3" s="592" t="s">
        <v>503</v>
      </c>
      <c r="BM3" s="569" t="s">
        <v>504</v>
      </c>
      <c r="BN3" s="569" t="s">
        <v>505</v>
      </c>
      <c r="BO3" s="569" t="s">
        <v>506</v>
      </c>
      <c r="BP3" s="569" t="s">
        <v>507</v>
      </c>
      <c r="BQ3" s="569" t="s">
        <v>508</v>
      </c>
      <c r="BR3" s="569" t="s">
        <v>509</v>
      </c>
      <c r="BS3" s="569" t="s">
        <v>510</v>
      </c>
      <c r="BT3" s="569" t="s">
        <v>511</v>
      </c>
      <c r="BU3" s="569" t="s">
        <v>512</v>
      </c>
      <c r="BV3" s="569" t="s">
        <v>513</v>
      </c>
    </row>
    <row r="4" spans="1:74">
      <c r="A4" s="13"/>
      <c r="B4" s="13"/>
      <c r="C4" s="13"/>
      <c r="D4" s="13"/>
      <c r="E4" s="13"/>
      <c r="F4" s="13"/>
      <c r="G4" s="13"/>
      <c r="H4" s="84"/>
      <c r="I4" s="580"/>
      <c r="J4" s="580"/>
      <c r="K4" s="580"/>
      <c r="L4" s="580"/>
      <c r="M4" s="580"/>
      <c r="N4" s="580"/>
      <c r="O4" s="580"/>
      <c r="P4" s="580"/>
      <c r="Q4" s="580"/>
      <c r="R4" s="580"/>
      <c r="S4" s="580"/>
      <c r="T4" s="84"/>
      <c r="U4" s="580"/>
      <c r="V4" s="580"/>
      <c r="W4" s="580"/>
      <c r="X4" s="580"/>
      <c r="Y4" s="580"/>
      <c r="Z4" s="580"/>
      <c r="AA4" s="580"/>
      <c r="AB4" s="580"/>
      <c r="AC4" s="580"/>
      <c r="AD4" s="580"/>
      <c r="AE4" s="518"/>
      <c r="AF4" s="83"/>
      <c r="AG4" s="586"/>
      <c r="AH4" s="586"/>
      <c r="AI4" s="586"/>
      <c r="AJ4" s="586"/>
      <c r="AK4" s="586"/>
      <c r="AL4" s="586"/>
      <c r="AM4" s="586"/>
      <c r="AN4" s="586"/>
      <c r="AO4" s="586"/>
      <c r="AP4" s="586"/>
      <c r="AQ4" s="156"/>
      <c r="AR4" s="84"/>
      <c r="AS4" s="580"/>
      <c r="AT4" s="580"/>
      <c r="AU4" s="580"/>
      <c r="AV4" s="580"/>
      <c r="AW4" s="580"/>
      <c r="AX4" s="580"/>
      <c r="AY4" s="580"/>
      <c r="AZ4" s="580"/>
      <c r="BA4" s="580"/>
      <c r="BB4" s="580"/>
      <c r="BC4" s="236"/>
      <c r="BD4" s="13"/>
      <c r="BE4" s="13"/>
      <c r="BF4" s="13"/>
      <c r="BG4" s="13"/>
      <c r="BH4" s="13"/>
      <c r="BI4" s="13"/>
      <c r="BJ4" s="13"/>
      <c r="BK4" s="13"/>
      <c r="BL4" s="13"/>
      <c r="BM4" s="13"/>
      <c r="BN4" s="13"/>
      <c r="BO4" s="13"/>
      <c r="BP4" s="13"/>
      <c r="BQ4" s="13"/>
      <c r="BR4" s="13"/>
      <c r="BS4" s="13"/>
      <c r="BT4" s="13"/>
      <c r="BU4" s="13"/>
      <c r="BV4" s="13"/>
    </row>
    <row r="5" spans="1:74">
      <c r="A5" s="14"/>
      <c r="B5" s="14"/>
      <c r="C5" s="14"/>
      <c r="D5" s="14"/>
      <c r="E5" s="14"/>
      <c r="F5" s="14"/>
      <c r="G5" s="14"/>
      <c r="H5" s="571" t="s">
        <v>514</v>
      </c>
      <c r="I5" s="581" t="s">
        <v>515</v>
      </c>
      <c r="J5" s="571" t="s">
        <v>516</v>
      </c>
      <c r="K5" s="571" t="s">
        <v>517</v>
      </c>
      <c r="L5" s="571" t="s">
        <v>518</v>
      </c>
      <c r="M5" s="571" t="s">
        <v>519</v>
      </c>
      <c r="N5" s="571" t="s">
        <v>520</v>
      </c>
      <c r="O5" s="571" t="s">
        <v>521</v>
      </c>
      <c r="P5" s="571" t="s">
        <v>522</v>
      </c>
      <c r="Q5" s="571" t="s">
        <v>523</v>
      </c>
      <c r="R5" s="571" t="s">
        <v>524</v>
      </c>
      <c r="S5" s="571" t="s">
        <v>525</v>
      </c>
      <c r="T5" s="571" t="s">
        <v>514</v>
      </c>
      <c r="U5" s="581" t="s">
        <v>515</v>
      </c>
      <c r="V5" s="571" t="s">
        <v>516</v>
      </c>
      <c r="W5" s="571" t="s">
        <v>517</v>
      </c>
      <c r="X5" s="571" t="s">
        <v>518</v>
      </c>
      <c r="Y5" s="571" t="s">
        <v>519</v>
      </c>
      <c r="Z5" s="571" t="s">
        <v>520</v>
      </c>
      <c r="AA5" s="571" t="s">
        <v>521</v>
      </c>
      <c r="AB5" s="571" t="s">
        <v>522</v>
      </c>
      <c r="AC5" s="571" t="s">
        <v>523</v>
      </c>
      <c r="AD5" s="571" t="s">
        <v>524</v>
      </c>
      <c r="AE5" s="571" t="s">
        <v>525</v>
      </c>
      <c r="AF5" s="585" t="s">
        <v>514</v>
      </c>
      <c r="AG5" s="581" t="s">
        <v>515</v>
      </c>
      <c r="AH5" s="585" t="s">
        <v>516</v>
      </c>
      <c r="AI5" s="585" t="s">
        <v>517</v>
      </c>
      <c r="AJ5" s="585" t="s">
        <v>518</v>
      </c>
      <c r="AK5" s="585" t="s">
        <v>519</v>
      </c>
      <c r="AL5" s="585" t="s">
        <v>520</v>
      </c>
      <c r="AM5" s="585" t="s">
        <v>521</v>
      </c>
      <c r="AN5" s="585" t="s">
        <v>522</v>
      </c>
      <c r="AO5" s="585" t="s">
        <v>523</v>
      </c>
      <c r="AP5" s="585" t="s">
        <v>524</v>
      </c>
      <c r="AQ5" s="585" t="s">
        <v>525</v>
      </c>
      <c r="AR5" s="585" t="s">
        <v>514</v>
      </c>
      <c r="AS5" s="587" t="s">
        <v>515</v>
      </c>
      <c r="AT5" s="585" t="s">
        <v>516</v>
      </c>
      <c r="AU5" s="585" t="s">
        <v>517</v>
      </c>
      <c r="AV5" s="585" t="s">
        <v>518</v>
      </c>
      <c r="AW5" s="585" t="s">
        <v>519</v>
      </c>
      <c r="AX5" s="585" t="s">
        <v>520</v>
      </c>
      <c r="AY5" s="585" t="s">
        <v>521</v>
      </c>
      <c r="AZ5" s="585" t="s">
        <v>522</v>
      </c>
      <c r="BA5" s="585" t="s">
        <v>523</v>
      </c>
      <c r="BB5" s="585" t="s">
        <v>524</v>
      </c>
      <c r="BC5" s="585" t="s">
        <v>525</v>
      </c>
      <c r="BD5" s="14"/>
      <c r="BE5" s="14"/>
      <c r="BF5" s="14"/>
      <c r="BG5" s="14"/>
      <c r="BH5" s="14"/>
      <c r="BI5" s="14"/>
      <c r="BJ5" s="14"/>
      <c r="BK5" s="14"/>
      <c r="BL5" s="14"/>
      <c r="BM5" s="14"/>
      <c r="BN5" s="14"/>
      <c r="BO5" s="14"/>
      <c r="BP5" s="14"/>
      <c r="BQ5" s="14"/>
      <c r="BR5" s="14"/>
      <c r="BS5" s="14"/>
      <c r="BT5" s="14"/>
      <c r="BU5" s="14"/>
      <c r="BV5" s="14"/>
    </row>
    <row r="6" ht="121.5" customHeight="1" spans="1:74">
      <c r="A6" s="593" t="s">
        <v>526</v>
      </c>
      <c r="B6" s="616">
        <v>45658</v>
      </c>
      <c r="C6" s="616">
        <v>46387</v>
      </c>
      <c r="D6" s="616" t="s">
        <v>377</v>
      </c>
      <c r="E6" s="539" t="s">
        <v>527</v>
      </c>
      <c r="F6" s="617">
        <v>0.207</v>
      </c>
      <c r="G6" s="618">
        <v>0.1889</v>
      </c>
      <c r="H6" s="559"/>
      <c r="I6" s="590"/>
      <c r="J6" s="559"/>
      <c r="K6" s="559"/>
      <c r="L6" s="559"/>
      <c r="M6" s="590"/>
      <c r="N6" s="559"/>
      <c r="O6" s="590"/>
      <c r="P6" s="559"/>
      <c r="Q6" s="559"/>
      <c r="R6" s="559"/>
      <c r="S6" s="590"/>
      <c r="T6" s="627"/>
      <c r="U6" s="627"/>
      <c r="V6" s="621"/>
      <c r="W6" s="621"/>
      <c r="X6" s="621"/>
      <c r="Y6" s="621"/>
      <c r="Z6" s="627"/>
      <c r="AA6" s="627"/>
      <c r="AB6" s="621"/>
      <c r="AC6" s="621"/>
      <c r="AD6" s="621"/>
      <c r="AE6" s="621"/>
      <c r="AF6" s="583"/>
      <c r="AG6" s="583"/>
      <c r="AH6" s="583"/>
      <c r="AI6" s="583"/>
      <c r="AJ6" s="583"/>
      <c r="AK6" s="559"/>
      <c r="AL6" s="559"/>
      <c r="AM6" s="559"/>
      <c r="AN6" s="559"/>
      <c r="AO6" s="590"/>
      <c r="AP6" s="590"/>
      <c r="AQ6" s="559"/>
      <c r="AR6" s="559"/>
      <c r="AS6" s="559"/>
      <c r="AT6" s="559"/>
      <c r="AU6" s="590"/>
      <c r="AV6" s="590"/>
      <c r="AW6" s="590"/>
      <c r="AX6" s="590"/>
      <c r="AY6" s="590"/>
      <c r="AZ6" s="559"/>
      <c r="BA6" s="559"/>
      <c r="BB6" s="559"/>
      <c r="BC6" s="559"/>
      <c r="BD6" s="559">
        <f t="shared" ref="BD6:BD21" si="0">U6-F6</f>
        <v>-0.207</v>
      </c>
      <c r="BE6" s="559">
        <f t="shared" ref="BE6:BE21" si="1">AS6-G6</f>
        <v>-0.1889</v>
      </c>
      <c r="BF6" s="545" t="str">
        <f t="shared" ref="BF6:BF20" si="2">_xlfn.IFS(BD6&lt;-3%,"不达标",BD6&lt;0%,"基本达标",TRUE,"达标")</f>
        <v>不达标</v>
      </c>
      <c r="BG6" s="547" t="s">
        <v>528</v>
      </c>
      <c r="BH6" s="561" t="s">
        <v>529</v>
      </c>
      <c r="BI6" s="545"/>
      <c r="BJ6" s="632" t="s">
        <v>530</v>
      </c>
      <c r="BK6" s="632"/>
      <c r="BL6" s="632"/>
      <c r="BM6" s="632"/>
      <c r="BN6" s="593"/>
      <c r="BO6" s="593"/>
      <c r="BP6" s="593"/>
      <c r="BQ6" s="593"/>
      <c r="BR6" s="545"/>
      <c r="BS6" s="545"/>
      <c r="BT6" s="545"/>
      <c r="BU6" s="545"/>
      <c r="BV6" s="637">
        <v>0.207</v>
      </c>
    </row>
    <row r="7" ht="54" customHeight="1" spans="1:74">
      <c r="A7" s="593" t="str">
        <f>VLOOKUP(D7,Sheet10!A:B,2,0)</f>
        <v>电信联通综合事业部</v>
      </c>
      <c r="B7" s="540">
        <v>45292</v>
      </c>
      <c r="C7" s="540" t="s">
        <v>531</v>
      </c>
      <c r="D7" s="558" t="s">
        <v>286</v>
      </c>
      <c r="E7" s="539" t="s">
        <v>532</v>
      </c>
      <c r="F7" s="619">
        <v>0.1944</v>
      </c>
      <c r="G7" s="559">
        <v>0.1022</v>
      </c>
      <c r="H7" s="559">
        <v>-0.1648</v>
      </c>
      <c r="I7" s="559"/>
      <c r="J7" s="559"/>
      <c r="K7" s="559"/>
      <c r="L7" s="559"/>
      <c r="M7" s="559"/>
      <c r="N7" s="559"/>
      <c r="O7" s="559"/>
      <c r="P7" s="559"/>
      <c r="Q7" s="559"/>
      <c r="R7" s="559"/>
      <c r="S7" s="559"/>
      <c r="T7" s="559">
        <v>0.1181</v>
      </c>
      <c r="U7" s="627"/>
      <c r="V7" s="627"/>
      <c r="W7" s="627"/>
      <c r="X7" s="627"/>
      <c r="Y7" s="627"/>
      <c r="Z7" s="621"/>
      <c r="AA7" s="627"/>
      <c r="AB7" s="627"/>
      <c r="AC7" s="627"/>
      <c r="AD7" s="627"/>
      <c r="AE7" s="627"/>
      <c r="AF7" s="559">
        <v>-0.1951</v>
      </c>
      <c r="AG7" s="583"/>
      <c r="AH7" s="583"/>
      <c r="AI7" s="583"/>
      <c r="AJ7" s="583"/>
      <c r="AK7" s="559"/>
      <c r="AL7" s="559"/>
      <c r="AM7" s="559"/>
      <c r="AN7" s="559"/>
      <c r="AO7" s="559"/>
      <c r="AP7" s="559"/>
      <c r="AQ7" s="559"/>
      <c r="AR7" s="559">
        <v>0.0801</v>
      </c>
      <c r="AS7" s="559"/>
      <c r="AT7" s="559"/>
      <c r="AU7" s="559"/>
      <c r="AV7" s="559"/>
      <c r="AW7" s="559"/>
      <c r="AX7" s="559"/>
      <c r="AY7" s="590"/>
      <c r="AZ7" s="590"/>
      <c r="BA7" s="559"/>
      <c r="BB7" s="559"/>
      <c r="BC7" s="559"/>
      <c r="BD7" s="559">
        <f t="shared" si="0"/>
        <v>-0.1944</v>
      </c>
      <c r="BE7" s="559">
        <f t="shared" si="1"/>
        <v>-0.1022</v>
      </c>
      <c r="BF7" s="545" t="str">
        <f t="shared" si="2"/>
        <v>不达标</v>
      </c>
      <c r="BG7" s="547" t="s">
        <v>528</v>
      </c>
      <c r="BH7" s="545" t="s">
        <v>533</v>
      </c>
      <c r="BI7" s="545" t="s">
        <v>534</v>
      </c>
      <c r="BJ7" s="632"/>
      <c r="BK7" s="632"/>
      <c r="BL7" s="632"/>
      <c r="BM7" s="632"/>
      <c r="BN7" s="593"/>
      <c r="BO7" s="593"/>
      <c r="BP7" s="593"/>
      <c r="BQ7" s="593"/>
      <c r="BR7" s="545"/>
      <c r="BS7" s="545"/>
      <c r="BT7" s="545"/>
      <c r="BU7" s="545"/>
      <c r="BV7" s="638">
        <v>-0.6469</v>
      </c>
    </row>
    <row r="8" ht="27" customHeight="1" spans="1:74">
      <c r="A8" s="593" t="s">
        <v>526</v>
      </c>
      <c r="B8" s="540">
        <v>45473</v>
      </c>
      <c r="C8" s="540">
        <v>46142</v>
      </c>
      <c r="D8" s="558" t="s">
        <v>535</v>
      </c>
      <c r="E8" s="539" t="s">
        <v>536</v>
      </c>
      <c r="F8" s="619">
        <v>0.1944</v>
      </c>
      <c r="G8" s="559">
        <v>0.1547</v>
      </c>
      <c r="H8" s="559">
        <v>0.1134</v>
      </c>
      <c r="I8" s="559"/>
      <c r="J8" s="559"/>
      <c r="K8" s="559"/>
      <c r="L8" s="559"/>
      <c r="M8" s="559"/>
      <c r="N8" s="559"/>
      <c r="O8" s="559"/>
      <c r="P8" s="559"/>
      <c r="Q8" s="559"/>
      <c r="R8" s="559"/>
      <c r="S8" s="559"/>
      <c r="T8" s="621">
        <v>0.6011</v>
      </c>
      <c r="U8" s="621"/>
      <c r="V8" s="621"/>
      <c r="W8" s="627"/>
      <c r="X8" s="627"/>
      <c r="Y8" s="627"/>
      <c r="Z8" s="621"/>
      <c r="AA8" s="621"/>
      <c r="AB8" s="621"/>
      <c r="AC8" s="627"/>
      <c r="AD8" s="627"/>
      <c r="AE8" s="627"/>
      <c r="AF8" s="559">
        <v>0.1033</v>
      </c>
      <c r="AG8" s="583"/>
      <c r="AH8" s="583"/>
      <c r="AI8" s="583"/>
      <c r="AJ8" s="583"/>
      <c r="AK8" s="559"/>
      <c r="AL8" s="559"/>
      <c r="AM8" s="559"/>
      <c r="AN8" s="559"/>
      <c r="AO8" s="559"/>
      <c r="AP8" s="559"/>
      <c r="AQ8" s="559"/>
      <c r="AR8" s="559">
        <v>0.4981</v>
      </c>
      <c r="AS8" s="559"/>
      <c r="AT8" s="559"/>
      <c r="AU8" s="559"/>
      <c r="AV8" s="559"/>
      <c r="AW8" s="559"/>
      <c r="AX8" s="559"/>
      <c r="AY8" s="559"/>
      <c r="AZ8" s="559"/>
      <c r="BA8" s="559"/>
      <c r="BB8" s="559"/>
      <c r="BC8" s="559"/>
      <c r="BD8" s="559">
        <f t="shared" si="0"/>
        <v>-0.1944</v>
      </c>
      <c r="BE8" s="559">
        <f t="shared" si="1"/>
        <v>-0.1547</v>
      </c>
      <c r="BF8" s="545" t="str">
        <f t="shared" si="2"/>
        <v>不达标</v>
      </c>
      <c r="BG8" s="547" t="s">
        <v>528</v>
      </c>
      <c r="BH8" s="545"/>
      <c r="BI8" s="545"/>
      <c r="BJ8" s="632"/>
      <c r="BK8" s="632"/>
      <c r="BL8" s="632"/>
      <c r="BM8" s="632"/>
      <c r="BN8" s="593"/>
      <c r="BO8" s="593"/>
      <c r="BP8" s="593"/>
      <c r="BQ8" s="593"/>
      <c r="BR8" s="545"/>
      <c r="BS8" s="545"/>
      <c r="BT8" s="545"/>
      <c r="BU8" s="545"/>
      <c r="BV8" s="638"/>
    </row>
    <row r="9" ht="67.5" customHeight="1" spans="1:74">
      <c r="A9" s="593" t="str">
        <f>VLOOKUP(D9,Sheet10!A:B,2,0)</f>
        <v>电信联通综合事业部</v>
      </c>
      <c r="B9" s="540">
        <v>45447</v>
      </c>
      <c r="C9" s="540">
        <v>46203</v>
      </c>
      <c r="D9" s="558" t="s">
        <v>387</v>
      </c>
      <c r="E9" s="539" t="s">
        <v>388</v>
      </c>
      <c r="F9" s="619">
        <v>0.106</v>
      </c>
      <c r="G9" s="559">
        <v>0.1002</v>
      </c>
      <c r="H9" s="559">
        <v>0</v>
      </c>
      <c r="I9" s="559"/>
      <c r="J9" s="559"/>
      <c r="K9" s="559"/>
      <c r="L9" s="559"/>
      <c r="M9" s="559"/>
      <c r="N9" s="559"/>
      <c r="O9" s="559"/>
      <c r="P9" s="559"/>
      <c r="Q9" s="559"/>
      <c r="R9" s="559"/>
      <c r="S9" s="559"/>
      <c r="T9" s="621">
        <v>0.0503</v>
      </c>
      <c r="U9" s="621"/>
      <c r="V9" s="621"/>
      <c r="W9" s="621"/>
      <c r="X9" s="621"/>
      <c r="Y9" s="621"/>
      <c r="Z9" s="621"/>
      <c r="AA9" s="621"/>
      <c r="AB9" s="621"/>
      <c r="AC9" s="621"/>
      <c r="AD9" s="621"/>
      <c r="AE9" s="621"/>
      <c r="AF9" s="559">
        <v>0</v>
      </c>
      <c r="AG9" s="559"/>
      <c r="AH9" s="559"/>
      <c r="AI9" s="559"/>
      <c r="AJ9" s="559"/>
      <c r="AK9" s="559"/>
      <c r="AL9" s="559"/>
      <c r="AM9" s="559"/>
      <c r="AN9" s="559"/>
      <c r="AO9" s="559"/>
      <c r="AP9" s="559"/>
      <c r="AQ9" s="559"/>
      <c r="AR9" s="559">
        <v>0.0396</v>
      </c>
      <c r="AS9" s="559"/>
      <c r="AT9" s="559"/>
      <c r="AU9" s="559"/>
      <c r="AV9" s="559"/>
      <c r="AW9" s="559"/>
      <c r="AX9" s="559"/>
      <c r="AY9" s="559"/>
      <c r="AZ9" s="559"/>
      <c r="BA9" s="559"/>
      <c r="BB9" s="559"/>
      <c r="BC9" s="559"/>
      <c r="BD9" s="559">
        <f t="shared" si="0"/>
        <v>-0.106</v>
      </c>
      <c r="BE9" s="559">
        <f t="shared" si="1"/>
        <v>-0.1002</v>
      </c>
      <c r="BF9" s="545" t="str">
        <f t="shared" si="2"/>
        <v>不达标</v>
      </c>
      <c r="BG9" s="547" t="s">
        <v>528</v>
      </c>
      <c r="BH9" s="545" t="s">
        <v>537</v>
      </c>
      <c r="BI9" s="545" t="s">
        <v>538</v>
      </c>
      <c r="BJ9" s="596"/>
      <c r="BK9" s="596"/>
      <c r="BL9" s="596"/>
      <c r="BM9" s="596"/>
      <c r="BN9" s="593"/>
      <c r="BO9" s="593"/>
      <c r="BP9" s="593"/>
      <c r="BQ9" s="593"/>
      <c r="BR9" s="593"/>
      <c r="BS9" s="593"/>
      <c r="BT9" s="593"/>
      <c r="BU9" s="593"/>
      <c r="BV9" s="637">
        <v>0.1016</v>
      </c>
    </row>
    <row r="10" ht="81" customHeight="1" spans="1:74">
      <c r="A10" s="593" t="str">
        <f>VLOOKUP(D10,Sheet10!A:B,2,0)</f>
        <v>泛AIoT与设备商事业部</v>
      </c>
      <c r="B10" s="540">
        <v>45484</v>
      </c>
      <c r="C10" s="540">
        <v>46052</v>
      </c>
      <c r="D10" s="558" t="s">
        <v>367</v>
      </c>
      <c r="E10" s="539" t="s">
        <v>539</v>
      </c>
      <c r="F10" s="619">
        <v>0.1508</v>
      </c>
      <c r="G10" s="559">
        <v>0.1257</v>
      </c>
      <c r="H10" s="559" t="s">
        <v>540</v>
      </c>
      <c r="I10" s="590"/>
      <c r="J10" s="559"/>
      <c r="K10" s="559"/>
      <c r="L10" s="559"/>
      <c r="M10" s="559"/>
      <c r="N10" s="559"/>
      <c r="O10" s="590"/>
      <c r="P10" s="559"/>
      <c r="Q10" s="559"/>
      <c r="R10" s="559"/>
      <c r="S10" s="559"/>
      <c r="T10" s="621">
        <v>-0.0696677981628954</v>
      </c>
      <c r="U10" s="621"/>
      <c r="V10" s="621"/>
      <c r="W10" s="621"/>
      <c r="X10" s="621"/>
      <c r="Y10" s="621"/>
      <c r="Z10" s="621"/>
      <c r="AA10" s="621"/>
      <c r="AB10" s="621"/>
      <c r="AC10" s="621"/>
      <c r="AD10" s="621"/>
      <c r="AE10" s="621"/>
      <c r="AF10" s="559" t="s">
        <v>540</v>
      </c>
      <c r="AG10" s="559"/>
      <c r="AH10" s="559"/>
      <c r="AI10" s="559"/>
      <c r="AJ10" s="559"/>
      <c r="AK10" s="559"/>
      <c r="AL10" s="559"/>
      <c r="AM10" s="590"/>
      <c r="AN10" s="590"/>
      <c r="AO10" s="590"/>
      <c r="AP10" s="590"/>
      <c r="AQ10" s="590"/>
      <c r="AR10" s="559">
        <v>-0.1018</v>
      </c>
      <c r="AS10" s="559"/>
      <c r="AT10" s="627"/>
      <c r="AU10" s="621"/>
      <c r="AV10" s="621"/>
      <c r="AW10" s="621"/>
      <c r="AX10" s="621"/>
      <c r="AY10" s="621"/>
      <c r="AZ10" s="621"/>
      <c r="BA10" s="627"/>
      <c r="BB10" s="627"/>
      <c r="BC10" s="590"/>
      <c r="BD10" s="559">
        <f t="shared" si="0"/>
        <v>-0.1508</v>
      </c>
      <c r="BE10" s="559">
        <f t="shared" si="1"/>
        <v>-0.1257</v>
      </c>
      <c r="BF10" s="545" t="str">
        <f t="shared" si="2"/>
        <v>不达标</v>
      </c>
      <c r="BG10" s="547" t="s">
        <v>541</v>
      </c>
      <c r="BH10" s="545" t="s">
        <v>542</v>
      </c>
      <c r="BI10" s="545" t="s">
        <v>543</v>
      </c>
      <c r="BJ10" s="632"/>
      <c r="BK10" s="632" t="s">
        <v>544</v>
      </c>
      <c r="BL10" s="632"/>
      <c r="BM10" s="632"/>
      <c r="BN10" s="593"/>
      <c r="BO10" s="636"/>
      <c r="BP10" s="636"/>
      <c r="BQ10" s="636"/>
      <c r="BR10" s="545"/>
      <c r="BS10" s="545"/>
      <c r="BT10" s="545"/>
      <c r="BU10" s="545"/>
      <c r="BV10" s="638">
        <v>0.1214</v>
      </c>
    </row>
    <row r="11" ht="55" customHeight="1" spans="1:75">
      <c r="A11" s="620" t="str">
        <f>VLOOKUP(D11,Sheet10!A:B,2,0)</f>
        <v>移动省专事业部</v>
      </c>
      <c r="B11" s="540">
        <v>45597</v>
      </c>
      <c r="C11" s="540">
        <v>46387</v>
      </c>
      <c r="D11" s="558" t="s">
        <v>442</v>
      </c>
      <c r="E11" s="539" t="s">
        <v>443</v>
      </c>
      <c r="F11" s="619">
        <v>0.2057</v>
      </c>
      <c r="G11" s="559">
        <v>0.1081</v>
      </c>
      <c r="H11" s="559">
        <v>0.081576759523621</v>
      </c>
      <c r="I11" s="559">
        <v>-0.0885</v>
      </c>
      <c r="J11" s="559"/>
      <c r="K11" s="559"/>
      <c r="L11" s="559"/>
      <c r="M11" s="559"/>
      <c r="N11" s="559"/>
      <c r="O11" s="559"/>
      <c r="P11" s="559"/>
      <c r="Q11" s="559"/>
      <c r="R11" s="559"/>
      <c r="S11" s="559"/>
      <c r="T11" s="621">
        <v>0.0945730184292851</v>
      </c>
      <c r="U11" s="621">
        <v>0.0858101874429509</v>
      </c>
      <c r="V11" s="621"/>
      <c r="W11" s="621"/>
      <c r="X11" s="621"/>
      <c r="Y11" s="621"/>
      <c r="Z11" s="621"/>
      <c r="AA11" s="621"/>
      <c r="AB11" s="621"/>
      <c r="AC11" s="621"/>
      <c r="AD11" s="621"/>
      <c r="AE11" s="621"/>
      <c r="AF11" s="559">
        <v>0.0759120156681556</v>
      </c>
      <c r="AG11" s="559">
        <v>-0.0973818211726504</v>
      </c>
      <c r="AH11" s="583"/>
      <c r="AI11" s="559"/>
      <c r="AJ11" s="559"/>
      <c r="AK11" s="559"/>
      <c r="AL11" s="559"/>
      <c r="AM11" s="559"/>
      <c r="AN11" s="559"/>
      <c r="AO11" s="559"/>
      <c r="AP11" s="559"/>
      <c r="AQ11" s="559"/>
      <c r="AR11" s="559">
        <v>0.0803184282027853</v>
      </c>
      <c r="AS11" s="559">
        <v>0.0718119963990998</v>
      </c>
      <c r="AT11" s="621"/>
      <c r="AU11" s="621"/>
      <c r="AV11" s="621"/>
      <c r="AW11" s="621"/>
      <c r="AX11" s="621"/>
      <c r="AY11" s="621"/>
      <c r="AZ11" s="621"/>
      <c r="BA11" s="621"/>
      <c r="BB11" s="621"/>
      <c r="BC11" s="559"/>
      <c r="BD11" s="559">
        <f t="shared" si="0"/>
        <v>-0.119889812557049</v>
      </c>
      <c r="BE11" s="559">
        <f t="shared" si="1"/>
        <v>-0.0362880036009002</v>
      </c>
      <c r="BF11" s="545" t="str">
        <f t="shared" si="2"/>
        <v>不达标</v>
      </c>
      <c r="BG11" s="547" t="s">
        <v>528</v>
      </c>
      <c r="BH11" s="545" t="s">
        <v>545</v>
      </c>
      <c r="BI11" s="545" t="s">
        <v>546</v>
      </c>
      <c r="BJ11" s="596"/>
      <c r="BK11" s="596"/>
      <c r="BL11" s="596" t="s">
        <v>547</v>
      </c>
      <c r="BM11" s="596"/>
      <c r="BN11" s="593"/>
      <c r="BO11" s="593"/>
      <c r="BP11" s="593"/>
      <c r="BQ11" s="593"/>
      <c r="BR11" s="593"/>
      <c r="BS11" s="593"/>
      <c r="BT11" s="593"/>
      <c r="BU11" s="593"/>
      <c r="BV11" s="638">
        <v>0.1759</v>
      </c>
      <c r="BW11" s="3" t="s">
        <v>548</v>
      </c>
    </row>
    <row r="12" ht="40.5" customHeight="1" spans="1:74">
      <c r="A12" s="593" t="str">
        <f>VLOOKUP(D12,Sheet10!A:B,2,0)</f>
        <v>电信联通综合事业部</v>
      </c>
      <c r="B12" s="540">
        <v>45758</v>
      </c>
      <c r="C12" s="540">
        <v>46112</v>
      </c>
      <c r="D12" s="558" t="s">
        <v>549</v>
      </c>
      <c r="E12" s="539" t="s">
        <v>550</v>
      </c>
      <c r="F12" s="617">
        <v>0.2166</v>
      </c>
      <c r="G12" s="559">
        <v>0.1891</v>
      </c>
      <c r="H12" s="559">
        <v>0</v>
      </c>
      <c r="I12" s="559"/>
      <c r="J12" s="559"/>
      <c r="K12" s="559"/>
      <c r="L12" s="559"/>
      <c r="M12" s="559"/>
      <c r="N12" s="559"/>
      <c r="O12" s="559"/>
      <c r="P12" s="559"/>
      <c r="Q12" s="559"/>
      <c r="R12" s="559"/>
      <c r="S12" s="559"/>
      <c r="T12" s="621">
        <v>0.4814</v>
      </c>
      <c r="U12" s="627"/>
      <c r="V12" s="627"/>
      <c r="W12" s="627"/>
      <c r="X12" s="627"/>
      <c r="Y12" s="627"/>
      <c r="Z12" s="621"/>
      <c r="AA12" s="627"/>
      <c r="AB12" s="627"/>
      <c r="AC12" s="627"/>
      <c r="AD12" s="627"/>
      <c r="AE12" s="627"/>
      <c r="AF12" s="629">
        <v>0</v>
      </c>
      <c r="AG12" s="583"/>
      <c r="AH12" s="583"/>
      <c r="AI12" s="583"/>
      <c r="AJ12" s="583"/>
      <c r="AK12" s="583"/>
      <c r="AL12" s="583"/>
      <c r="AM12" s="583"/>
      <c r="AN12" s="590"/>
      <c r="AO12" s="559"/>
      <c r="AP12" s="559"/>
      <c r="AQ12" s="559"/>
      <c r="AR12" s="559">
        <v>0.4738</v>
      </c>
      <c r="AS12" s="583"/>
      <c r="AT12" s="630"/>
      <c r="AU12" s="627"/>
      <c r="AV12" s="621"/>
      <c r="AW12" s="621"/>
      <c r="AX12" s="621"/>
      <c r="AY12" s="627"/>
      <c r="AZ12" s="627"/>
      <c r="BA12" s="621"/>
      <c r="BB12" s="621"/>
      <c r="BC12" s="559"/>
      <c r="BD12" s="559">
        <f t="shared" si="0"/>
        <v>-0.2166</v>
      </c>
      <c r="BE12" s="559">
        <f t="shared" si="1"/>
        <v>-0.1891</v>
      </c>
      <c r="BF12" s="545" t="str">
        <f t="shared" si="2"/>
        <v>不达标</v>
      </c>
      <c r="BG12" s="547" t="s">
        <v>528</v>
      </c>
      <c r="BH12" s="545" t="s">
        <v>551</v>
      </c>
      <c r="BI12" s="545" t="s">
        <v>552</v>
      </c>
      <c r="BJ12" s="632"/>
      <c r="BK12" s="632"/>
      <c r="BL12" s="632"/>
      <c r="BM12" s="632"/>
      <c r="BN12" s="593"/>
      <c r="BO12" s="593"/>
      <c r="BP12" s="593"/>
      <c r="BQ12" s="593"/>
      <c r="BR12" s="545"/>
      <c r="BS12" s="545"/>
      <c r="BT12" s="545"/>
      <c r="BU12" s="545"/>
      <c r="BV12" s="639"/>
    </row>
    <row r="13" ht="67.5" customHeight="1" spans="1:74">
      <c r="A13" s="620" t="str">
        <f>VLOOKUP(D13,Sheet10!A:B,2,0)</f>
        <v>泛AIoT与设备商事业部</v>
      </c>
      <c r="B13" s="540">
        <v>45774</v>
      </c>
      <c r="C13" s="540">
        <v>46387</v>
      </c>
      <c r="D13" s="558" t="s">
        <v>553</v>
      </c>
      <c r="E13" s="539" t="s">
        <v>554</v>
      </c>
      <c r="F13" s="617">
        <v>0.1542</v>
      </c>
      <c r="G13" s="559">
        <v>0.1542</v>
      </c>
      <c r="H13" s="559">
        <v>-0.0279</v>
      </c>
      <c r="I13" s="559">
        <v>0.4461</v>
      </c>
      <c r="J13" s="559"/>
      <c r="K13" s="559"/>
      <c r="L13" s="559"/>
      <c r="M13" s="590"/>
      <c r="N13" s="559"/>
      <c r="O13" s="559"/>
      <c r="P13" s="559"/>
      <c r="Q13" s="559"/>
      <c r="R13" s="559"/>
      <c r="S13" s="590"/>
      <c r="T13" s="621">
        <v>0.0699</v>
      </c>
      <c r="U13" s="621">
        <v>0.1489</v>
      </c>
      <c r="V13" s="621"/>
      <c r="W13" s="621"/>
      <c r="X13" s="621"/>
      <c r="Y13" s="621"/>
      <c r="Z13" s="621"/>
      <c r="AA13" s="621"/>
      <c r="AB13" s="621"/>
      <c r="AC13" s="621"/>
      <c r="AD13" s="621"/>
      <c r="AE13" s="621"/>
      <c r="AF13" s="559">
        <v>-0.0319</v>
      </c>
      <c r="AG13" s="559">
        <v>0.4438</v>
      </c>
      <c r="AH13" s="559"/>
      <c r="AI13" s="559"/>
      <c r="AJ13" s="559"/>
      <c r="AK13" s="559"/>
      <c r="AL13" s="559"/>
      <c r="AM13" s="559"/>
      <c r="AN13" s="559"/>
      <c r="AO13" s="559"/>
      <c r="AP13" s="559"/>
      <c r="AQ13" s="559"/>
      <c r="AR13" s="559">
        <v>0.0673</v>
      </c>
      <c r="AS13" s="559">
        <v>0.1463</v>
      </c>
      <c r="AT13" s="621"/>
      <c r="AU13" s="621"/>
      <c r="AV13" s="621"/>
      <c r="AW13" s="621"/>
      <c r="AX13" s="621"/>
      <c r="AY13" s="621"/>
      <c r="AZ13" s="621"/>
      <c r="BA13" s="621"/>
      <c r="BB13" s="621"/>
      <c r="BC13" s="559"/>
      <c r="BD13" s="559">
        <f t="shared" si="0"/>
        <v>-0.0053</v>
      </c>
      <c r="BE13" s="559">
        <f t="shared" si="1"/>
        <v>-0.00789999999999999</v>
      </c>
      <c r="BF13" s="545" t="str">
        <f t="shared" si="2"/>
        <v>基本达标</v>
      </c>
      <c r="BG13" s="547" t="s">
        <v>541</v>
      </c>
      <c r="BH13" s="545" t="s">
        <v>555</v>
      </c>
      <c r="BI13" s="545" t="s">
        <v>556</v>
      </c>
      <c r="BJ13" s="596" t="s">
        <v>557</v>
      </c>
      <c r="BK13" s="596" t="s">
        <v>558</v>
      </c>
      <c r="BL13" s="596"/>
      <c r="BM13" s="596"/>
      <c r="BN13" s="593"/>
      <c r="BO13" s="593"/>
      <c r="BP13" s="593"/>
      <c r="BQ13" s="593"/>
      <c r="BR13" s="593"/>
      <c r="BS13" s="593"/>
      <c r="BT13" s="593"/>
      <c r="BU13" s="593"/>
      <c r="BV13" s="637"/>
    </row>
    <row r="14" ht="40.5" customHeight="1" spans="1:74">
      <c r="A14" s="593" t="s">
        <v>526</v>
      </c>
      <c r="B14" s="540">
        <v>45809</v>
      </c>
      <c r="C14" s="540">
        <v>46171</v>
      </c>
      <c r="D14" s="558" t="s">
        <v>559</v>
      </c>
      <c r="E14" s="539" t="s">
        <v>560</v>
      </c>
      <c r="F14" s="617">
        <v>0.2208</v>
      </c>
      <c r="G14" s="559">
        <v>0.141</v>
      </c>
      <c r="H14" s="559">
        <v>0</v>
      </c>
      <c r="I14" s="590"/>
      <c r="J14" s="559"/>
      <c r="K14" s="559"/>
      <c r="L14" s="559"/>
      <c r="M14" s="559"/>
      <c r="N14" s="559"/>
      <c r="O14" s="590"/>
      <c r="P14" s="559"/>
      <c r="Q14" s="559"/>
      <c r="R14" s="559"/>
      <c r="S14" s="559"/>
      <c r="T14" s="621">
        <v>0.191</v>
      </c>
      <c r="U14" s="621"/>
      <c r="V14" s="621"/>
      <c r="W14" s="621"/>
      <c r="X14" s="621"/>
      <c r="Y14" s="621"/>
      <c r="Z14" s="621"/>
      <c r="AA14" s="621"/>
      <c r="AB14" s="621"/>
      <c r="AC14" s="621"/>
      <c r="AD14" s="621"/>
      <c r="AE14" s="621"/>
      <c r="AF14" s="559">
        <v>0</v>
      </c>
      <c r="AG14" s="559"/>
      <c r="AH14" s="559"/>
      <c r="AI14" s="559"/>
      <c r="AJ14" s="559"/>
      <c r="AK14" s="559"/>
      <c r="AL14" s="559"/>
      <c r="AM14" s="559"/>
      <c r="AN14" s="559"/>
      <c r="AO14" s="559"/>
      <c r="AP14" s="559"/>
      <c r="AQ14" s="559"/>
      <c r="AR14" s="559">
        <v>0.1829</v>
      </c>
      <c r="AS14" s="559"/>
      <c r="AT14" s="621"/>
      <c r="AU14" s="621"/>
      <c r="AV14" s="621"/>
      <c r="AW14" s="621"/>
      <c r="AX14" s="621"/>
      <c r="AY14" s="621"/>
      <c r="AZ14" s="621"/>
      <c r="BA14" s="621"/>
      <c r="BB14" s="621"/>
      <c r="BC14" s="559"/>
      <c r="BD14" s="559">
        <f t="shared" si="0"/>
        <v>-0.2208</v>
      </c>
      <c r="BE14" s="559">
        <f t="shared" si="1"/>
        <v>-0.141</v>
      </c>
      <c r="BF14" s="545" t="str">
        <f t="shared" si="2"/>
        <v>不达标</v>
      </c>
      <c r="BG14" s="547" t="s">
        <v>528</v>
      </c>
      <c r="BH14" s="545" t="s">
        <v>561</v>
      </c>
      <c r="BI14" s="545" t="s">
        <v>562</v>
      </c>
      <c r="BJ14" s="596"/>
      <c r="BK14" s="596"/>
      <c r="BL14" s="596"/>
      <c r="BM14" s="596"/>
      <c r="BN14" s="593"/>
      <c r="BO14" s="593"/>
      <c r="BP14" s="593"/>
      <c r="BQ14" s="593"/>
      <c r="BR14" s="593"/>
      <c r="BS14" s="593"/>
      <c r="BT14" s="593"/>
      <c r="BU14" s="593"/>
      <c r="BV14" s="639"/>
    </row>
    <row r="15" ht="67.5" customHeight="1" spans="1:74">
      <c r="A15" s="593" t="s">
        <v>526</v>
      </c>
      <c r="B15" s="540">
        <v>45658</v>
      </c>
      <c r="C15" s="540">
        <v>46265</v>
      </c>
      <c r="D15" s="558" t="s">
        <v>377</v>
      </c>
      <c r="E15" s="539" t="s">
        <v>563</v>
      </c>
      <c r="F15" s="617">
        <v>0.16</v>
      </c>
      <c r="G15" s="559">
        <v>0.16</v>
      </c>
      <c r="H15" s="621">
        <v>-0.1212</v>
      </c>
      <c r="I15" s="559">
        <v>0.9972</v>
      </c>
      <c r="J15" s="559"/>
      <c r="K15" s="559"/>
      <c r="L15" s="559"/>
      <c r="M15" s="559"/>
      <c r="N15" s="559"/>
      <c r="O15" s="559"/>
      <c r="P15" s="559"/>
      <c r="Q15" s="559"/>
      <c r="R15" s="559"/>
      <c r="S15" s="559"/>
      <c r="T15" s="621">
        <v>0.0569</v>
      </c>
      <c r="U15" s="621">
        <v>-0.0484</v>
      </c>
      <c r="V15" s="621"/>
      <c r="W15" s="621"/>
      <c r="X15" s="621"/>
      <c r="Y15" s="621"/>
      <c r="Z15" s="621"/>
      <c r="AA15" s="621"/>
      <c r="AB15" s="621"/>
      <c r="AC15" s="621"/>
      <c r="AD15" s="621"/>
      <c r="AE15" s="621"/>
      <c r="AF15" s="559">
        <v>-0.1291</v>
      </c>
      <c r="AG15" s="559">
        <v>0.9671</v>
      </c>
      <c r="AH15" s="583"/>
      <c r="AI15" s="583"/>
      <c r="AJ15" s="583"/>
      <c r="AK15" s="559"/>
      <c r="AL15" s="559"/>
      <c r="AM15" s="559"/>
      <c r="AN15" s="559"/>
      <c r="AO15" s="559"/>
      <c r="AP15" s="559"/>
      <c r="AQ15" s="559"/>
      <c r="AR15" s="559">
        <v>0.0433</v>
      </c>
      <c r="AS15" s="559">
        <v>-0.0533</v>
      </c>
      <c r="AT15" s="621"/>
      <c r="AU15" s="621"/>
      <c r="AV15" s="621"/>
      <c r="AW15" s="621"/>
      <c r="AX15" s="621"/>
      <c r="AY15" s="621"/>
      <c r="AZ15" s="621"/>
      <c r="BA15" s="621"/>
      <c r="BB15" s="621"/>
      <c r="BC15" s="559"/>
      <c r="BD15" s="559">
        <f t="shared" si="0"/>
        <v>-0.2084</v>
      </c>
      <c r="BE15" s="559">
        <f t="shared" si="1"/>
        <v>-0.2133</v>
      </c>
      <c r="BF15" s="545" t="str">
        <f t="shared" si="2"/>
        <v>不达标</v>
      </c>
      <c r="BG15" s="547" t="s">
        <v>528</v>
      </c>
      <c r="BH15" s="545" t="s">
        <v>564</v>
      </c>
      <c r="BI15" s="545" t="s">
        <v>565</v>
      </c>
      <c r="BJ15" s="596" t="s">
        <v>566</v>
      </c>
      <c r="BK15" s="596" t="s">
        <v>567</v>
      </c>
      <c r="BL15" s="596"/>
      <c r="BM15" s="596"/>
      <c r="BN15" s="593"/>
      <c r="BO15" s="593"/>
      <c r="BP15" s="593"/>
      <c r="BQ15" s="593"/>
      <c r="BR15" s="593"/>
      <c r="BS15" s="593"/>
      <c r="BT15" s="593"/>
      <c r="BU15" s="593"/>
      <c r="BV15" s="638"/>
    </row>
    <row r="16" ht="67.5" customHeight="1" spans="1:74">
      <c r="A16" s="593" t="s">
        <v>526</v>
      </c>
      <c r="B16" s="540">
        <v>45901</v>
      </c>
      <c r="C16" s="540">
        <v>46266</v>
      </c>
      <c r="D16" s="558" t="s">
        <v>568</v>
      </c>
      <c r="E16" s="539" t="s">
        <v>569</v>
      </c>
      <c r="F16" s="617">
        <v>0.1587</v>
      </c>
      <c r="G16" s="559">
        <v>0.2165</v>
      </c>
      <c r="H16" s="559">
        <v>0.0795</v>
      </c>
      <c r="I16" s="559"/>
      <c r="J16" s="559"/>
      <c r="K16" s="559"/>
      <c r="L16" s="559"/>
      <c r="M16" s="559"/>
      <c r="N16" s="559"/>
      <c r="O16" s="559"/>
      <c r="P16" s="559"/>
      <c r="Q16" s="559"/>
      <c r="R16" s="559"/>
      <c r="S16" s="559"/>
      <c r="T16" s="621">
        <v>-0.1088</v>
      </c>
      <c r="U16" s="621"/>
      <c r="V16" s="621"/>
      <c r="W16" s="621"/>
      <c r="X16" s="627"/>
      <c r="Y16" s="621"/>
      <c r="Z16" s="621"/>
      <c r="AA16" s="621"/>
      <c r="AB16" s="621"/>
      <c r="AC16" s="621"/>
      <c r="AD16" s="627"/>
      <c r="AE16" s="621"/>
      <c r="AF16" s="559">
        <v>0.0764</v>
      </c>
      <c r="AG16" s="559"/>
      <c r="AH16" s="559"/>
      <c r="AI16" s="559"/>
      <c r="AJ16" s="559"/>
      <c r="AK16" s="559"/>
      <c r="AL16" s="559"/>
      <c r="AM16" s="559"/>
      <c r="AN16" s="559"/>
      <c r="AO16" s="559"/>
      <c r="AP16" s="559"/>
      <c r="AQ16" s="559"/>
      <c r="AR16" s="559">
        <v>-0.1152</v>
      </c>
      <c r="AS16" s="559"/>
      <c r="AT16" s="621"/>
      <c r="AU16" s="621"/>
      <c r="AV16" s="621"/>
      <c r="AW16" s="621"/>
      <c r="AX16" s="621"/>
      <c r="AY16" s="621"/>
      <c r="AZ16" s="621"/>
      <c r="BA16" s="621"/>
      <c r="BB16" s="621"/>
      <c r="BC16" s="559"/>
      <c r="BD16" s="559">
        <f t="shared" si="0"/>
        <v>-0.1587</v>
      </c>
      <c r="BE16" s="559">
        <f t="shared" si="1"/>
        <v>-0.2165</v>
      </c>
      <c r="BF16" s="545" t="str">
        <f t="shared" si="2"/>
        <v>不达标</v>
      </c>
      <c r="BG16" s="547" t="s">
        <v>528</v>
      </c>
      <c r="BH16" s="545" t="s">
        <v>570</v>
      </c>
      <c r="BI16" s="545" t="s">
        <v>377</v>
      </c>
      <c r="BJ16" s="596" t="s">
        <v>571</v>
      </c>
      <c r="BK16" s="596" t="s">
        <v>571</v>
      </c>
      <c r="BL16" s="596"/>
      <c r="BM16" s="596"/>
      <c r="BN16" s="545"/>
      <c r="BO16" s="593"/>
      <c r="BP16" s="593"/>
      <c r="BQ16" s="593"/>
      <c r="BR16" s="593"/>
      <c r="BS16" s="593"/>
      <c r="BT16" s="593"/>
      <c r="BU16" s="593"/>
      <c r="BV16" s="638" t="s">
        <v>572</v>
      </c>
    </row>
    <row r="17" ht="40.5" customHeight="1" spans="1:74">
      <c r="A17" s="593" t="s">
        <v>526</v>
      </c>
      <c r="B17" s="540">
        <v>45901</v>
      </c>
      <c r="C17" s="540">
        <v>46266</v>
      </c>
      <c r="D17" s="558" t="s">
        <v>573</v>
      </c>
      <c r="E17" s="539" t="s">
        <v>574</v>
      </c>
      <c r="F17" s="617">
        <v>0.1663</v>
      </c>
      <c r="G17" s="559">
        <v>0.1663</v>
      </c>
      <c r="H17" s="559">
        <v>0</v>
      </c>
      <c r="I17" s="559"/>
      <c r="J17" s="559"/>
      <c r="K17" s="559"/>
      <c r="L17" s="559"/>
      <c r="M17" s="559"/>
      <c r="N17" s="559"/>
      <c r="O17" s="559"/>
      <c r="P17" s="559"/>
      <c r="Q17" s="559"/>
      <c r="R17" s="559"/>
      <c r="S17" s="559"/>
      <c r="T17" s="621">
        <v>0.2669</v>
      </c>
      <c r="U17" s="621"/>
      <c r="V17" s="621"/>
      <c r="W17" s="621"/>
      <c r="X17" s="621"/>
      <c r="Y17" s="621"/>
      <c r="Z17" s="621"/>
      <c r="AA17" s="621"/>
      <c r="AB17" s="621"/>
      <c r="AC17" s="621"/>
      <c r="AD17" s="621"/>
      <c r="AE17" s="621"/>
      <c r="AF17" s="559">
        <v>0</v>
      </c>
      <c r="AG17" s="559"/>
      <c r="AH17" s="559"/>
      <c r="AI17" s="559"/>
      <c r="AJ17" s="559"/>
      <c r="AK17" s="559"/>
      <c r="AL17" s="559"/>
      <c r="AM17" s="559"/>
      <c r="AN17" s="559"/>
      <c r="AO17" s="559"/>
      <c r="AP17" s="559"/>
      <c r="AQ17" s="559"/>
      <c r="AR17" s="559">
        <v>0.2624</v>
      </c>
      <c r="AS17" s="559"/>
      <c r="AT17" s="621"/>
      <c r="AU17" s="621"/>
      <c r="AV17" s="621"/>
      <c r="AW17" s="621"/>
      <c r="AX17" s="621"/>
      <c r="AY17" s="621"/>
      <c r="AZ17" s="621"/>
      <c r="BA17" s="621"/>
      <c r="BB17" s="621"/>
      <c r="BC17" s="559"/>
      <c r="BD17" s="559">
        <f t="shared" si="0"/>
        <v>-0.1663</v>
      </c>
      <c r="BE17" s="559">
        <f t="shared" si="1"/>
        <v>-0.1663</v>
      </c>
      <c r="BF17" s="545" t="str">
        <f t="shared" si="2"/>
        <v>不达标</v>
      </c>
      <c r="BG17" s="547" t="s">
        <v>528</v>
      </c>
      <c r="BH17" s="545" t="s">
        <v>575</v>
      </c>
      <c r="BI17" s="545"/>
      <c r="BJ17" s="596"/>
      <c r="BK17" s="596"/>
      <c r="BL17" s="596"/>
      <c r="BM17" s="596"/>
      <c r="BN17" s="545"/>
      <c r="BO17" s="593"/>
      <c r="BP17" s="593"/>
      <c r="BQ17" s="593"/>
      <c r="BR17" s="593"/>
      <c r="BS17" s="593"/>
      <c r="BT17" s="593"/>
      <c r="BU17" s="593"/>
      <c r="BV17" s="638"/>
    </row>
    <row r="18" ht="54" customHeight="1" spans="1:74">
      <c r="A18" s="593" t="s">
        <v>526</v>
      </c>
      <c r="B18" s="540">
        <v>45901</v>
      </c>
      <c r="C18" s="540">
        <v>46265</v>
      </c>
      <c r="D18" s="558" t="s">
        <v>576</v>
      </c>
      <c r="E18" s="539" t="s">
        <v>577</v>
      </c>
      <c r="F18" s="619">
        <v>0.1816</v>
      </c>
      <c r="G18" s="559">
        <v>0.184</v>
      </c>
      <c r="H18" s="559">
        <v>0</v>
      </c>
      <c r="I18" s="559"/>
      <c r="J18" s="559"/>
      <c r="K18" s="559"/>
      <c r="L18" s="559"/>
      <c r="M18" s="559"/>
      <c r="N18" s="559"/>
      <c r="O18" s="559"/>
      <c r="P18" s="559"/>
      <c r="Q18" s="559"/>
      <c r="R18" s="559"/>
      <c r="S18" s="559"/>
      <c r="T18" s="621">
        <v>0.3655</v>
      </c>
      <c r="U18" s="621"/>
      <c r="V18" s="621"/>
      <c r="W18" s="621"/>
      <c r="X18" s="621"/>
      <c r="Y18" s="621"/>
      <c r="Z18" s="621"/>
      <c r="AA18" s="621"/>
      <c r="AB18" s="621"/>
      <c r="AC18" s="621"/>
      <c r="AD18" s="621"/>
      <c r="AE18" s="621"/>
      <c r="AF18" s="559">
        <v>0</v>
      </c>
      <c r="AG18" s="559"/>
      <c r="AH18" s="559"/>
      <c r="AI18" s="559"/>
      <c r="AJ18" s="559"/>
      <c r="AK18" s="559"/>
      <c r="AL18" s="559"/>
      <c r="AM18" s="559"/>
      <c r="AN18" s="559"/>
      <c r="AO18" s="559"/>
      <c r="AP18" s="559"/>
      <c r="AQ18" s="559"/>
      <c r="AR18" s="559">
        <v>0.3618</v>
      </c>
      <c r="AS18" s="559"/>
      <c r="AT18" s="621"/>
      <c r="AU18" s="621"/>
      <c r="AV18" s="621"/>
      <c r="AW18" s="621"/>
      <c r="AX18" s="621"/>
      <c r="AY18" s="621"/>
      <c r="AZ18" s="621"/>
      <c r="BA18" s="621"/>
      <c r="BB18" s="621"/>
      <c r="BC18" s="559"/>
      <c r="BD18" s="559">
        <f t="shared" si="0"/>
        <v>-0.1816</v>
      </c>
      <c r="BE18" s="559">
        <f t="shared" si="1"/>
        <v>-0.184</v>
      </c>
      <c r="BF18" s="545" t="str">
        <f t="shared" si="2"/>
        <v>不达标</v>
      </c>
      <c r="BG18" s="547" t="s">
        <v>528</v>
      </c>
      <c r="BH18" s="545" t="s">
        <v>578</v>
      </c>
      <c r="BI18" s="545"/>
      <c r="BJ18" s="596"/>
      <c r="BK18" s="596"/>
      <c r="BL18" s="596"/>
      <c r="BM18" s="596"/>
      <c r="BN18" s="545"/>
      <c r="BO18" s="593"/>
      <c r="BP18" s="593"/>
      <c r="BQ18" s="593"/>
      <c r="BR18" s="593"/>
      <c r="BS18" s="593"/>
      <c r="BT18" s="593"/>
      <c r="BU18" s="593"/>
      <c r="BV18" s="638" t="s">
        <v>572</v>
      </c>
    </row>
    <row r="19" ht="40.5" customHeight="1" spans="1:74">
      <c r="A19" s="593" t="s">
        <v>108</v>
      </c>
      <c r="B19" s="540">
        <v>45689</v>
      </c>
      <c r="C19" s="540">
        <v>46203</v>
      </c>
      <c r="D19" s="558" t="s">
        <v>579</v>
      </c>
      <c r="E19" s="539" t="s">
        <v>580</v>
      </c>
      <c r="F19" s="622">
        <v>0.24</v>
      </c>
      <c r="G19" s="559">
        <v>0.24</v>
      </c>
      <c r="H19" s="559">
        <v>0.2799</v>
      </c>
      <c r="I19" s="559">
        <v>-0.0342</v>
      </c>
      <c r="J19" s="559"/>
      <c r="K19" s="559"/>
      <c r="L19" s="559"/>
      <c r="M19" s="559"/>
      <c r="N19" s="559"/>
      <c r="O19" s="559"/>
      <c r="P19" s="559"/>
      <c r="Q19" s="559"/>
      <c r="R19" s="559"/>
      <c r="S19" s="559"/>
      <c r="T19" s="559">
        <v>0.2799</v>
      </c>
      <c r="U19" s="621">
        <v>0.1296</v>
      </c>
      <c r="V19" s="621"/>
      <c r="W19" s="621"/>
      <c r="X19" s="621"/>
      <c r="Y19" s="621"/>
      <c r="Z19" s="621"/>
      <c r="AA19" s="621"/>
      <c r="AB19" s="621"/>
      <c r="AC19" s="621"/>
      <c r="AD19" s="621"/>
      <c r="AE19" s="621"/>
      <c r="AF19" s="559">
        <v>0.2788</v>
      </c>
      <c r="AG19" s="559">
        <v>-0.0753</v>
      </c>
      <c r="AH19" s="559"/>
      <c r="AI19" s="559"/>
      <c r="AJ19" s="559"/>
      <c r="AK19" s="559"/>
      <c r="AL19" s="559"/>
      <c r="AM19" s="559"/>
      <c r="AN19" s="559"/>
      <c r="AO19" s="559"/>
      <c r="AP19" s="559"/>
      <c r="AQ19" s="559"/>
      <c r="AR19" s="559">
        <v>0.2788</v>
      </c>
      <c r="AS19" s="559">
        <v>0.1094</v>
      </c>
      <c r="AT19" s="559"/>
      <c r="AU19" s="559"/>
      <c r="AV19" s="559"/>
      <c r="AW19" s="559"/>
      <c r="AX19" s="559"/>
      <c r="AY19" s="590"/>
      <c r="AZ19" s="590"/>
      <c r="BA19" s="559"/>
      <c r="BB19" s="590"/>
      <c r="BC19" s="590"/>
      <c r="BD19" s="559">
        <f t="shared" si="0"/>
        <v>-0.1104</v>
      </c>
      <c r="BE19" s="559">
        <f t="shared" si="1"/>
        <v>-0.1306</v>
      </c>
      <c r="BF19" s="545" t="str">
        <f t="shared" si="2"/>
        <v>不达标</v>
      </c>
      <c r="BG19" s="633" t="s">
        <v>528</v>
      </c>
      <c r="BH19" s="545" t="s">
        <v>581</v>
      </c>
      <c r="BI19" s="545" t="s">
        <v>582</v>
      </c>
      <c r="BJ19" s="545"/>
      <c r="BK19" s="545"/>
      <c r="BL19" s="545" t="s">
        <v>582</v>
      </c>
      <c r="BM19" s="545"/>
      <c r="BN19" s="190"/>
      <c r="BO19" s="190"/>
      <c r="BP19" s="190"/>
      <c r="BQ19" s="190"/>
      <c r="BR19" s="190"/>
      <c r="BS19" s="190"/>
      <c r="BT19" s="190"/>
      <c r="BU19" s="190"/>
      <c r="BV19" s="640"/>
    </row>
    <row r="20" ht="27" customHeight="1" spans="1:74">
      <c r="A20" s="601" t="s">
        <v>108</v>
      </c>
      <c r="B20" s="623">
        <v>45689</v>
      </c>
      <c r="C20" s="623">
        <v>46387</v>
      </c>
      <c r="D20" s="624" t="s">
        <v>583</v>
      </c>
      <c r="E20" s="625" t="s">
        <v>584</v>
      </c>
      <c r="F20" s="619">
        <v>0.2261</v>
      </c>
      <c r="G20" s="626">
        <v>0.18</v>
      </c>
      <c r="H20" s="626">
        <v>0.2514</v>
      </c>
      <c r="I20" s="626">
        <v>0.1418</v>
      </c>
      <c r="J20" s="626"/>
      <c r="K20" s="626"/>
      <c r="L20" s="626"/>
      <c r="M20" s="626"/>
      <c r="N20" s="626"/>
      <c r="O20" s="626"/>
      <c r="P20" s="626"/>
      <c r="Q20" s="626"/>
      <c r="R20" s="626"/>
      <c r="S20" s="626"/>
      <c r="T20" s="626">
        <v>0.2514</v>
      </c>
      <c r="U20" s="628">
        <v>0.1801</v>
      </c>
      <c r="V20" s="628"/>
      <c r="W20" s="628"/>
      <c r="X20" s="628"/>
      <c r="Y20" s="628"/>
      <c r="Z20" s="628"/>
      <c r="AA20" s="628"/>
      <c r="AB20" s="628"/>
      <c r="AC20" s="628"/>
      <c r="AD20" s="628"/>
      <c r="AE20" s="628"/>
      <c r="AF20" s="626">
        <v>0.2503</v>
      </c>
      <c r="AG20" s="626">
        <v>0.0884</v>
      </c>
      <c r="AH20" s="626"/>
      <c r="AI20" s="626"/>
      <c r="AJ20" s="626"/>
      <c r="AK20" s="626"/>
      <c r="AL20" s="626"/>
      <c r="AM20" s="626"/>
      <c r="AN20" s="626"/>
      <c r="AO20" s="626"/>
      <c r="AP20" s="626"/>
      <c r="AQ20" s="626"/>
      <c r="AR20" s="626">
        <v>0.2503</v>
      </c>
      <c r="AS20" s="626">
        <v>0.145</v>
      </c>
      <c r="AT20" s="626"/>
      <c r="AU20" s="626"/>
      <c r="AV20" s="626"/>
      <c r="AW20" s="626"/>
      <c r="AX20" s="626"/>
      <c r="AY20" s="631"/>
      <c r="AZ20" s="631"/>
      <c r="BA20" s="626"/>
      <c r="BB20" s="631"/>
      <c r="BC20" s="631"/>
      <c r="BD20" s="559">
        <f t="shared" si="0"/>
        <v>-0.046</v>
      </c>
      <c r="BE20" s="559">
        <f t="shared" si="1"/>
        <v>-0.035</v>
      </c>
      <c r="BF20" s="634" t="str">
        <f t="shared" si="2"/>
        <v>不达标</v>
      </c>
      <c r="BG20" s="635" t="s">
        <v>528</v>
      </c>
      <c r="BH20" s="634" t="s">
        <v>585</v>
      </c>
      <c r="BI20" s="634" t="s">
        <v>582</v>
      </c>
      <c r="BJ20" s="634"/>
      <c r="BK20" s="634"/>
      <c r="BL20" s="634" t="s">
        <v>582</v>
      </c>
      <c r="BM20" s="634"/>
      <c r="BN20" s="266"/>
      <c r="BO20" s="266"/>
      <c r="BP20" s="266"/>
      <c r="BQ20" s="266"/>
      <c r="BR20" s="266"/>
      <c r="BS20" s="266"/>
      <c r="BT20" s="266"/>
      <c r="BU20" s="266"/>
      <c r="BV20" s="641"/>
    </row>
    <row r="21" ht="60" customHeight="1" spans="1:74">
      <c r="A21" s="593" t="s">
        <v>132</v>
      </c>
      <c r="B21" s="540">
        <v>46023</v>
      </c>
      <c r="C21" s="540">
        <v>46387</v>
      </c>
      <c r="D21" s="558" t="s">
        <v>586</v>
      </c>
      <c r="E21" s="539" t="s">
        <v>587</v>
      </c>
      <c r="F21" s="619">
        <v>0.1815</v>
      </c>
      <c r="G21" s="559">
        <v>0.1815</v>
      </c>
      <c r="H21" s="559">
        <v>0.382550959433173</v>
      </c>
      <c r="I21" s="559">
        <v>-0.283294720528223</v>
      </c>
      <c r="J21" s="559"/>
      <c r="K21" s="559"/>
      <c r="L21" s="559"/>
      <c r="M21" s="559"/>
      <c r="N21" s="559"/>
      <c r="O21" s="559"/>
      <c r="P21" s="559"/>
      <c r="Q21" s="559"/>
      <c r="R21" s="559"/>
      <c r="S21" s="559"/>
      <c r="T21" s="559">
        <v>0.382550959433173</v>
      </c>
      <c r="U21" s="621">
        <v>0.0516341676939045</v>
      </c>
      <c r="V21" s="621"/>
      <c r="W21" s="621"/>
      <c r="X21" s="621"/>
      <c r="Y21" s="621"/>
      <c r="Z21" s="621"/>
      <c r="AA21" s="621"/>
      <c r="AB21" s="621"/>
      <c r="AC21" s="621"/>
      <c r="AD21" s="621"/>
      <c r="AE21" s="621"/>
      <c r="AF21" s="559">
        <v>0.381482910604927</v>
      </c>
      <c r="AG21" s="559">
        <v>-0.285941534934914</v>
      </c>
      <c r="AH21" s="583"/>
      <c r="AI21" s="583"/>
      <c r="AJ21" s="583"/>
      <c r="AK21" s="583"/>
      <c r="AL21" s="559"/>
      <c r="AM21" s="559"/>
      <c r="AN21" s="559"/>
      <c r="AO21" s="559"/>
      <c r="AP21" s="559"/>
      <c r="AQ21" s="559"/>
      <c r="AR21" s="559">
        <v>0.381482910604927</v>
      </c>
      <c r="AS21" s="559">
        <v>0.0497814925538114</v>
      </c>
      <c r="AT21" s="559"/>
      <c r="AU21" s="559"/>
      <c r="AV21" s="559"/>
      <c r="AW21" s="559"/>
      <c r="AX21" s="559"/>
      <c r="AY21" s="590"/>
      <c r="AZ21" s="590"/>
      <c r="BA21" s="559"/>
      <c r="BB21" s="590"/>
      <c r="BC21" s="590"/>
      <c r="BD21" s="559">
        <f t="shared" si="0"/>
        <v>-0.129865832306095</v>
      </c>
      <c r="BE21" s="559">
        <f t="shared" si="1"/>
        <v>-0.131718507446189</v>
      </c>
      <c r="BF21" s="545" t="s">
        <v>588</v>
      </c>
      <c r="BG21" s="633" t="s">
        <v>528</v>
      </c>
      <c r="BH21" s="545" t="s">
        <v>589</v>
      </c>
      <c r="BI21" s="545" t="s">
        <v>590</v>
      </c>
      <c r="BJ21" s="545"/>
      <c r="BK21" s="545"/>
      <c r="BL21" s="545"/>
      <c r="BM21" s="545"/>
      <c r="BN21" s="190"/>
      <c r="BO21" s="190"/>
      <c r="BP21" s="190"/>
      <c r="BQ21" s="190"/>
      <c r="BR21" s="190"/>
      <c r="BS21" s="190"/>
      <c r="BT21" s="190"/>
      <c r="BU21" s="190"/>
      <c r="BV21" s="640"/>
    </row>
    <row r="22" ht="14.25" customHeight="1" spans="53:55">
      <c r="BA22" s="427"/>
      <c r="BB22" s="427"/>
      <c r="BC22" s="427"/>
    </row>
    <row r="23" ht="14.25" customHeight="1" spans="53:55">
      <c r="BA23" s="427"/>
      <c r="BB23" s="427"/>
      <c r="BC23" s="427"/>
    </row>
    <row r="24" ht="14.25" customHeight="1" spans="53:55">
      <c r="BA24" s="427"/>
      <c r="BB24" s="427"/>
      <c r="BC24" s="427"/>
    </row>
    <row r="25" ht="14.25" customHeight="1" spans="53:55">
      <c r="BA25" s="427"/>
      <c r="BB25" s="427"/>
      <c r="BC25" s="427"/>
    </row>
    <row r="26" ht="14.25" customHeight="1" spans="53:55">
      <c r="BA26" s="427"/>
      <c r="BB26" s="427"/>
      <c r="BC26" s="427"/>
    </row>
    <row r="27" ht="14.25" customHeight="1" spans="53:55">
      <c r="BA27" s="427"/>
      <c r="BB27" s="427"/>
      <c r="BC27" s="427"/>
    </row>
  </sheetData>
  <autoFilter xmlns:etc="http://www.wps.cn/officeDocument/2017/etCustomData" ref="A5:BW21" etc:filterBottomFollowUsedRange="0">
    <extLst/>
  </autoFilter>
  <mergeCells count="31">
    <mergeCell ref="A2:BV2"/>
    <mergeCell ref="A3:A5"/>
    <mergeCell ref="B3:B5"/>
    <mergeCell ref="C3:C5"/>
    <mergeCell ref="D3:D5"/>
    <mergeCell ref="E3:E5"/>
    <mergeCell ref="F3:F5"/>
    <mergeCell ref="G3:G5"/>
    <mergeCell ref="BD3:BD5"/>
    <mergeCell ref="BE3:BE5"/>
    <mergeCell ref="BF3:BF5"/>
    <mergeCell ref="BG3:BG5"/>
    <mergeCell ref="BH3:BH5"/>
    <mergeCell ref="BI3:BI5"/>
    <mergeCell ref="BJ3:BJ5"/>
    <mergeCell ref="BK3:BK5"/>
    <mergeCell ref="BL3:BL5"/>
    <mergeCell ref="BM3:BM5"/>
    <mergeCell ref="BN3:BN5"/>
    <mergeCell ref="BO3:BO5"/>
    <mergeCell ref="BP3:BP5"/>
    <mergeCell ref="BQ3:BQ5"/>
    <mergeCell ref="BR3:BR5"/>
    <mergeCell ref="BS3:BS5"/>
    <mergeCell ref="BT3:BT5"/>
    <mergeCell ref="BU3:BU5"/>
    <mergeCell ref="BV3:BV5"/>
    <mergeCell ref="H3:S4"/>
    <mergeCell ref="T3:AE4"/>
    <mergeCell ref="AF3:AQ4"/>
    <mergeCell ref="AR3:BC4"/>
  </mergeCells>
  <conditionalFormatting sqref="BF19">
    <cfRule type="containsText" dxfId="3" priority="5" operator="between" text="不达标">
      <formula>NOT(ISERROR(SEARCH("不达标",BF19)))</formula>
    </cfRule>
  </conditionalFormatting>
  <conditionalFormatting sqref="BF20">
    <cfRule type="containsText" dxfId="3" priority="4" operator="between" text="不达标">
      <formula>NOT(ISERROR(SEARCH("不达标",BF20)))</formula>
    </cfRule>
  </conditionalFormatting>
  <conditionalFormatting sqref="BF21">
    <cfRule type="containsText" dxfId="3" priority="1" operator="between" text="不达标">
      <formula>NOT(ISERROR(SEARCH("不达标",BF21)))</formula>
    </cfRule>
  </conditionalFormatting>
  <conditionalFormatting sqref="BF6:BF18">
    <cfRule type="containsText" dxfId="3" priority="6" operator="between" text="不达标">
      <formula>NOT(ISERROR(SEARCH("不达标",BF6)))</formula>
    </cfRule>
  </conditionalFormatting>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93"/>
  <sheetViews>
    <sheetView workbookViewId="0">
      <selection activeCell="A1" sqref="A1"/>
    </sheetView>
  </sheetViews>
  <sheetFormatPr defaultColWidth="9" defaultRowHeight="13.85" outlineLevelCol="1"/>
  <cols>
    <col min="1" max="1" width="13" customWidth="1"/>
  </cols>
  <sheetData>
    <row r="1" spans="1:2">
      <c r="A1" s="609" t="s">
        <v>488</v>
      </c>
      <c r="B1" s="609"/>
    </row>
    <row r="2" spans="1:2">
      <c r="A2" s="610" t="s">
        <v>591</v>
      </c>
      <c r="B2" s="610" t="s">
        <v>132</v>
      </c>
    </row>
    <row r="3" spans="1:2">
      <c r="A3" s="610" t="s">
        <v>592</v>
      </c>
      <c r="B3" s="610" t="s">
        <v>132</v>
      </c>
    </row>
    <row r="4" spans="1:2">
      <c r="A4" s="610" t="s">
        <v>593</v>
      </c>
      <c r="B4" s="610" t="s">
        <v>108</v>
      </c>
    </row>
    <row r="5" spans="1:2">
      <c r="A5" s="610" t="s">
        <v>594</v>
      </c>
      <c r="B5" s="610" t="s">
        <v>526</v>
      </c>
    </row>
    <row r="6" spans="1:2">
      <c r="A6" s="610" t="s">
        <v>595</v>
      </c>
      <c r="B6" s="610" t="s">
        <v>526</v>
      </c>
    </row>
    <row r="7" spans="1:2">
      <c r="A7" s="610" t="s">
        <v>596</v>
      </c>
      <c r="B7" s="610" t="s">
        <v>526</v>
      </c>
    </row>
    <row r="8" spans="1:2">
      <c r="A8" s="610" t="s">
        <v>454</v>
      </c>
      <c r="B8" s="610" t="s">
        <v>526</v>
      </c>
    </row>
    <row r="9" spans="1:2">
      <c r="A9" s="610" t="s">
        <v>597</v>
      </c>
      <c r="B9" s="610" t="s">
        <v>526</v>
      </c>
    </row>
    <row r="10" spans="1:2">
      <c r="A10" s="610" t="s">
        <v>598</v>
      </c>
      <c r="B10" s="610" t="s">
        <v>108</v>
      </c>
    </row>
    <row r="11" spans="1:2">
      <c r="A11" s="610" t="s">
        <v>438</v>
      </c>
      <c r="B11" s="610" t="s">
        <v>526</v>
      </c>
    </row>
    <row r="12" spans="1:2">
      <c r="A12" s="610" t="s">
        <v>599</v>
      </c>
      <c r="B12" s="610" t="s">
        <v>526</v>
      </c>
    </row>
    <row r="13" spans="1:2">
      <c r="A13" s="610" t="s">
        <v>600</v>
      </c>
      <c r="B13" s="610" t="s">
        <v>108</v>
      </c>
    </row>
    <row r="14" spans="1:2">
      <c r="A14" s="610" t="s">
        <v>601</v>
      </c>
      <c r="B14" s="610" t="s">
        <v>108</v>
      </c>
    </row>
    <row r="15" spans="1:2">
      <c r="A15" s="610" t="s">
        <v>602</v>
      </c>
      <c r="B15" s="610" t="s">
        <v>108</v>
      </c>
    </row>
    <row r="16" spans="1:2">
      <c r="A16" s="610" t="s">
        <v>603</v>
      </c>
      <c r="B16" s="610" t="s">
        <v>604</v>
      </c>
    </row>
    <row r="17" spans="1:2">
      <c r="A17" s="610" t="s">
        <v>286</v>
      </c>
      <c r="B17" s="610" t="s">
        <v>526</v>
      </c>
    </row>
    <row r="18" spans="1:2">
      <c r="A18" s="610" t="s">
        <v>605</v>
      </c>
      <c r="B18" s="610" t="s">
        <v>132</v>
      </c>
    </row>
    <row r="19" spans="1:2">
      <c r="A19" s="610" t="s">
        <v>606</v>
      </c>
      <c r="B19" s="610" t="s">
        <v>604</v>
      </c>
    </row>
    <row r="20" spans="1:2">
      <c r="A20" s="610" t="s">
        <v>607</v>
      </c>
      <c r="B20" s="610" t="s">
        <v>108</v>
      </c>
    </row>
    <row r="21" spans="1:2">
      <c r="A21" s="610" t="s">
        <v>608</v>
      </c>
      <c r="B21" s="610" t="s">
        <v>526</v>
      </c>
    </row>
    <row r="22" spans="1:2">
      <c r="A22" s="610" t="s">
        <v>609</v>
      </c>
      <c r="B22" s="610" t="s">
        <v>132</v>
      </c>
    </row>
    <row r="23" spans="1:2">
      <c r="A23" s="610" t="s">
        <v>610</v>
      </c>
      <c r="B23" s="610" t="s">
        <v>604</v>
      </c>
    </row>
    <row r="24" spans="1:2">
      <c r="A24" s="610" t="s">
        <v>611</v>
      </c>
      <c r="B24" s="610" t="s">
        <v>108</v>
      </c>
    </row>
    <row r="25" spans="1:2">
      <c r="A25" s="610" t="s">
        <v>612</v>
      </c>
      <c r="B25" s="610" t="s">
        <v>132</v>
      </c>
    </row>
    <row r="26" spans="1:2">
      <c r="A26" s="610" t="s">
        <v>613</v>
      </c>
      <c r="B26" s="610" t="s">
        <v>108</v>
      </c>
    </row>
    <row r="27" spans="1:2">
      <c r="A27" s="610" t="s">
        <v>614</v>
      </c>
      <c r="B27" s="610" t="s">
        <v>108</v>
      </c>
    </row>
    <row r="28" spans="1:2">
      <c r="A28" s="610" t="s">
        <v>615</v>
      </c>
      <c r="B28" s="610" t="s">
        <v>132</v>
      </c>
    </row>
    <row r="29" spans="1:2">
      <c r="A29" s="610" t="s">
        <v>616</v>
      </c>
      <c r="B29" s="610" t="s">
        <v>108</v>
      </c>
    </row>
    <row r="30" spans="1:2">
      <c r="A30" s="610" t="s">
        <v>617</v>
      </c>
      <c r="B30" s="610" t="s">
        <v>132</v>
      </c>
    </row>
    <row r="31" spans="1:2">
      <c r="A31" s="610" t="s">
        <v>313</v>
      </c>
      <c r="B31" s="610" t="s">
        <v>132</v>
      </c>
    </row>
    <row r="32" spans="1:2">
      <c r="A32" s="610" t="s">
        <v>330</v>
      </c>
      <c r="B32" s="610" t="s">
        <v>526</v>
      </c>
    </row>
    <row r="33" spans="1:2">
      <c r="A33" s="610" t="s">
        <v>257</v>
      </c>
      <c r="B33" s="610" t="s">
        <v>526</v>
      </c>
    </row>
    <row r="34" spans="1:2">
      <c r="A34" s="610" t="s">
        <v>308</v>
      </c>
      <c r="B34" s="610" t="s">
        <v>526</v>
      </c>
    </row>
    <row r="35" spans="1:2">
      <c r="A35" s="610" t="s">
        <v>618</v>
      </c>
      <c r="B35" s="610" t="s">
        <v>604</v>
      </c>
    </row>
    <row r="36" spans="1:2">
      <c r="A36" s="610" t="s">
        <v>619</v>
      </c>
      <c r="B36" s="610" t="s">
        <v>132</v>
      </c>
    </row>
    <row r="37" spans="1:2">
      <c r="A37" s="610" t="s">
        <v>418</v>
      </c>
      <c r="B37" s="610" t="s">
        <v>526</v>
      </c>
    </row>
    <row r="38" spans="1:2">
      <c r="A38" s="610" t="s">
        <v>620</v>
      </c>
      <c r="B38" s="610" t="s">
        <v>526</v>
      </c>
    </row>
    <row r="39" spans="1:2">
      <c r="A39" s="610" t="s">
        <v>369</v>
      </c>
      <c r="B39" s="610" t="s">
        <v>526</v>
      </c>
    </row>
    <row r="40" spans="1:2">
      <c r="A40" s="610" t="s">
        <v>621</v>
      </c>
      <c r="B40" s="610" t="s">
        <v>604</v>
      </c>
    </row>
    <row r="41" spans="1:2">
      <c r="A41" s="610" t="s">
        <v>622</v>
      </c>
      <c r="B41" s="610" t="s">
        <v>108</v>
      </c>
    </row>
    <row r="42" spans="1:2">
      <c r="A42" s="610" t="s">
        <v>623</v>
      </c>
      <c r="B42" s="610" t="s">
        <v>108</v>
      </c>
    </row>
    <row r="43" spans="1:2">
      <c r="A43" s="610" t="s">
        <v>624</v>
      </c>
      <c r="B43" s="610" t="s">
        <v>526</v>
      </c>
    </row>
    <row r="44" spans="1:2">
      <c r="A44" s="610" t="s">
        <v>625</v>
      </c>
      <c r="B44" s="610" t="s">
        <v>526</v>
      </c>
    </row>
    <row r="45" spans="1:2">
      <c r="A45" s="610" t="s">
        <v>626</v>
      </c>
      <c r="B45" s="610" t="s">
        <v>132</v>
      </c>
    </row>
    <row r="46" spans="1:2">
      <c r="A46" s="610" t="s">
        <v>627</v>
      </c>
      <c r="B46" s="610" t="s">
        <v>132</v>
      </c>
    </row>
    <row r="47" spans="1:2">
      <c r="A47" s="610" t="s">
        <v>628</v>
      </c>
      <c r="B47" s="610" t="s">
        <v>132</v>
      </c>
    </row>
    <row r="48" spans="1:2">
      <c r="A48" s="610" t="s">
        <v>629</v>
      </c>
      <c r="B48" s="610" t="s">
        <v>132</v>
      </c>
    </row>
    <row r="49" spans="1:2">
      <c r="A49" s="610" t="s">
        <v>630</v>
      </c>
      <c r="B49" s="610" t="s">
        <v>132</v>
      </c>
    </row>
    <row r="50" spans="1:2">
      <c r="A50" s="610" t="s">
        <v>631</v>
      </c>
      <c r="B50" s="610" t="s">
        <v>413</v>
      </c>
    </row>
    <row r="51" spans="1:2">
      <c r="A51" s="610" t="s">
        <v>632</v>
      </c>
      <c r="B51" s="610" t="s">
        <v>132</v>
      </c>
    </row>
    <row r="52" spans="1:2">
      <c r="A52" s="610" t="s">
        <v>297</v>
      </c>
      <c r="B52" s="610" t="s">
        <v>132</v>
      </c>
    </row>
    <row r="53" spans="1:2">
      <c r="A53" s="610" t="s">
        <v>633</v>
      </c>
      <c r="B53" s="610" t="s">
        <v>526</v>
      </c>
    </row>
    <row r="54" spans="1:2">
      <c r="A54" s="610" t="s">
        <v>634</v>
      </c>
      <c r="B54" s="610" t="s">
        <v>526</v>
      </c>
    </row>
    <row r="55" spans="1:2">
      <c r="A55" s="610" t="s">
        <v>635</v>
      </c>
      <c r="B55" s="610" t="s">
        <v>526</v>
      </c>
    </row>
    <row r="56" spans="1:2">
      <c r="A56" s="610" t="s">
        <v>636</v>
      </c>
      <c r="B56" s="610" t="s">
        <v>604</v>
      </c>
    </row>
    <row r="57" spans="1:2">
      <c r="A57" s="610" t="s">
        <v>263</v>
      </c>
      <c r="B57" s="610" t="s">
        <v>526</v>
      </c>
    </row>
    <row r="58" spans="1:2">
      <c r="A58" s="610" t="s">
        <v>553</v>
      </c>
      <c r="B58" s="610" t="s">
        <v>108</v>
      </c>
    </row>
    <row r="59" spans="1:2">
      <c r="A59" s="610" t="s">
        <v>637</v>
      </c>
      <c r="B59" s="610" t="s">
        <v>526</v>
      </c>
    </row>
    <row r="60" spans="1:2">
      <c r="A60" s="610" t="s">
        <v>638</v>
      </c>
      <c r="B60" s="610" t="s">
        <v>604</v>
      </c>
    </row>
    <row r="61" spans="1:2">
      <c r="A61" s="610" t="s">
        <v>639</v>
      </c>
      <c r="B61" s="610" t="s">
        <v>413</v>
      </c>
    </row>
    <row r="62" spans="1:2">
      <c r="A62" s="610" t="s">
        <v>640</v>
      </c>
      <c r="B62" s="610" t="s">
        <v>108</v>
      </c>
    </row>
    <row r="63" spans="1:2">
      <c r="A63" s="610" t="s">
        <v>641</v>
      </c>
      <c r="B63" s="610" t="s">
        <v>108</v>
      </c>
    </row>
    <row r="64" spans="1:2">
      <c r="A64" s="610" t="s">
        <v>642</v>
      </c>
      <c r="B64" s="610" t="s">
        <v>604</v>
      </c>
    </row>
    <row r="65" spans="1:2">
      <c r="A65" s="610" t="s">
        <v>643</v>
      </c>
      <c r="B65" s="610" t="s">
        <v>132</v>
      </c>
    </row>
    <row r="66" spans="1:2">
      <c r="A66" s="610" t="s">
        <v>644</v>
      </c>
      <c r="B66" s="610" t="s">
        <v>108</v>
      </c>
    </row>
    <row r="67" spans="1:2">
      <c r="A67" s="610" t="s">
        <v>645</v>
      </c>
      <c r="B67" s="610" t="s">
        <v>413</v>
      </c>
    </row>
    <row r="68" spans="1:2">
      <c r="A68" s="610" t="s">
        <v>646</v>
      </c>
      <c r="B68" s="610" t="s">
        <v>108</v>
      </c>
    </row>
    <row r="69" spans="1:2">
      <c r="A69" s="610" t="s">
        <v>647</v>
      </c>
      <c r="B69" s="610" t="s">
        <v>108</v>
      </c>
    </row>
    <row r="70" spans="1:2">
      <c r="A70" s="610" t="s">
        <v>648</v>
      </c>
      <c r="B70" s="610" t="s">
        <v>108</v>
      </c>
    </row>
    <row r="71" spans="1:2">
      <c r="A71" s="610" t="s">
        <v>649</v>
      </c>
      <c r="B71" s="610" t="s">
        <v>108</v>
      </c>
    </row>
    <row r="72" spans="1:2">
      <c r="A72" s="610" t="s">
        <v>650</v>
      </c>
      <c r="B72" s="610" t="s">
        <v>604</v>
      </c>
    </row>
    <row r="73" spans="1:2">
      <c r="A73" s="610" t="s">
        <v>651</v>
      </c>
      <c r="B73" s="610" t="s">
        <v>604</v>
      </c>
    </row>
    <row r="74" spans="1:2">
      <c r="A74" s="610" t="s">
        <v>652</v>
      </c>
      <c r="B74" s="610" t="s">
        <v>604</v>
      </c>
    </row>
    <row r="75" spans="1:2">
      <c r="A75" s="610" t="s">
        <v>653</v>
      </c>
      <c r="B75" s="610" t="s">
        <v>413</v>
      </c>
    </row>
    <row r="76" spans="1:2">
      <c r="A76" s="610" t="s">
        <v>654</v>
      </c>
      <c r="B76" s="610" t="s">
        <v>108</v>
      </c>
    </row>
    <row r="77" spans="1:2">
      <c r="A77" s="610" t="s">
        <v>655</v>
      </c>
      <c r="B77" s="610" t="s">
        <v>526</v>
      </c>
    </row>
    <row r="78" spans="1:2">
      <c r="A78" s="610" t="s">
        <v>656</v>
      </c>
      <c r="B78" s="610" t="s">
        <v>526</v>
      </c>
    </row>
    <row r="79" spans="1:2">
      <c r="A79" s="610" t="s">
        <v>657</v>
      </c>
      <c r="B79" s="610" t="s">
        <v>526</v>
      </c>
    </row>
    <row r="80" spans="1:2">
      <c r="A80" s="610" t="s">
        <v>658</v>
      </c>
      <c r="B80" s="610" t="s">
        <v>526</v>
      </c>
    </row>
    <row r="81" spans="1:2">
      <c r="A81" s="610" t="s">
        <v>659</v>
      </c>
      <c r="B81" s="610" t="s">
        <v>526</v>
      </c>
    </row>
    <row r="82" spans="1:2">
      <c r="A82" s="610" t="s">
        <v>660</v>
      </c>
      <c r="B82" s="610" t="s">
        <v>526</v>
      </c>
    </row>
    <row r="83" spans="1:2">
      <c r="A83" s="610" t="s">
        <v>661</v>
      </c>
      <c r="B83" s="610" t="s">
        <v>526</v>
      </c>
    </row>
    <row r="84" spans="1:2">
      <c r="A84" s="610" t="s">
        <v>662</v>
      </c>
      <c r="B84" s="610" t="s">
        <v>108</v>
      </c>
    </row>
    <row r="85" spans="1:2">
      <c r="A85" s="610" t="s">
        <v>663</v>
      </c>
      <c r="B85" s="610" t="s">
        <v>108</v>
      </c>
    </row>
    <row r="86" spans="1:2">
      <c r="A86" s="610" t="s">
        <v>664</v>
      </c>
      <c r="B86" s="610" t="s">
        <v>526</v>
      </c>
    </row>
    <row r="87" spans="1:2">
      <c r="A87" s="610" t="s">
        <v>665</v>
      </c>
      <c r="B87" s="610" t="s">
        <v>108</v>
      </c>
    </row>
    <row r="88" spans="1:2">
      <c r="A88" s="610" t="s">
        <v>666</v>
      </c>
      <c r="B88" s="610" t="s">
        <v>526</v>
      </c>
    </row>
    <row r="89" spans="1:2">
      <c r="A89" s="610" t="s">
        <v>667</v>
      </c>
      <c r="B89" s="610" t="s">
        <v>526</v>
      </c>
    </row>
    <row r="90" spans="1:2">
      <c r="A90" s="610" t="s">
        <v>668</v>
      </c>
      <c r="B90" s="610" t="s">
        <v>604</v>
      </c>
    </row>
    <row r="91" spans="1:2">
      <c r="A91" s="610" t="s">
        <v>669</v>
      </c>
      <c r="B91" s="610" t="s">
        <v>108</v>
      </c>
    </row>
    <row r="92" spans="1:2">
      <c r="A92" s="610" t="s">
        <v>670</v>
      </c>
      <c r="B92" s="610" t="s">
        <v>108</v>
      </c>
    </row>
    <row r="93" spans="1:2">
      <c r="A93" s="610" t="s">
        <v>671</v>
      </c>
      <c r="B93" s="610" t="s">
        <v>108</v>
      </c>
    </row>
    <row r="94" spans="1:2">
      <c r="A94" s="610" t="s">
        <v>672</v>
      </c>
      <c r="B94" s="610" t="s">
        <v>132</v>
      </c>
    </row>
    <row r="95" spans="1:2">
      <c r="A95" s="610" t="s">
        <v>673</v>
      </c>
      <c r="B95" s="610" t="s">
        <v>132</v>
      </c>
    </row>
    <row r="96" spans="1:2">
      <c r="A96" s="610" t="s">
        <v>674</v>
      </c>
      <c r="B96" s="610" t="s">
        <v>132</v>
      </c>
    </row>
    <row r="97" spans="1:2">
      <c r="A97" s="610" t="s">
        <v>675</v>
      </c>
      <c r="B97" s="610" t="s">
        <v>132</v>
      </c>
    </row>
    <row r="98" spans="1:2">
      <c r="A98" s="610" t="s">
        <v>676</v>
      </c>
      <c r="B98" s="610" t="s">
        <v>108</v>
      </c>
    </row>
    <row r="99" spans="1:2">
      <c r="A99" s="610" t="s">
        <v>677</v>
      </c>
      <c r="B99" s="610" t="s">
        <v>526</v>
      </c>
    </row>
    <row r="100" spans="1:2">
      <c r="A100" s="610" t="s">
        <v>678</v>
      </c>
      <c r="B100" s="610" t="s">
        <v>604</v>
      </c>
    </row>
    <row r="101" spans="1:2">
      <c r="A101" s="610" t="s">
        <v>679</v>
      </c>
      <c r="B101" s="610" t="s">
        <v>604</v>
      </c>
    </row>
    <row r="102" spans="1:2">
      <c r="A102" s="610" t="s">
        <v>680</v>
      </c>
      <c r="B102" s="610" t="s">
        <v>604</v>
      </c>
    </row>
    <row r="103" spans="1:2">
      <c r="A103" s="610" t="s">
        <v>681</v>
      </c>
      <c r="B103" s="610" t="s">
        <v>526</v>
      </c>
    </row>
    <row r="104" spans="1:2">
      <c r="A104" s="610" t="s">
        <v>682</v>
      </c>
      <c r="B104" s="610" t="s">
        <v>526</v>
      </c>
    </row>
    <row r="105" spans="1:2">
      <c r="A105" s="610" t="s">
        <v>423</v>
      </c>
      <c r="B105" s="610" t="s">
        <v>526</v>
      </c>
    </row>
    <row r="106" spans="1:2">
      <c r="A106" s="610" t="s">
        <v>421</v>
      </c>
      <c r="B106" s="610" t="s">
        <v>526</v>
      </c>
    </row>
    <row r="107" spans="1:2">
      <c r="A107" s="610" t="s">
        <v>367</v>
      </c>
      <c r="B107" s="610" t="s">
        <v>108</v>
      </c>
    </row>
    <row r="108" spans="1:2">
      <c r="A108" s="610" t="s">
        <v>683</v>
      </c>
      <c r="B108" s="610" t="s">
        <v>108</v>
      </c>
    </row>
    <row r="109" spans="1:2">
      <c r="A109" s="610" t="s">
        <v>206</v>
      </c>
      <c r="B109" s="610" t="s">
        <v>526</v>
      </c>
    </row>
    <row r="110" spans="1:2">
      <c r="A110" s="610" t="s">
        <v>684</v>
      </c>
      <c r="B110" s="610" t="s">
        <v>526</v>
      </c>
    </row>
    <row r="111" spans="1:2">
      <c r="A111" s="610" t="s">
        <v>685</v>
      </c>
      <c r="B111" s="610" t="s">
        <v>132</v>
      </c>
    </row>
    <row r="112" spans="1:2">
      <c r="A112" s="610" t="s">
        <v>686</v>
      </c>
      <c r="B112" s="610" t="s">
        <v>132</v>
      </c>
    </row>
    <row r="113" spans="1:2">
      <c r="A113" s="610" t="s">
        <v>687</v>
      </c>
      <c r="B113" s="610" t="s">
        <v>526</v>
      </c>
    </row>
    <row r="114" spans="1:2">
      <c r="A114" s="610" t="s">
        <v>688</v>
      </c>
      <c r="B114" s="610" t="s">
        <v>526</v>
      </c>
    </row>
    <row r="115" spans="1:2">
      <c r="A115" s="610" t="s">
        <v>689</v>
      </c>
      <c r="B115" s="610" t="s">
        <v>526</v>
      </c>
    </row>
    <row r="116" spans="1:2">
      <c r="A116" s="610" t="s">
        <v>690</v>
      </c>
      <c r="B116" s="610" t="s">
        <v>604</v>
      </c>
    </row>
    <row r="117" spans="1:2">
      <c r="A117" s="610" t="s">
        <v>691</v>
      </c>
      <c r="B117" s="610" t="s">
        <v>526</v>
      </c>
    </row>
    <row r="118" spans="1:2">
      <c r="A118" s="610" t="s">
        <v>692</v>
      </c>
      <c r="B118" s="610" t="s">
        <v>108</v>
      </c>
    </row>
    <row r="119" spans="1:2">
      <c r="A119" s="610" t="s">
        <v>693</v>
      </c>
      <c r="B119" s="610" t="s">
        <v>108</v>
      </c>
    </row>
    <row r="120" spans="1:2">
      <c r="A120" s="610" t="s">
        <v>694</v>
      </c>
      <c r="B120" s="610" t="s">
        <v>108</v>
      </c>
    </row>
    <row r="121" spans="1:2">
      <c r="A121" s="610" t="s">
        <v>695</v>
      </c>
      <c r="B121" s="610" t="s">
        <v>108</v>
      </c>
    </row>
    <row r="122" spans="1:2">
      <c r="A122" s="610" t="s">
        <v>696</v>
      </c>
      <c r="B122" s="610" t="s">
        <v>413</v>
      </c>
    </row>
    <row r="123" spans="1:2">
      <c r="A123" s="610" t="s">
        <v>697</v>
      </c>
      <c r="B123" s="610" t="s">
        <v>526</v>
      </c>
    </row>
    <row r="124" spans="1:2">
      <c r="A124" s="610" t="s">
        <v>698</v>
      </c>
      <c r="B124" s="610" t="s">
        <v>132</v>
      </c>
    </row>
    <row r="125" spans="1:2">
      <c r="A125" s="610" t="s">
        <v>699</v>
      </c>
      <c r="B125" s="610" t="s">
        <v>132</v>
      </c>
    </row>
    <row r="126" spans="1:2">
      <c r="A126" s="610" t="s">
        <v>425</v>
      </c>
      <c r="B126" s="610" t="s">
        <v>526</v>
      </c>
    </row>
    <row r="127" spans="1:2">
      <c r="A127" s="610" t="s">
        <v>700</v>
      </c>
      <c r="B127" s="610" t="s">
        <v>108</v>
      </c>
    </row>
    <row r="128" spans="1:2">
      <c r="A128" s="610" t="s">
        <v>701</v>
      </c>
      <c r="B128" s="610" t="s">
        <v>604</v>
      </c>
    </row>
    <row r="129" spans="1:2">
      <c r="A129" s="610" t="s">
        <v>702</v>
      </c>
      <c r="B129" s="610" t="s">
        <v>526</v>
      </c>
    </row>
    <row r="130" spans="1:2">
      <c r="A130" s="610" t="s">
        <v>703</v>
      </c>
      <c r="B130" s="610" t="s">
        <v>132</v>
      </c>
    </row>
    <row r="131" spans="1:2">
      <c r="A131" s="610" t="s">
        <v>704</v>
      </c>
      <c r="B131" s="610" t="s">
        <v>526</v>
      </c>
    </row>
    <row r="132" spans="1:2">
      <c r="A132" s="610" t="s">
        <v>705</v>
      </c>
      <c r="B132" s="610" t="s">
        <v>604</v>
      </c>
    </row>
    <row r="133" spans="1:2">
      <c r="A133" s="610" t="s">
        <v>706</v>
      </c>
      <c r="B133" s="610" t="s">
        <v>132</v>
      </c>
    </row>
    <row r="134" spans="1:2">
      <c r="A134" s="610" t="s">
        <v>442</v>
      </c>
      <c r="B134" s="610" t="s">
        <v>604</v>
      </c>
    </row>
    <row r="135" spans="1:2">
      <c r="A135" s="610" t="s">
        <v>707</v>
      </c>
      <c r="B135" s="610" t="s">
        <v>413</v>
      </c>
    </row>
    <row r="136" spans="1:2">
      <c r="A136" s="610" t="s">
        <v>708</v>
      </c>
      <c r="B136" s="610" t="s">
        <v>108</v>
      </c>
    </row>
    <row r="137" spans="1:2">
      <c r="A137" s="610" t="s">
        <v>709</v>
      </c>
      <c r="B137" s="610" t="s">
        <v>604</v>
      </c>
    </row>
    <row r="138" spans="1:2">
      <c r="A138" s="610" t="s">
        <v>710</v>
      </c>
      <c r="B138" s="610" t="s">
        <v>604</v>
      </c>
    </row>
    <row r="139" spans="1:2">
      <c r="A139" s="610" t="s">
        <v>711</v>
      </c>
      <c r="B139" s="610" t="s">
        <v>108</v>
      </c>
    </row>
    <row r="140" spans="1:2">
      <c r="A140" s="610" t="s">
        <v>712</v>
      </c>
      <c r="B140" s="610" t="s">
        <v>108</v>
      </c>
    </row>
    <row r="141" spans="1:2">
      <c r="A141" s="610" t="s">
        <v>713</v>
      </c>
      <c r="B141" s="610" t="s">
        <v>132</v>
      </c>
    </row>
    <row r="142" spans="1:2">
      <c r="A142" s="610" t="s">
        <v>714</v>
      </c>
      <c r="B142" s="610" t="s">
        <v>132</v>
      </c>
    </row>
    <row r="143" spans="1:2">
      <c r="A143" s="610" t="s">
        <v>549</v>
      </c>
      <c r="B143" s="610" t="s">
        <v>526</v>
      </c>
    </row>
    <row r="144" spans="1:2">
      <c r="A144" s="610" t="s">
        <v>715</v>
      </c>
      <c r="B144" s="610" t="s">
        <v>526</v>
      </c>
    </row>
    <row r="145" spans="1:2">
      <c r="A145" s="610" t="s">
        <v>716</v>
      </c>
      <c r="B145" s="610" t="s">
        <v>108</v>
      </c>
    </row>
    <row r="146" spans="1:2">
      <c r="A146" s="610" t="s">
        <v>717</v>
      </c>
      <c r="B146" s="610" t="s">
        <v>132</v>
      </c>
    </row>
    <row r="147" spans="1:2">
      <c r="A147" s="610" t="s">
        <v>718</v>
      </c>
      <c r="B147" s="610" t="s">
        <v>604</v>
      </c>
    </row>
    <row r="148" spans="1:2">
      <c r="A148" s="610" t="s">
        <v>719</v>
      </c>
      <c r="B148" s="610" t="s">
        <v>132</v>
      </c>
    </row>
    <row r="149" spans="1:2">
      <c r="A149" s="610" t="s">
        <v>720</v>
      </c>
      <c r="B149" s="610" t="s">
        <v>132</v>
      </c>
    </row>
    <row r="150" spans="1:2">
      <c r="A150" s="610" t="s">
        <v>721</v>
      </c>
      <c r="B150" s="610" t="s">
        <v>132</v>
      </c>
    </row>
    <row r="151" spans="1:2">
      <c r="A151" s="610" t="s">
        <v>722</v>
      </c>
      <c r="B151" s="610" t="s">
        <v>132</v>
      </c>
    </row>
    <row r="152" spans="1:2">
      <c r="A152" s="610" t="s">
        <v>723</v>
      </c>
      <c r="B152" s="610" t="s">
        <v>132</v>
      </c>
    </row>
    <row r="153" spans="1:2">
      <c r="A153" s="610" t="s">
        <v>724</v>
      </c>
      <c r="B153" s="610" t="s">
        <v>132</v>
      </c>
    </row>
    <row r="154" spans="1:2">
      <c r="A154" s="610" t="s">
        <v>725</v>
      </c>
      <c r="B154" s="610" t="s">
        <v>132</v>
      </c>
    </row>
    <row r="155" spans="1:2">
      <c r="A155" s="610" t="s">
        <v>726</v>
      </c>
      <c r="B155" s="610" t="s">
        <v>132</v>
      </c>
    </row>
    <row r="156" spans="1:2">
      <c r="A156" s="610" t="s">
        <v>727</v>
      </c>
      <c r="B156" s="610" t="s">
        <v>132</v>
      </c>
    </row>
    <row r="157" spans="1:2">
      <c r="A157" s="610" t="s">
        <v>728</v>
      </c>
      <c r="B157" s="610" t="s">
        <v>132</v>
      </c>
    </row>
    <row r="158" spans="1:2">
      <c r="A158" s="610" t="s">
        <v>729</v>
      </c>
      <c r="B158" s="610" t="s">
        <v>132</v>
      </c>
    </row>
    <row r="159" spans="1:2">
      <c r="A159" s="610" t="s">
        <v>730</v>
      </c>
      <c r="B159" s="610" t="s">
        <v>132</v>
      </c>
    </row>
    <row r="160" spans="1:2">
      <c r="A160" s="610" t="s">
        <v>731</v>
      </c>
      <c r="B160" s="610" t="s">
        <v>132</v>
      </c>
    </row>
    <row r="161" spans="1:2">
      <c r="A161" s="610" t="s">
        <v>732</v>
      </c>
      <c r="B161" s="610" t="s">
        <v>132</v>
      </c>
    </row>
    <row r="162" spans="1:2">
      <c r="A162" s="610" t="s">
        <v>733</v>
      </c>
      <c r="B162" s="610" t="s">
        <v>132</v>
      </c>
    </row>
    <row r="163" spans="1:2">
      <c r="A163" s="610" t="s">
        <v>734</v>
      </c>
      <c r="B163" s="610" t="s">
        <v>108</v>
      </c>
    </row>
    <row r="164" spans="1:2">
      <c r="A164" s="610" t="s">
        <v>480</v>
      </c>
      <c r="B164" s="610" t="s">
        <v>108</v>
      </c>
    </row>
    <row r="165" spans="1:2">
      <c r="A165" s="610" t="s">
        <v>735</v>
      </c>
      <c r="B165" s="610" t="s">
        <v>526</v>
      </c>
    </row>
    <row r="166" spans="1:2">
      <c r="A166" s="610" t="s">
        <v>736</v>
      </c>
      <c r="B166" s="610" t="s">
        <v>108</v>
      </c>
    </row>
    <row r="167" spans="1:2">
      <c r="A167" s="610" t="s">
        <v>737</v>
      </c>
      <c r="B167" s="610" t="s">
        <v>108</v>
      </c>
    </row>
    <row r="168" spans="1:2">
      <c r="A168" s="610" t="s">
        <v>738</v>
      </c>
      <c r="B168" s="610" t="s">
        <v>132</v>
      </c>
    </row>
    <row r="169" spans="1:2">
      <c r="A169" s="610" t="s">
        <v>739</v>
      </c>
      <c r="B169" s="610" t="s">
        <v>108</v>
      </c>
    </row>
    <row r="170" spans="1:2">
      <c r="A170" s="610" t="s">
        <v>740</v>
      </c>
      <c r="B170" s="610" t="s">
        <v>132</v>
      </c>
    </row>
    <row r="171" spans="1:2">
      <c r="A171" s="610" t="s">
        <v>741</v>
      </c>
      <c r="B171" s="610" t="s">
        <v>108</v>
      </c>
    </row>
    <row r="172" spans="1:2">
      <c r="A172" s="610" t="s">
        <v>742</v>
      </c>
      <c r="B172" s="610" t="s">
        <v>108</v>
      </c>
    </row>
    <row r="173" spans="1:2">
      <c r="A173" s="610" t="s">
        <v>743</v>
      </c>
      <c r="B173" s="610" t="s">
        <v>108</v>
      </c>
    </row>
    <row r="174" spans="1:2">
      <c r="A174" s="610" t="s">
        <v>744</v>
      </c>
      <c r="B174" s="610" t="s">
        <v>526</v>
      </c>
    </row>
    <row r="175" spans="1:2">
      <c r="A175" s="610" t="s">
        <v>745</v>
      </c>
      <c r="B175" s="610" t="s">
        <v>108</v>
      </c>
    </row>
    <row r="176" spans="1:2">
      <c r="A176" s="610" t="s">
        <v>746</v>
      </c>
      <c r="B176" s="610" t="s">
        <v>526</v>
      </c>
    </row>
    <row r="177" spans="1:2">
      <c r="A177" s="610" t="s">
        <v>747</v>
      </c>
      <c r="B177" s="610" t="s">
        <v>108</v>
      </c>
    </row>
    <row r="178" spans="1:2">
      <c r="A178" s="610" t="s">
        <v>748</v>
      </c>
      <c r="B178" s="610" t="s">
        <v>526</v>
      </c>
    </row>
    <row r="179" spans="1:2">
      <c r="A179" s="610" t="s">
        <v>749</v>
      </c>
      <c r="B179" s="610" t="s">
        <v>132</v>
      </c>
    </row>
    <row r="180" spans="1:2">
      <c r="A180" s="610" t="s">
        <v>750</v>
      </c>
      <c r="B180" s="610" t="s">
        <v>132</v>
      </c>
    </row>
    <row r="181" spans="1:2">
      <c r="A181" s="610" t="s">
        <v>751</v>
      </c>
      <c r="B181" s="610" t="s">
        <v>604</v>
      </c>
    </row>
    <row r="182" spans="1:2">
      <c r="A182" s="610" t="s">
        <v>752</v>
      </c>
      <c r="B182" s="610" t="s">
        <v>604</v>
      </c>
    </row>
    <row r="183" spans="1:2">
      <c r="A183" s="610" t="s">
        <v>753</v>
      </c>
      <c r="B183" s="610" t="s">
        <v>604</v>
      </c>
    </row>
    <row r="184" spans="1:2">
      <c r="A184" s="610" t="s">
        <v>754</v>
      </c>
      <c r="B184" s="610" t="s">
        <v>604</v>
      </c>
    </row>
    <row r="185" spans="1:2">
      <c r="A185" s="610" t="s">
        <v>755</v>
      </c>
      <c r="B185" s="610" t="s">
        <v>108</v>
      </c>
    </row>
    <row r="186" spans="1:2">
      <c r="A186" s="610" t="s">
        <v>756</v>
      </c>
      <c r="B186" s="610" t="s">
        <v>108</v>
      </c>
    </row>
    <row r="187" spans="1:2">
      <c r="A187" s="610" t="s">
        <v>757</v>
      </c>
      <c r="B187" s="610" t="s">
        <v>108</v>
      </c>
    </row>
    <row r="188" spans="1:2">
      <c r="A188" s="610" t="s">
        <v>758</v>
      </c>
      <c r="B188" s="610" t="s">
        <v>108</v>
      </c>
    </row>
    <row r="189" spans="1:2">
      <c r="A189" s="610" t="s">
        <v>195</v>
      </c>
      <c r="B189" s="610" t="s">
        <v>526</v>
      </c>
    </row>
    <row r="190" spans="1:2">
      <c r="A190" s="610" t="s">
        <v>759</v>
      </c>
      <c r="B190" s="610" t="s">
        <v>108</v>
      </c>
    </row>
    <row r="191" spans="1:2">
      <c r="A191" s="610" t="s">
        <v>760</v>
      </c>
      <c r="B191" s="610" t="s">
        <v>108</v>
      </c>
    </row>
    <row r="192" spans="1:2">
      <c r="A192" s="610" t="s">
        <v>761</v>
      </c>
      <c r="B192" s="610" t="s">
        <v>108</v>
      </c>
    </row>
    <row r="193" spans="1:2">
      <c r="A193" s="610" t="s">
        <v>762</v>
      </c>
      <c r="B193" s="610" t="s">
        <v>604</v>
      </c>
    </row>
    <row r="194" spans="1:2">
      <c r="A194" s="610" t="s">
        <v>763</v>
      </c>
      <c r="B194" s="610" t="s">
        <v>604</v>
      </c>
    </row>
    <row r="195" spans="1:2">
      <c r="A195" s="610" t="s">
        <v>764</v>
      </c>
      <c r="B195" s="610" t="s">
        <v>108</v>
      </c>
    </row>
    <row r="196" spans="1:2">
      <c r="A196" s="610" t="s">
        <v>204</v>
      </c>
      <c r="B196" s="610" t="s">
        <v>526</v>
      </c>
    </row>
    <row r="197" spans="1:2">
      <c r="A197" s="610" t="s">
        <v>478</v>
      </c>
      <c r="B197" s="610" t="s">
        <v>108</v>
      </c>
    </row>
    <row r="198" spans="1:2">
      <c r="A198" s="610" t="s">
        <v>765</v>
      </c>
      <c r="B198" s="610" t="s">
        <v>108</v>
      </c>
    </row>
    <row r="199" spans="1:2">
      <c r="A199" s="610" t="s">
        <v>293</v>
      </c>
      <c r="B199" s="610" t="s">
        <v>604</v>
      </c>
    </row>
    <row r="200" spans="1:2">
      <c r="A200" s="610" t="s">
        <v>766</v>
      </c>
      <c r="B200" s="610" t="s">
        <v>108</v>
      </c>
    </row>
    <row r="201" spans="1:2">
      <c r="A201" s="610" t="s">
        <v>767</v>
      </c>
      <c r="B201" s="610" t="s">
        <v>526</v>
      </c>
    </row>
    <row r="202" spans="1:2">
      <c r="A202" s="610" t="s">
        <v>152</v>
      </c>
      <c r="B202" s="610" t="s">
        <v>526</v>
      </c>
    </row>
    <row r="203" spans="1:2">
      <c r="A203" s="610" t="s">
        <v>768</v>
      </c>
      <c r="B203" s="610" t="s">
        <v>526</v>
      </c>
    </row>
    <row r="204" spans="1:2">
      <c r="A204" s="610" t="s">
        <v>769</v>
      </c>
      <c r="B204" s="610" t="s">
        <v>526</v>
      </c>
    </row>
    <row r="205" spans="1:2">
      <c r="A205" s="610" t="s">
        <v>211</v>
      </c>
      <c r="B205" s="610" t="s">
        <v>526</v>
      </c>
    </row>
    <row r="206" spans="1:2">
      <c r="A206" s="610" t="s">
        <v>348</v>
      </c>
      <c r="B206" s="610" t="s">
        <v>526</v>
      </c>
    </row>
    <row r="207" spans="1:2">
      <c r="A207" s="610" t="s">
        <v>770</v>
      </c>
      <c r="B207" s="610" t="s">
        <v>526</v>
      </c>
    </row>
    <row r="208" spans="1:2">
      <c r="A208" s="610" t="s">
        <v>395</v>
      </c>
      <c r="B208" s="610" t="s">
        <v>526</v>
      </c>
    </row>
    <row r="209" spans="1:2">
      <c r="A209" s="610" t="s">
        <v>771</v>
      </c>
      <c r="B209" s="610" t="s">
        <v>526</v>
      </c>
    </row>
    <row r="210" spans="1:2">
      <c r="A210" s="610" t="s">
        <v>462</v>
      </c>
      <c r="B210" s="610" t="s">
        <v>108</v>
      </c>
    </row>
    <row r="211" spans="1:2">
      <c r="A211" s="610" t="s">
        <v>772</v>
      </c>
      <c r="B211" s="610" t="s">
        <v>108</v>
      </c>
    </row>
    <row r="212" spans="1:2">
      <c r="A212" s="610" t="s">
        <v>773</v>
      </c>
      <c r="B212" s="610" t="s">
        <v>108</v>
      </c>
    </row>
    <row r="213" spans="1:2">
      <c r="A213" s="610" t="s">
        <v>774</v>
      </c>
      <c r="B213" s="610" t="s">
        <v>132</v>
      </c>
    </row>
    <row r="214" spans="1:2">
      <c r="A214" s="610" t="s">
        <v>471</v>
      </c>
      <c r="B214" s="610" t="s">
        <v>132</v>
      </c>
    </row>
    <row r="215" spans="1:2">
      <c r="A215" s="610" t="s">
        <v>775</v>
      </c>
      <c r="B215" s="610" t="s">
        <v>108</v>
      </c>
    </row>
    <row r="216" spans="1:2">
      <c r="A216" s="610" t="s">
        <v>776</v>
      </c>
      <c r="B216" s="610" t="s">
        <v>132</v>
      </c>
    </row>
    <row r="217" spans="1:2">
      <c r="A217" s="610" t="s">
        <v>777</v>
      </c>
      <c r="B217" s="610" t="s">
        <v>108</v>
      </c>
    </row>
    <row r="218" spans="1:2">
      <c r="A218" s="610" t="s">
        <v>778</v>
      </c>
      <c r="B218" s="610" t="s">
        <v>526</v>
      </c>
    </row>
    <row r="219" spans="1:2">
      <c r="A219" s="610" t="s">
        <v>779</v>
      </c>
      <c r="B219" s="610" t="s">
        <v>108</v>
      </c>
    </row>
    <row r="220" spans="1:2">
      <c r="A220" s="610" t="s">
        <v>780</v>
      </c>
      <c r="B220" s="610" t="s">
        <v>108</v>
      </c>
    </row>
    <row r="221" spans="1:2">
      <c r="A221" s="610" t="s">
        <v>781</v>
      </c>
      <c r="B221" s="610" t="s">
        <v>132</v>
      </c>
    </row>
    <row r="222" spans="1:2">
      <c r="A222" s="610" t="s">
        <v>782</v>
      </c>
      <c r="B222" s="610" t="s">
        <v>604</v>
      </c>
    </row>
    <row r="223" spans="1:2">
      <c r="A223" s="610" t="s">
        <v>402</v>
      </c>
      <c r="B223" s="610" t="s">
        <v>108</v>
      </c>
    </row>
    <row r="224" spans="1:2">
      <c r="A224" s="610" t="s">
        <v>783</v>
      </c>
      <c r="B224" s="610" t="s">
        <v>108</v>
      </c>
    </row>
    <row r="225" spans="1:2">
      <c r="A225" s="610" t="s">
        <v>784</v>
      </c>
      <c r="B225" s="610" t="s">
        <v>526</v>
      </c>
    </row>
    <row r="226" spans="1:2">
      <c r="A226" s="610" t="s">
        <v>785</v>
      </c>
      <c r="B226" s="610" t="s">
        <v>526</v>
      </c>
    </row>
    <row r="227" spans="1:2">
      <c r="A227" s="610" t="s">
        <v>786</v>
      </c>
      <c r="B227" s="610" t="s">
        <v>108</v>
      </c>
    </row>
    <row r="228" spans="1:2">
      <c r="A228" s="610" t="s">
        <v>787</v>
      </c>
      <c r="B228" s="610" t="s">
        <v>108</v>
      </c>
    </row>
    <row r="229" spans="1:2">
      <c r="A229" s="610" t="s">
        <v>788</v>
      </c>
      <c r="B229" s="610" t="s">
        <v>108</v>
      </c>
    </row>
    <row r="230" spans="1:2">
      <c r="A230" s="610" t="s">
        <v>789</v>
      </c>
      <c r="B230" s="610" t="s">
        <v>413</v>
      </c>
    </row>
    <row r="231" spans="1:2">
      <c r="A231" s="610" t="s">
        <v>790</v>
      </c>
      <c r="B231" s="610" t="s">
        <v>526</v>
      </c>
    </row>
    <row r="232" spans="1:2">
      <c r="A232" s="610" t="s">
        <v>791</v>
      </c>
      <c r="B232" s="610" t="s">
        <v>526</v>
      </c>
    </row>
    <row r="233" spans="1:2">
      <c r="A233" s="610" t="s">
        <v>792</v>
      </c>
      <c r="B233" s="610" t="s">
        <v>526</v>
      </c>
    </row>
    <row r="234" spans="1:2">
      <c r="A234" s="610" t="s">
        <v>793</v>
      </c>
      <c r="B234" s="610" t="s">
        <v>604</v>
      </c>
    </row>
    <row r="235" spans="1:2">
      <c r="A235" s="610" t="s">
        <v>794</v>
      </c>
      <c r="B235" s="610" t="s">
        <v>108</v>
      </c>
    </row>
    <row r="236" spans="1:2">
      <c r="A236" s="610" t="s">
        <v>795</v>
      </c>
      <c r="B236" s="610" t="s">
        <v>108</v>
      </c>
    </row>
    <row r="237" spans="1:2">
      <c r="A237" s="610" t="s">
        <v>796</v>
      </c>
      <c r="B237" s="610" t="s">
        <v>108</v>
      </c>
    </row>
    <row r="238" spans="1:2">
      <c r="A238" s="610" t="s">
        <v>456</v>
      </c>
      <c r="B238" s="610" t="s">
        <v>526</v>
      </c>
    </row>
    <row r="239" spans="1:2">
      <c r="A239" s="610" t="s">
        <v>797</v>
      </c>
      <c r="B239" s="610" t="s">
        <v>108</v>
      </c>
    </row>
    <row r="240" spans="1:2">
      <c r="A240" s="610" t="s">
        <v>798</v>
      </c>
      <c r="B240" s="610" t="s">
        <v>108</v>
      </c>
    </row>
    <row r="241" spans="1:2">
      <c r="A241" s="610" t="s">
        <v>799</v>
      </c>
      <c r="B241" s="610" t="s">
        <v>526</v>
      </c>
    </row>
    <row r="242" spans="1:2">
      <c r="A242" s="610" t="s">
        <v>800</v>
      </c>
      <c r="B242" s="610" t="s">
        <v>526</v>
      </c>
    </row>
    <row r="243" spans="1:2">
      <c r="A243" s="610" t="s">
        <v>801</v>
      </c>
      <c r="B243" s="610" t="s">
        <v>526</v>
      </c>
    </row>
    <row r="244" spans="1:2">
      <c r="A244" s="610" t="s">
        <v>802</v>
      </c>
      <c r="B244" s="610" t="s">
        <v>526</v>
      </c>
    </row>
    <row r="245" spans="1:2">
      <c r="A245" s="610" t="s">
        <v>803</v>
      </c>
      <c r="B245" s="610" t="s">
        <v>526</v>
      </c>
    </row>
    <row r="246" spans="1:2">
      <c r="A246" s="610" t="s">
        <v>804</v>
      </c>
      <c r="B246" s="610" t="s">
        <v>108</v>
      </c>
    </row>
    <row r="247" spans="1:2">
      <c r="A247" s="610" t="s">
        <v>805</v>
      </c>
      <c r="B247" s="610" t="s">
        <v>526</v>
      </c>
    </row>
    <row r="248" spans="1:2">
      <c r="A248" s="610" t="s">
        <v>447</v>
      </c>
      <c r="B248" s="610" t="s">
        <v>108</v>
      </c>
    </row>
    <row r="249" spans="1:2">
      <c r="A249" s="610" t="s">
        <v>415</v>
      </c>
      <c r="B249" s="610" t="s">
        <v>413</v>
      </c>
    </row>
    <row r="250" spans="1:2">
      <c r="A250" s="610" t="s">
        <v>806</v>
      </c>
      <c r="B250" s="610" t="s">
        <v>108</v>
      </c>
    </row>
    <row r="251" spans="1:2">
      <c r="A251" s="610" t="s">
        <v>807</v>
      </c>
      <c r="B251" s="610" t="s">
        <v>413</v>
      </c>
    </row>
    <row r="252" spans="1:2">
      <c r="A252" s="610" t="s">
        <v>808</v>
      </c>
      <c r="B252" s="610" t="s">
        <v>413</v>
      </c>
    </row>
    <row r="253" spans="1:2">
      <c r="A253" s="610" t="s">
        <v>809</v>
      </c>
      <c r="B253" s="610" t="s">
        <v>108</v>
      </c>
    </row>
    <row r="254" spans="1:2">
      <c r="A254" s="610" t="s">
        <v>458</v>
      </c>
      <c r="B254" s="610" t="s">
        <v>108</v>
      </c>
    </row>
    <row r="255" spans="1:2">
      <c r="A255" s="610" t="s">
        <v>810</v>
      </c>
      <c r="B255" s="610" t="s">
        <v>108</v>
      </c>
    </row>
    <row r="256" spans="1:2">
      <c r="A256" s="610" t="s">
        <v>811</v>
      </c>
      <c r="B256" s="610" t="s">
        <v>604</v>
      </c>
    </row>
    <row r="257" spans="1:2">
      <c r="A257" s="610" t="s">
        <v>812</v>
      </c>
      <c r="B257" s="610" t="s">
        <v>108</v>
      </c>
    </row>
    <row r="258" spans="1:2">
      <c r="A258" s="610" t="s">
        <v>813</v>
      </c>
      <c r="B258" s="610" t="s">
        <v>132</v>
      </c>
    </row>
    <row r="259" spans="1:2">
      <c r="A259" s="610" t="s">
        <v>814</v>
      </c>
      <c r="B259" s="610" t="s">
        <v>108</v>
      </c>
    </row>
    <row r="260" spans="1:2">
      <c r="A260" s="610" t="s">
        <v>815</v>
      </c>
      <c r="B260" s="610" t="s">
        <v>108</v>
      </c>
    </row>
    <row r="261" spans="1:2">
      <c r="A261" s="610" t="s">
        <v>816</v>
      </c>
      <c r="B261" s="610" t="s">
        <v>526</v>
      </c>
    </row>
    <row r="262" spans="1:2">
      <c r="A262" s="610" t="s">
        <v>817</v>
      </c>
      <c r="B262" s="610" t="s">
        <v>526</v>
      </c>
    </row>
    <row r="263" spans="1:2">
      <c r="A263" s="610" t="s">
        <v>818</v>
      </c>
      <c r="B263" s="610" t="s">
        <v>108</v>
      </c>
    </row>
    <row r="264" spans="1:2">
      <c r="A264" s="610" t="s">
        <v>819</v>
      </c>
      <c r="B264" s="610" t="s">
        <v>108</v>
      </c>
    </row>
    <row r="265" spans="1:2">
      <c r="A265" s="610" t="s">
        <v>820</v>
      </c>
      <c r="B265" s="610" t="s">
        <v>526</v>
      </c>
    </row>
    <row r="266" spans="1:2">
      <c r="A266" s="610" t="s">
        <v>821</v>
      </c>
      <c r="B266" s="610" t="s">
        <v>526</v>
      </c>
    </row>
    <row r="267" spans="1:2">
      <c r="A267" s="610" t="s">
        <v>822</v>
      </c>
      <c r="B267" s="610" t="s">
        <v>108</v>
      </c>
    </row>
    <row r="268" spans="1:2">
      <c r="A268" s="610" t="s">
        <v>823</v>
      </c>
      <c r="B268" s="610" t="s">
        <v>108</v>
      </c>
    </row>
    <row r="269" spans="1:2">
      <c r="A269" s="610" t="s">
        <v>824</v>
      </c>
      <c r="B269" s="610" t="s">
        <v>604</v>
      </c>
    </row>
    <row r="270" spans="1:2">
      <c r="A270" s="610" t="s">
        <v>825</v>
      </c>
      <c r="B270" s="610" t="s">
        <v>108</v>
      </c>
    </row>
    <row r="271" spans="1:2">
      <c r="A271" s="610" t="s">
        <v>826</v>
      </c>
      <c r="B271" s="610" t="s">
        <v>132</v>
      </c>
    </row>
    <row r="272" spans="1:2">
      <c r="A272" s="610" t="s">
        <v>827</v>
      </c>
      <c r="B272" s="610" t="s">
        <v>604</v>
      </c>
    </row>
    <row r="273" spans="1:2">
      <c r="A273" s="610" t="s">
        <v>828</v>
      </c>
      <c r="B273" s="610" t="s">
        <v>604</v>
      </c>
    </row>
    <row r="274" spans="1:2">
      <c r="A274" s="610" t="s">
        <v>829</v>
      </c>
      <c r="B274" s="610" t="s">
        <v>604</v>
      </c>
    </row>
    <row r="275" spans="1:2">
      <c r="A275" s="610" t="s">
        <v>830</v>
      </c>
      <c r="B275" s="610" t="s">
        <v>604</v>
      </c>
    </row>
    <row r="276" spans="1:2">
      <c r="A276" s="610" t="s">
        <v>831</v>
      </c>
      <c r="B276" s="610" t="s">
        <v>604</v>
      </c>
    </row>
    <row r="277" spans="1:2">
      <c r="A277" s="610" t="s">
        <v>832</v>
      </c>
      <c r="B277" s="610" t="s">
        <v>604</v>
      </c>
    </row>
    <row r="278" spans="1:2">
      <c r="A278" s="610" t="s">
        <v>833</v>
      </c>
      <c r="B278" s="610" t="s">
        <v>526</v>
      </c>
    </row>
    <row r="279" spans="1:2">
      <c r="A279" s="610" t="s">
        <v>834</v>
      </c>
      <c r="B279" s="610" t="s">
        <v>604</v>
      </c>
    </row>
    <row r="280" spans="1:2">
      <c r="A280" s="610" t="s">
        <v>835</v>
      </c>
      <c r="B280" s="610" t="s">
        <v>604</v>
      </c>
    </row>
    <row r="281" spans="1:2">
      <c r="A281" s="610" t="s">
        <v>836</v>
      </c>
      <c r="B281" s="610" t="s">
        <v>604</v>
      </c>
    </row>
    <row r="282" spans="1:2">
      <c r="A282" s="610" t="s">
        <v>837</v>
      </c>
      <c r="B282" s="610" t="s">
        <v>604</v>
      </c>
    </row>
    <row r="283" spans="1:2">
      <c r="A283" s="610" t="s">
        <v>838</v>
      </c>
      <c r="B283" s="610" t="s">
        <v>604</v>
      </c>
    </row>
    <row r="284" spans="1:2">
      <c r="A284" s="610" t="s">
        <v>839</v>
      </c>
      <c r="B284" s="610" t="s">
        <v>604</v>
      </c>
    </row>
    <row r="285" spans="1:2">
      <c r="A285" s="610" t="s">
        <v>840</v>
      </c>
      <c r="B285" s="610" t="s">
        <v>604</v>
      </c>
    </row>
    <row r="286" spans="1:2">
      <c r="A286" s="610" t="s">
        <v>841</v>
      </c>
      <c r="B286" s="610" t="s">
        <v>604</v>
      </c>
    </row>
    <row r="287" spans="1:2">
      <c r="A287" s="610" t="s">
        <v>842</v>
      </c>
      <c r="B287" s="610" t="s">
        <v>132</v>
      </c>
    </row>
    <row r="288" spans="1:2">
      <c r="A288" s="610" t="s">
        <v>843</v>
      </c>
      <c r="B288" s="610" t="s">
        <v>132</v>
      </c>
    </row>
    <row r="289" spans="1:2">
      <c r="A289" s="610" t="s">
        <v>844</v>
      </c>
      <c r="B289" s="610" t="s">
        <v>132</v>
      </c>
    </row>
    <row r="290" spans="1:2">
      <c r="A290" s="610" t="s">
        <v>845</v>
      </c>
      <c r="B290" s="610" t="s">
        <v>132</v>
      </c>
    </row>
    <row r="291" spans="1:2">
      <c r="A291" s="610" t="s">
        <v>846</v>
      </c>
      <c r="B291" s="610" t="s">
        <v>108</v>
      </c>
    </row>
    <row r="292" spans="1:2">
      <c r="A292" s="610" t="s">
        <v>847</v>
      </c>
      <c r="B292" s="610" t="s">
        <v>132</v>
      </c>
    </row>
    <row r="293" spans="1:2">
      <c r="A293" s="610" t="s">
        <v>848</v>
      </c>
      <c r="B293" s="610" t="s">
        <v>132</v>
      </c>
    </row>
    <row r="294" spans="1:2">
      <c r="A294" s="610" t="s">
        <v>849</v>
      </c>
      <c r="B294" s="610" t="s">
        <v>526</v>
      </c>
    </row>
    <row r="295" spans="1:2">
      <c r="A295" s="610" t="s">
        <v>850</v>
      </c>
      <c r="B295" s="610" t="s">
        <v>132</v>
      </c>
    </row>
    <row r="296" spans="1:2">
      <c r="A296" s="610" t="s">
        <v>851</v>
      </c>
      <c r="B296" s="610" t="s">
        <v>132</v>
      </c>
    </row>
    <row r="297" spans="1:2">
      <c r="A297" s="610" t="s">
        <v>852</v>
      </c>
      <c r="B297" s="610" t="s">
        <v>132</v>
      </c>
    </row>
    <row r="298" spans="1:2">
      <c r="A298" s="610" t="s">
        <v>853</v>
      </c>
      <c r="B298" s="610" t="s">
        <v>132</v>
      </c>
    </row>
    <row r="299" spans="1:2">
      <c r="A299" s="610" t="s">
        <v>854</v>
      </c>
      <c r="B299" s="610" t="s">
        <v>132</v>
      </c>
    </row>
    <row r="300" spans="1:2">
      <c r="A300" s="610" t="s">
        <v>855</v>
      </c>
      <c r="B300" s="610" t="s">
        <v>132</v>
      </c>
    </row>
    <row r="301" spans="1:2">
      <c r="A301" s="610" t="s">
        <v>856</v>
      </c>
      <c r="B301" s="610" t="s">
        <v>108</v>
      </c>
    </row>
    <row r="302" spans="1:2">
      <c r="A302" s="610" t="s">
        <v>857</v>
      </c>
      <c r="B302" s="610" t="s">
        <v>108</v>
      </c>
    </row>
    <row r="303" spans="1:2">
      <c r="A303" s="610" t="s">
        <v>858</v>
      </c>
      <c r="B303" s="610" t="s">
        <v>108</v>
      </c>
    </row>
    <row r="304" spans="1:2">
      <c r="A304" s="610" t="s">
        <v>859</v>
      </c>
      <c r="B304" s="610" t="s">
        <v>526</v>
      </c>
    </row>
    <row r="305" spans="1:2">
      <c r="A305" s="610" t="s">
        <v>860</v>
      </c>
      <c r="B305" s="610" t="s">
        <v>108</v>
      </c>
    </row>
    <row r="306" spans="1:2">
      <c r="A306" s="610" t="s">
        <v>861</v>
      </c>
      <c r="B306" s="610" t="s">
        <v>108</v>
      </c>
    </row>
    <row r="307" spans="1:2">
      <c r="A307" s="610" t="s">
        <v>862</v>
      </c>
      <c r="B307" s="610" t="s">
        <v>108</v>
      </c>
    </row>
    <row r="308" spans="1:2">
      <c r="A308" s="610" t="s">
        <v>863</v>
      </c>
      <c r="B308" s="610" t="s">
        <v>526</v>
      </c>
    </row>
    <row r="309" spans="1:2">
      <c r="A309" s="610" t="s">
        <v>864</v>
      </c>
      <c r="B309" s="610" t="s">
        <v>108</v>
      </c>
    </row>
    <row r="310" spans="1:2">
      <c r="A310" s="610" t="s">
        <v>865</v>
      </c>
      <c r="B310" s="610" t="s">
        <v>132</v>
      </c>
    </row>
    <row r="311" spans="1:2">
      <c r="A311" s="610" t="s">
        <v>866</v>
      </c>
      <c r="B311" s="610" t="s">
        <v>132</v>
      </c>
    </row>
    <row r="312" spans="1:2">
      <c r="A312" s="610" t="s">
        <v>867</v>
      </c>
      <c r="B312" s="610" t="s">
        <v>604</v>
      </c>
    </row>
    <row r="313" spans="1:2">
      <c r="A313" s="610" t="s">
        <v>868</v>
      </c>
      <c r="B313" s="610" t="s">
        <v>108</v>
      </c>
    </row>
    <row r="314" spans="1:2">
      <c r="A314" s="610" t="s">
        <v>869</v>
      </c>
      <c r="B314" s="610" t="s">
        <v>526</v>
      </c>
    </row>
    <row r="315" spans="1:2">
      <c r="A315" s="610" t="s">
        <v>870</v>
      </c>
      <c r="B315" s="610" t="s">
        <v>526</v>
      </c>
    </row>
    <row r="316" spans="1:2">
      <c r="A316" s="610" t="s">
        <v>871</v>
      </c>
      <c r="B316" s="610" t="s">
        <v>526</v>
      </c>
    </row>
    <row r="317" spans="1:2">
      <c r="A317" s="610" t="s">
        <v>872</v>
      </c>
      <c r="B317" s="610" t="s">
        <v>526</v>
      </c>
    </row>
    <row r="318" spans="1:2">
      <c r="A318" s="610" t="s">
        <v>873</v>
      </c>
      <c r="B318" s="610" t="s">
        <v>604</v>
      </c>
    </row>
    <row r="319" spans="1:2">
      <c r="A319" s="610" t="s">
        <v>874</v>
      </c>
      <c r="B319" s="610" t="s">
        <v>526</v>
      </c>
    </row>
    <row r="320" spans="1:2">
      <c r="A320" s="610" t="s">
        <v>875</v>
      </c>
      <c r="B320" s="610" t="s">
        <v>413</v>
      </c>
    </row>
    <row r="321" spans="1:2">
      <c r="A321" s="610" t="s">
        <v>876</v>
      </c>
      <c r="B321" s="610" t="s">
        <v>413</v>
      </c>
    </row>
    <row r="322" spans="1:2">
      <c r="A322" s="610" t="s">
        <v>877</v>
      </c>
      <c r="B322" s="610" t="s">
        <v>413</v>
      </c>
    </row>
    <row r="323" spans="1:2">
      <c r="A323" s="610" t="s">
        <v>878</v>
      </c>
      <c r="B323" s="610" t="s">
        <v>413</v>
      </c>
    </row>
    <row r="324" spans="1:2">
      <c r="A324" s="610" t="s">
        <v>879</v>
      </c>
      <c r="B324" s="610" t="s">
        <v>526</v>
      </c>
    </row>
    <row r="325" spans="1:2">
      <c r="A325" s="610" t="s">
        <v>880</v>
      </c>
      <c r="B325" s="610" t="s">
        <v>526</v>
      </c>
    </row>
    <row r="326" spans="1:2">
      <c r="A326" s="610" t="s">
        <v>881</v>
      </c>
      <c r="B326" s="610" t="s">
        <v>526</v>
      </c>
    </row>
    <row r="327" spans="1:2">
      <c r="A327" s="610" t="s">
        <v>882</v>
      </c>
      <c r="B327" s="610" t="s">
        <v>526</v>
      </c>
    </row>
    <row r="328" spans="1:2">
      <c r="A328" s="610" t="s">
        <v>883</v>
      </c>
      <c r="B328" s="610" t="s">
        <v>526</v>
      </c>
    </row>
    <row r="329" spans="1:2">
      <c r="A329" s="610" t="s">
        <v>884</v>
      </c>
      <c r="B329" s="610" t="s">
        <v>526</v>
      </c>
    </row>
    <row r="330" spans="1:2">
      <c r="A330" s="610" t="s">
        <v>885</v>
      </c>
      <c r="B330" s="610" t="s">
        <v>526</v>
      </c>
    </row>
    <row r="331" spans="1:2">
      <c r="A331" s="610" t="s">
        <v>886</v>
      </c>
      <c r="B331" s="610" t="s">
        <v>526</v>
      </c>
    </row>
    <row r="332" spans="1:2">
      <c r="A332" s="610" t="s">
        <v>887</v>
      </c>
      <c r="B332" s="610" t="s">
        <v>526</v>
      </c>
    </row>
    <row r="333" spans="1:2">
      <c r="A333" s="610" t="s">
        <v>888</v>
      </c>
      <c r="B333" s="610" t="s">
        <v>526</v>
      </c>
    </row>
    <row r="334" spans="1:2">
      <c r="A334" s="610" t="s">
        <v>889</v>
      </c>
      <c r="B334" s="610" t="s">
        <v>526</v>
      </c>
    </row>
    <row r="335" spans="1:2">
      <c r="A335" s="610" t="s">
        <v>389</v>
      </c>
      <c r="B335" s="610" t="s">
        <v>108</v>
      </c>
    </row>
    <row r="336" spans="1:2">
      <c r="A336" s="610" t="s">
        <v>890</v>
      </c>
      <c r="B336" s="610" t="s">
        <v>526</v>
      </c>
    </row>
    <row r="337" spans="1:2">
      <c r="A337" s="610" t="s">
        <v>891</v>
      </c>
      <c r="B337" s="610" t="s">
        <v>526</v>
      </c>
    </row>
    <row r="338" spans="1:2">
      <c r="A338" s="610" t="s">
        <v>892</v>
      </c>
      <c r="B338" s="610" t="s">
        <v>526</v>
      </c>
    </row>
    <row r="339" spans="1:2">
      <c r="A339" s="610" t="s">
        <v>893</v>
      </c>
      <c r="B339" s="610" t="s">
        <v>526</v>
      </c>
    </row>
    <row r="340" spans="1:2">
      <c r="A340" s="610" t="s">
        <v>894</v>
      </c>
      <c r="B340" s="610" t="s">
        <v>526</v>
      </c>
    </row>
    <row r="341" spans="1:2">
      <c r="A341" s="610" t="s">
        <v>895</v>
      </c>
      <c r="B341" s="610" t="s">
        <v>132</v>
      </c>
    </row>
    <row r="342" spans="1:2">
      <c r="A342" s="610" t="s">
        <v>896</v>
      </c>
      <c r="B342" s="610" t="s">
        <v>108</v>
      </c>
    </row>
    <row r="343" spans="1:2">
      <c r="A343" s="610" t="s">
        <v>897</v>
      </c>
      <c r="B343" s="610" t="s">
        <v>132</v>
      </c>
    </row>
    <row r="344" spans="1:2">
      <c r="A344" s="610" t="s">
        <v>898</v>
      </c>
      <c r="B344" s="610" t="s">
        <v>108</v>
      </c>
    </row>
    <row r="345" spans="1:2">
      <c r="A345" s="610" t="s">
        <v>899</v>
      </c>
      <c r="B345" s="610" t="s">
        <v>526</v>
      </c>
    </row>
    <row r="346" spans="1:2">
      <c r="A346" s="610" t="s">
        <v>900</v>
      </c>
      <c r="B346" s="610" t="s">
        <v>604</v>
      </c>
    </row>
    <row r="347" spans="1:2">
      <c r="A347" s="610" t="s">
        <v>901</v>
      </c>
      <c r="B347" s="610" t="s">
        <v>132</v>
      </c>
    </row>
    <row r="348" spans="1:2">
      <c r="A348" s="610" t="s">
        <v>902</v>
      </c>
      <c r="B348" s="610" t="s">
        <v>108</v>
      </c>
    </row>
    <row r="349" spans="1:2">
      <c r="A349" s="610" t="s">
        <v>903</v>
      </c>
      <c r="B349" s="610" t="s">
        <v>526</v>
      </c>
    </row>
    <row r="350" spans="1:2">
      <c r="A350" s="610" t="s">
        <v>904</v>
      </c>
      <c r="B350" s="610" t="s">
        <v>526</v>
      </c>
    </row>
    <row r="351" spans="1:2">
      <c r="A351" s="610" t="s">
        <v>905</v>
      </c>
      <c r="B351" s="610" t="s">
        <v>108</v>
      </c>
    </row>
    <row r="352" spans="1:2">
      <c r="A352" s="610" t="s">
        <v>906</v>
      </c>
      <c r="B352" s="610" t="s">
        <v>108</v>
      </c>
    </row>
    <row r="353" spans="1:2">
      <c r="A353" s="610" t="s">
        <v>907</v>
      </c>
      <c r="B353" s="610" t="s">
        <v>604</v>
      </c>
    </row>
    <row r="354" spans="1:2">
      <c r="A354" s="610" t="s">
        <v>117</v>
      </c>
      <c r="B354" s="610" t="s">
        <v>526</v>
      </c>
    </row>
    <row r="355" spans="1:2">
      <c r="A355" s="610" t="s">
        <v>908</v>
      </c>
      <c r="B355" s="610" t="s">
        <v>526</v>
      </c>
    </row>
    <row r="356" spans="1:2">
      <c r="A356" s="610" t="s">
        <v>909</v>
      </c>
      <c r="B356" s="610" t="s">
        <v>108</v>
      </c>
    </row>
    <row r="357" spans="1:2">
      <c r="A357" s="610" t="s">
        <v>910</v>
      </c>
      <c r="B357" s="610" t="s">
        <v>526</v>
      </c>
    </row>
    <row r="358" spans="1:2">
      <c r="A358" s="610" t="s">
        <v>911</v>
      </c>
      <c r="B358" s="610" t="s">
        <v>526</v>
      </c>
    </row>
    <row r="359" spans="1:2">
      <c r="A359" s="610" t="s">
        <v>912</v>
      </c>
      <c r="B359" s="610" t="s">
        <v>526</v>
      </c>
    </row>
    <row r="360" spans="1:2">
      <c r="A360" s="610" t="s">
        <v>913</v>
      </c>
      <c r="B360" s="610" t="s">
        <v>108</v>
      </c>
    </row>
    <row r="361" spans="1:2">
      <c r="A361" s="610" t="s">
        <v>914</v>
      </c>
      <c r="B361" s="610" t="s">
        <v>108</v>
      </c>
    </row>
    <row r="362" spans="1:2">
      <c r="A362" s="610" t="s">
        <v>915</v>
      </c>
      <c r="B362" s="610" t="s">
        <v>526</v>
      </c>
    </row>
    <row r="363" spans="1:2">
      <c r="A363" s="610" t="s">
        <v>916</v>
      </c>
      <c r="B363" s="610" t="s">
        <v>108</v>
      </c>
    </row>
    <row r="364" spans="1:2">
      <c r="A364" s="610" t="s">
        <v>917</v>
      </c>
      <c r="B364" s="610" t="s">
        <v>526</v>
      </c>
    </row>
    <row r="365" spans="1:2">
      <c r="A365" s="610" t="s">
        <v>918</v>
      </c>
      <c r="B365" s="610" t="s">
        <v>526</v>
      </c>
    </row>
    <row r="366" spans="1:2">
      <c r="A366" s="610" t="s">
        <v>919</v>
      </c>
      <c r="B366" s="610" t="s">
        <v>108</v>
      </c>
    </row>
    <row r="367" spans="1:2">
      <c r="A367" s="610" t="s">
        <v>920</v>
      </c>
      <c r="B367" s="610" t="s">
        <v>108</v>
      </c>
    </row>
    <row r="368" spans="1:2">
      <c r="A368" s="610" t="s">
        <v>921</v>
      </c>
      <c r="B368" s="610" t="s">
        <v>108</v>
      </c>
    </row>
    <row r="369" spans="1:2">
      <c r="A369" s="610" t="s">
        <v>922</v>
      </c>
      <c r="B369" s="610" t="s">
        <v>604</v>
      </c>
    </row>
    <row r="370" spans="1:2">
      <c r="A370" s="610" t="s">
        <v>923</v>
      </c>
      <c r="B370" s="610" t="s">
        <v>526</v>
      </c>
    </row>
    <row r="371" spans="1:2">
      <c r="A371" s="610" t="s">
        <v>924</v>
      </c>
      <c r="B371" s="610" t="s">
        <v>108</v>
      </c>
    </row>
    <row r="372" spans="1:2">
      <c r="A372" s="610" t="s">
        <v>925</v>
      </c>
      <c r="B372" s="610" t="s">
        <v>526</v>
      </c>
    </row>
    <row r="373" spans="1:2">
      <c r="A373" s="610" t="s">
        <v>926</v>
      </c>
      <c r="B373" s="610" t="s">
        <v>526</v>
      </c>
    </row>
    <row r="374" spans="1:2">
      <c r="A374" s="610" t="s">
        <v>927</v>
      </c>
      <c r="B374" s="610" t="s">
        <v>526</v>
      </c>
    </row>
    <row r="375" spans="1:2">
      <c r="A375" s="610" t="s">
        <v>928</v>
      </c>
      <c r="B375" s="610" t="s">
        <v>108</v>
      </c>
    </row>
    <row r="376" spans="1:2">
      <c r="A376" s="610" t="s">
        <v>929</v>
      </c>
      <c r="B376" s="610" t="s">
        <v>526</v>
      </c>
    </row>
    <row r="377" spans="1:2">
      <c r="A377" s="610" t="s">
        <v>930</v>
      </c>
      <c r="B377" s="610" t="s">
        <v>526</v>
      </c>
    </row>
    <row r="378" spans="1:2">
      <c r="A378" s="610" t="s">
        <v>931</v>
      </c>
      <c r="B378" s="610" t="s">
        <v>526</v>
      </c>
    </row>
    <row r="379" spans="1:2">
      <c r="A379" s="610" t="s">
        <v>932</v>
      </c>
      <c r="B379" s="610" t="s">
        <v>526</v>
      </c>
    </row>
    <row r="380" spans="1:2">
      <c r="A380" s="610" t="s">
        <v>933</v>
      </c>
      <c r="B380" s="610" t="s">
        <v>604</v>
      </c>
    </row>
    <row r="381" spans="1:2">
      <c r="A381" s="610" t="s">
        <v>934</v>
      </c>
      <c r="B381" s="610" t="s">
        <v>526</v>
      </c>
    </row>
    <row r="382" spans="1:2">
      <c r="A382" s="610" t="s">
        <v>935</v>
      </c>
      <c r="B382" s="610" t="s">
        <v>132</v>
      </c>
    </row>
    <row r="383" spans="1:2">
      <c r="A383" s="610" t="s">
        <v>936</v>
      </c>
      <c r="B383" s="610" t="s">
        <v>108</v>
      </c>
    </row>
    <row r="384" spans="1:2">
      <c r="A384" s="610" t="s">
        <v>937</v>
      </c>
      <c r="B384" s="610" t="s">
        <v>526</v>
      </c>
    </row>
    <row r="385" spans="1:2">
      <c r="A385" s="610" t="s">
        <v>938</v>
      </c>
      <c r="B385" s="610" t="s">
        <v>132</v>
      </c>
    </row>
    <row r="386" spans="1:2">
      <c r="A386" s="610" t="s">
        <v>939</v>
      </c>
      <c r="B386" s="610" t="s">
        <v>526</v>
      </c>
    </row>
    <row r="387" spans="1:2">
      <c r="A387" s="610" t="s">
        <v>940</v>
      </c>
      <c r="B387" s="610" t="s">
        <v>526</v>
      </c>
    </row>
    <row r="388" spans="1:2">
      <c r="A388" s="610" t="s">
        <v>941</v>
      </c>
      <c r="B388" s="610" t="s">
        <v>604</v>
      </c>
    </row>
    <row r="389" spans="1:2">
      <c r="A389" s="610" t="s">
        <v>942</v>
      </c>
      <c r="B389" s="610" t="s">
        <v>526</v>
      </c>
    </row>
    <row r="390" spans="1:2">
      <c r="A390" s="610" t="s">
        <v>943</v>
      </c>
      <c r="B390" s="610" t="s">
        <v>526</v>
      </c>
    </row>
    <row r="391" spans="1:2">
      <c r="A391" s="610" t="s">
        <v>944</v>
      </c>
      <c r="B391" s="610" t="s">
        <v>526</v>
      </c>
    </row>
    <row r="392" spans="1:2">
      <c r="A392" s="610" t="s">
        <v>945</v>
      </c>
      <c r="B392" s="610" t="s">
        <v>526</v>
      </c>
    </row>
    <row r="393" spans="1:2">
      <c r="A393" s="610" t="s">
        <v>946</v>
      </c>
      <c r="B393" s="610" t="s">
        <v>526</v>
      </c>
    </row>
    <row r="394" spans="1:2">
      <c r="A394" s="610" t="s">
        <v>947</v>
      </c>
      <c r="B394" s="610" t="s">
        <v>108</v>
      </c>
    </row>
    <row r="395" spans="1:2">
      <c r="A395" s="610" t="s">
        <v>948</v>
      </c>
      <c r="B395" s="610" t="s">
        <v>526</v>
      </c>
    </row>
    <row r="396" spans="1:2">
      <c r="A396" s="610" t="s">
        <v>949</v>
      </c>
      <c r="B396" s="610" t="s">
        <v>526</v>
      </c>
    </row>
    <row r="397" spans="1:2">
      <c r="A397" s="610" t="s">
        <v>950</v>
      </c>
      <c r="B397" s="610" t="s">
        <v>108</v>
      </c>
    </row>
    <row r="398" spans="1:2">
      <c r="A398" s="610" t="s">
        <v>951</v>
      </c>
      <c r="B398" s="610" t="s">
        <v>526</v>
      </c>
    </row>
    <row r="399" spans="1:2">
      <c r="A399" s="610" t="s">
        <v>952</v>
      </c>
      <c r="B399" s="610" t="s">
        <v>526</v>
      </c>
    </row>
    <row r="400" spans="1:2">
      <c r="A400" s="610" t="s">
        <v>162</v>
      </c>
      <c r="B400" s="610" t="s">
        <v>108</v>
      </c>
    </row>
    <row r="401" spans="1:2">
      <c r="A401" s="610" t="s">
        <v>953</v>
      </c>
      <c r="B401" s="610" t="s">
        <v>108</v>
      </c>
    </row>
    <row r="402" spans="1:2">
      <c r="A402" s="610" t="s">
        <v>954</v>
      </c>
      <c r="B402" s="610" t="s">
        <v>526</v>
      </c>
    </row>
    <row r="403" spans="1:2">
      <c r="A403" s="610" t="s">
        <v>955</v>
      </c>
      <c r="B403" s="610" t="s">
        <v>526</v>
      </c>
    </row>
    <row r="404" spans="1:2">
      <c r="A404" s="610" t="s">
        <v>956</v>
      </c>
      <c r="B404" s="610" t="s">
        <v>526</v>
      </c>
    </row>
    <row r="405" spans="1:2">
      <c r="A405" s="610" t="s">
        <v>957</v>
      </c>
      <c r="B405" s="610" t="s">
        <v>526</v>
      </c>
    </row>
    <row r="406" spans="1:2">
      <c r="A406" s="610" t="s">
        <v>958</v>
      </c>
      <c r="B406" s="610" t="s">
        <v>526</v>
      </c>
    </row>
    <row r="407" spans="1:2">
      <c r="A407" s="610" t="s">
        <v>959</v>
      </c>
      <c r="B407" s="610" t="s">
        <v>526</v>
      </c>
    </row>
    <row r="408" spans="1:2">
      <c r="A408" s="610" t="s">
        <v>960</v>
      </c>
      <c r="B408" s="610" t="s">
        <v>526</v>
      </c>
    </row>
    <row r="409" spans="1:2">
      <c r="A409" s="610" t="s">
        <v>961</v>
      </c>
      <c r="B409" s="610" t="s">
        <v>526</v>
      </c>
    </row>
    <row r="410" spans="1:2">
      <c r="A410" s="610" t="s">
        <v>962</v>
      </c>
      <c r="B410" s="610" t="s">
        <v>526</v>
      </c>
    </row>
    <row r="411" spans="1:2">
      <c r="A411" s="610" t="s">
        <v>963</v>
      </c>
      <c r="B411" s="610" t="s">
        <v>526</v>
      </c>
    </row>
    <row r="412" spans="1:2">
      <c r="A412" s="610" t="s">
        <v>964</v>
      </c>
      <c r="B412" s="610" t="s">
        <v>526</v>
      </c>
    </row>
    <row r="413" spans="1:2">
      <c r="A413" s="610" t="s">
        <v>965</v>
      </c>
      <c r="B413" s="610" t="s">
        <v>526</v>
      </c>
    </row>
    <row r="414" spans="1:2">
      <c r="A414" s="610" t="s">
        <v>966</v>
      </c>
      <c r="B414" s="610" t="s">
        <v>108</v>
      </c>
    </row>
    <row r="415" spans="1:2">
      <c r="A415" s="610" t="s">
        <v>967</v>
      </c>
      <c r="B415" s="610" t="s">
        <v>526</v>
      </c>
    </row>
    <row r="416" spans="1:2">
      <c r="A416" s="610" t="s">
        <v>968</v>
      </c>
      <c r="B416" s="610" t="s">
        <v>108</v>
      </c>
    </row>
    <row r="417" spans="1:2">
      <c r="A417" s="610" t="s">
        <v>969</v>
      </c>
      <c r="B417" s="610" t="s">
        <v>413</v>
      </c>
    </row>
    <row r="418" spans="1:2">
      <c r="A418" s="610" t="s">
        <v>970</v>
      </c>
      <c r="B418" s="610" t="s">
        <v>108</v>
      </c>
    </row>
    <row r="419" spans="1:2">
      <c r="A419" s="610" t="s">
        <v>323</v>
      </c>
      <c r="B419" s="610" t="s">
        <v>526</v>
      </c>
    </row>
    <row r="420" spans="1:2">
      <c r="A420" s="610" t="s">
        <v>971</v>
      </c>
      <c r="B420" s="610" t="s">
        <v>108</v>
      </c>
    </row>
    <row r="421" spans="1:2">
      <c r="A421" s="610" t="s">
        <v>180</v>
      </c>
      <c r="B421" s="610" t="s">
        <v>526</v>
      </c>
    </row>
    <row r="422" spans="1:2">
      <c r="A422" s="610" t="s">
        <v>972</v>
      </c>
      <c r="B422" s="610" t="s">
        <v>108</v>
      </c>
    </row>
    <row r="423" spans="1:2">
      <c r="A423" s="610" t="s">
        <v>973</v>
      </c>
      <c r="B423" s="610" t="s">
        <v>132</v>
      </c>
    </row>
    <row r="424" spans="1:2">
      <c r="A424" s="610" t="s">
        <v>186</v>
      </c>
      <c r="B424" s="610" t="s">
        <v>526</v>
      </c>
    </row>
    <row r="425" spans="1:2">
      <c r="A425" s="610" t="s">
        <v>974</v>
      </c>
      <c r="B425" s="610" t="s">
        <v>604</v>
      </c>
    </row>
    <row r="426" spans="1:2">
      <c r="A426" s="610" t="s">
        <v>975</v>
      </c>
      <c r="B426" s="610" t="s">
        <v>132</v>
      </c>
    </row>
    <row r="427" spans="1:2">
      <c r="A427" s="610" t="s">
        <v>321</v>
      </c>
      <c r="B427" s="610" t="s">
        <v>526</v>
      </c>
    </row>
    <row r="428" spans="1:2">
      <c r="A428" s="610" t="s">
        <v>976</v>
      </c>
      <c r="B428" s="610" t="s">
        <v>526</v>
      </c>
    </row>
    <row r="429" spans="1:2">
      <c r="A429" s="610" t="s">
        <v>977</v>
      </c>
      <c r="B429" s="610" t="s">
        <v>108</v>
      </c>
    </row>
    <row r="430" spans="1:2">
      <c r="A430" s="610" t="s">
        <v>978</v>
      </c>
      <c r="B430" s="610" t="s">
        <v>132</v>
      </c>
    </row>
    <row r="431" spans="1:2">
      <c r="A431" s="610" t="s">
        <v>178</v>
      </c>
      <c r="B431" s="610" t="s">
        <v>526</v>
      </c>
    </row>
    <row r="432" spans="1:2">
      <c r="A432" s="610" t="s">
        <v>979</v>
      </c>
      <c r="B432" s="610" t="s">
        <v>604</v>
      </c>
    </row>
    <row r="433" spans="1:2">
      <c r="A433" s="610" t="s">
        <v>980</v>
      </c>
      <c r="B433" s="610" t="s">
        <v>108</v>
      </c>
    </row>
    <row r="434" spans="1:2">
      <c r="A434" s="610" t="s">
        <v>981</v>
      </c>
      <c r="B434" s="610" t="s">
        <v>526</v>
      </c>
    </row>
    <row r="435" spans="1:2">
      <c r="A435" s="610" t="s">
        <v>982</v>
      </c>
      <c r="B435" s="610" t="s">
        <v>413</v>
      </c>
    </row>
    <row r="436" spans="1:2">
      <c r="A436" s="610" t="s">
        <v>110</v>
      </c>
      <c r="B436" s="610" t="s">
        <v>108</v>
      </c>
    </row>
    <row r="437" spans="1:2">
      <c r="A437" s="610" t="s">
        <v>983</v>
      </c>
      <c r="B437" s="610" t="s">
        <v>132</v>
      </c>
    </row>
    <row r="438" spans="1:2">
      <c r="A438" s="610" t="s">
        <v>984</v>
      </c>
      <c r="B438" s="610" t="s">
        <v>132</v>
      </c>
    </row>
    <row r="439" spans="1:2">
      <c r="A439" s="610" t="s">
        <v>985</v>
      </c>
      <c r="B439" s="610" t="s">
        <v>132</v>
      </c>
    </row>
    <row r="440" spans="1:2">
      <c r="A440" s="610" t="s">
        <v>986</v>
      </c>
      <c r="B440" s="610" t="s">
        <v>132</v>
      </c>
    </row>
    <row r="441" spans="1:2">
      <c r="A441" s="610" t="s">
        <v>987</v>
      </c>
      <c r="B441" s="610" t="s">
        <v>132</v>
      </c>
    </row>
    <row r="442" spans="1:2">
      <c r="A442" s="610" t="s">
        <v>988</v>
      </c>
      <c r="B442" s="610" t="s">
        <v>132</v>
      </c>
    </row>
    <row r="443" spans="1:2">
      <c r="A443" s="610" t="s">
        <v>989</v>
      </c>
      <c r="B443" s="610" t="s">
        <v>132</v>
      </c>
    </row>
    <row r="444" spans="1:2">
      <c r="A444" s="610" t="s">
        <v>990</v>
      </c>
      <c r="B444" s="610" t="s">
        <v>132</v>
      </c>
    </row>
    <row r="445" spans="1:2">
      <c r="A445" s="610" t="s">
        <v>991</v>
      </c>
      <c r="B445" s="610" t="s">
        <v>132</v>
      </c>
    </row>
    <row r="446" spans="1:2">
      <c r="A446" s="610" t="s">
        <v>445</v>
      </c>
      <c r="B446" s="610" t="s">
        <v>526</v>
      </c>
    </row>
    <row r="447" spans="1:2">
      <c r="A447" s="610" t="s">
        <v>992</v>
      </c>
      <c r="B447" s="610" t="s">
        <v>108</v>
      </c>
    </row>
    <row r="448" spans="1:2">
      <c r="A448" s="610" t="s">
        <v>993</v>
      </c>
      <c r="B448" s="610" t="s">
        <v>132</v>
      </c>
    </row>
    <row r="449" spans="1:2">
      <c r="A449" s="610" t="s">
        <v>994</v>
      </c>
      <c r="B449" s="610" t="s">
        <v>604</v>
      </c>
    </row>
    <row r="450" spans="1:2">
      <c r="A450" s="610" t="s">
        <v>995</v>
      </c>
      <c r="B450" s="610" t="s">
        <v>526</v>
      </c>
    </row>
    <row r="451" spans="1:2">
      <c r="A451" s="610" t="s">
        <v>996</v>
      </c>
      <c r="B451" s="610" t="s">
        <v>108</v>
      </c>
    </row>
    <row r="452" spans="1:2">
      <c r="A452" s="610" t="s">
        <v>460</v>
      </c>
      <c r="B452" s="610" t="s">
        <v>108</v>
      </c>
    </row>
    <row r="453" spans="1:2">
      <c r="A453" s="610" t="s">
        <v>176</v>
      </c>
      <c r="B453" s="610" t="s">
        <v>526</v>
      </c>
    </row>
    <row r="454" spans="1:2">
      <c r="A454" s="610" t="s">
        <v>182</v>
      </c>
      <c r="B454" s="610" t="s">
        <v>526</v>
      </c>
    </row>
    <row r="455" spans="1:2">
      <c r="A455" s="610" t="s">
        <v>188</v>
      </c>
      <c r="B455" s="610" t="s">
        <v>526</v>
      </c>
    </row>
    <row r="456" spans="1:2">
      <c r="A456" s="610" t="s">
        <v>184</v>
      </c>
      <c r="B456" s="610" t="s">
        <v>526</v>
      </c>
    </row>
    <row r="457" spans="1:2">
      <c r="A457" s="610" t="s">
        <v>190</v>
      </c>
      <c r="B457" s="610" t="s">
        <v>526</v>
      </c>
    </row>
    <row r="458" spans="1:2">
      <c r="A458" s="610" t="s">
        <v>174</v>
      </c>
      <c r="B458" s="610" t="s">
        <v>526</v>
      </c>
    </row>
    <row r="459" spans="1:2">
      <c r="A459" s="610" t="s">
        <v>997</v>
      </c>
      <c r="B459" s="610" t="s">
        <v>132</v>
      </c>
    </row>
    <row r="460" spans="1:2">
      <c r="A460" s="610" t="s">
        <v>998</v>
      </c>
      <c r="B460" s="610" t="s">
        <v>526</v>
      </c>
    </row>
    <row r="461" spans="1:2">
      <c r="A461" s="610" t="s">
        <v>999</v>
      </c>
      <c r="B461" s="610" t="s">
        <v>604</v>
      </c>
    </row>
    <row r="462" spans="1:2">
      <c r="A462" s="610" t="s">
        <v>1000</v>
      </c>
      <c r="B462" s="610" t="s">
        <v>132</v>
      </c>
    </row>
    <row r="463" spans="1:2">
      <c r="A463" s="610" t="s">
        <v>1001</v>
      </c>
      <c r="B463" s="610" t="s">
        <v>108</v>
      </c>
    </row>
    <row r="464" spans="1:2">
      <c r="A464" s="610" t="s">
        <v>1002</v>
      </c>
      <c r="B464" s="610" t="s">
        <v>604</v>
      </c>
    </row>
    <row r="465" spans="1:2">
      <c r="A465" s="610" t="s">
        <v>1003</v>
      </c>
      <c r="B465" s="610" t="s">
        <v>108</v>
      </c>
    </row>
    <row r="466" spans="1:2">
      <c r="A466" s="610" t="s">
        <v>1004</v>
      </c>
      <c r="B466" s="610" t="s">
        <v>526</v>
      </c>
    </row>
    <row r="467" spans="1:2">
      <c r="A467" s="610" t="s">
        <v>1005</v>
      </c>
      <c r="B467" s="610" t="s">
        <v>526</v>
      </c>
    </row>
    <row r="468" spans="1:2">
      <c r="A468" s="610" t="s">
        <v>1006</v>
      </c>
      <c r="B468" s="610" t="s">
        <v>526</v>
      </c>
    </row>
    <row r="469" spans="1:2">
      <c r="A469" s="610" t="s">
        <v>1007</v>
      </c>
      <c r="B469" s="610" t="s">
        <v>526</v>
      </c>
    </row>
    <row r="470" spans="1:2">
      <c r="A470" s="610" t="s">
        <v>1008</v>
      </c>
      <c r="B470" s="610" t="s">
        <v>526</v>
      </c>
    </row>
    <row r="471" spans="1:2">
      <c r="A471" s="610" t="s">
        <v>1009</v>
      </c>
      <c r="B471" s="610" t="s">
        <v>604</v>
      </c>
    </row>
    <row r="472" spans="1:2">
      <c r="A472" s="610" t="s">
        <v>1010</v>
      </c>
      <c r="B472" s="610" t="s">
        <v>604</v>
      </c>
    </row>
    <row r="473" spans="1:2">
      <c r="A473" s="610" t="s">
        <v>1011</v>
      </c>
      <c r="B473" s="610" t="s">
        <v>132</v>
      </c>
    </row>
    <row r="474" spans="1:2">
      <c r="A474" s="610" t="s">
        <v>1012</v>
      </c>
      <c r="B474" s="610" t="s">
        <v>132</v>
      </c>
    </row>
    <row r="475" spans="1:2">
      <c r="A475" s="610" t="s">
        <v>1013</v>
      </c>
      <c r="B475" s="610" t="s">
        <v>132</v>
      </c>
    </row>
    <row r="476" spans="1:2">
      <c r="A476" s="610" t="s">
        <v>1014</v>
      </c>
      <c r="B476" s="610" t="s">
        <v>132</v>
      </c>
    </row>
    <row r="477" spans="1:2">
      <c r="A477" s="610" t="s">
        <v>1015</v>
      </c>
      <c r="B477" s="610" t="s">
        <v>132</v>
      </c>
    </row>
    <row r="478" spans="1:2">
      <c r="A478" s="610" t="s">
        <v>1016</v>
      </c>
      <c r="B478" s="610" t="s">
        <v>132</v>
      </c>
    </row>
    <row r="479" spans="1:2">
      <c r="A479" s="610" t="s">
        <v>1017</v>
      </c>
      <c r="B479" s="610" t="s">
        <v>132</v>
      </c>
    </row>
    <row r="480" spans="1:2">
      <c r="A480" s="610" t="s">
        <v>1018</v>
      </c>
      <c r="B480" s="610" t="s">
        <v>132</v>
      </c>
    </row>
    <row r="481" spans="1:2">
      <c r="A481" s="610" t="s">
        <v>1019</v>
      </c>
      <c r="B481" s="610" t="s">
        <v>132</v>
      </c>
    </row>
    <row r="482" spans="1:2">
      <c r="A482" s="610" t="s">
        <v>1020</v>
      </c>
      <c r="B482" s="610" t="s">
        <v>132</v>
      </c>
    </row>
    <row r="483" spans="1:2">
      <c r="A483" s="610" t="s">
        <v>1021</v>
      </c>
      <c r="B483" s="610" t="s">
        <v>604</v>
      </c>
    </row>
    <row r="484" spans="1:2">
      <c r="A484" s="610" t="s">
        <v>1022</v>
      </c>
      <c r="B484" s="610" t="s">
        <v>108</v>
      </c>
    </row>
    <row r="485" spans="1:2">
      <c r="A485" s="610" t="s">
        <v>1023</v>
      </c>
      <c r="B485" s="610" t="s">
        <v>526</v>
      </c>
    </row>
    <row r="486" spans="1:2">
      <c r="A486" s="610" t="s">
        <v>1024</v>
      </c>
      <c r="B486" s="610" t="s">
        <v>526</v>
      </c>
    </row>
    <row r="487" spans="1:2">
      <c r="A487" s="610" t="s">
        <v>1025</v>
      </c>
      <c r="B487" s="610" t="s">
        <v>604</v>
      </c>
    </row>
    <row r="488" spans="1:2">
      <c r="A488" s="610" t="s">
        <v>1026</v>
      </c>
      <c r="B488" s="610" t="s">
        <v>604</v>
      </c>
    </row>
    <row r="489" spans="1:2">
      <c r="A489" s="610" t="s">
        <v>1027</v>
      </c>
      <c r="B489" s="610" t="s">
        <v>526</v>
      </c>
    </row>
    <row r="490" spans="1:2">
      <c r="A490" s="610" t="s">
        <v>1028</v>
      </c>
      <c r="B490" s="610" t="s">
        <v>132</v>
      </c>
    </row>
    <row r="491" spans="1:2">
      <c r="A491" s="610" t="s">
        <v>1029</v>
      </c>
      <c r="B491" s="610" t="s">
        <v>108</v>
      </c>
    </row>
    <row r="492" spans="1:2">
      <c r="A492" s="610" t="s">
        <v>1030</v>
      </c>
      <c r="B492" s="610" t="s">
        <v>132</v>
      </c>
    </row>
    <row r="493" spans="1:2">
      <c r="A493" s="610" t="s">
        <v>1031</v>
      </c>
      <c r="B493" s="610" t="s">
        <v>413</v>
      </c>
    </row>
    <row r="494" spans="1:2">
      <c r="A494" s="610" t="s">
        <v>1032</v>
      </c>
      <c r="B494" s="610" t="s">
        <v>526</v>
      </c>
    </row>
    <row r="495" spans="1:2">
      <c r="A495" s="610" t="s">
        <v>1033</v>
      </c>
      <c r="B495" s="610" t="s">
        <v>132</v>
      </c>
    </row>
    <row r="496" spans="1:2">
      <c r="A496" s="610" t="s">
        <v>1034</v>
      </c>
      <c r="B496" s="610" t="s">
        <v>132</v>
      </c>
    </row>
    <row r="497" spans="1:2">
      <c r="A497" s="610" t="s">
        <v>1035</v>
      </c>
      <c r="B497" s="610" t="s">
        <v>108</v>
      </c>
    </row>
    <row r="498" spans="1:2">
      <c r="A498" s="610" t="s">
        <v>1036</v>
      </c>
      <c r="B498" s="610" t="s">
        <v>526</v>
      </c>
    </row>
    <row r="499" spans="1:2">
      <c r="A499" s="610" t="s">
        <v>1037</v>
      </c>
      <c r="B499" s="610" t="s">
        <v>132</v>
      </c>
    </row>
    <row r="500" spans="1:2">
      <c r="A500" s="610" t="s">
        <v>1038</v>
      </c>
      <c r="B500" s="610" t="s">
        <v>108</v>
      </c>
    </row>
    <row r="501" spans="1:2">
      <c r="A501" s="610" t="s">
        <v>1039</v>
      </c>
      <c r="B501" s="610" t="s">
        <v>108</v>
      </c>
    </row>
    <row r="502" spans="1:2">
      <c r="A502" s="610" t="s">
        <v>1040</v>
      </c>
      <c r="B502" s="610" t="s">
        <v>132</v>
      </c>
    </row>
    <row r="503" spans="1:2">
      <c r="A503" s="610" t="s">
        <v>1041</v>
      </c>
      <c r="B503" s="610" t="s">
        <v>526</v>
      </c>
    </row>
    <row r="504" spans="1:2">
      <c r="A504" s="610" t="s">
        <v>1042</v>
      </c>
      <c r="B504" s="610" t="s">
        <v>108</v>
      </c>
    </row>
    <row r="505" spans="1:2">
      <c r="A505" s="610" t="s">
        <v>1043</v>
      </c>
      <c r="B505" s="610" t="s">
        <v>108</v>
      </c>
    </row>
    <row r="506" spans="1:2">
      <c r="A506" s="610" t="s">
        <v>1044</v>
      </c>
      <c r="B506" s="610" t="s">
        <v>108</v>
      </c>
    </row>
    <row r="507" spans="1:2">
      <c r="A507" s="610" t="s">
        <v>1045</v>
      </c>
      <c r="B507" s="610" t="s">
        <v>132</v>
      </c>
    </row>
    <row r="508" spans="1:2">
      <c r="A508" s="610" t="s">
        <v>1046</v>
      </c>
      <c r="B508" s="610" t="s">
        <v>604</v>
      </c>
    </row>
    <row r="509" spans="1:2">
      <c r="A509" s="610" t="s">
        <v>1047</v>
      </c>
      <c r="B509" s="610" t="s">
        <v>604</v>
      </c>
    </row>
    <row r="510" spans="1:2">
      <c r="A510" s="610" t="s">
        <v>1048</v>
      </c>
      <c r="B510" s="610" t="s">
        <v>108</v>
      </c>
    </row>
    <row r="511" spans="1:2">
      <c r="A511" s="610" t="s">
        <v>1049</v>
      </c>
      <c r="B511" s="610" t="s">
        <v>132</v>
      </c>
    </row>
    <row r="512" spans="1:2">
      <c r="A512" s="610" t="s">
        <v>1050</v>
      </c>
      <c r="B512" s="610" t="s">
        <v>526</v>
      </c>
    </row>
    <row r="513" spans="1:2">
      <c r="A513" s="610" t="s">
        <v>1051</v>
      </c>
      <c r="B513" s="610" t="s">
        <v>604</v>
      </c>
    </row>
    <row r="514" spans="1:2">
      <c r="A514" s="610" t="s">
        <v>1052</v>
      </c>
      <c r="B514" s="610" t="s">
        <v>108</v>
      </c>
    </row>
    <row r="515" spans="1:2">
      <c r="A515" s="610" t="s">
        <v>1053</v>
      </c>
      <c r="B515" s="610" t="s">
        <v>526</v>
      </c>
    </row>
    <row r="516" spans="1:2">
      <c r="A516" s="610" t="s">
        <v>1054</v>
      </c>
      <c r="B516" s="610" t="s">
        <v>108</v>
      </c>
    </row>
    <row r="517" spans="1:2">
      <c r="A517" s="610" t="s">
        <v>1055</v>
      </c>
      <c r="B517" s="610" t="s">
        <v>604</v>
      </c>
    </row>
    <row r="518" spans="1:2">
      <c r="A518" s="610" t="s">
        <v>1056</v>
      </c>
      <c r="B518" s="610" t="s">
        <v>108</v>
      </c>
    </row>
    <row r="519" spans="1:2">
      <c r="A519" s="610" t="s">
        <v>1057</v>
      </c>
      <c r="B519" s="610" t="s">
        <v>132</v>
      </c>
    </row>
    <row r="520" spans="1:2">
      <c r="A520" s="610" t="s">
        <v>1058</v>
      </c>
      <c r="B520" s="610" t="s">
        <v>526</v>
      </c>
    </row>
    <row r="521" spans="1:2">
      <c r="A521" s="610" t="s">
        <v>1059</v>
      </c>
      <c r="B521" s="610" t="s">
        <v>132</v>
      </c>
    </row>
    <row r="522" spans="1:2">
      <c r="A522" s="610" t="s">
        <v>1060</v>
      </c>
      <c r="B522" s="610" t="s">
        <v>132</v>
      </c>
    </row>
    <row r="523" spans="1:2">
      <c r="A523" s="610" t="s">
        <v>1061</v>
      </c>
      <c r="B523" s="610" t="s">
        <v>132</v>
      </c>
    </row>
    <row r="524" spans="1:2">
      <c r="A524" s="610" t="s">
        <v>1062</v>
      </c>
      <c r="B524" s="610" t="s">
        <v>526</v>
      </c>
    </row>
    <row r="525" spans="1:2">
      <c r="A525" s="610" t="s">
        <v>1063</v>
      </c>
      <c r="B525" s="610" t="s">
        <v>526</v>
      </c>
    </row>
    <row r="526" spans="1:2">
      <c r="A526" s="610" t="s">
        <v>1064</v>
      </c>
      <c r="B526" s="610" t="s">
        <v>132</v>
      </c>
    </row>
    <row r="527" spans="1:2">
      <c r="A527" s="610" t="s">
        <v>1065</v>
      </c>
      <c r="B527" s="610" t="s">
        <v>108</v>
      </c>
    </row>
    <row r="528" spans="1:2">
      <c r="A528" s="610" t="s">
        <v>1066</v>
      </c>
      <c r="B528" s="610" t="s">
        <v>132</v>
      </c>
    </row>
    <row r="529" spans="1:2">
      <c r="A529" s="610" t="s">
        <v>1067</v>
      </c>
      <c r="B529" s="610" t="s">
        <v>526</v>
      </c>
    </row>
    <row r="530" spans="1:2">
      <c r="A530" s="610" t="s">
        <v>1068</v>
      </c>
      <c r="B530" s="610" t="s">
        <v>108</v>
      </c>
    </row>
    <row r="531" spans="1:2">
      <c r="A531" s="610" t="s">
        <v>1069</v>
      </c>
      <c r="B531" s="610" t="s">
        <v>526</v>
      </c>
    </row>
    <row r="532" spans="1:2">
      <c r="A532" s="610" t="s">
        <v>1070</v>
      </c>
      <c r="B532" s="610" t="s">
        <v>108</v>
      </c>
    </row>
    <row r="533" spans="1:2">
      <c r="A533" s="610" t="s">
        <v>1071</v>
      </c>
      <c r="B533" s="610" t="s">
        <v>526</v>
      </c>
    </row>
    <row r="534" spans="1:2">
      <c r="A534" s="610" t="s">
        <v>1072</v>
      </c>
      <c r="B534" s="610" t="s">
        <v>526</v>
      </c>
    </row>
    <row r="535" spans="1:2">
      <c r="A535" s="610" t="s">
        <v>1073</v>
      </c>
      <c r="B535" s="610" t="s">
        <v>132</v>
      </c>
    </row>
    <row r="536" spans="1:2">
      <c r="A536" s="610" t="s">
        <v>1074</v>
      </c>
      <c r="B536" s="610" t="s">
        <v>108</v>
      </c>
    </row>
    <row r="537" spans="1:2">
      <c r="A537" s="610" t="s">
        <v>1075</v>
      </c>
      <c r="B537" s="610" t="s">
        <v>526</v>
      </c>
    </row>
    <row r="538" spans="1:2">
      <c r="A538" s="610" t="s">
        <v>1076</v>
      </c>
      <c r="B538" s="610" t="s">
        <v>108</v>
      </c>
    </row>
    <row r="539" spans="1:2">
      <c r="A539" s="610" t="s">
        <v>1077</v>
      </c>
      <c r="B539" s="610" t="s">
        <v>108</v>
      </c>
    </row>
    <row r="540" spans="1:2">
      <c r="A540" s="610" t="s">
        <v>1078</v>
      </c>
      <c r="B540" s="610" t="s">
        <v>108</v>
      </c>
    </row>
    <row r="541" spans="1:2">
      <c r="A541" s="610" t="s">
        <v>1079</v>
      </c>
      <c r="B541" s="610" t="s">
        <v>604</v>
      </c>
    </row>
    <row r="542" spans="1:2">
      <c r="A542" s="610" t="s">
        <v>1080</v>
      </c>
      <c r="B542" s="610" t="s">
        <v>108</v>
      </c>
    </row>
    <row r="543" spans="1:2">
      <c r="A543" s="610" t="s">
        <v>1081</v>
      </c>
      <c r="B543" s="610" t="s">
        <v>132</v>
      </c>
    </row>
    <row r="544" spans="1:2">
      <c r="A544" s="610" t="s">
        <v>1082</v>
      </c>
      <c r="B544" s="610" t="s">
        <v>108</v>
      </c>
    </row>
    <row r="545" spans="1:2">
      <c r="A545" s="610" t="s">
        <v>1083</v>
      </c>
      <c r="B545" s="610" t="s">
        <v>132</v>
      </c>
    </row>
    <row r="546" spans="1:2">
      <c r="A546" s="610" t="s">
        <v>1084</v>
      </c>
      <c r="B546" s="610" t="s">
        <v>108</v>
      </c>
    </row>
    <row r="547" spans="1:2">
      <c r="A547" s="610" t="s">
        <v>1085</v>
      </c>
      <c r="B547" s="610" t="s">
        <v>132</v>
      </c>
    </row>
    <row r="548" spans="1:2">
      <c r="A548" s="610" t="s">
        <v>1086</v>
      </c>
      <c r="B548" s="610" t="s">
        <v>108</v>
      </c>
    </row>
    <row r="549" spans="1:2">
      <c r="A549" s="610" t="s">
        <v>1087</v>
      </c>
      <c r="B549" s="610" t="s">
        <v>132</v>
      </c>
    </row>
    <row r="550" spans="1:2">
      <c r="A550" s="610" t="s">
        <v>1088</v>
      </c>
      <c r="B550" s="610" t="s">
        <v>604</v>
      </c>
    </row>
    <row r="551" spans="1:2">
      <c r="A551" s="610" t="s">
        <v>1089</v>
      </c>
      <c r="B551" s="610" t="s">
        <v>132</v>
      </c>
    </row>
    <row r="552" spans="1:2">
      <c r="A552" s="610" t="s">
        <v>1090</v>
      </c>
      <c r="B552" s="610" t="s">
        <v>526</v>
      </c>
    </row>
    <row r="553" spans="1:2">
      <c r="A553" s="610" t="s">
        <v>1091</v>
      </c>
      <c r="B553" s="610" t="s">
        <v>132</v>
      </c>
    </row>
    <row r="554" spans="1:2">
      <c r="A554" s="610" t="s">
        <v>1092</v>
      </c>
      <c r="B554" s="610" t="s">
        <v>132</v>
      </c>
    </row>
    <row r="555" spans="1:2">
      <c r="A555" s="610" t="s">
        <v>1093</v>
      </c>
      <c r="B555" s="610" t="s">
        <v>108</v>
      </c>
    </row>
    <row r="556" spans="1:2">
      <c r="A556" s="610" t="s">
        <v>1094</v>
      </c>
      <c r="B556" s="610" t="s">
        <v>526</v>
      </c>
    </row>
    <row r="557" spans="1:2">
      <c r="A557" s="610" t="s">
        <v>1095</v>
      </c>
      <c r="B557" s="610" t="s">
        <v>108</v>
      </c>
    </row>
    <row r="558" spans="1:2">
      <c r="A558" s="610" t="s">
        <v>1096</v>
      </c>
      <c r="B558" s="610" t="s">
        <v>132</v>
      </c>
    </row>
    <row r="559" spans="1:2">
      <c r="A559" s="610" t="s">
        <v>197</v>
      </c>
      <c r="B559" s="610" t="s">
        <v>132</v>
      </c>
    </row>
    <row r="560" spans="1:2">
      <c r="A560" s="610" t="s">
        <v>1097</v>
      </c>
      <c r="B560" s="610" t="s">
        <v>526</v>
      </c>
    </row>
    <row r="561" spans="1:2">
      <c r="A561" s="610" t="s">
        <v>1098</v>
      </c>
      <c r="B561" s="610" t="s">
        <v>132</v>
      </c>
    </row>
    <row r="562" spans="1:2">
      <c r="A562" s="610" t="s">
        <v>267</v>
      </c>
      <c r="B562" s="610" t="s">
        <v>526</v>
      </c>
    </row>
    <row r="563" spans="1:2">
      <c r="A563" s="610" t="s">
        <v>1099</v>
      </c>
      <c r="B563" s="610" t="s">
        <v>108</v>
      </c>
    </row>
    <row r="564" spans="1:2">
      <c r="A564" s="610" t="s">
        <v>1100</v>
      </c>
      <c r="B564" s="610" t="s">
        <v>132</v>
      </c>
    </row>
    <row r="565" spans="1:2">
      <c r="A565" s="610" t="s">
        <v>1101</v>
      </c>
      <c r="B565" s="610" t="s">
        <v>604</v>
      </c>
    </row>
    <row r="566" spans="1:2">
      <c r="A566" s="610" t="s">
        <v>1102</v>
      </c>
      <c r="B566" s="610" t="s">
        <v>604</v>
      </c>
    </row>
    <row r="567" spans="1:2">
      <c r="A567" s="610" t="s">
        <v>1103</v>
      </c>
      <c r="B567" s="610" t="s">
        <v>526</v>
      </c>
    </row>
    <row r="568" spans="1:2">
      <c r="A568" s="610" t="s">
        <v>1104</v>
      </c>
      <c r="B568" s="610" t="s">
        <v>526</v>
      </c>
    </row>
    <row r="569" spans="1:2">
      <c r="A569" s="610" t="s">
        <v>295</v>
      </c>
      <c r="B569" s="610" t="s">
        <v>526</v>
      </c>
    </row>
    <row r="570" spans="1:2">
      <c r="A570" s="610" t="s">
        <v>1105</v>
      </c>
      <c r="B570" s="610" t="s">
        <v>132</v>
      </c>
    </row>
    <row r="571" spans="1:2">
      <c r="A571" s="610" t="s">
        <v>1106</v>
      </c>
      <c r="B571" s="610" t="s">
        <v>526</v>
      </c>
    </row>
    <row r="572" spans="1:2">
      <c r="A572" s="610" t="s">
        <v>1107</v>
      </c>
      <c r="B572" s="610" t="s">
        <v>604</v>
      </c>
    </row>
    <row r="573" spans="1:2">
      <c r="A573" s="610" t="s">
        <v>1108</v>
      </c>
      <c r="B573" s="610" t="s">
        <v>132</v>
      </c>
    </row>
    <row r="574" spans="1:2">
      <c r="A574" s="610" t="s">
        <v>1109</v>
      </c>
      <c r="B574" s="610" t="s">
        <v>604</v>
      </c>
    </row>
    <row r="575" spans="1:2">
      <c r="A575" s="610" t="s">
        <v>1110</v>
      </c>
      <c r="B575" s="610" t="s">
        <v>132</v>
      </c>
    </row>
    <row r="576" spans="1:2">
      <c r="A576" s="610" t="s">
        <v>1111</v>
      </c>
      <c r="B576" s="610" t="s">
        <v>526</v>
      </c>
    </row>
    <row r="577" spans="1:2">
      <c r="A577" s="610" t="s">
        <v>1112</v>
      </c>
      <c r="B577" s="610" t="s">
        <v>108</v>
      </c>
    </row>
    <row r="578" spans="1:2">
      <c r="A578" s="610" t="s">
        <v>236</v>
      </c>
      <c r="B578" s="610" t="s">
        <v>526</v>
      </c>
    </row>
    <row r="579" spans="1:2">
      <c r="A579" s="610" t="s">
        <v>1113</v>
      </c>
      <c r="B579" s="610" t="s">
        <v>526</v>
      </c>
    </row>
    <row r="580" spans="1:2">
      <c r="A580" s="610" t="s">
        <v>1114</v>
      </c>
      <c r="B580" s="610" t="s">
        <v>413</v>
      </c>
    </row>
    <row r="581" spans="1:2">
      <c r="A581" s="610" t="s">
        <v>1115</v>
      </c>
      <c r="B581" s="610" t="s">
        <v>526</v>
      </c>
    </row>
    <row r="582" spans="1:2">
      <c r="A582" s="610" t="s">
        <v>1116</v>
      </c>
      <c r="B582" s="610" t="s">
        <v>526</v>
      </c>
    </row>
    <row r="583" spans="1:2">
      <c r="A583" s="610" t="s">
        <v>1117</v>
      </c>
      <c r="B583" s="610" t="s">
        <v>526</v>
      </c>
    </row>
    <row r="584" spans="1:2">
      <c r="A584" s="610" t="s">
        <v>1118</v>
      </c>
      <c r="B584" s="610" t="s">
        <v>604</v>
      </c>
    </row>
    <row r="585" spans="1:2">
      <c r="A585" s="610" t="s">
        <v>1119</v>
      </c>
      <c r="B585" s="610" t="s">
        <v>526</v>
      </c>
    </row>
    <row r="586" spans="1:2">
      <c r="A586" s="610" t="s">
        <v>1120</v>
      </c>
      <c r="B586" s="610" t="s">
        <v>132</v>
      </c>
    </row>
    <row r="587" spans="1:2">
      <c r="A587" s="610" t="s">
        <v>1121</v>
      </c>
      <c r="B587" s="610" t="s">
        <v>108</v>
      </c>
    </row>
    <row r="588" spans="1:2">
      <c r="A588" s="610" t="s">
        <v>1122</v>
      </c>
      <c r="B588" s="610" t="s">
        <v>108</v>
      </c>
    </row>
    <row r="589" spans="1:2">
      <c r="A589" s="610" t="s">
        <v>1123</v>
      </c>
      <c r="B589" s="610" t="s">
        <v>132</v>
      </c>
    </row>
    <row r="590" spans="1:2">
      <c r="A590" s="610" t="s">
        <v>1124</v>
      </c>
      <c r="B590" s="610" t="s">
        <v>108</v>
      </c>
    </row>
    <row r="591" spans="1:2">
      <c r="A591" s="610" t="s">
        <v>1125</v>
      </c>
      <c r="B591" s="610" t="s">
        <v>108</v>
      </c>
    </row>
    <row r="592" spans="1:2">
      <c r="A592" s="610" t="s">
        <v>1126</v>
      </c>
      <c r="B592" s="610" t="s">
        <v>108</v>
      </c>
    </row>
    <row r="593" spans="1:2">
      <c r="A593" s="610" t="s">
        <v>1127</v>
      </c>
      <c r="B593" s="610" t="s">
        <v>108</v>
      </c>
    </row>
    <row r="594" spans="1:2">
      <c r="A594" s="610" t="s">
        <v>1128</v>
      </c>
      <c r="B594" s="610" t="s">
        <v>526</v>
      </c>
    </row>
    <row r="595" spans="1:2">
      <c r="A595" s="610" t="s">
        <v>1129</v>
      </c>
      <c r="B595" s="610" t="s">
        <v>604</v>
      </c>
    </row>
    <row r="596" spans="1:2">
      <c r="A596" s="610" t="s">
        <v>1130</v>
      </c>
      <c r="B596" s="610" t="s">
        <v>132</v>
      </c>
    </row>
    <row r="597" spans="1:2">
      <c r="A597" s="610" t="s">
        <v>1131</v>
      </c>
      <c r="B597" s="610" t="s">
        <v>132</v>
      </c>
    </row>
    <row r="598" spans="1:2">
      <c r="A598" s="610" t="s">
        <v>1132</v>
      </c>
      <c r="B598" s="610" t="s">
        <v>108</v>
      </c>
    </row>
    <row r="599" spans="1:2">
      <c r="A599" s="610" t="s">
        <v>1133</v>
      </c>
      <c r="B599" s="610" t="s">
        <v>526</v>
      </c>
    </row>
    <row r="600" spans="1:2">
      <c r="A600" s="610" t="s">
        <v>303</v>
      </c>
      <c r="B600" s="610" t="s">
        <v>526</v>
      </c>
    </row>
    <row r="601" spans="1:2">
      <c r="A601" s="610" t="s">
        <v>1134</v>
      </c>
      <c r="B601" s="610" t="s">
        <v>604</v>
      </c>
    </row>
    <row r="602" spans="1:2">
      <c r="A602" s="610" t="s">
        <v>1135</v>
      </c>
      <c r="B602" s="610" t="s">
        <v>108</v>
      </c>
    </row>
    <row r="603" spans="1:2">
      <c r="A603" s="610" t="s">
        <v>1136</v>
      </c>
      <c r="B603" s="610" t="s">
        <v>132</v>
      </c>
    </row>
    <row r="604" spans="1:2">
      <c r="A604" s="610" t="s">
        <v>1137</v>
      </c>
      <c r="B604" s="610" t="s">
        <v>132</v>
      </c>
    </row>
    <row r="605" spans="1:2">
      <c r="A605" s="610" t="s">
        <v>1138</v>
      </c>
      <c r="B605" s="610" t="s">
        <v>132</v>
      </c>
    </row>
    <row r="606" spans="1:2">
      <c r="A606" s="610" t="s">
        <v>1139</v>
      </c>
      <c r="B606" s="610" t="s">
        <v>604</v>
      </c>
    </row>
    <row r="607" spans="1:2">
      <c r="A607" s="610" t="s">
        <v>353</v>
      </c>
      <c r="B607" s="610" t="s">
        <v>108</v>
      </c>
    </row>
    <row r="608" spans="1:2">
      <c r="A608" s="610" t="s">
        <v>1140</v>
      </c>
      <c r="B608" s="610" t="s">
        <v>604</v>
      </c>
    </row>
    <row r="609" spans="1:2">
      <c r="A609" s="610" t="s">
        <v>1141</v>
      </c>
      <c r="B609" s="610" t="s">
        <v>108</v>
      </c>
    </row>
    <row r="610" spans="1:2">
      <c r="A610" s="610" t="s">
        <v>1142</v>
      </c>
      <c r="B610" s="610" t="s">
        <v>132</v>
      </c>
    </row>
    <row r="611" spans="1:2">
      <c r="A611" s="610" t="s">
        <v>1143</v>
      </c>
      <c r="B611" s="610" t="s">
        <v>604</v>
      </c>
    </row>
    <row r="612" spans="1:2">
      <c r="A612" s="610" t="s">
        <v>241</v>
      </c>
      <c r="B612" s="610" t="s">
        <v>526</v>
      </c>
    </row>
    <row r="613" spans="1:2">
      <c r="A613" s="610" t="s">
        <v>1144</v>
      </c>
      <c r="B613" s="610" t="s">
        <v>108</v>
      </c>
    </row>
    <row r="614" spans="1:2">
      <c r="A614" s="610" t="s">
        <v>1145</v>
      </c>
      <c r="B614" s="610" t="s">
        <v>108</v>
      </c>
    </row>
    <row r="615" spans="1:2">
      <c r="A615" s="610" t="s">
        <v>1146</v>
      </c>
      <c r="B615" s="610" t="s">
        <v>132</v>
      </c>
    </row>
    <row r="616" spans="1:2">
      <c r="A616" s="610" t="s">
        <v>1147</v>
      </c>
      <c r="B616" s="610" t="s">
        <v>526</v>
      </c>
    </row>
    <row r="617" spans="1:2">
      <c r="A617" s="610" t="s">
        <v>1148</v>
      </c>
      <c r="B617" s="610" t="s">
        <v>132</v>
      </c>
    </row>
    <row r="618" spans="1:2">
      <c r="A618" s="610" t="s">
        <v>1149</v>
      </c>
      <c r="B618" s="610" t="s">
        <v>132</v>
      </c>
    </row>
    <row r="619" spans="1:2">
      <c r="A619" s="610" t="s">
        <v>1150</v>
      </c>
      <c r="B619" s="610" t="s">
        <v>108</v>
      </c>
    </row>
    <row r="620" spans="1:2">
      <c r="A620" s="610" t="s">
        <v>1151</v>
      </c>
      <c r="B620" s="610" t="s">
        <v>132</v>
      </c>
    </row>
    <row r="621" spans="1:2">
      <c r="A621" s="610" t="s">
        <v>1152</v>
      </c>
      <c r="B621" s="610" t="s">
        <v>132</v>
      </c>
    </row>
    <row r="622" spans="1:2">
      <c r="A622" s="610" t="s">
        <v>1153</v>
      </c>
      <c r="B622" s="610" t="s">
        <v>108</v>
      </c>
    </row>
    <row r="623" spans="1:2">
      <c r="A623" s="610" t="s">
        <v>1154</v>
      </c>
      <c r="B623" s="610" t="s">
        <v>604</v>
      </c>
    </row>
    <row r="624" spans="1:2">
      <c r="A624" s="610" t="s">
        <v>1155</v>
      </c>
      <c r="B624" s="610" t="s">
        <v>108</v>
      </c>
    </row>
    <row r="625" spans="1:2">
      <c r="A625" s="610" t="s">
        <v>265</v>
      </c>
      <c r="B625" s="610" t="s">
        <v>526</v>
      </c>
    </row>
    <row r="626" spans="1:2">
      <c r="A626" s="610" t="s">
        <v>1156</v>
      </c>
      <c r="B626" s="610" t="s">
        <v>132</v>
      </c>
    </row>
    <row r="627" spans="1:2">
      <c r="A627" s="610" t="s">
        <v>1157</v>
      </c>
      <c r="B627" s="610" t="s">
        <v>526</v>
      </c>
    </row>
    <row r="628" spans="1:2">
      <c r="A628" s="610" t="s">
        <v>1158</v>
      </c>
      <c r="B628" s="610" t="s">
        <v>108</v>
      </c>
    </row>
    <row r="629" spans="1:2">
      <c r="A629" s="610" t="s">
        <v>1159</v>
      </c>
      <c r="B629" s="610" t="s">
        <v>526</v>
      </c>
    </row>
    <row r="630" spans="1:2">
      <c r="A630" s="610" t="s">
        <v>1160</v>
      </c>
      <c r="B630" s="610" t="s">
        <v>526</v>
      </c>
    </row>
    <row r="631" spans="1:2">
      <c r="A631" s="610" t="s">
        <v>1161</v>
      </c>
      <c r="B631" s="610" t="s">
        <v>604</v>
      </c>
    </row>
    <row r="632" spans="1:2">
      <c r="A632" s="610" t="s">
        <v>306</v>
      </c>
      <c r="B632" s="610" t="s">
        <v>132</v>
      </c>
    </row>
    <row r="633" spans="1:2">
      <c r="A633" s="610" t="s">
        <v>1162</v>
      </c>
      <c r="B633" s="610" t="s">
        <v>604</v>
      </c>
    </row>
    <row r="634" spans="1:2">
      <c r="A634" s="610" t="s">
        <v>1163</v>
      </c>
      <c r="B634" s="610" t="s">
        <v>526</v>
      </c>
    </row>
    <row r="635" spans="1:2">
      <c r="A635" s="610" t="s">
        <v>1164</v>
      </c>
      <c r="B635" s="610" t="s">
        <v>108</v>
      </c>
    </row>
    <row r="636" spans="1:2">
      <c r="A636" s="610" t="s">
        <v>1165</v>
      </c>
      <c r="B636" s="610" t="s">
        <v>132</v>
      </c>
    </row>
    <row r="637" spans="1:2">
      <c r="A637" s="610" t="s">
        <v>301</v>
      </c>
      <c r="B637" s="610" t="s">
        <v>132</v>
      </c>
    </row>
    <row r="638" spans="1:2">
      <c r="A638" s="610" t="s">
        <v>1166</v>
      </c>
      <c r="B638" s="610" t="s">
        <v>526</v>
      </c>
    </row>
    <row r="639" spans="1:2">
      <c r="A639" s="610" t="s">
        <v>1167</v>
      </c>
      <c r="B639" s="610" t="s">
        <v>604</v>
      </c>
    </row>
    <row r="640" spans="1:2">
      <c r="A640" s="610" t="s">
        <v>1168</v>
      </c>
      <c r="B640" s="610" t="s">
        <v>108</v>
      </c>
    </row>
    <row r="641" spans="1:2">
      <c r="A641" s="610" t="s">
        <v>1169</v>
      </c>
      <c r="B641" s="610" t="s">
        <v>108</v>
      </c>
    </row>
    <row r="642" spans="1:2">
      <c r="A642" s="610" t="s">
        <v>1170</v>
      </c>
      <c r="B642" s="610" t="s">
        <v>108</v>
      </c>
    </row>
    <row r="643" spans="1:2">
      <c r="A643" s="610" t="s">
        <v>1171</v>
      </c>
      <c r="B643" s="610" t="s">
        <v>526</v>
      </c>
    </row>
    <row r="644" spans="1:2">
      <c r="A644" s="610" t="s">
        <v>1172</v>
      </c>
      <c r="B644" s="610" t="s">
        <v>108</v>
      </c>
    </row>
    <row r="645" spans="1:2">
      <c r="A645" s="610" t="s">
        <v>1173</v>
      </c>
      <c r="B645" s="610" t="s">
        <v>108</v>
      </c>
    </row>
    <row r="646" spans="1:2">
      <c r="A646" s="610" t="s">
        <v>1174</v>
      </c>
      <c r="B646" s="610" t="s">
        <v>108</v>
      </c>
    </row>
    <row r="647" spans="1:2">
      <c r="A647" s="610" t="s">
        <v>1175</v>
      </c>
      <c r="B647" s="610" t="s">
        <v>132</v>
      </c>
    </row>
    <row r="648" spans="1:2">
      <c r="A648" s="610" t="s">
        <v>1176</v>
      </c>
      <c r="B648" s="610" t="s">
        <v>108</v>
      </c>
    </row>
    <row r="649" spans="1:2">
      <c r="A649" s="610" t="s">
        <v>1177</v>
      </c>
      <c r="B649" s="610" t="s">
        <v>604</v>
      </c>
    </row>
    <row r="650" spans="1:2">
      <c r="A650" s="610" t="s">
        <v>1178</v>
      </c>
      <c r="B650" s="610" t="s">
        <v>132</v>
      </c>
    </row>
    <row r="651" spans="1:2">
      <c r="A651" s="610" t="s">
        <v>1179</v>
      </c>
      <c r="B651" s="610" t="s">
        <v>132</v>
      </c>
    </row>
    <row r="652" spans="1:2">
      <c r="A652" s="610" t="s">
        <v>1180</v>
      </c>
      <c r="B652" s="610" t="s">
        <v>132</v>
      </c>
    </row>
    <row r="653" spans="1:2">
      <c r="A653" s="610" t="s">
        <v>1181</v>
      </c>
      <c r="B653" s="610" t="s">
        <v>108</v>
      </c>
    </row>
    <row r="654" spans="1:2">
      <c r="A654" s="610" t="s">
        <v>1182</v>
      </c>
      <c r="B654" s="610" t="s">
        <v>108</v>
      </c>
    </row>
    <row r="655" spans="1:2">
      <c r="A655" s="610" t="s">
        <v>1183</v>
      </c>
      <c r="B655" s="610" t="s">
        <v>132</v>
      </c>
    </row>
    <row r="656" spans="1:2">
      <c r="A656" s="610" t="s">
        <v>1184</v>
      </c>
      <c r="B656" s="610" t="s">
        <v>526</v>
      </c>
    </row>
    <row r="657" spans="1:2">
      <c r="A657" s="610" t="s">
        <v>1185</v>
      </c>
      <c r="B657" s="610" t="s">
        <v>108</v>
      </c>
    </row>
    <row r="658" spans="1:2">
      <c r="A658" s="610" t="s">
        <v>1186</v>
      </c>
      <c r="B658" s="610" t="s">
        <v>604</v>
      </c>
    </row>
    <row r="659" spans="1:2">
      <c r="A659" s="610" t="s">
        <v>1187</v>
      </c>
      <c r="B659" s="610" t="s">
        <v>132</v>
      </c>
    </row>
    <row r="660" spans="1:2">
      <c r="A660" s="610" t="s">
        <v>1188</v>
      </c>
      <c r="B660" s="610" t="s">
        <v>108</v>
      </c>
    </row>
    <row r="661" spans="1:2">
      <c r="A661" s="610" t="s">
        <v>1189</v>
      </c>
      <c r="B661" s="610" t="s">
        <v>108</v>
      </c>
    </row>
    <row r="662" spans="1:2">
      <c r="A662" s="610" t="s">
        <v>1190</v>
      </c>
      <c r="B662" s="610" t="s">
        <v>108</v>
      </c>
    </row>
    <row r="663" spans="1:2">
      <c r="A663" s="610" t="s">
        <v>1191</v>
      </c>
      <c r="B663" s="610" t="s">
        <v>526</v>
      </c>
    </row>
    <row r="664" spans="1:2">
      <c r="A664" s="610" t="s">
        <v>1192</v>
      </c>
      <c r="B664" s="610" t="s">
        <v>526</v>
      </c>
    </row>
    <row r="665" spans="1:2">
      <c r="A665" s="610" t="s">
        <v>284</v>
      </c>
      <c r="B665" s="610" t="s">
        <v>526</v>
      </c>
    </row>
    <row r="666" spans="1:2">
      <c r="A666" s="610" t="s">
        <v>1193</v>
      </c>
      <c r="B666" s="610" t="s">
        <v>526</v>
      </c>
    </row>
    <row r="667" spans="1:2">
      <c r="A667" s="610" t="s">
        <v>387</v>
      </c>
      <c r="B667" s="610" t="s">
        <v>526</v>
      </c>
    </row>
    <row r="668" spans="1:2">
      <c r="A668" s="610" t="s">
        <v>1194</v>
      </c>
      <c r="B668" s="610" t="s">
        <v>604</v>
      </c>
    </row>
    <row r="669" spans="1:2">
      <c r="A669" s="610" t="s">
        <v>1195</v>
      </c>
      <c r="B669" s="610" t="s">
        <v>108</v>
      </c>
    </row>
    <row r="670" spans="1:2">
      <c r="A670" s="610" t="s">
        <v>1196</v>
      </c>
      <c r="B670" s="610" t="s">
        <v>108</v>
      </c>
    </row>
    <row r="671" spans="1:2">
      <c r="A671" s="610" t="s">
        <v>1197</v>
      </c>
      <c r="B671" s="610" t="s">
        <v>604</v>
      </c>
    </row>
    <row r="672" spans="1:2">
      <c r="A672" s="610" t="s">
        <v>1198</v>
      </c>
      <c r="B672" s="610" t="s">
        <v>413</v>
      </c>
    </row>
    <row r="673" spans="1:2">
      <c r="A673" s="610" t="s">
        <v>1199</v>
      </c>
      <c r="B673" s="610" t="s">
        <v>604</v>
      </c>
    </row>
    <row r="674" spans="1:2">
      <c r="A674" s="610" t="s">
        <v>1200</v>
      </c>
      <c r="B674" s="610" t="s">
        <v>132</v>
      </c>
    </row>
    <row r="675" spans="1:2">
      <c r="A675" s="610" t="s">
        <v>1201</v>
      </c>
      <c r="B675" s="610" t="s">
        <v>132</v>
      </c>
    </row>
    <row r="676" spans="1:2">
      <c r="A676" s="610" t="s">
        <v>1202</v>
      </c>
      <c r="B676" s="610" t="s">
        <v>108</v>
      </c>
    </row>
    <row r="677" spans="1:2">
      <c r="A677" s="610" t="s">
        <v>159</v>
      </c>
      <c r="B677" s="610" t="s">
        <v>526</v>
      </c>
    </row>
    <row r="678" spans="1:2">
      <c r="A678" s="610" t="s">
        <v>1203</v>
      </c>
      <c r="B678" s="610" t="s">
        <v>526</v>
      </c>
    </row>
    <row r="679" spans="1:2">
      <c r="A679" s="610" t="s">
        <v>1204</v>
      </c>
      <c r="B679" s="610" t="s">
        <v>132</v>
      </c>
    </row>
    <row r="680" spans="1:2">
      <c r="A680" s="610" t="s">
        <v>1205</v>
      </c>
      <c r="B680" s="610" t="s">
        <v>108</v>
      </c>
    </row>
    <row r="681" spans="1:2">
      <c r="A681" s="610" t="s">
        <v>1206</v>
      </c>
      <c r="B681" s="610" t="s">
        <v>132</v>
      </c>
    </row>
    <row r="682" spans="1:2">
      <c r="A682" s="610" t="s">
        <v>1207</v>
      </c>
      <c r="B682" s="610" t="s">
        <v>108</v>
      </c>
    </row>
    <row r="683" spans="1:2">
      <c r="A683" s="610" t="s">
        <v>1208</v>
      </c>
      <c r="B683" s="610" t="s">
        <v>604</v>
      </c>
    </row>
    <row r="684" spans="1:2">
      <c r="A684" s="610" t="s">
        <v>1209</v>
      </c>
      <c r="B684" s="610" t="s">
        <v>526</v>
      </c>
    </row>
    <row r="685" spans="1:2">
      <c r="A685" s="610" t="s">
        <v>1210</v>
      </c>
      <c r="B685" s="610" t="s">
        <v>108</v>
      </c>
    </row>
    <row r="686" spans="1:2">
      <c r="A686" s="610" t="s">
        <v>1211</v>
      </c>
      <c r="B686" s="610" t="s">
        <v>132</v>
      </c>
    </row>
    <row r="687" spans="1:2">
      <c r="A687" s="610" t="s">
        <v>1212</v>
      </c>
      <c r="B687" s="610" t="s">
        <v>526</v>
      </c>
    </row>
    <row r="688" spans="1:2">
      <c r="A688" s="610" t="s">
        <v>1213</v>
      </c>
      <c r="B688" s="610" t="s">
        <v>132</v>
      </c>
    </row>
    <row r="689" spans="1:2">
      <c r="A689" s="610" t="s">
        <v>1214</v>
      </c>
      <c r="B689" s="610" t="s">
        <v>108</v>
      </c>
    </row>
    <row r="690" spans="1:2">
      <c r="A690" s="610" t="s">
        <v>1215</v>
      </c>
      <c r="B690" s="610" t="s">
        <v>108</v>
      </c>
    </row>
    <row r="691" spans="1:2">
      <c r="A691" s="610" t="s">
        <v>1216</v>
      </c>
      <c r="B691" s="610" t="s">
        <v>108</v>
      </c>
    </row>
    <row r="692" spans="1:2">
      <c r="A692" s="610" t="s">
        <v>1217</v>
      </c>
      <c r="B692" s="610" t="s">
        <v>132</v>
      </c>
    </row>
    <row r="693" spans="1:2">
      <c r="A693" s="610" t="s">
        <v>1218</v>
      </c>
      <c r="B693" s="610" t="s">
        <v>108</v>
      </c>
    </row>
    <row r="694" spans="1:2">
      <c r="A694" s="610" t="s">
        <v>1219</v>
      </c>
      <c r="B694" s="610" t="s">
        <v>108</v>
      </c>
    </row>
    <row r="695" spans="1:2">
      <c r="A695" s="610" t="s">
        <v>1220</v>
      </c>
      <c r="B695" s="610" t="s">
        <v>132</v>
      </c>
    </row>
    <row r="696" spans="1:2">
      <c r="A696" s="610" t="s">
        <v>1221</v>
      </c>
      <c r="B696" s="610" t="s">
        <v>604</v>
      </c>
    </row>
    <row r="697" spans="1:2">
      <c r="A697" s="610" t="s">
        <v>1222</v>
      </c>
      <c r="B697" s="610" t="s">
        <v>132</v>
      </c>
    </row>
    <row r="698" spans="1:2">
      <c r="A698" s="610" t="s">
        <v>1223</v>
      </c>
      <c r="B698" s="610" t="s">
        <v>526</v>
      </c>
    </row>
    <row r="699" spans="1:2">
      <c r="A699" s="610" t="s">
        <v>1224</v>
      </c>
      <c r="B699" s="610" t="s">
        <v>132</v>
      </c>
    </row>
    <row r="700" spans="1:2">
      <c r="A700" s="610" t="s">
        <v>1225</v>
      </c>
      <c r="B700" s="610" t="s">
        <v>132</v>
      </c>
    </row>
    <row r="701" spans="1:2">
      <c r="A701" s="610" t="s">
        <v>261</v>
      </c>
      <c r="B701" s="610" t="s">
        <v>526</v>
      </c>
    </row>
    <row r="702" spans="1:2">
      <c r="A702" s="610" t="s">
        <v>1226</v>
      </c>
      <c r="B702" s="610" t="s">
        <v>108</v>
      </c>
    </row>
    <row r="703" spans="1:2">
      <c r="A703" s="610" t="s">
        <v>1227</v>
      </c>
      <c r="B703" s="610" t="s">
        <v>108</v>
      </c>
    </row>
    <row r="704" spans="1:2">
      <c r="A704" s="610" t="s">
        <v>1228</v>
      </c>
      <c r="B704" s="610" t="s">
        <v>604</v>
      </c>
    </row>
    <row r="705" spans="1:2">
      <c r="A705" s="610" t="s">
        <v>1229</v>
      </c>
      <c r="B705" s="610" t="s">
        <v>526</v>
      </c>
    </row>
    <row r="706" spans="1:2">
      <c r="A706" s="610" t="s">
        <v>1230</v>
      </c>
      <c r="B706" s="610" t="s">
        <v>132</v>
      </c>
    </row>
    <row r="707" spans="1:2">
      <c r="A707" s="610" t="s">
        <v>224</v>
      </c>
      <c r="B707" s="610" t="s">
        <v>132</v>
      </c>
    </row>
    <row r="708" spans="1:2">
      <c r="A708" s="610" t="s">
        <v>1231</v>
      </c>
      <c r="B708" s="610" t="s">
        <v>132</v>
      </c>
    </row>
    <row r="709" spans="1:2">
      <c r="A709" s="610" t="s">
        <v>1232</v>
      </c>
      <c r="B709" s="610" t="s">
        <v>108</v>
      </c>
    </row>
    <row r="710" spans="1:2">
      <c r="A710" s="610" t="s">
        <v>1233</v>
      </c>
      <c r="B710" s="610" t="s">
        <v>108</v>
      </c>
    </row>
    <row r="711" spans="1:2">
      <c r="A711" s="610" t="s">
        <v>1234</v>
      </c>
      <c r="B711" s="610" t="s">
        <v>132</v>
      </c>
    </row>
    <row r="712" spans="1:2">
      <c r="A712" s="610" t="s">
        <v>1235</v>
      </c>
      <c r="B712" s="610" t="s">
        <v>132</v>
      </c>
    </row>
    <row r="713" spans="1:2">
      <c r="A713" s="610" t="s">
        <v>1236</v>
      </c>
      <c r="B713" s="610" t="s">
        <v>132</v>
      </c>
    </row>
    <row r="714" spans="1:2">
      <c r="A714" s="610" t="s">
        <v>1237</v>
      </c>
      <c r="B714" s="610" t="s">
        <v>526</v>
      </c>
    </row>
    <row r="715" spans="1:2">
      <c r="A715" s="610" t="s">
        <v>1238</v>
      </c>
      <c r="B715" s="610" t="s">
        <v>132</v>
      </c>
    </row>
    <row r="716" spans="1:2">
      <c r="A716" s="610" t="s">
        <v>1239</v>
      </c>
      <c r="B716" s="610" t="s">
        <v>526</v>
      </c>
    </row>
    <row r="717" spans="1:2">
      <c r="A717" s="610" t="s">
        <v>1240</v>
      </c>
      <c r="B717" s="610" t="s">
        <v>604</v>
      </c>
    </row>
    <row r="718" spans="1:2">
      <c r="A718" s="610" t="s">
        <v>1241</v>
      </c>
      <c r="B718" s="610" t="s">
        <v>132</v>
      </c>
    </row>
    <row r="719" spans="1:2">
      <c r="A719" s="610" t="s">
        <v>1242</v>
      </c>
      <c r="B719" s="610" t="s">
        <v>108</v>
      </c>
    </row>
    <row r="720" spans="1:2">
      <c r="A720" s="610" t="s">
        <v>1243</v>
      </c>
      <c r="B720" s="610" t="s">
        <v>604</v>
      </c>
    </row>
    <row r="721" spans="1:2">
      <c r="A721" s="610" t="s">
        <v>1244</v>
      </c>
      <c r="B721" s="610" t="s">
        <v>604</v>
      </c>
    </row>
    <row r="722" spans="1:2">
      <c r="A722" s="610" t="s">
        <v>1245</v>
      </c>
      <c r="B722" s="610" t="s">
        <v>132</v>
      </c>
    </row>
    <row r="723" spans="1:2">
      <c r="A723" s="610" t="s">
        <v>1246</v>
      </c>
      <c r="B723" s="610" t="s">
        <v>108</v>
      </c>
    </row>
    <row r="724" spans="1:2">
      <c r="A724" s="610" t="s">
        <v>1247</v>
      </c>
      <c r="B724" s="610" t="s">
        <v>108</v>
      </c>
    </row>
    <row r="725" spans="1:2">
      <c r="A725" s="610" t="s">
        <v>1248</v>
      </c>
      <c r="B725" s="610" t="s">
        <v>604</v>
      </c>
    </row>
    <row r="726" spans="1:2">
      <c r="A726" s="610" t="s">
        <v>1249</v>
      </c>
      <c r="B726" s="610" t="s">
        <v>132</v>
      </c>
    </row>
    <row r="727" spans="1:2">
      <c r="A727" s="610" t="s">
        <v>1250</v>
      </c>
      <c r="B727" s="610" t="s">
        <v>604</v>
      </c>
    </row>
    <row r="728" spans="1:2">
      <c r="A728" s="610" t="s">
        <v>1251</v>
      </c>
      <c r="B728" s="610" t="s">
        <v>132</v>
      </c>
    </row>
    <row r="729" spans="1:2">
      <c r="A729" s="610" t="s">
        <v>1252</v>
      </c>
      <c r="B729" s="610" t="s">
        <v>526</v>
      </c>
    </row>
    <row r="730" spans="1:2">
      <c r="A730" s="610" t="s">
        <v>1253</v>
      </c>
      <c r="B730" s="610" t="s">
        <v>108</v>
      </c>
    </row>
    <row r="731" spans="1:2">
      <c r="A731" s="610" t="s">
        <v>1254</v>
      </c>
      <c r="B731" s="610" t="s">
        <v>526</v>
      </c>
    </row>
    <row r="732" spans="1:2">
      <c r="A732" s="610" t="s">
        <v>1255</v>
      </c>
      <c r="B732" s="610" t="s">
        <v>132</v>
      </c>
    </row>
    <row r="733" spans="1:2">
      <c r="A733" s="610" t="s">
        <v>1256</v>
      </c>
      <c r="B733" s="610" t="s">
        <v>108</v>
      </c>
    </row>
    <row r="734" spans="1:2">
      <c r="A734" s="610" t="s">
        <v>1257</v>
      </c>
      <c r="B734" s="610" t="s">
        <v>526</v>
      </c>
    </row>
    <row r="735" spans="1:2">
      <c r="A735" s="610" t="s">
        <v>1258</v>
      </c>
      <c r="B735" s="610" t="s">
        <v>132</v>
      </c>
    </row>
    <row r="736" spans="1:2">
      <c r="A736" s="610" t="s">
        <v>1259</v>
      </c>
      <c r="B736" s="610" t="s">
        <v>526</v>
      </c>
    </row>
    <row r="737" spans="1:2">
      <c r="A737" s="610" t="s">
        <v>1260</v>
      </c>
      <c r="B737" s="610" t="s">
        <v>108</v>
      </c>
    </row>
    <row r="738" spans="1:2">
      <c r="A738" s="610" t="s">
        <v>1261</v>
      </c>
      <c r="B738" s="610" t="s">
        <v>108</v>
      </c>
    </row>
    <row r="739" spans="1:2">
      <c r="A739" s="610" t="s">
        <v>1262</v>
      </c>
      <c r="B739" s="610" t="s">
        <v>132</v>
      </c>
    </row>
    <row r="740" spans="1:2">
      <c r="A740" s="610" t="s">
        <v>1263</v>
      </c>
      <c r="B740" s="610" t="s">
        <v>526</v>
      </c>
    </row>
    <row r="741" spans="1:2">
      <c r="A741" s="610" t="s">
        <v>1264</v>
      </c>
      <c r="B741" s="610" t="s">
        <v>526</v>
      </c>
    </row>
    <row r="742" spans="1:2">
      <c r="A742" s="610" t="s">
        <v>1265</v>
      </c>
      <c r="B742" s="610" t="s">
        <v>604</v>
      </c>
    </row>
    <row r="743" spans="1:2">
      <c r="A743" s="610" t="s">
        <v>338</v>
      </c>
      <c r="B743" s="610" t="s">
        <v>526</v>
      </c>
    </row>
    <row r="744" spans="1:2">
      <c r="A744" s="610" t="s">
        <v>1266</v>
      </c>
      <c r="B744" s="610" t="s">
        <v>132</v>
      </c>
    </row>
    <row r="745" spans="1:2">
      <c r="A745" s="610" t="s">
        <v>1267</v>
      </c>
      <c r="B745" s="610" t="s">
        <v>108</v>
      </c>
    </row>
    <row r="746" spans="1:2">
      <c r="A746" s="610" t="s">
        <v>1268</v>
      </c>
      <c r="B746" s="610" t="s">
        <v>604</v>
      </c>
    </row>
    <row r="747" spans="1:2">
      <c r="A747" s="610" t="s">
        <v>122</v>
      </c>
      <c r="B747" s="610" t="s">
        <v>526</v>
      </c>
    </row>
    <row r="748" spans="1:2">
      <c r="A748" s="610" t="s">
        <v>1269</v>
      </c>
      <c r="B748" s="610" t="s">
        <v>526</v>
      </c>
    </row>
    <row r="749" spans="1:2">
      <c r="A749" s="610" t="s">
        <v>1270</v>
      </c>
      <c r="B749" s="610" t="s">
        <v>108</v>
      </c>
    </row>
    <row r="750" spans="1:2">
      <c r="A750" s="610" t="s">
        <v>1271</v>
      </c>
      <c r="B750" s="610" t="s">
        <v>108</v>
      </c>
    </row>
    <row r="751" spans="1:2">
      <c r="A751" s="610" t="s">
        <v>1272</v>
      </c>
      <c r="B751" s="610" t="s">
        <v>604</v>
      </c>
    </row>
    <row r="752" spans="1:2">
      <c r="A752" s="610" t="s">
        <v>1273</v>
      </c>
      <c r="B752" s="610" t="s">
        <v>132</v>
      </c>
    </row>
    <row r="753" spans="1:2">
      <c r="A753" s="610" t="s">
        <v>1274</v>
      </c>
      <c r="B753" s="610" t="s">
        <v>108</v>
      </c>
    </row>
    <row r="754" spans="1:2">
      <c r="A754" s="610" t="s">
        <v>1275</v>
      </c>
      <c r="B754" s="610" t="s">
        <v>604</v>
      </c>
    </row>
    <row r="755" spans="1:2">
      <c r="A755" s="610" t="s">
        <v>1276</v>
      </c>
      <c r="B755" s="610" t="s">
        <v>108</v>
      </c>
    </row>
    <row r="756" spans="1:2">
      <c r="A756" s="610" t="s">
        <v>1277</v>
      </c>
      <c r="B756" s="610" t="s">
        <v>132</v>
      </c>
    </row>
    <row r="757" spans="1:2">
      <c r="A757" s="610" t="s">
        <v>1278</v>
      </c>
      <c r="B757" s="610" t="s">
        <v>604</v>
      </c>
    </row>
    <row r="758" spans="1:2">
      <c r="A758" s="610" t="s">
        <v>1279</v>
      </c>
      <c r="B758" s="610" t="s">
        <v>108</v>
      </c>
    </row>
    <row r="759" spans="1:2">
      <c r="A759" s="610" t="s">
        <v>1280</v>
      </c>
      <c r="B759" s="610" t="s">
        <v>132</v>
      </c>
    </row>
    <row r="760" spans="1:2">
      <c r="A760" s="610" t="s">
        <v>1281</v>
      </c>
      <c r="B760" s="610" t="s">
        <v>108</v>
      </c>
    </row>
    <row r="761" spans="1:2">
      <c r="A761" s="610" t="s">
        <v>1282</v>
      </c>
      <c r="B761" s="610" t="s">
        <v>526</v>
      </c>
    </row>
    <row r="762" spans="1:2">
      <c r="A762" s="610" t="s">
        <v>1283</v>
      </c>
      <c r="B762" s="610" t="s">
        <v>132</v>
      </c>
    </row>
    <row r="763" spans="1:2">
      <c r="A763" s="610" t="s">
        <v>1284</v>
      </c>
      <c r="B763" s="610" t="s">
        <v>108</v>
      </c>
    </row>
    <row r="764" spans="1:2">
      <c r="A764" s="610" t="s">
        <v>1285</v>
      </c>
      <c r="B764" s="610" t="s">
        <v>132</v>
      </c>
    </row>
    <row r="765" spans="1:2">
      <c r="A765" s="610" t="s">
        <v>1286</v>
      </c>
      <c r="B765" s="610" t="s">
        <v>132</v>
      </c>
    </row>
    <row r="766" spans="1:2">
      <c r="A766" s="610" t="s">
        <v>1287</v>
      </c>
      <c r="B766" s="610" t="s">
        <v>108</v>
      </c>
    </row>
    <row r="767" spans="1:2">
      <c r="A767" s="610" t="s">
        <v>1288</v>
      </c>
      <c r="B767" s="610" t="s">
        <v>108</v>
      </c>
    </row>
    <row r="768" spans="1:2">
      <c r="A768" s="610" t="s">
        <v>1289</v>
      </c>
      <c r="B768" s="610" t="s">
        <v>132</v>
      </c>
    </row>
    <row r="769" spans="1:2">
      <c r="A769" s="610" t="s">
        <v>1290</v>
      </c>
      <c r="B769" s="610" t="s">
        <v>413</v>
      </c>
    </row>
    <row r="770" spans="1:2">
      <c r="A770" s="610" t="s">
        <v>1291</v>
      </c>
      <c r="B770" s="610" t="s">
        <v>526</v>
      </c>
    </row>
    <row r="771" spans="1:2">
      <c r="A771" s="610" t="s">
        <v>452</v>
      </c>
      <c r="B771" s="610" t="s">
        <v>526</v>
      </c>
    </row>
    <row r="772" spans="1:2">
      <c r="A772" s="610" t="s">
        <v>1292</v>
      </c>
      <c r="B772" s="610" t="s">
        <v>108</v>
      </c>
    </row>
    <row r="773" spans="1:2">
      <c r="A773" s="610" t="s">
        <v>364</v>
      </c>
      <c r="B773" s="610" t="s">
        <v>526</v>
      </c>
    </row>
    <row r="774" spans="1:2">
      <c r="A774" s="610" t="s">
        <v>1293</v>
      </c>
      <c r="B774" s="610" t="s">
        <v>132</v>
      </c>
    </row>
    <row r="775" spans="1:2">
      <c r="A775" s="610" t="s">
        <v>1294</v>
      </c>
      <c r="B775" s="610" t="s">
        <v>108</v>
      </c>
    </row>
    <row r="776" spans="1:2">
      <c r="A776" s="610" t="s">
        <v>1295</v>
      </c>
      <c r="B776" s="610" t="s">
        <v>604</v>
      </c>
    </row>
    <row r="777" spans="1:2">
      <c r="A777" s="610" t="s">
        <v>1296</v>
      </c>
      <c r="B777" s="610" t="s">
        <v>132</v>
      </c>
    </row>
    <row r="778" spans="1:2">
      <c r="A778" s="610" t="s">
        <v>213</v>
      </c>
      <c r="B778" s="610" t="s">
        <v>526</v>
      </c>
    </row>
    <row r="779" spans="1:2">
      <c r="A779" s="610" t="s">
        <v>1297</v>
      </c>
      <c r="B779" s="610" t="s">
        <v>108</v>
      </c>
    </row>
    <row r="780" spans="1:2">
      <c r="A780" s="610" t="s">
        <v>1298</v>
      </c>
      <c r="B780" s="610" t="s">
        <v>108</v>
      </c>
    </row>
    <row r="781" spans="1:2">
      <c r="A781" s="610" t="s">
        <v>1299</v>
      </c>
      <c r="B781" s="610" t="s">
        <v>132</v>
      </c>
    </row>
    <row r="782" spans="1:2">
      <c r="A782" s="610" t="s">
        <v>1300</v>
      </c>
      <c r="B782" s="610" t="s">
        <v>526</v>
      </c>
    </row>
    <row r="783" spans="1:2">
      <c r="A783" s="610" t="s">
        <v>1301</v>
      </c>
      <c r="B783" s="610" t="s">
        <v>132</v>
      </c>
    </row>
    <row r="784" spans="1:2">
      <c r="A784" s="610" t="s">
        <v>1302</v>
      </c>
      <c r="B784" s="610" t="s">
        <v>108</v>
      </c>
    </row>
    <row r="785" spans="1:2">
      <c r="A785" s="610" t="s">
        <v>1303</v>
      </c>
      <c r="B785" s="610" t="s">
        <v>526</v>
      </c>
    </row>
    <row r="786" spans="1:2">
      <c r="A786" s="610" t="s">
        <v>1304</v>
      </c>
      <c r="B786" s="610" t="s">
        <v>132</v>
      </c>
    </row>
    <row r="787" spans="1:2">
      <c r="A787" s="610" t="s">
        <v>1305</v>
      </c>
      <c r="B787" s="610" t="s">
        <v>108</v>
      </c>
    </row>
    <row r="788" spans="1:2">
      <c r="A788" s="610" t="s">
        <v>1306</v>
      </c>
      <c r="B788" s="610" t="s">
        <v>526</v>
      </c>
    </row>
    <row r="789" spans="1:2">
      <c r="A789" s="610" t="s">
        <v>1307</v>
      </c>
      <c r="B789" s="610" t="s">
        <v>526</v>
      </c>
    </row>
    <row r="790" spans="1:2">
      <c r="A790" s="610" t="s">
        <v>1308</v>
      </c>
      <c r="B790" s="610" t="s">
        <v>132</v>
      </c>
    </row>
    <row r="791" spans="1:2">
      <c r="A791" s="610" t="s">
        <v>1309</v>
      </c>
      <c r="B791" s="610" t="s">
        <v>108</v>
      </c>
    </row>
    <row r="792" spans="1:2">
      <c r="A792" s="610" t="s">
        <v>1310</v>
      </c>
      <c r="B792" s="610" t="s">
        <v>108</v>
      </c>
    </row>
    <row r="793" spans="1:2">
      <c r="A793" s="610" t="s">
        <v>271</v>
      </c>
      <c r="B793" s="610" t="s">
        <v>526</v>
      </c>
    </row>
    <row r="794" spans="1:2">
      <c r="A794" s="610" t="s">
        <v>230</v>
      </c>
      <c r="B794" s="610" t="s">
        <v>132</v>
      </c>
    </row>
    <row r="795" spans="1:2">
      <c r="A795" s="610" t="s">
        <v>431</v>
      </c>
      <c r="B795" s="610" t="s">
        <v>604</v>
      </c>
    </row>
    <row r="796" spans="1:2">
      <c r="A796" s="610" t="s">
        <v>1311</v>
      </c>
      <c r="B796" s="610" t="s">
        <v>108</v>
      </c>
    </row>
    <row r="797" spans="1:2">
      <c r="A797" s="610" t="s">
        <v>1312</v>
      </c>
      <c r="B797" s="610" t="s">
        <v>132</v>
      </c>
    </row>
    <row r="798" spans="1:2">
      <c r="A798" s="610" t="s">
        <v>1313</v>
      </c>
      <c r="B798" s="610" t="s">
        <v>526</v>
      </c>
    </row>
    <row r="799" spans="1:2">
      <c r="A799" s="610" t="s">
        <v>1314</v>
      </c>
      <c r="B799" s="610" t="s">
        <v>132</v>
      </c>
    </row>
    <row r="800" spans="1:2">
      <c r="A800" s="610" t="s">
        <v>1315</v>
      </c>
      <c r="B800" s="610" t="s">
        <v>108</v>
      </c>
    </row>
    <row r="801" spans="1:2">
      <c r="A801" s="610" t="s">
        <v>1316</v>
      </c>
      <c r="B801" s="610" t="s">
        <v>132</v>
      </c>
    </row>
    <row r="802" spans="1:2">
      <c r="A802" s="610" t="s">
        <v>1317</v>
      </c>
      <c r="B802" s="610" t="s">
        <v>526</v>
      </c>
    </row>
    <row r="803" spans="1:2">
      <c r="A803" s="610" t="s">
        <v>1318</v>
      </c>
      <c r="B803" s="610" t="s">
        <v>132</v>
      </c>
    </row>
    <row r="804" spans="1:2">
      <c r="A804" s="610" t="s">
        <v>1319</v>
      </c>
      <c r="B804" s="610" t="s">
        <v>108</v>
      </c>
    </row>
    <row r="805" spans="1:2">
      <c r="A805" s="610" t="s">
        <v>1320</v>
      </c>
      <c r="B805" s="610" t="s">
        <v>526</v>
      </c>
    </row>
    <row r="806" spans="1:2">
      <c r="A806" s="610" t="s">
        <v>1321</v>
      </c>
      <c r="B806" s="610" t="s">
        <v>132</v>
      </c>
    </row>
    <row r="807" spans="1:2">
      <c r="A807" s="610" t="s">
        <v>1322</v>
      </c>
      <c r="B807" s="610" t="s">
        <v>526</v>
      </c>
    </row>
    <row r="808" spans="1:2">
      <c r="A808" s="610" t="s">
        <v>1323</v>
      </c>
      <c r="B808" s="610" t="s">
        <v>132</v>
      </c>
    </row>
    <row r="809" spans="1:2">
      <c r="A809" s="610" t="s">
        <v>1324</v>
      </c>
      <c r="B809" s="610" t="s">
        <v>108</v>
      </c>
    </row>
    <row r="810" spans="1:2">
      <c r="A810" s="610" t="s">
        <v>1325</v>
      </c>
      <c r="B810" s="610" t="s">
        <v>526</v>
      </c>
    </row>
    <row r="811" spans="1:2">
      <c r="A811" s="610" t="s">
        <v>1326</v>
      </c>
      <c r="B811" s="610" t="s">
        <v>132</v>
      </c>
    </row>
    <row r="812" spans="1:2">
      <c r="A812" s="610" t="s">
        <v>1327</v>
      </c>
      <c r="B812" s="610" t="s">
        <v>108</v>
      </c>
    </row>
    <row r="813" spans="1:2">
      <c r="A813" s="610" t="s">
        <v>1328</v>
      </c>
      <c r="B813" s="610" t="s">
        <v>108</v>
      </c>
    </row>
    <row r="814" spans="1:2">
      <c r="A814" s="610" t="s">
        <v>1329</v>
      </c>
      <c r="B814" s="610" t="s">
        <v>132</v>
      </c>
    </row>
    <row r="815" spans="1:2">
      <c r="A815" s="610" t="s">
        <v>1330</v>
      </c>
      <c r="B815" s="610" t="s">
        <v>526</v>
      </c>
    </row>
    <row r="816" spans="1:2">
      <c r="A816" s="610" t="s">
        <v>1331</v>
      </c>
      <c r="B816" s="610" t="s">
        <v>108</v>
      </c>
    </row>
    <row r="817" spans="1:2">
      <c r="A817" s="610" t="s">
        <v>1332</v>
      </c>
      <c r="B817" s="610" t="s">
        <v>108</v>
      </c>
    </row>
    <row r="818" spans="1:2">
      <c r="A818" s="610" t="s">
        <v>1333</v>
      </c>
      <c r="B818" s="610" t="s">
        <v>108</v>
      </c>
    </row>
    <row r="819" spans="1:2">
      <c r="A819" s="610" t="s">
        <v>1334</v>
      </c>
      <c r="B819" s="610" t="s">
        <v>604</v>
      </c>
    </row>
    <row r="820" spans="1:2">
      <c r="A820" s="610" t="s">
        <v>483</v>
      </c>
      <c r="B820" s="610" t="s">
        <v>526</v>
      </c>
    </row>
    <row r="821" spans="1:2">
      <c r="A821" s="610" t="s">
        <v>1335</v>
      </c>
      <c r="B821" s="610" t="s">
        <v>108</v>
      </c>
    </row>
    <row r="822" spans="1:2">
      <c r="A822" s="610" t="s">
        <v>1336</v>
      </c>
      <c r="B822" s="610" t="s">
        <v>132</v>
      </c>
    </row>
    <row r="823" spans="1:2">
      <c r="A823" s="610" t="s">
        <v>1337</v>
      </c>
      <c r="B823" s="610" t="s">
        <v>108</v>
      </c>
    </row>
    <row r="824" spans="1:2">
      <c r="A824" s="610" t="s">
        <v>393</v>
      </c>
      <c r="B824" s="610" t="s">
        <v>526</v>
      </c>
    </row>
    <row r="825" spans="1:2">
      <c r="A825" s="610" t="s">
        <v>1338</v>
      </c>
      <c r="B825" s="610" t="s">
        <v>108</v>
      </c>
    </row>
    <row r="826" spans="1:2">
      <c r="A826" s="610" t="s">
        <v>234</v>
      </c>
      <c r="B826" s="610" t="s">
        <v>526</v>
      </c>
    </row>
    <row r="827" spans="1:2">
      <c r="A827" s="610" t="s">
        <v>1339</v>
      </c>
      <c r="B827" s="610" t="s">
        <v>108</v>
      </c>
    </row>
    <row r="828" spans="1:2">
      <c r="A828" s="610" t="s">
        <v>1340</v>
      </c>
      <c r="B828" s="610" t="s">
        <v>526</v>
      </c>
    </row>
    <row r="829" spans="1:2">
      <c r="A829" s="610" t="s">
        <v>1341</v>
      </c>
      <c r="B829" s="610" t="s">
        <v>108</v>
      </c>
    </row>
    <row r="830" spans="1:2">
      <c r="A830" s="610" t="s">
        <v>1342</v>
      </c>
      <c r="B830" s="610" t="s">
        <v>108</v>
      </c>
    </row>
    <row r="831" spans="1:2">
      <c r="A831" s="610" t="s">
        <v>1343</v>
      </c>
      <c r="B831" s="610" t="s">
        <v>526</v>
      </c>
    </row>
    <row r="832" spans="1:2">
      <c r="A832" s="610" t="s">
        <v>1344</v>
      </c>
      <c r="B832" s="610" t="s">
        <v>132</v>
      </c>
    </row>
    <row r="833" spans="1:2">
      <c r="A833" s="610" t="s">
        <v>1345</v>
      </c>
      <c r="B833" s="610" t="s">
        <v>132</v>
      </c>
    </row>
    <row r="834" spans="1:2">
      <c r="A834" s="610" t="s">
        <v>1346</v>
      </c>
      <c r="B834" s="610" t="s">
        <v>132</v>
      </c>
    </row>
    <row r="835" spans="1:2">
      <c r="A835" s="610" t="s">
        <v>1347</v>
      </c>
      <c r="B835" s="610" t="s">
        <v>108</v>
      </c>
    </row>
    <row r="836" spans="1:2">
      <c r="A836" s="610" t="s">
        <v>1348</v>
      </c>
      <c r="B836" s="610" t="s">
        <v>132</v>
      </c>
    </row>
    <row r="837" spans="1:2">
      <c r="A837" s="610" t="s">
        <v>1349</v>
      </c>
      <c r="B837" s="610" t="s">
        <v>132</v>
      </c>
    </row>
    <row r="838" spans="1:2">
      <c r="A838" s="610" t="s">
        <v>1350</v>
      </c>
      <c r="B838" s="610" t="s">
        <v>108</v>
      </c>
    </row>
    <row r="839" spans="1:2">
      <c r="A839" s="610" t="s">
        <v>1351</v>
      </c>
      <c r="B839" s="610" t="s">
        <v>108</v>
      </c>
    </row>
    <row r="840" spans="1:2">
      <c r="A840" s="610" t="s">
        <v>1352</v>
      </c>
      <c r="B840" s="610" t="s">
        <v>108</v>
      </c>
    </row>
    <row r="841" spans="1:2">
      <c r="A841" s="610" t="s">
        <v>1353</v>
      </c>
      <c r="B841" s="610" t="s">
        <v>132</v>
      </c>
    </row>
    <row r="842" spans="1:2">
      <c r="A842" s="610" t="s">
        <v>1354</v>
      </c>
      <c r="B842" s="610" t="s">
        <v>604</v>
      </c>
    </row>
    <row r="843" spans="1:2">
      <c r="A843" s="610" t="s">
        <v>1355</v>
      </c>
      <c r="B843" s="610" t="s">
        <v>108</v>
      </c>
    </row>
    <row r="844" spans="1:2">
      <c r="A844" s="610" t="s">
        <v>1356</v>
      </c>
      <c r="B844" s="610" t="s">
        <v>132</v>
      </c>
    </row>
    <row r="845" spans="1:2">
      <c r="A845" s="610" t="s">
        <v>1357</v>
      </c>
      <c r="B845" s="610" t="s">
        <v>108</v>
      </c>
    </row>
    <row r="846" spans="1:2">
      <c r="A846" s="610" t="s">
        <v>1358</v>
      </c>
      <c r="B846" s="610" t="s">
        <v>132</v>
      </c>
    </row>
    <row r="847" spans="1:2">
      <c r="A847" s="610" t="s">
        <v>1359</v>
      </c>
      <c r="B847" s="610" t="s">
        <v>132</v>
      </c>
    </row>
    <row r="848" spans="1:2">
      <c r="A848" s="610" t="s">
        <v>1360</v>
      </c>
      <c r="B848" s="610" t="s">
        <v>132</v>
      </c>
    </row>
    <row r="849" spans="1:2">
      <c r="A849" s="610" t="s">
        <v>1361</v>
      </c>
      <c r="B849" s="610" t="s">
        <v>108</v>
      </c>
    </row>
    <row r="850" spans="1:2">
      <c r="A850" s="610" t="s">
        <v>1362</v>
      </c>
      <c r="B850" s="610" t="s">
        <v>132</v>
      </c>
    </row>
    <row r="851" spans="1:2">
      <c r="A851" s="610" t="s">
        <v>1363</v>
      </c>
      <c r="B851" s="610" t="s">
        <v>526</v>
      </c>
    </row>
    <row r="852" spans="1:2">
      <c r="A852" s="610" t="s">
        <v>1364</v>
      </c>
      <c r="B852" s="610" t="s">
        <v>132</v>
      </c>
    </row>
    <row r="853" spans="1:2">
      <c r="A853" s="610" t="s">
        <v>1365</v>
      </c>
      <c r="B853" s="610" t="s">
        <v>132</v>
      </c>
    </row>
    <row r="854" spans="1:2">
      <c r="A854" s="610" t="s">
        <v>1366</v>
      </c>
      <c r="B854" s="610" t="s">
        <v>108</v>
      </c>
    </row>
    <row r="855" spans="1:2">
      <c r="A855" s="610" t="s">
        <v>1367</v>
      </c>
      <c r="B855" s="610" t="s">
        <v>108</v>
      </c>
    </row>
    <row r="856" spans="1:2">
      <c r="A856" s="610" t="s">
        <v>1368</v>
      </c>
      <c r="B856" s="610" t="s">
        <v>526</v>
      </c>
    </row>
    <row r="857" spans="1:2">
      <c r="A857" s="610" t="s">
        <v>1369</v>
      </c>
      <c r="B857" s="610" t="s">
        <v>526</v>
      </c>
    </row>
    <row r="858" spans="1:2">
      <c r="A858" s="610" t="s">
        <v>1370</v>
      </c>
      <c r="B858" s="610" t="s">
        <v>132</v>
      </c>
    </row>
    <row r="859" spans="1:2">
      <c r="A859" s="610" t="s">
        <v>1371</v>
      </c>
      <c r="B859" s="610" t="s">
        <v>604</v>
      </c>
    </row>
    <row r="860" spans="1:2">
      <c r="A860" s="610" t="s">
        <v>1372</v>
      </c>
      <c r="B860" s="610" t="s">
        <v>132</v>
      </c>
    </row>
    <row r="861" spans="1:2">
      <c r="A861" s="610" t="s">
        <v>371</v>
      </c>
      <c r="B861" s="610" t="s">
        <v>526</v>
      </c>
    </row>
    <row r="862" spans="1:2">
      <c r="A862" s="610" t="s">
        <v>1373</v>
      </c>
      <c r="B862" s="610" t="s">
        <v>604</v>
      </c>
    </row>
    <row r="863" spans="1:2">
      <c r="A863" s="610" t="s">
        <v>1374</v>
      </c>
      <c r="B863" s="610" t="s">
        <v>108</v>
      </c>
    </row>
    <row r="864" spans="1:2">
      <c r="A864" s="610" t="s">
        <v>1375</v>
      </c>
      <c r="B864" s="610" t="s">
        <v>526</v>
      </c>
    </row>
    <row r="865" spans="1:2">
      <c r="A865" s="610" t="s">
        <v>1376</v>
      </c>
      <c r="B865" s="610" t="s">
        <v>526</v>
      </c>
    </row>
    <row r="866" spans="1:2">
      <c r="A866" s="610" t="s">
        <v>1377</v>
      </c>
      <c r="B866" s="610" t="s">
        <v>132</v>
      </c>
    </row>
    <row r="867" spans="1:2">
      <c r="A867" s="610" t="s">
        <v>1378</v>
      </c>
      <c r="B867" s="610" t="s">
        <v>526</v>
      </c>
    </row>
    <row r="868" spans="1:2">
      <c r="A868" s="610" t="s">
        <v>1379</v>
      </c>
      <c r="B868" s="610" t="s">
        <v>526</v>
      </c>
    </row>
    <row r="869" spans="1:2">
      <c r="A869" s="610" t="s">
        <v>1380</v>
      </c>
      <c r="B869" s="610" t="s">
        <v>108</v>
      </c>
    </row>
    <row r="870" spans="1:2">
      <c r="A870" s="610" t="s">
        <v>1381</v>
      </c>
      <c r="B870" s="610" t="s">
        <v>604</v>
      </c>
    </row>
    <row r="871" spans="1:2">
      <c r="A871" s="610" t="s">
        <v>1382</v>
      </c>
      <c r="B871" s="610" t="s">
        <v>604</v>
      </c>
    </row>
    <row r="872" spans="1:2">
      <c r="A872" s="610" t="s">
        <v>1383</v>
      </c>
      <c r="B872" s="610" t="s">
        <v>108</v>
      </c>
    </row>
    <row r="873" spans="1:2">
      <c r="A873" s="610" t="s">
        <v>359</v>
      </c>
      <c r="B873" s="610" t="s">
        <v>108</v>
      </c>
    </row>
    <row r="874" spans="1:2">
      <c r="A874" s="610" t="s">
        <v>215</v>
      </c>
      <c r="B874" s="610" t="s">
        <v>526</v>
      </c>
    </row>
    <row r="875" spans="1:2">
      <c r="A875" s="610" t="s">
        <v>1384</v>
      </c>
      <c r="B875" s="610" t="s">
        <v>132</v>
      </c>
    </row>
    <row r="876" spans="1:2">
      <c r="A876" s="610" t="s">
        <v>1385</v>
      </c>
      <c r="B876" s="610" t="s">
        <v>108</v>
      </c>
    </row>
    <row r="877" spans="1:2">
      <c r="A877" s="610" t="s">
        <v>1386</v>
      </c>
      <c r="B877" s="610" t="s">
        <v>132</v>
      </c>
    </row>
    <row r="878" spans="1:2">
      <c r="A878" s="610" t="s">
        <v>1387</v>
      </c>
      <c r="B878" s="610" t="s">
        <v>132</v>
      </c>
    </row>
    <row r="879" spans="1:2">
      <c r="A879" s="610" t="s">
        <v>1388</v>
      </c>
      <c r="B879" s="610" t="s">
        <v>604</v>
      </c>
    </row>
    <row r="880" spans="1:2">
      <c r="A880" s="610" t="s">
        <v>1389</v>
      </c>
      <c r="B880" s="610" t="s">
        <v>132</v>
      </c>
    </row>
    <row r="881" spans="1:2">
      <c r="A881" s="610" t="s">
        <v>1390</v>
      </c>
      <c r="B881" s="610" t="s">
        <v>604</v>
      </c>
    </row>
    <row r="882" spans="1:2">
      <c r="A882" s="610" t="s">
        <v>1391</v>
      </c>
      <c r="B882" s="610" t="s">
        <v>132</v>
      </c>
    </row>
    <row r="883" spans="1:2">
      <c r="A883" s="610" t="s">
        <v>164</v>
      </c>
      <c r="B883" s="610" t="s">
        <v>526</v>
      </c>
    </row>
    <row r="884" spans="1:2">
      <c r="A884" s="610" t="s">
        <v>1392</v>
      </c>
      <c r="B884" s="610" t="s">
        <v>526</v>
      </c>
    </row>
    <row r="885" spans="1:2">
      <c r="A885" s="610" t="s">
        <v>1393</v>
      </c>
      <c r="B885" s="610" t="s">
        <v>132</v>
      </c>
    </row>
    <row r="886" spans="1:2">
      <c r="A886" s="610" t="s">
        <v>1394</v>
      </c>
      <c r="B886" s="610" t="s">
        <v>604</v>
      </c>
    </row>
    <row r="887" spans="1:2">
      <c r="A887" s="610" t="s">
        <v>1395</v>
      </c>
      <c r="B887" s="610" t="s">
        <v>132</v>
      </c>
    </row>
    <row r="888" spans="1:2">
      <c r="A888" s="610" t="s">
        <v>1396</v>
      </c>
      <c r="B888" s="610" t="s">
        <v>132</v>
      </c>
    </row>
    <row r="889" spans="1:2">
      <c r="A889" s="610" t="s">
        <v>1397</v>
      </c>
      <c r="B889" s="610" t="s">
        <v>108</v>
      </c>
    </row>
    <row r="890" spans="1:2">
      <c r="A890" s="610" t="s">
        <v>1398</v>
      </c>
      <c r="B890" s="610" t="s">
        <v>132</v>
      </c>
    </row>
    <row r="891" spans="1:2">
      <c r="A891" s="610" t="s">
        <v>1399</v>
      </c>
      <c r="B891" s="610" t="s">
        <v>604</v>
      </c>
    </row>
    <row r="892" spans="1:2">
      <c r="A892" s="610" t="s">
        <v>1400</v>
      </c>
      <c r="B892" s="610" t="s">
        <v>604</v>
      </c>
    </row>
    <row r="893" spans="1:2">
      <c r="A893" s="610" t="s">
        <v>1401</v>
      </c>
      <c r="B893" s="610" t="s">
        <v>132</v>
      </c>
    </row>
    <row r="894" spans="1:2">
      <c r="A894" s="610" t="s">
        <v>1402</v>
      </c>
      <c r="B894" s="610" t="s">
        <v>108</v>
      </c>
    </row>
    <row r="895" spans="1:2">
      <c r="A895" s="610" t="s">
        <v>1403</v>
      </c>
      <c r="B895" s="610" t="s">
        <v>413</v>
      </c>
    </row>
    <row r="896" spans="1:2">
      <c r="A896" s="610" t="s">
        <v>1404</v>
      </c>
      <c r="B896" s="610" t="s">
        <v>526</v>
      </c>
    </row>
    <row r="897" spans="1:2">
      <c r="A897" s="610" t="s">
        <v>1405</v>
      </c>
      <c r="B897" s="610" t="s">
        <v>526</v>
      </c>
    </row>
    <row r="898" spans="1:2">
      <c r="A898" s="610" t="s">
        <v>1406</v>
      </c>
      <c r="B898" s="610" t="s">
        <v>526</v>
      </c>
    </row>
    <row r="899" spans="1:2">
      <c r="A899" s="610" t="s">
        <v>1407</v>
      </c>
      <c r="B899" s="610" t="s">
        <v>526</v>
      </c>
    </row>
    <row r="900" spans="1:2">
      <c r="A900" s="610" t="s">
        <v>1408</v>
      </c>
      <c r="B900" s="610" t="s">
        <v>108</v>
      </c>
    </row>
    <row r="901" spans="1:2">
      <c r="A901" s="610" t="s">
        <v>1409</v>
      </c>
      <c r="B901" s="610" t="s">
        <v>108</v>
      </c>
    </row>
    <row r="902" spans="1:2">
      <c r="A902" s="610" t="s">
        <v>1410</v>
      </c>
      <c r="B902" s="610" t="s">
        <v>526</v>
      </c>
    </row>
    <row r="903" spans="1:2">
      <c r="A903" s="610" t="s">
        <v>1411</v>
      </c>
      <c r="B903" s="610" t="s">
        <v>604</v>
      </c>
    </row>
    <row r="904" spans="1:2">
      <c r="A904" s="610" t="s">
        <v>1412</v>
      </c>
      <c r="B904" s="610" t="s">
        <v>108</v>
      </c>
    </row>
    <row r="905" spans="1:2">
      <c r="A905" s="610" t="s">
        <v>1413</v>
      </c>
      <c r="B905" s="610" t="s">
        <v>526</v>
      </c>
    </row>
    <row r="906" spans="1:2">
      <c r="A906" s="610" t="s">
        <v>1414</v>
      </c>
      <c r="B906" s="610" t="s">
        <v>132</v>
      </c>
    </row>
    <row r="907" spans="1:2">
      <c r="A907" s="610" t="s">
        <v>1415</v>
      </c>
      <c r="B907" s="610" t="s">
        <v>108</v>
      </c>
    </row>
    <row r="908" spans="1:2">
      <c r="A908" s="610" t="s">
        <v>1416</v>
      </c>
      <c r="B908" s="610" t="s">
        <v>108</v>
      </c>
    </row>
    <row r="909" spans="1:2">
      <c r="A909" s="610" t="s">
        <v>1417</v>
      </c>
      <c r="B909" s="610" t="s">
        <v>604</v>
      </c>
    </row>
    <row r="910" spans="1:2">
      <c r="A910" s="610" t="s">
        <v>148</v>
      </c>
      <c r="B910" s="610" t="s">
        <v>526</v>
      </c>
    </row>
    <row r="911" spans="1:2">
      <c r="A911" s="610" t="s">
        <v>1418</v>
      </c>
      <c r="B911" s="610" t="s">
        <v>526</v>
      </c>
    </row>
    <row r="912" spans="1:2">
      <c r="A912" s="610" t="s">
        <v>1419</v>
      </c>
      <c r="B912" s="610" t="s">
        <v>108</v>
      </c>
    </row>
    <row r="913" spans="1:2">
      <c r="A913" s="610" t="s">
        <v>1420</v>
      </c>
      <c r="B913" s="610" t="s">
        <v>526</v>
      </c>
    </row>
    <row r="914" spans="1:2">
      <c r="A914" s="610" t="s">
        <v>1421</v>
      </c>
      <c r="B914" s="610" t="s">
        <v>526</v>
      </c>
    </row>
    <row r="915" spans="1:2">
      <c r="A915" s="610" t="s">
        <v>1422</v>
      </c>
      <c r="B915" s="610" t="s">
        <v>108</v>
      </c>
    </row>
    <row r="916" spans="1:2">
      <c r="A916" s="610" t="s">
        <v>1423</v>
      </c>
      <c r="B916" s="610" t="s">
        <v>132</v>
      </c>
    </row>
    <row r="917" spans="1:2">
      <c r="A917" s="610" t="s">
        <v>1424</v>
      </c>
      <c r="B917" s="610" t="s">
        <v>108</v>
      </c>
    </row>
    <row r="918" spans="1:2">
      <c r="A918" s="610" t="s">
        <v>1425</v>
      </c>
      <c r="B918" s="610" t="s">
        <v>132</v>
      </c>
    </row>
    <row r="919" spans="1:2">
      <c r="A919" s="610" t="s">
        <v>1426</v>
      </c>
      <c r="B919" s="610" t="s">
        <v>132</v>
      </c>
    </row>
    <row r="920" spans="1:2">
      <c r="A920" s="610" t="s">
        <v>1427</v>
      </c>
      <c r="B920" s="610" t="s">
        <v>132</v>
      </c>
    </row>
    <row r="921" spans="1:2">
      <c r="A921" s="610" t="s">
        <v>1428</v>
      </c>
      <c r="B921" s="610" t="s">
        <v>413</v>
      </c>
    </row>
    <row r="922" spans="1:2">
      <c r="A922" s="610" t="s">
        <v>1429</v>
      </c>
      <c r="B922" s="610" t="s">
        <v>132</v>
      </c>
    </row>
    <row r="923" spans="1:2">
      <c r="A923" s="610" t="s">
        <v>1430</v>
      </c>
      <c r="B923" s="610" t="s">
        <v>108</v>
      </c>
    </row>
    <row r="924" spans="1:2">
      <c r="A924" s="610" t="s">
        <v>1431</v>
      </c>
      <c r="B924" s="610" t="s">
        <v>108</v>
      </c>
    </row>
    <row r="925" spans="1:2">
      <c r="A925" s="610" t="s">
        <v>1432</v>
      </c>
      <c r="B925" s="610" t="s">
        <v>526</v>
      </c>
    </row>
    <row r="926" spans="1:2">
      <c r="A926" s="610" t="s">
        <v>1433</v>
      </c>
      <c r="B926" s="610" t="s">
        <v>132</v>
      </c>
    </row>
    <row r="927" spans="1:2">
      <c r="A927" s="610" t="s">
        <v>1434</v>
      </c>
      <c r="B927" s="610" t="s">
        <v>132</v>
      </c>
    </row>
    <row r="928" spans="1:2">
      <c r="A928" s="610" t="s">
        <v>1435</v>
      </c>
      <c r="B928" s="610" t="s">
        <v>108</v>
      </c>
    </row>
    <row r="929" spans="1:2">
      <c r="A929" s="610" t="s">
        <v>1436</v>
      </c>
      <c r="B929" s="610" t="s">
        <v>526</v>
      </c>
    </row>
    <row r="930" spans="1:2">
      <c r="A930" s="610" t="s">
        <v>1437</v>
      </c>
      <c r="B930" s="610" t="s">
        <v>108</v>
      </c>
    </row>
    <row r="931" spans="1:2">
      <c r="A931" s="610" t="s">
        <v>146</v>
      </c>
      <c r="B931" s="610" t="s">
        <v>526</v>
      </c>
    </row>
    <row r="932" spans="1:2">
      <c r="A932" s="610" t="s">
        <v>1438</v>
      </c>
      <c r="B932" s="610" t="s">
        <v>108</v>
      </c>
    </row>
    <row r="933" spans="1:2">
      <c r="A933" s="610" t="s">
        <v>1439</v>
      </c>
      <c r="B933" s="610" t="s">
        <v>132</v>
      </c>
    </row>
    <row r="934" spans="1:2">
      <c r="A934" s="610" t="s">
        <v>1440</v>
      </c>
      <c r="B934" s="610" t="s">
        <v>604</v>
      </c>
    </row>
    <row r="935" spans="1:2">
      <c r="A935" s="610" t="s">
        <v>1441</v>
      </c>
      <c r="B935" s="610" t="s">
        <v>526</v>
      </c>
    </row>
    <row r="936" spans="1:2">
      <c r="A936" s="610" t="s">
        <v>1442</v>
      </c>
      <c r="B936" s="610" t="s">
        <v>604</v>
      </c>
    </row>
    <row r="937" spans="1:2">
      <c r="A937" s="610" t="s">
        <v>1443</v>
      </c>
      <c r="B937" s="610" t="s">
        <v>132</v>
      </c>
    </row>
    <row r="938" spans="1:2">
      <c r="A938" s="610" t="s">
        <v>1444</v>
      </c>
      <c r="B938" s="610" t="s">
        <v>108</v>
      </c>
    </row>
    <row r="939" spans="1:2">
      <c r="A939" s="610" t="s">
        <v>1445</v>
      </c>
      <c r="B939" s="610" t="s">
        <v>132</v>
      </c>
    </row>
    <row r="940" spans="1:2">
      <c r="A940" s="610" t="s">
        <v>1446</v>
      </c>
      <c r="B940" s="610" t="s">
        <v>108</v>
      </c>
    </row>
    <row r="941" spans="1:2">
      <c r="A941" s="610" t="s">
        <v>1447</v>
      </c>
      <c r="B941" s="610" t="s">
        <v>108</v>
      </c>
    </row>
    <row r="942" spans="1:2">
      <c r="A942" s="610" t="s">
        <v>1448</v>
      </c>
      <c r="B942" s="610" t="s">
        <v>604</v>
      </c>
    </row>
    <row r="943" spans="1:2">
      <c r="A943" s="610" t="s">
        <v>1449</v>
      </c>
      <c r="B943" s="610" t="s">
        <v>108</v>
      </c>
    </row>
    <row r="944" spans="1:2">
      <c r="A944" s="610" t="s">
        <v>1450</v>
      </c>
      <c r="B944" s="610" t="s">
        <v>132</v>
      </c>
    </row>
    <row r="945" spans="1:2">
      <c r="A945" s="610" t="s">
        <v>350</v>
      </c>
      <c r="B945" s="610" t="s">
        <v>108</v>
      </c>
    </row>
    <row r="946" spans="1:2">
      <c r="A946" s="610" t="s">
        <v>1451</v>
      </c>
      <c r="B946" s="610" t="s">
        <v>108</v>
      </c>
    </row>
    <row r="947" spans="1:2">
      <c r="A947" s="610" t="s">
        <v>1452</v>
      </c>
      <c r="B947" s="610" t="s">
        <v>132</v>
      </c>
    </row>
    <row r="948" spans="1:2">
      <c r="A948" s="610" t="s">
        <v>1453</v>
      </c>
      <c r="B948" s="610" t="s">
        <v>132</v>
      </c>
    </row>
    <row r="949" spans="1:2">
      <c r="A949" s="610" t="s">
        <v>1454</v>
      </c>
      <c r="B949" s="610" t="s">
        <v>132</v>
      </c>
    </row>
    <row r="950" spans="1:2">
      <c r="A950" s="610" t="s">
        <v>1455</v>
      </c>
      <c r="B950" s="610" t="s">
        <v>108</v>
      </c>
    </row>
    <row r="951" spans="1:2">
      <c r="A951" s="610" t="s">
        <v>1456</v>
      </c>
      <c r="B951" s="610" t="s">
        <v>132</v>
      </c>
    </row>
    <row r="952" spans="1:2">
      <c r="A952" s="610" t="s">
        <v>1457</v>
      </c>
      <c r="B952" s="610" t="s">
        <v>132</v>
      </c>
    </row>
    <row r="953" spans="1:2">
      <c r="A953" s="610" t="s">
        <v>1458</v>
      </c>
      <c r="B953" s="610" t="s">
        <v>604</v>
      </c>
    </row>
    <row r="954" spans="1:2">
      <c r="A954" s="610" t="s">
        <v>1459</v>
      </c>
      <c r="B954" s="610" t="s">
        <v>132</v>
      </c>
    </row>
    <row r="955" spans="1:2">
      <c r="A955" s="610" t="s">
        <v>1460</v>
      </c>
      <c r="B955" s="610" t="s">
        <v>108</v>
      </c>
    </row>
    <row r="956" spans="1:2">
      <c r="A956" s="610" t="s">
        <v>1461</v>
      </c>
      <c r="B956" s="610" t="s">
        <v>604</v>
      </c>
    </row>
    <row r="957" spans="1:2">
      <c r="A957" s="610" t="s">
        <v>1462</v>
      </c>
      <c r="B957" s="610" t="s">
        <v>108</v>
      </c>
    </row>
    <row r="958" spans="1:2">
      <c r="A958" s="610" t="s">
        <v>1463</v>
      </c>
      <c r="B958" s="610" t="s">
        <v>108</v>
      </c>
    </row>
    <row r="959" spans="1:2">
      <c r="A959" s="610" t="s">
        <v>1464</v>
      </c>
      <c r="B959" s="610" t="s">
        <v>413</v>
      </c>
    </row>
    <row r="960" spans="1:2">
      <c r="A960" s="610" t="s">
        <v>1465</v>
      </c>
      <c r="B960" s="610" t="s">
        <v>108</v>
      </c>
    </row>
    <row r="961" spans="1:2">
      <c r="A961" s="610" t="s">
        <v>1466</v>
      </c>
      <c r="B961" s="610" t="s">
        <v>604</v>
      </c>
    </row>
    <row r="962" spans="1:2">
      <c r="A962" s="610" t="s">
        <v>1467</v>
      </c>
      <c r="B962" s="610" t="s">
        <v>108</v>
      </c>
    </row>
    <row r="963" spans="1:2">
      <c r="A963" s="610" t="s">
        <v>1468</v>
      </c>
      <c r="B963" s="610" t="s">
        <v>132</v>
      </c>
    </row>
    <row r="964" spans="1:2">
      <c r="A964" s="610" t="s">
        <v>1469</v>
      </c>
      <c r="B964" s="610" t="s">
        <v>132</v>
      </c>
    </row>
    <row r="965" spans="1:2">
      <c r="A965" s="610" t="s">
        <v>1470</v>
      </c>
      <c r="B965" s="610" t="s">
        <v>132</v>
      </c>
    </row>
    <row r="966" spans="1:2">
      <c r="A966" s="610" t="s">
        <v>1471</v>
      </c>
      <c r="B966" s="610" t="s">
        <v>604</v>
      </c>
    </row>
    <row r="967" spans="1:2">
      <c r="A967" s="610" t="s">
        <v>1472</v>
      </c>
      <c r="B967" s="610" t="s">
        <v>526</v>
      </c>
    </row>
    <row r="968" spans="1:2">
      <c r="A968" s="610" t="s">
        <v>1473</v>
      </c>
      <c r="B968" s="610" t="s">
        <v>108</v>
      </c>
    </row>
    <row r="969" spans="1:2">
      <c r="A969" s="610" t="s">
        <v>1474</v>
      </c>
      <c r="B969" s="610" t="s">
        <v>108</v>
      </c>
    </row>
    <row r="970" spans="1:2">
      <c r="A970" s="610" t="s">
        <v>1475</v>
      </c>
      <c r="B970" s="610" t="s">
        <v>108</v>
      </c>
    </row>
    <row r="971" spans="1:2">
      <c r="A971" s="610" t="s">
        <v>1476</v>
      </c>
      <c r="B971" s="610" t="s">
        <v>413</v>
      </c>
    </row>
    <row r="972" spans="1:2">
      <c r="A972" s="610" t="s">
        <v>1477</v>
      </c>
      <c r="B972" s="610" t="s">
        <v>132</v>
      </c>
    </row>
    <row r="973" spans="1:2">
      <c r="A973" s="610" t="s">
        <v>1478</v>
      </c>
      <c r="B973" s="610" t="s">
        <v>108</v>
      </c>
    </row>
    <row r="974" spans="1:2">
      <c r="A974" s="610" t="s">
        <v>1479</v>
      </c>
      <c r="B974" s="610" t="s">
        <v>604</v>
      </c>
    </row>
    <row r="975" spans="1:2">
      <c r="A975" s="610" t="s">
        <v>1480</v>
      </c>
      <c r="B975" s="610" t="s">
        <v>132</v>
      </c>
    </row>
    <row r="976" spans="1:2">
      <c r="A976" s="610" t="s">
        <v>1481</v>
      </c>
      <c r="B976" s="610" t="s">
        <v>132</v>
      </c>
    </row>
    <row r="977" spans="1:2">
      <c r="A977" s="610" t="s">
        <v>1482</v>
      </c>
      <c r="B977" s="610" t="s">
        <v>108</v>
      </c>
    </row>
    <row r="978" spans="1:2">
      <c r="A978" s="610" t="s">
        <v>1483</v>
      </c>
      <c r="B978" s="610" t="s">
        <v>526</v>
      </c>
    </row>
    <row r="979" spans="1:2">
      <c r="A979" s="610" t="s">
        <v>1484</v>
      </c>
      <c r="B979" s="610" t="s">
        <v>108</v>
      </c>
    </row>
    <row r="980" spans="1:2">
      <c r="A980" s="610" t="s">
        <v>1485</v>
      </c>
      <c r="B980" s="610" t="s">
        <v>604</v>
      </c>
    </row>
    <row r="981" spans="1:2">
      <c r="A981" s="610" t="s">
        <v>1486</v>
      </c>
      <c r="B981" s="610" t="s">
        <v>132</v>
      </c>
    </row>
    <row r="982" spans="1:2">
      <c r="A982" s="610" t="s">
        <v>1487</v>
      </c>
      <c r="B982" s="610" t="s">
        <v>132</v>
      </c>
    </row>
    <row r="983" spans="1:2">
      <c r="A983" s="610" t="s">
        <v>1488</v>
      </c>
      <c r="B983" s="610" t="s">
        <v>526</v>
      </c>
    </row>
    <row r="984" spans="1:2">
      <c r="A984" s="610" t="s">
        <v>1489</v>
      </c>
      <c r="B984" s="610" t="s">
        <v>132</v>
      </c>
    </row>
    <row r="985" spans="1:2">
      <c r="A985" s="610" t="s">
        <v>1490</v>
      </c>
      <c r="B985" s="610" t="s">
        <v>108</v>
      </c>
    </row>
    <row r="986" spans="1:2">
      <c r="A986" s="610" t="s">
        <v>1491</v>
      </c>
      <c r="B986" s="610" t="s">
        <v>132</v>
      </c>
    </row>
    <row r="987" spans="1:2">
      <c r="A987" s="610" t="s">
        <v>1492</v>
      </c>
      <c r="B987" s="610" t="s">
        <v>108</v>
      </c>
    </row>
    <row r="988" spans="1:2">
      <c r="A988" s="610" t="s">
        <v>1493</v>
      </c>
      <c r="B988" s="610" t="s">
        <v>132</v>
      </c>
    </row>
    <row r="989" spans="1:2">
      <c r="A989" s="610" t="s">
        <v>1494</v>
      </c>
      <c r="B989" s="610" t="s">
        <v>108</v>
      </c>
    </row>
    <row r="990" spans="1:2">
      <c r="A990" s="610" t="s">
        <v>1495</v>
      </c>
      <c r="B990" s="610" t="s">
        <v>413</v>
      </c>
    </row>
    <row r="991" spans="1:2">
      <c r="A991" s="610" t="s">
        <v>255</v>
      </c>
      <c r="B991" s="610" t="s">
        <v>132</v>
      </c>
    </row>
    <row r="992" spans="1:2">
      <c r="A992" s="610" t="s">
        <v>1496</v>
      </c>
      <c r="B992" s="610" t="s">
        <v>108</v>
      </c>
    </row>
    <row r="993" spans="1:2">
      <c r="A993" s="610" t="s">
        <v>1497</v>
      </c>
      <c r="B993" s="610" t="s">
        <v>108</v>
      </c>
    </row>
    <row r="994" spans="1:2">
      <c r="A994" s="610" t="s">
        <v>1498</v>
      </c>
      <c r="B994" s="610" t="s">
        <v>604</v>
      </c>
    </row>
    <row r="995" spans="1:2">
      <c r="A995" s="610" t="s">
        <v>1499</v>
      </c>
      <c r="B995" s="610" t="s">
        <v>413</v>
      </c>
    </row>
    <row r="996" spans="1:2">
      <c r="A996" s="610" t="s">
        <v>1500</v>
      </c>
      <c r="B996" s="610" t="s">
        <v>108</v>
      </c>
    </row>
    <row r="997" spans="1:2">
      <c r="A997" s="610" t="s">
        <v>219</v>
      </c>
      <c r="B997" s="610" t="s">
        <v>526</v>
      </c>
    </row>
    <row r="998" spans="1:2">
      <c r="A998" s="610" t="s">
        <v>1501</v>
      </c>
      <c r="B998" s="610" t="s">
        <v>132</v>
      </c>
    </row>
    <row r="999" spans="1:2">
      <c r="A999" s="610" t="s">
        <v>1502</v>
      </c>
      <c r="B999" s="610" t="s">
        <v>108</v>
      </c>
    </row>
    <row r="1000" spans="1:2">
      <c r="A1000" s="610" t="s">
        <v>1503</v>
      </c>
      <c r="B1000" s="610" t="s">
        <v>526</v>
      </c>
    </row>
    <row r="1001" spans="1:2">
      <c r="A1001" s="610" t="s">
        <v>1504</v>
      </c>
      <c r="B1001" s="610" t="s">
        <v>604</v>
      </c>
    </row>
    <row r="1002" spans="1:2">
      <c r="A1002" s="610" t="s">
        <v>1505</v>
      </c>
      <c r="B1002" s="610" t="s">
        <v>108</v>
      </c>
    </row>
    <row r="1003" spans="1:2">
      <c r="A1003" s="610" t="s">
        <v>1506</v>
      </c>
      <c r="B1003" s="610" t="s">
        <v>108</v>
      </c>
    </row>
    <row r="1004" spans="1:2">
      <c r="A1004" s="610" t="s">
        <v>1507</v>
      </c>
      <c r="B1004" s="610" t="s">
        <v>132</v>
      </c>
    </row>
    <row r="1005" spans="1:2">
      <c r="A1005" s="610" t="s">
        <v>1508</v>
      </c>
      <c r="B1005" s="610" t="s">
        <v>526</v>
      </c>
    </row>
    <row r="1006" spans="1:2">
      <c r="A1006" s="610" t="s">
        <v>1509</v>
      </c>
      <c r="B1006" s="610" t="s">
        <v>604</v>
      </c>
    </row>
    <row r="1007" spans="1:2">
      <c r="A1007" s="610" t="s">
        <v>1510</v>
      </c>
      <c r="B1007" s="610" t="s">
        <v>132</v>
      </c>
    </row>
    <row r="1008" spans="1:2">
      <c r="A1008" s="610" t="s">
        <v>1511</v>
      </c>
      <c r="B1008" s="610" t="s">
        <v>132</v>
      </c>
    </row>
    <row r="1009" spans="1:2">
      <c r="A1009" s="610" t="s">
        <v>1512</v>
      </c>
      <c r="B1009" s="610" t="s">
        <v>132</v>
      </c>
    </row>
    <row r="1010" spans="1:2">
      <c r="A1010" s="610" t="s">
        <v>1513</v>
      </c>
      <c r="B1010" s="610" t="s">
        <v>526</v>
      </c>
    </row>
    <row r="1011" spans="1:2">
      <c r="A1011" s="610" t="s">
        <v>239</v>
      </c>
      <c r="B1011" s="610" t="s">
        <v>108</v>
      </c>
    </row>
    <row r="1012" spans="1:2">
      <c r="A1012" s="610" t="s">
        <v>1514</v>
      </c>
      <c r="B1012" s="610" t="s">
        <v>132</v>
      </c>
    </row>
    <row r="1013" spans="1:2">
      <c r="A1013" s="610" t="s">
        <v>1515</v>
      </c>
      <c r="B1013" s="610" t="s">
        <v>108</v>
      </c>
    </row>
    <row r="1014" spans="1:2">
      <c r="A1014" s="610" t="s">
        <v>1516</v>
      </c>
      <c r="B1014" s="610" t="s">
        <v>526</v>
      </c>
    </row>
    <row r="1015" spans="1:2">
      <c r="A1015" s="610" t="s">
        <v>1517</v>
      </c>
      <c r="B1015" s="610" t="s">
        <v>108</v>
      </c>
    </row>
    <row r="1016" spans="1:2">
      <c r="A1016" s="610" t="s">
        <v>1518</v>
      </c>
      <c r="B1016" s="610" t="s">
        <v>108</v>
      </c>
    </row>
    <row r="1017" spans="1:2">
      <c r="A1017" s="610" t="s">
        <v>1519</v>
      </c>
      <c r="B1017" s="610" t="s">
        <v>132</v>
      </c>
    </row>
    <row r="1018" spans="1:2">
      <c r="A1018" s="610" t="s">
        <v>317</v>
      </c>
      <c r="B1018" s="610" t="s">
        <v>526</v>
      </c>
    </row>
    <row r="1019" spans="1:2">
      <c r="A1019" s="610" t="s">
        <v>1520</v>
      </c>
      <c r="B1019" s="610" t="s">
        <v>526</v>
      </c>
    </row>
    <row r="1020" spans="1:2">
      <c r="A1020" s="610" t="s">
        <v>1521</v>
      </c>
      <c r="B1020" s="610" t="s">
        <v>108</v>
      </c>
    </row>
    <row r="1021" spans="1:2">
      <c r="A1021" s="610" t="s">
        <v>259</v>
      </c>
      <c r="B1021" s="610" t="s">
        <v>526</v>
      </c>
    </row>
    <row r="1022" spans="1:2">
      <c r="A1022" s="610" t="s">
        <v>469</v>
      </c>
      <c r="B1022" s="610" t="s">
        <v>132</v>
      </c>
    </row>
    <row r="1023" spans="1:2">
      <c r="A1023" s="610" t="s">
        <v>1522</v>
      </c>
      <c r="B1023" s="610" t="s">
        <v>108</v>
      </c>
    </row>
    <row r="1024" spans="1:2">
      <c r="A1024" s="610" t="s">
        <v>1523</v>
      </c>
      <c r="B1024" s="610" t="s">
        <v>132</v>
      </c>
    </row>
    <row r="1025" spans="1:2">
      <c r="A1025" s="610" t="s">
        <v>1524</v>
      </c>
      <c r="B1025" s="610" t="s">
        <v>604</v>
      </c>
    </row>
    <row r="1026" spans="1:2">
      <c r="A1026" s="610" t="s">
        <v>1525</v>
      </c>
      <c r="B1026" s="610" t="s">
        <v>132</v>
      </c>
    </row>
    <row r="1027" spans="1:2">
      <c r="A1027" s="610" t="s">
        <v>1526</v>
      </c>
      <c r="B1027" s="610" t="s">
        <v>604</v>
      </c>
    </row>
    <row r="1028" spans="1:2">
      <c r="A1028" s="610" t="s">
        <v>222</v>
      </c>
      <c r="B1028" s="610" t="s">
        <v>526</v>
      </c>
    </row>
    <row r="1029" spans="1:2">
      <c r="A1029" s="610" t="s">
        <v>1527</v>
      </c>
      <c r="B1029" s="610" t="s">
        <v>132</v>
      </c>
    </row>
    <row r="1030" spans="1:2">
      <c r="A1030" s="610" t="s">
        <v>1528</v>
      </c>
      <c r="B1030" s="610" t="s">
        <v>108</v>
      </c>
    </row>
    <row r="1031" spans="1:2">
      <c r="A1031" s="610" t="s">
        <v>1529</v>
      </c>
      <c r="B1031" s="610" t="s">
        <v>526</v>
      </c>
    </row>
    <row r="1032" spans="1:2">
      <c r="A1032" s="610" t="s">
        <v>1530</v>
      </c>
      <c r="B1032" s="610" t="s">
        <v>526</v>
      </c>
    </row>
    <row r="1033" spans="1:2">
      <c r="A1033" s="610" t="s">
        <v>1531</v>
      </c>
      <c r="B1033" s="610" t="s">
        <v>526</v>
      </c>
    </row>
    <row r="1034" spans="1:2">
      <c r="A1034" s="610" t="s">
        <v>1532</v>
      </c>
      <c r="B1034" s="610" t="s">
        <v>132</v>
      </c>
    </row>
    <row r="1035" spans="1:2">
      <c r="A1035" s="610" t="s">
        <v>1533</v>
      </c>
      <c r="B1035" s="610" t="s">
        <v>526</v>
      </c>
    </row>
    <row r="1036" spans="1:2">
      <c r="A1036" s="610" t="s">
        <v>1534</v>
      </c>
      <c r="B1036" s="610" t="s">
        <v>526</v>
      </c>
    </row>
    <row r="1037" spans="1:2">
      <c r="A1037" s="610" t="s">
        <v>1535</v>
      </c>
      <c r="B1037" s="610" t="s">
        <v>132</v>
      </c>
    </row>
    <row r="1038" spans="1:2">
      <c r="A1038" s="610" t="s">
        <v>1536</v>
      </c>
      <c r="B1038" s="610" t="s">
        <v>132</v>
      </c>
    </row>
    <row r="1039" spans="1:2">
      <c r="A1039" s="610" t="s">
        <v>1537</v>
      </c>
      <c r="B1039" s="610" t="s">
        <v>526</v>
      </c>
    </row>
    <row r="1040" spans="1:2">
      <c r="A1040" s="610" t="s">
        <v>1538</v>
      </c>
      <c r="B1040" s="610" t="s">
        <v>132</v>
      </c>
    </row>
    <row r="1041" spans="1:2">
      <c r="A1041" s="610" t="s">
        <v>1539</v>
      </c>
      <c r="B1041" s="610" t="s">
        <v>132</v>
      </c>
    </row>
    <row r="1042" spans="1:2">
      <c r="A1042" s="610" t="s">
        <v>1540</v>
      </c>
      <c r="B1042" s="610" t="s">
        <v>604</v>
      </c>
    </row>
    <row r="1043" spans="1:2">
      <c r="A1043" s="610" t="s">
        <v>244</v>
      </c>
      <c r="B1043" s="610" t="s">
        <v>526</v>
      </c>
    </row>
    <row r="1044" spans="1:2">
      <c r="A1044" s="610" t="s">
        <v>1541</v>
      </c>
      <c r="B1044" s="610" t="s">
        <v>604</v>
      </c>
    </row>
    <row r="1045" spans="1:2">
      <c r="A1045" s="610" t="s">
        <v>1542</v>
      </c>
      <c r="B1045" s="610" t="s">
        <v>526</v>
      </c>
    </row>
    <row r="1046" spans="1:2">
      <c r="A1046" s="610" t="s">
        <v>1543</v>
      </c>
      <c r="B1046" s="610" t="s">
        <v>132</v>
      </c>
    </row>
    <row r="1047" spans="1:2">
      <c r="A1047" s="610" t="s">
        <v>1544</v>
      </c>
      <c r="B1047" s="610" t="s">
        <v>604</v>
      </c>
    </row>
    <row r="1048" spans="1:2">
      <c r="A1048" s="610" t="s">
        <v>1545</v>
      </c>
      <c r="B1048" s="610" t="s">
        <v>132</v>
      </c>
    </row>
    <row r="1049" spans="1:2">
      <c r="A1049" s="610" t="s">
        <v>1546</v>
      </c>
      <c r="B1049" s="610" t="s">
        <v>132</v>
      </c>
    </row>
    <row r="1050" spans="1:2">
      <c r="A1050" s="610" t="s">
        <v>1547</v>
      </c>
      <c r="B1050" s="610" t="s">
        <v>132</v>
      </c>
    </row>
    <row r="1051" spans="1:2">
      <c r="A1051" s="610" t="s">
        <v>1548</v>
      </c>
      <c r="B1051" s="610" t="s">
        <v>132</v>
      </c>
    </row>
    <row r="1052" spans="1:2">
      <c r="A1052" s="610" t="s">
        <v>1549</v>
      </c>
      <c r="B1052" s="610" t="s">
        <v>526</v>
      </c>
    </row>
    <row r="1053" spans="1:2">
      <c r="A1053" s="610" t="s">
        <v>1550</v>
      </c>
      <c r="B1053" s="610" t="s">
        <v>108</v>
      </c>
    </row>
    <row r="1054" spans="1:2">
      <c r="A1054" s="610" t="s">
        <v>1551</v>
      </c>
      <c r="B1054" s="610" t="s">
        <v>526</v>
      </c>
    </row>
    <row r="1055" spans="1:2">
      <c r="A1055" s="610" t="s">
        <v>1552</v>
      </c>
      <c r="B1055" s="610" t="s">
        <v>108</v>
      </c>
    </row>
    <row r="1056" spans="1:2">
      <c r="A1056" s="610" t="s">
        <v>1553</v>
      </c>
      <c r="B1056" s="610" t="s">
        <v>108</v>
      </c>
    </row>
    <row r="1057" spans="1:2">
      <c r="A1057" s="610" t="s">
        <v>1554</v>
      </c>
      <c r="B1057" s="610" t="s">
        <v>526</v>
      </c>
    </row>
    <row r="1058" spans="1:2">
      <c r="A1058" s="610" t="s">
        <v>1555</v>
      </c>
      <c r="B1058" s="610" t="s">
        <v>132</v>
      </c>
    </row>
    <row r="1059" spans="1:2">
      <c r="A1059" s="610" t="s">
        <v>1556</v>
      </c>
      <c r="B1059" s="610" t="s">
        <v>526</v>
      </c>
    </row>
    <row r="1060" spans="1:2">
      <c r="A1060" s="610" t="s">
        <v>1557</v>
      </c>
      <c r="B1060" s="610" t="s">
        <v>604</v>
      </c>
    </row>
    <row r="1061" spans="1:2">
      <c r="A1061" s="610" t="s">
        <v>1558</v>
      </c>
      <c r="B1061" s="610" t="s">
        <v>526</v>
      </c>
    </row>
    <row r="1062" spans="1:2">
      <c r="A1062" s="610" t="s">
        <v>1559</v>
      </c>
      <c r="B1062" s="610" t="s">
        <v>526</v>
      </c>
    </row>
    <row r="1063" spans="1:2">
      <c r="A1063" s="610" t="s">
        <v>1560</v>
      </c>
      <c r="B1063" s="610" t="s">
        <v>526</v>
      </c>
    </row>
    <row r="1064" spans="1:2">
      <c r="A1064" s="610" t="s">
        <v>1561</v>
      </c>
      <c r="B1064" s="610" t="s">
        <v>132</v>
      </c>
    </row>
    <row r="1065" spans="1:2">
      <c r="A1065" s="610" t="s">
        <v>1562</v>
      </c>
      <c r="B1065" s="610" t="s">
        <v>108</v>
      </c>
    </row>
    <row r="1066" spans="1:2">
      <c r="A1066" s="610" t="s">
        <v>1563</v>
      </c>
      <c r="B1066" s="610" t="s">
        <v>108</v>
      </c>
    </row>
    <row r="1067" spans="1:2">
      <c r="A1067" s="610" t="s">
        <v>1564</v>
      </c>
      <c r="B1067" s="610" t="s">
        <v>604</v>
      </c>
    </row>
    <row r="1068" spans="1:2">
      <c r="A1068" s="610" t="s">
        <v>1565</v>
      </c>
      <c r="B1068" s="610" t="s">
        <v>132</v>
      </c>
    </row>
    <row r="1069" spans="1:2">
      <c r="A1069" s="610" t="s">
        <v>1566</v>
      </c>
      <c r="B1069" s="610" t="s">
        <v>108</v>
      </c>
    </row>
    <row r="1070" spans="1:2">
      <c r="A1070" s="610" t="s">
        <v>1567</v>
      </c>
      <c r="B1070" s="610" t="s">
        <v>604</v>
      </c>
    </row>
    <row r="1071" spans="1:2">
      <c r="A1071" s="610" t="s">
        <v>1568</v>
      </c>
      <c r="B1071" s="610" t="s">
        <v>108</v>
      </c>
    </row>
    <row r="1072" spans="1:2">
      <c r="A1072" s="610" t="s">
        <v>1569</v>
      </c>
      <c r="B1072" s="610" t="s">
        <v>132</v>
      </c>
    </row>
    <row r="1073" spans="1:2">
      <c r="A1073" s="610" t="s">
        <v>1570</v>
      </c>
      <c r="B1073" s="610" t="s">
        <v>108</v>
      </c>
    </row>
    <row r="1074" spans="1:2">
      <c r="A1074" s="610" t="s">
        <v>1571</v>
      </c>
      <c r="B1074" s="610" t="s">
        <v>108</v>
      </c>
    </row>
    <row r="1075" spans="1:2">
      <c r="A1075" s="610" t="s">
        <v>1572</v>
      </c>
      <c r="B1075" s="610" t="s">
        <v>108</v>
      </c>
    </row>
    <row r="1076" spans="1:2">
      <c r="A1076" s="610" t="s">
        <v>1573</v>
      </c>
      <c r="B1076" s="610" t="s">
        <v>108</v>
      </c>
    </row>
    <row r="1077" spans="1:2">
      <c r="A1077" s="610" t="s">
        <v>1574</v>
      </c>
      <c r="B1077" s="610" t="s">
        <v>526</v>
      </c>
    </row>
    <row r="1078" spans="1:2">
      <c r="A1078" s="610" t="s">
        <v>277</v>
      </c>
      <c r="B1078" s="610" t="s">
        <v>526</v>
      </c>
    </row>
    <row r="1079" spans="1:2">
      <c r="A1079" s="610" t="s">
        <v>1575</v>
      </c>
      <c r="B1079" s="610" t="s">
        <v>132</v>
      </c>
    </row>
    <row r="1080" spans="1:2">
      <c r="A1080" s="610" t="s">
        <v>1576</v>
      </c>
      <c r="B1080" s="610" t="s">
        <v>108</v>
      </c>
    </row>
    <row r="1081" spans="1:2">
      <c r="A1081" s="610" t="s">
        <v>1577</v>
      </c>
      <c r="B1081" s="610" t="s">
        <v>413</v>
      </c>
    </row>
    <row r="1082" spans="1:2">
      <c r="A1082" s="610" t="s">
        <v>1578</v>
      </c>
      <c r="B1082" s="610" t="s">
        <v>108</v>
      </c>
    </row>
    <row r="1083" spans="1:2">
      <c r="A1083" s="610" t="s">
        <v>1579</v>
      </c>
      <c r="B1083" s="610" t="s">
        <v>526</v>
      </c>
    </row>
    <row r="1084" spans="1:2">
      <c r="A1084" s="610" t="s">
        <v>1580</v>
      </c>
      <c r="B1084" s="610" t="s">
        <v>526</v>
      </c>
    </row>
    <row r="1085" spans="1:2">
      <c r="A1085" s="610" t="s">
        <v>1581</v>
      </c>
      <c r="B1085" s="610" t="s">
        <v>132</v>
      </c>
    </row>
    <row r="1086" spans="1:2">
      <c r="A1086" s="610" t="s">
        <v>1582</v>
      </c>
      <c r="B1086" s="610" t="s">
        <v>526</v>
      </c>
    </row>
    <row r="1087" spans="1:2">
      <c r="A1087" s="610" t="s">
        <v>1583</v>
      </c>
      <c r="B1087" s="610" t="s">
        <v>132</v>
      </c>
    </row>
    <row r="1088" spans="1:2">
      <c r="A1088" s="610" t="s">
        <v>1584</v>
      </c>
      <c r="B1088" s="610" t="s">
        <v>526</v>
      </c>
    </row>
    <row r="1089" spans="1:2">
      <c r="A1089" s="610" t="s">
        <v>346</v>
      </c>
      <c r="B1089" s="610" t="s">
        <v>526</v>
      </c>
    </row>
    <row r="1090" spans="1:2">
      <c r="A1090" s="610" t="s">
        <v>172</v>
      </c>
      <c r="B1090" s="610" t="s">
        <v>526</v>
      </c>
    </row>
    <row r="1091" spans="1:2">
      <c r="A1091" s="610" t="s">
        <v>1585</v>
      </c>
      <c r="B1091" s="610" t="s">
        <v>108</v>
      </c>
    </row>
    <row r="1092" spans="1:2">
      <c r="A1092" s="610" t="s">
        <v>1586</v>
      </c>
      <c r="B1092" s="610" t="s">
        <v>108</v>
      </c>
    </row>
    <row r="1093" spans="1:2">
      <c r="A1093" s="610" t="s">
        <v>1587</v>
      </c>
      <c r="B1093" s="610" t="s">
        <v>108</v>
      </c>
    </row>
    <row r="1094" spans="1:2">
      <c r="A1094" s="610" t="s">
        <v>1588</v>
      </c>
      <c r="B1094" s="610" t="s">
        <v>526</v>
      </c>
    </row>
    <row r="1095" spans="1:2">
      <c r="A1095" s="610" t="s">
        <v>1589</v>
      </c>
      <c r="B1095" s="610" t="s">
        <v>132</v>
      </c>
    </row>
    <row r="1096" spans="1:2">
      <c r="A1096" s="610" t="s">
        <v>1590</v>
      </c>
      <c r="B1096" s="610" t="s">
        <v>108</v>
      </c>
    </row>
    <row r="1097" spans="1:2">
      <c r="A1097" s="610" t="s">
        <v>1591</v>
      </c>
      <c r="B1097" s="610" t="s">
        <v>108</v>
      </c>
    </row>
    <row r="1098" spans="1:2">
      <c r="A1098" s="610" t="s">
        <v>1592</v>
      </c>
      <c r="B1098" s="610" t="s">
        <v>108</v>
      </c>
    </row>
    <row r="1099" spans="1:2">
      <c r="A1099" s="610" t="s">
        <v>399</v>
      </c>
      <c r="B1099" s="610" t="s">
        <v>526</v>
      </c>
    </row>
    <row r="1100" spans="1:2">
      <c r="A1100" s="610" t="s">
        <v>356</v>
      </c>
      <c r="B1100" s="610" t="s">
        <v>108</v>
      </c>
    </row>
    <row r="1101" spans="1:2">
      <c r="A1101" s="610" t="s">
        <v>1593</v>
      </c>
      <c r="B1101" s="610" t="s">
        <v>108</v>
      </c>
    </row>
    <row r="1102" spans="1:2">
      <c r="A1102" s="610" t="s">
        <v>1594</v>
      </c>
      <c r="B1102" s="610" t="s">
        <v>108</v>
      </c>
    </row>
    <row r="1103" spans="1:2">
      <c r="A1103" s="610" t="s">
        <v>1595</v>
      </c>
      <c r="B1103" s="610" t="s">
        <v>108</v>
      </c>
    </row>
    <row r="1104" spans="1:2">
      <c r="A1104" s="610" t="s">
        <v>1596</v>
      </c>
      <c r="B1104" s="610" t="s">
        <v>132</v>
      </c>
    </row>
    <row r="1105" spans="1:2">
      <c r="A1105" s="610" t="s">
        <v>1597</v>
      </c>
      <c r="B1105" s="610" t="s">
        <v>132</v>
      </c>
    </row>
    <row r="1106" spans="1:2">
      <c r="A1106" s="610" t="s">
        <v>1598</v>
      </c>
      <c r="B1106" s="610" t="s">
        <v>108</v>
      </c>
    </row>
    <row r="1107" spans="1:2">
      <c r="A1107" s="610" t="s">
        <v>1599</v>
      </c>
      <c r="B1107" s="610" t="s">
        <v>604</v>
      </c>
    </row>
    <row r="1108" spans="1:2">
      <c r="A1108" s="610" t="s">
        <v>1600</v>
      </c>
      <c r="B1108" s="610" t="s">
        <v>108</v>
      </c>
    </row>
    <row r="1109" spans="1:2">
      <c r="A1109" s="610" t="s">
        <v>1601</v>
      </c>
      <c r="B1109" s="610" t="s">
        <v>132</v>
      </c>
    </row>
    <row r="1110" spans="1:2">
      <c r="A1110" s="610" t="s">
        <v>1602</v>
      </c>
      <c r="B1110" s="610" t="s">
        <v>108</v>
      </c>
    </row>
    <row r="1111" spans="1:2">
      <c r="A1111" s="610" t="s">
        <v>1603</v>
      </c>
      <c r="B1111" s="610" t="s">
        <v>132</v>
      </c>
    </row>
    <row r="1112" spans="1:2">
      <c r="A1112" s="610" t="s">
        <v>1604</v>
      </c>
      <c r="B1112" s="610" t="s">
        <v>132</v>
      </c>
    </row>
    <row r="1113" spans="1:2">
      <c r="A1113" s="610" t="s">
        <v>1605</v>
      </c>
      <c r="B1113" s="610" t="s">
        <v>108</v>
      </c>
    </row>
    <row r="1114" spans="1:2">
      <c r="A1114" s="610" t="s">
        <v>1606</v>
      </c>
      <c r="B1114" s="610" t="s">
        <v>108</v>
      </c>
    </row>
    <row r="1115" spans="1:2">
      <c r="A1115" s="610" t="s">
        <v>1607</v>
      </c>
      <c r="B1115" s="610" t="s">
        <v>108</v>
      </c>
    </row>
    <row r="1116" spans="1:2">
      <c r="A1116" s="610" t="s">
        <v>1608</v>
      </c>
      <c r="B1116" s="610" t="s">
        <v>108</v>
      </c>
    </row>
    <row r="1117" spans="1:2">
      <c r="A1117" s="610" t="s">
        <v>1609</v>
      </c>
      <c r="B1117" s="610" t="s">
        <v>108</v>
      </c>
    </row>
    <row r="1118" spans="1:2">
      <c r="A1118" s="610" t="s">
        <v>228</v>
      </c>
      <c r="B1118" s="610" t="s">
        <v>132</v>
      </c>
    </row>
    <row r="1119" spans="1:2">
      <c r="A1119" s="610" t="s">
        <v>1610</v>
      </c>
      <c r="B1119" s="610" t="s">
        <v>132</v>
      </c>
    </row>
    <row r="1120" spans="1:2">
      <c r="A1120" s="610" t="s">
        <v>1611</v>
      </c>
      <c r="B1120" s="610" t="s">
        <v>108</v>
      </c>
    </row>
    <row r="1121" spans="1:2">
      <c r="A1121" s="610" t="s">
        <v>1612</v>
      </c>
      <c r="B1121" s="610" t="s">
        <v>108</v>
      </c>
    </row>
    <row r="1122" spans="1:2">
      <c r="A1122" s="610" t="s">
        <v>1613</v>
      </c>
      <c r="B1122" s="610" t="s">
        <v>132</v>
      </c>
    </row>
    <row r="1123" spans="1:2">
      <c r="A1123" s="610" t="s">
        <v>1614</v>
      </c>
      <c r="B1123" s="610" t="s">
        <v>604</v>
      </c>
    </row>
    <row r="1124" spans="1:2">
      <c r="A1124" s="610" t="s">
        <v>1615</v>
      </c>
      <c r="B1124" s="610" t="s">
        <v>526</v>
      </c>
    </row>
    <row r="1125" spans="1:2">
      <c r="A1125" s="610" t="s">
        <v>1616</v>
      </c>
      <c r="B1125" s="610" t="s">
        <v>132</v>
      </c>
    </row>
    <row r="1126" spans="1:2">
      <c r="A1126" s="610" t="s">
        <v>1617</v>
      </c>
      <c r="B1126" s="610" t="s">
        <v>108</v>
      </c>
    </row>
    <row r="1127" spans="1:2">
      <c r="A1127" s="610" t="s">
        <v>1618</v>
      </c>
      <c r="B1127" s="610" t="s">
        <v>108</v>
      </c>
    </row>
    <row r="1128" spans="1:2">
      <c r="A1128" s="610" t="s">
        <v>1619</v>
      </c>
      <c r="B1128" s="610" t="s">
        <v>132</v>
      </c>
    </row>
    <row r="1129" spans="1:2">
      <c r="A1129" s="610" t="s">
        <v>1620</v>
      </c>
      <c r="B1129" s="610" t="s">
        <v>132</v>
      </c>
    </row>
    <row r="1130" spans="1:2">
      <c r="A1130" s="610" t="s">
        <v>1621</v>
      </c>
      <c r="B1130" s="610" t="s">
        <v>108</v>
      </c>
    </row>
    <row r="1131" spans="1:2">
      <c r="A1131" s="610" t="s">
        <v>1622</v>
      </c>
      <c r="B1131" s="610" t="s">
        <v>526</v>
      </c>
    </row>
    <row r="1132" spans="1:2">
      <c r="A1132" s="610" t="s">
        <v>1623</v>
      </c>
      <c r="B1132" s="610" t="s">
        <v>108</v>
      </c>
    </row>
    <row r="1133" spans="1:2">
      <c r="A1133" s="610" t="s">
        <v>1624</v>
      </c>
      <c r="B1133" s="610" t="s">
        <v>604</v>
      </c>
    </row>
    <row r="1134" spans="1:2">
      <c r="A1134" s="610" t="s">
        <v>1625</v>
      </c>
      <c r="B1134" s="610" t="s">
        <v>526</v>
      </c>
    </row>
    <row r="1135" spans="1:2">
      <c r="A1135" s="610" t="s">
        <v>1626</v>
      </c>
      <c r="B1135" s="610" t="s">
        <v>132</v>
      </c>
    </row>
    <row r="1136" spans="1:2">
      <c r="A1136" s="610" t="s">
        <v>154</v>
      </c>
      <c r="B1136" s="610" t="s">
        <v>526</v>
      </c>
    </row>
    <row r="1137" spans="1:2">
      <c r="A1137" s="610" t="s">
        <v>1627</v>
      </c>
      <c r="B1137" s="610" t="s">
        <v>132</v>
      </c>
    </row>
    <row r="1138" spans="1:2">
      <c r="A1138" s="610" t="s">
        <v>1628</v>
      </c>
      <c r="B1138" s="610" t="s">
        <v>108</v>
      </c>
    </row>
    <row r="1139" spans="1:2">
      <c r="A1139" s="610" t="s">
        <v>1629</v>
      </c>
      <c r="B1139" s="610" t="s">
        <v>604</v>
      </c>
    </row>
    <row r="1140" spans="1:2">
      <c r="A1140" s="610" t="s">
        <v>1630</v>
      </c>
      <c r="B1140" s="610" t="s">
        <v>108</v>
      </c>
    </row>
    <row r="1141" spans="1:2">
      <c r="A1141" s="610" t="s">
        <v>1631</v>
      </c>
      <c r="B1141" s="610" t="s">
        <v>132</v>
      </c>
    </row>
    <row r="1142" spans="1:2">
      <c r="A1142" s="610" t="s">
        <v>1632</v>
      </c>
      <c r="B1142" s="610" t="s">
        <v>108</v>
      </c>
    </row>
    <row r="1143" spans="1:2">
      <c r="A1143" s="610" t="s">
        <v>1633</v>
      </c>
      <c r="B1143" s="610" t="s">
        <v>604</v>
      </c>
    </row>
    <row r="1144" spans="1:2">
      <c r="A1144" s="610" t="s">
        <v>1634</v>
      </c>
      <c r="B1144" s="610" t="s">
        <v>132</v>
      </c>
    </row>
    <row r="1145" spans="1:2">
      <c r="A1145" s="610" t="s">
        <v>1635</v>
      </c>
      <c r="B1145" s="610" t="s">
        <v>108</v>
      </c>
    </row>
    <row r="1146" spans="1:2">
      <c r="A1146" s="610" t="s">
        <v>1636</v>
      </c>
      <c r="B1146" s="610" t="s">
        <v>108</v>
      </c>
    </row>
    <row r="1147" spans="1:2">
      <c r="A1147" s="610" t="s">
        <v>1637</v>
      </c>
      <c r="B1147" s="610" t="s">
        <v>108</v>
      </c>
    </row>
    <row r="1148" spans="1:2">
      <c r="A1148" s="610" t="s">
        <v>1638</v>
      </c>
      <c r="B1148" s="610" t="s">
        <v>108</v>
      </c>
    </row>
    <row r="1149" spans="1:2">
      <c r="A1149" s="610" t="s">
        <v>1639</v>
      </c>
      <c r="B1149" s="610" t="s">
        <v>132</v>
      </c>
    </row>
    <row r="1150" spans="1:2">
      <c r="A1150" s="610" t="s">
        <v>1640</v>
      </c>
      <c r="B1150" s="610" t="s">
        <v>413</v>
      </c>
    </row>
    <row r="1151" spans="1:2">
      <c r="A1151" s="610" t="s">
        <v>1641</v>
      </c>
      <c r="B1151" s="610" t="s">
        <v>526</v>
      </c>
    </row>
    <row r="1152" spans="1:2">
      <c r="A1152" s="610" t="s">
        <v>391</v>
      </c>
      <c r="B1152" s="610" t="s">
        <v>526</v>
      </c>
    </row>
    <row r="1153" spans="1:2">
      <c r="A1153" s="610" t="s">
        <v>1642</v>
      </c>
      <c r="B1153" s="610" t="s">
        <v>108</v>
      </c>
    </row>
    <row r="1154" spans="1:2">
      <c r="A1154" s="610" t="s">
        <v>1643</v>
      </c>
      <c r="B1154" s="610" t="s">
        <v>108</v>
      </c>
    </row>
    <row r="1155" spans="1:2">
      <c r="A1155" s="610" t="s">
        <v>1644</v>
      </c>
      <c r="B1155" s="610" t="s">
        <v>108</v>
      </c>
    </row>
    <row r="1156" spans="1:2">
      <c r="A1156" s="610" t="s">
        <v>1645</v>
      </c>
      <c r="B1156" s="610" t="s">
        <v>526</v>
      </c>
    </row>
    <row r="1157" spans="1:2">
      <c r="A1157" s="610" t="s">
        <v>1646</v>
      </c>
      <c r="B1157" s="610" t="s">
        <v>108</v>
      </c>
    </row>
    <row r="1158" spans="1:2">
      <c r="A1158" s="610" t="s">
        <v>1647</v>
      </c>
      <c r="B1158" s="610" t="s">
        <v>526</v>
      </c>
    </row>
    <row r="1159" spans="1:2">
      <c r="A1159" s="610" t="s">
        <v>140</v>
      </c>
      <c r="B1159" s="610" t="s">
        <v>526</v>
      </c>
    </row>
    <row r="1160" spans="1:2">
      <c r="A1160" s="610" t="s">
        <v>193</v>
      </c>
      <c r="B1160" s="610" t="s">
        <v>132</v>
      </c>
    </row>
    <row r="1161" spans="1:2">
      <c r="A1161" s="610" t="s">
        <v>1648</v>
      </c>
      <c r="B1161" s="610" t="s">
        <v>132</v>
      </c>
    </row>
    <row r="1162" spans="1:2">
      <c r="A1162" s="610" t="s">
        <v>1649</v>
      </c>
      <c r="B1162" s="610" t="s">
        <v>604</v>
      </c>
    </row>
    <row r="1163" spans="1:2">
      <c r="A1163" s="610" t="s">
        <v>1650</v>
      </c>
      <c r="B1163" s="610" t="s">
        <v>526</v>
      </c>
    </row>
    <row r="1164" spans="1:2">
      <c r="A1164" s="610" t="s">
        <v>1651</v>
      </c>
      <c r="B1164" s="610" t="s">
        <v>108</v>
      </c>
    </row>
    <row r="1165" spans="1:2">
      <c r="A1165" s="610" t="s">
        <v>1652</v>
      </c>
      <c r="B1165" s="610" t="s">
        <v>132</v>
      </c>
    </row>
    <row r="1166" spans="1:2">
      <c r="A1166" s="610" t="s">
        <v>1653</v>
      </c>
      <c r="B1166" s="610" t="s">
        <v>132</v>
      </c>
    </row>
    <row r="1167" spans="1:2">
      <c r="A1167" s="610" t="s">
        <v>1654</v>
      </c>
      <c r="B1167" s="610" t="s">
        <v>132</v>
      </c>
    </row>
    <row r="1168" spans="1:2">
      <c r="A1168" s="610" t="s">
        <v>1655</v>
      </c>
      <c r="B1168" s="610" t="s">
        <v>108</v>
      </c>
    </row>
    <row r="1169" spans="1:2">
      <c r="A1169" s="610" t="s">
        <v>1656</v>
      </c>
      <c r="B1169" s="610" t="s">
        <v>132</v>
      </c>
    </row>
    <row r="1170" spans="1:2">
      <c r="A1170" s="610" t="s">
        <v>1657</v>
      </c>
      <c r="B1170" s="610" t="s">
        <v>108</v>
      </c>
    </row>
    <row r="1171" spans="1:2">
      <c r="A1171" s="610" t="s">
        <v>1658</v>
      </c>
      <c r="B1171" s="610" t="s">
        <v>526</v>
      </c>
    </row>
    <row r="1172" spans="1:2">
      <c r="A1172" s="610" t="s">
        <v>1659</v>
      </c>
      <c r="B1172" s="610" t="s">
        <v>604</v>
      </c>
    </row>
    <row r="1173" spans="1:2">
      <c r="A1173" s="610" t="s">
        <v>1660</v>
      </c>
      <c r="B1173" s="610" t="s">
        <v>108</v>
      </c>
    </row>
    <row r="1174" spans="1:2">
      <c r="A1174" s="610" t="s">
        <v>1661</v>
      </c>
      <c r="B1174" s="610" t="s">
        <v>132</v>
      </c>
    </row>
    <row r="1175" spans="1:2">
      <c r="A1175" s="610" t="s">
        <v>1662</v>
      </c>
      <c r="B1175" s="610" t="s">
        <v>108</v>
      </c>
    </row>
    <row r="1176" spans="1:2">
      <c r="A1176" s="610" t="s">
        <v>1663</v>
      </c>
      <c r="B1176" s="610" t="s">
        <v>132</v>
      </c>
    </row>
    <row r="1177" spans="1:2">
      <c r="A1177" s="610" t="s">
        <v>1664</v>
      </c>
      <c r="B1177" s="610" t="s">
        <v>132</v>
      </c>
    </row>
    <row r="1178" spans="1:2">
      <c r="A1178" s="610" t="s">
        <v>1665</v>
      </c>
      <c r="B1178" s="610" t="s">
        <v>132</v>
      </c>
    </row>
    <row r="1179" spans="1:2">
      <c r="A1179" s="610" t="s">
        <v>1666</v>
      </c>
      <c r="B1179" s="610" t="s">
        <v>526</v>
      </c>
    </row>
    <row r="1180" spans="1:2">
      <c r="A1180" s="610" t="s">
        <v>1667</v>
      </c>
      <c r="B1180" s="610" t="s">
        <v>132</v>
      </c>
    </row>
    <row r="1181" spans="1:2">
      <c r="A1181" s="610" t="s">
        <v>1668</v>
      </c>
      <c r="B1181" s="610" t="s">
        <v>108</v>
      </c>
    </row>
    <row r="1182" spans="1:2">
      <c r="A1182" s="610" t="s">
        <v>1669</v>
      </c>
      <c r="B1182" s="610" t="s">
        <v>108</v>
      </c>
    </row>
    <row r="1183" spans="1:2">
      <c r="A1183" s="610" t="s">
        <v>310</v>
      </c>
      <c r="B1183" s="610" t="s">
        <v>526</v>
      </c>
    </row>
    <row r="1184" spans="1:2">
      <c r="A1184" s="610" t="s">
        <v>1670</v>
      </c>
      <c r="B1184" s="610" t="s">
        <v>526</v>
      </c>
    </row>
    <row r="1185" spans="1:2">
      <c r="A1185" s="610" t="s">
        <v>1671</v>
      </c>
      <c r="B1185" s="610" t="s">
        <v>132</v>
      </c>
    </row>
    <row r="1186" spans="1:2">
      <c r="A1186" s="610" t="s">
        <v>1672</v>
      </c>
      <c r="B1186" s="610" t="s">
        <v>132</v>
      </c>
    </row>
    <row r="1187" spans="1:2">
      <c r="A1187" s="610" t="s">
        <v>1673</v>
      </c>
      <c r="B1187" s="610" t="s">
        <v>132</v>
      </c>
    </row>
    <row r="1188" spans="1:2">
      <c r="A1188" s="610" t="s">
        <v>1674</v>
      </c>
      <c r="B1188" s="610" t="s">
        <v>108</v>
      </c>
    </row>
    <row r="1189" spans="1:2">
      <c r="A1189" s="610" t="s">
        <v>340</v>
      </c>
      <c r="B1189" s="610" t="s">
        <v>132</v>
      </c>
    </row>
    <row r="1190" spans="1:2">
      <c r="A1190" s="610" t="s">
        <v>1675</v>
      </c>
      <c r="B1190" s="610" t="s">
        <v>526</v>
      </c>
    </row>
    <row r="1191" spans="1:2">
      <c r="A1191" s="610" t="s">
        <v>449</v>
      </c>
      <c r="B1191" s="610" t="s">
        <v>526</v>
      </c>
    </row>
    <row r="1192" spans="1:2">
      <c r="A1192" s="610" t="s">
        <v>1676</v>
      </c>
      <c r="B1192" s="610" t="s">
        <v>108</v>
      </c>
    </row>
    <row r="1193" spans="1:2">
      <c r="A1193" s="610" t="s">
        <v>1677</v>
      </c>
      <c r="B1193" s="610" t="s">
        <v>132</v>
      </c>
    </row>
    <row r="1194" spans="1:2">
      <c r="A1194" s="610" t="s">
        <v>1678</v>
      </c>
      <c r="B1194" s="610" t="s">
        <v>132</v>
      </c>
    </row>
    <row r="1195" spans="1:2">
      <c r="A1195" s="610" t="s">
        <v>1679</v>
      </c>
      <c r="B1195" s="610" t="s">
        <v>132</v>
      </c>
    </row>
    <row r="1196" spans="1:2">
      <c r="A1196" s="610" t="s">
        <v>1680</v>
      </c>
      <c r="B1196" s="610" t="s">
        <v>132</v>
      </c>
    </row>
    <row r="1197" spans="1:2">
      <c r="A1197" s="610" t="s">
        <v>1681</v>
      </c>
      <c r="B1197" s="610" t="s">
        <v>132</v>
      </c>
    </row>
    <row r="1198" spans="1:2">
      <c r="A1198" s="610" t="s">
        <v>1682</v>
      </c>
      <c r="B1198" s="610" t="s">
        <v>604</v>
      </c>
    </row>
    <row r="1199" spans="1:2">
      <c r="A1199" s="610" t="s">
        <v>1683</v>
      </c>
      <c r="B1199" s="610" t="s">
        <v>604</v>
      </c>
    </row>
    <row r="1200" spans="1:2">
      <c r="A1200" s="610" t="s">
        <v>1684</v>
      </c>
      <c r="B1200" s="610" t="s">
        <v>132</v>
      </c>
    </row>
    <row r="1201" spans="1:2">
      <c r="A1201" s="610" t="s">
        <v>1685</v>
      </c>
      <c r="B1201" s="610" t="s">
        <v>132</v>
      </c>
    </row>
    <row r="1202" spans="1:2">
      <c r="A1202" s="610" t="s">
        <v>1686</v>
      </c>
      <c r="B1202" s="610" t="s">
        <v>108</v>
      </c>
    </row>
    <row r="1203" spans="1:2">
      <c r="A1203" s="610" t="s">
        <v>1687</v>
      </c>
      <c r="B1203" s="610" t="s">
        <v>108</v>
      </c>
    </row>
    <row r="1204" spans="1:2">
      <c r="A1204" s="610" t="s">
        <v>1688</v>
      </c>
      <c r="B1204" s="610" t="s">
        <v>132</v>
      </c>
    </row>
    <row r="1205" spans="1:2">
      <c r="A1205" s="610" t="s">
        <v>1689</v>
      </c>
      <c r="B1205" s="610" t="s">
        <v>526</v>
      </c>
    </row>
    <row r="1206" spans="1:2">
      <c r="A1206" s="610" t="s">
        <v>1690</v>
      </c>
      <c r="B1206" s="610" t="s">
        <v>132</v>
      </c>
    </row>
    <row r="1207" spans="1:2">
      <c r="A1207" s="610" t="s">
        <v>1691</v>
      </c>
      <c r="B1207" s="610" t="s">
        <v>526</v>
      </c>
    </row>
    <row r="1208" spans="1:2">
      <c r="A1208" s="610" t="s">
        <v>1692</v>
      </c>
      <c r="B1208" s="610" t="s">
        <v>604</v>
      </c>
    </row>
    <row r="1209" spans="1:2">
      <c r="A1209" s="610" t="s">
        <v>1693</v>
      </c>
      <c r="B1209" s="610" t="s">
        <v>132</v>
      </c>
    </row>
    <row r="1210" spans="1:2">
      <c r="A1210" s="610" t="s">
        <v>1694</v>
      </c>
      <c r="B1210" s="610" t="s">
        <v>108</v>
      </c>
    </row>
    <row r="1211" spans="1:2">
      <c r="A1211" s="610" t="s">
        <v>1695</v>
      </c>
      <c r="B1211" s="610" t="s">
        <v>108</v>
      </c>
    </row>
    <row r="1212" spans="1:2">
      <c r="A1212" s="610" t="s">
        <v>1696</v>
      </c>
      <c r="B1212" s="610" t="s">
        <v>526</v>
      </c>
    </row>
    <row r="1213" spans="1:2">
      <c r="A1213" s="610" t="s">
        <v>1697</v>
      </c>
      <c r="B1213" s="610" t="s">
        <v>132</v>
      </c>
    </row>
    <row r="1214" spans="1:2">
      <c r="A1214" s="610" t="s">
        <v>1698</v>
      </c>
      <c r="B1214" s="610" t="s">
        <v>526</v>
      </c>
    </row>
    <row r="1215" spans="1:2">
      <c r="A1215" s="610" t="s">
        <v>1699</v>
      </c>
      <c r="B1215" s="610" t="s">
        <v>604</v>
      </c>
    </row>
    <row r="1216" spans="1:2">
      <c r="A1216" s="610" t="s">
        <v>1700</v>
      </c>
      <c r="B1216" s="610" t="s">
        <v>108</v>
      </c>
    </row>
    <row r="1217" spans="1:2">
      <c r="A1217" s="610" t="s">
        <v>1701</v>
      </c>
      <c r="B1217" s="610" t="s">
        <v>108</v>
      </c>
    </row>
    <row r="1218" spans="1:2">
      <c r="A1218" s="610" t="s">
        <v>1702</v>
      </c>
      <c r="B1218" s="610" t="s">
        <v>108</v>
      </c>
    </row>
    <row r="1219" spans="1:2">
      <c r="A1219" s="610" t="s">
        <v>1703</v>
      </c>
      <c r="B1219" s="610" t="s">
        <v>526</v>
      </c>
    </row>
    <row r="1220" spans="1:2">
      <c r="A1220" s="610" t="s">
        <v>1704</v>
      </c>
      <c r="B1220" s="610" t="s">
        <v>108</v>
      </c>
    </row>
    <row r="1221" spans="1:2">
      <c r="A1221" s="610" t="s">
        <v>1705</v>
      </c>
      <c r="B1221" s="610" t="s">
        <v>108</v>
      </c>
    </row>
    <row r="1222" spans="1:2">
      <c r="A1222" s="610" t="s">
        <v>1706</v>
      </c>
      <c r="B1222" s="610" t="s">
        <v>604</v>
      </c>
    </row>
    <row r="1223" spans="1:2">
      <c r="A1223" s="610" t="s">
        <v>1707</v>
      </c>
      <c r="B1223" s="610" t="s">
        <v>526</v>
      </c>
    </row>
    <row r="1224" spans="1:2">
      <c r="A1224" s="610" t="s">
        <v>1708</v>
      </c>
      <c r="B1224" s="610" t="s">
        <v>604</v>
      </c>
    </row>
    <row r="1225" spans="1:2">
      <c r="A1225" s="610" t="s">
        <v>1709</v>
      </c>
      <c r="B1225" s="610" t="s">
        <v>108</v>
      </c>
    </row>
    <row r="1226" spans="1:2">
      <c r="A1226" s="610" t="s">
        <v>1710</v>
      </c>
      <c r="B1226" s="610" t="s">
        <v>132</v>
      </c>
    </row>
    <row r="1227" spans="1:2">
      <c r="A1227" s="610" t="s">
        <v>1711</v>
      </c>
      <c r="B1227" s="610" t="s">
        <v>108</v>
      </c>
    </row>
    <row r="1228" spans="1:2">
      <c r="A1228" s="610" t="s">
        <v>1712</v>
      </c>
      <c r="B1228" s="610" t="s">
        <v>604</v>
      </c>
    </row>
    <row r="1229" spans="1:2">
      <c r="A1229" s="610" t="s">
        <v>1713</v>
      </c>
      <c r="B1229" s="610" t="s">
        <v>526</v>
      </c>
    </row>
    <row r="1230" spans="1:2">
      <c r="A1230" s="610" t="s">
        <v>1714</v>
      </c>
      <c r="B1230" s="610" t="s">
        <v>132</v>
      </c>
    </row>
    <row r="1231" spans="1:2">
      <c r="A1231" s="610" t="s">
        <v>1715</v>
      </c>
      <c r="B1231" s="610" t="s">
        <v>526</v>
      </c>
    </row>
    <row r="1232" spans="1:2">
      <c r="A1232" s="610" t="s">
        <v>1716</v>
      </c>
      <c r="B1232" s="610" t="s">
        <v>526</v>
      </c>
    </row>
    <row r="1233" spans="1:2">
      <c r="A1233" s="610" t="s">
        <v>1717</v>
      </c>
      <c r="B1233" s="610" t="s">
        <v>132</v>
      </c>
    </row>
    <row r="1234" spans="1:2">
      <c r="A1234" s="610" t="s">
        <v>1718</v>
      </c>
      <c r="B1234" s="610" t="s">
        <v>108</v>
      </c>
    </row>
    <row r="1235" spans="1:2">
      <c r="A1235" s="610" t="s">
        <v>1719</v>
      </c>
      <c r="B1235" s="610" t="s">
        <v>108</v>
      </c>
    </row>
    <row r="1236" spans="1:2">
      <c r="A1236" s="610" t="s">
        <v>326</v>
      </c>
      <c r="B1236" s="610" t="s">
        <v>108</v>
      </c>
    </row>
    <row r="1237" spans="1:2">
      <c r="A1237" s="610" t="s">
        <v>202</v>
      </c>
      <c r="B1237" s="610" t="s">
        <v>526</v>
      </c>
    </row>
    <row r="1238" spans="1:2">
      <c r="A1238" s="610" t="s">
        <v>1720</v>
      </c>
      <c r="B1238" s="610" t="s">
        <v>526</v>
      </c>
    </row>
    <row r="1239" spans="1:2">
      <c r="A1239" s="610" t="s">
        <v>1721</v>
      </c>
      <c r="B1239" s="610" t="s">
        <v>108</v>
      </c>
    </row>
    <row r="1240" spans="1:2">
      <c r="A1240" s="610" t="s">
        <v>1722</v>
      </c>
      <c r="B1240" s="610" t="s">
        <v>108</v>
      </c>
    </row>
    <row r="1241" spans="1:2">
      <c r="A1241" s="610" t="s">
        <v>1723</v>
      </c>
      <c r="B1241" s="610" t="s">
        <v>604</v>
      </c>
    </row>
    <row r="1242" spans="1:2">
      <c r="A1242" s="610" t="s">
        <v>1724</v>
      </c>
      <c r="B1242" s="610" t="s">
        <v>108</v>
      </c>
    </row>
    <row r="1243" spans="1:2">
      <c r="A1243" s="610" t="s">
        <v>1725</v>
      </c>
      <c r="B1243" s="610" t="s">
        <v>108</v>
      </c>
    </row>
    <row r="1244" spans="1:2">
      <c r="A1244" s="610" t="s">
        <v>1726</v>
      </c>
      <c r="B1244" s="610" t="s">
        <v>132</v>
      </c>
    </row>
    <row r="1245" spans="1:2">
      <c r="A1245" s="610" t="s">
        <v>1727</v>
      </c>
      <c r="B1245" s="610" t="s">
        <v>132</v>
      </c>
    </row>
    <row r="1246" spans="1:2">
      <c r="A1246" s="610" t="s">
        <v>1728</v>
      </c>
      <c r="B1246" s="610" t="s">
        <v>526</v>
      </c>
    </row>
    <row r="1247" spans="1:2">
      <c r="A1247" s="610" t="s">
        <v>1729</v>
      </c>
      <c r="B1247" s="610" t="s">
        <v>108</v>
      </c>
    </row>
    <row r="1248" spans="1:2">
      <c r="A1248" s="610" t="s">
        <v>1730</v>
      </c>
      <c r="B1248" s="610" t="s">
        <v>132</v>
      </c>
    </row>
    <row r="1249" spans="1:2">
      <c r="A1249" s="610" t="s">
        <v>1731</v>
      </c>
      <c r="B1249" s="610" t="s">
        <v>108</v>
      </c>
    </row>
    <row r="1250" spans="1:2">
      <c r="A1250" s="610" t="s">
        <v>1732</v>
      </c>
      <c r="B1250" s="610" t="s">
        <v>108</v>
      </c>
    </row>
    <row r="1251" spans="1:2">
      <c r="A1251" s="610" t="s">
        <v>1733</v>
      </c>
      <c r="B1251" s="610" t="s">
        <v>108</v>
      </c>
    </row>
    <row r="1252" spans="1:2">
      <c r="A1252" s="610" t="s">
        <v>1734</v>
      </c>
      <c r="B1252" s="610" t="s">
        <v>132</v>
      </c>
    </row>
    <row r="1253" spans="1:2">
      <c r="A1253" s="610" t="s">
        <v>1735</v>
      </c>
      <c r="B1253" s="610" t="s">
        <v>526</v>
      </c>
    </row>
    <row r="1254" spans="1:2">
      <c r="A1254" s="610" t="s">
        <v>1736</v>
      </c>
      <c r="B1254" s="610" t="s">
        <v>132</v>
      </c>
    </row>
    <row r="1255" spans="1:2">
      <c r="A1255" s="610" t="s">
        <v>1737</v>
      </c>
      <c r="B1255" s="610" t="s">
        <v>108</v>
      </c>
    </row>
    <row r="1256" spans="1:2">
      <c r="A1256" s="610" t="s">
        <v>1738</v>
      </c>
      <c r="B1256" s="610" t="s">
        <v>108</v>
      </c>
    </row>
    <row r="1257" spans="1:2">
      <c r="A1257" s="610" t="s">
        <v>1739</v>
      </c>
      <c r="B1257" s="610" t="s">
        <v>604</v>
      </c>
    </row>
    <row r="1258" spans="1:2">
      <c r="A1258" s="610" t="s">
        <v>1740</v>
      </c>
      <c r="B1258" s="610" t="s">
        <v>108</v>
      </c>
    </row>
    <row r="1259" spans="1:2">
      <c r="A1259" s="610" t="s">
        <v>1741</v>
      </c>
      <c r="B1259" s="610" t="s">
        <v>132</v>
      </c>
    </row>
    <row r="1260" spans="1:2">
      <c r="A1260" s="610" t="s">
        <v>1742</v>
      </c>
      <c r="B1260" s="610" t="s">
        <v>526</v>
      </c>
    </row>
    <row r="1261" spans="1:2">
      <c r="A1261" s="610" t="s">
        <v>1743</v>
      </c>
      <c r="B1261" s="610" t="s">
        <v>526</v>
      </c>
    </row>
    <row r="1262" spans="1:2">
      <c r="A1262" s="610" t="s">
        <v>1744</v>
      </c>
      <c r="B1262" s="610" t="s">
        <v>132</v>
      </c>
    </row>
    <row r="1263" spans="1:2">
      <c r="A1263" s="610" t="s">
        <v>1745</v>
      </c>
      <c r="B1263" s="610" t="s">
        <v>132</v>
      </c>
    </row>
    <row r="1264" spans="1:2">
      <c r="A1264" s="610" t="s">
        <v>1746</v>
      </c>
      <c r="B1264" s="610" t="s">
        <v>526</v>
      </c>
    </row>
    <row r="1265" spans="1:2">
      <c r="A1265" s="610" t="s">
        <v>1747</v>
      </c>
      <c r="B1265" s="610" t="s">
        <v>132</v>
      </c>
    </row>
    <row r="1266" spans="1:2">
      <c r="A1266" s="610" t="s">
        <v>1748</v>
      </c>
      <c r="B1266" s="610" t="s">
        <v>132</v>
      </c>
    </row>
    <row r="1267" spans="1:2">
      <c r="A1267" s="610" t="s">
        <v>1749</v>
      </c>
      <c r="B1267" s="610" t="s">
        <v>526</v>
      </c>
    </row>
    <row r="1268" spans="1:2">
      <c r="A1268" s="610" t="s">
        <v>1750</v>
      </c>
      <c r="B1268" s="610" t="s">
        <v>108</v>
      </c>
    </row>
    <row r="1269" spans="1:2">
      <c r="A1269" s="610" t="s">
        <v>1751</v>
      </c>
      <c r="B1269" s="610" t="s">
        <v>526</v>
      </c>
    </row>
    <row r="1270" spans="1:2">
      <c r="A1270" s="610" t="s">
        <v>282</v>
      </c>
      <c r="B1270" s="610" t="s">
        <v>108</v>
      </c>
    </row>
    <row r="1271" spans="1:2">
      <c r="A1271" s="610" t="s">
        <v>1752</v>
      </c>
      <c r="B1271" s="610" t="s">
        <v>413</v>
      </c>
    </row>
    <row r="1272" spans="1:2">
      <c r="A1272" s="610" t="s">
        <v>1753</v>
      </c>
      <c r="B1272" s="610" t="s">
        <v>526</v>
      </c>
    </row>
    <row r="1273" spans="1:2">
      <c r="A1273" s="610" t="s">
        <v>1754</v>
      </c>
      <c r="B1273" s="610" t="s">
        <v>604</v>
      </c>
    </row>
    <row r="1274" spans="1:2">
      <c r="A1274" s="610" t="s">
        <v>1755</v>
      </c>
      <c r="B1274" s="610" t="s">
        <v>108</v>
      </c>
    </row>
    <row r="1275" spans="1:2">
      <c r="A1275" s="610" t="s">
        <v>1756</v>
      </c>
      <c r="B1275" s="610" t="s">
        <v>132</v>
      </c>
    </row>
    <row r="1276" spans="1:2">
      <c r="A1276" s="610" t="s">
        <v>1757</v>
      </c>
      <c r="B1276" s="610" t="s">
        <v>604</v>
      </c>
    </row>
    <row r="1277" spans="1:2">
      <c r="A1277" s="610" t="s">
        <v>1758</v>
      </c>
      <c r="B1277" s="610" t="s">
        <v>526</v>
      </c>
    </row>
    <row r="1278" spans="1:2">
      <c r="A1278" s="610" t="s">
        <v>1759</v>
      </c>
      <c r="B1278" s="610" t="s">
        <v>108</v>
      </c>
    </row>
    <row r="1279" spans="1:2">
      <c r="A1279" s="610" t="s">
        <v>217</v>
      </c>
      <c r="B1279" s="610" t="s">
        <v>526</v>
      </c>
    </row>
    <row r="1280" spans="1:2">
      <c r="A1280" s="610" t="s">
        <v>1760</v>
      </c>
      <c r="B1280" s="610" t="s">
        <v>108</v>
      </c>
    </row>
    <row r="1281" spans="1:2">
      <c r="A1281" s="610" t="s">
        <v>1761</v>
      </c>
      <c r="B1281" s="610" t="s">
        <v>604</v>
      </c>
    </row>
    <row r="1282" spans="1:2">
      <c r="A1282" s="610" t="s">
        <v>1762</v>
      </c>
      <c r="B1282" s="610" t="s">
        <v>108</v>
      </c>
    </row>
    <row r="1283" spans="1:2">
      <c r="A1283" s="610" t="s">
        <v>1763</v>
      </c>
      <c r="B1283" s="610" t="s">
        <v>108</v>
      </c>
    </row>
    <row r="1284" spans="1:2">
      <c r="A1284" s="610" t="s">
        <v>1764</v>
      </c>
      <c r="B1284" s="610" t="s">
        <v>108</v>
      </c>
    </row>
    <row r="1285" spans="1:2">
      <c r="A1285" s="610" t="s">
        <v>1765</v>
      </c>
      <c r="B1285" s="610" t="s">
        <v>604</v>
      </c>
    </row>
    <row r="1286" spans="1:2">
      <c r="A1286" s="610" t="s">
        <v>1766</v>
      </c>
      <c r="B1286" s="610" t="s">
        <v>108</v>
      </c>
    </row>
    <row r="1287" spans="1:2">
      <c r="A1287" s="610" t="s">
        <v>1767</v>
      </c>
      <c r="B1287" s="610" t="s">
        <v>132</v>
      </c>
    </row>
    <row r="1288" spans="1:2">
      <c r="A1288" s="610" t="s">
        <v>1768</v>
      </c>
      <c r="B1288" s="610" t="s">
        <v>132</v>
      </c>
    </row>
    <row r="1289" spans="1:2">
      <c r="A1289" s="610" t="s">
        <v>1769</v>
      </c>
      <c r="B1289" s="610" t="s">
        <v>132</v>
      </c>
    </row>
    <row r="1290" spans="1:2">
      <c r="A1290" s="610" t="s">
        <v>1770</v>
      </c>
      <c r="B1290" s="610" t="s">
        <v>108</v>
      </c>
    </row>
    <row r="1291" spans="1:2">
      <c r="A1291" s="610" t="s">
        <v>1771</v>
      </c>
      <c r="B1291" s="610" t="s">
        <v>526</v>
      </c>
    </row>
    <row r="1292" spans="1:2">
      <c r="A1292" s="610" t="s">
        <v>1772</v>
      </c>
      <c r="B1292" s="610" t="s">
        <v>108</v>
      </c>
    </row>
    <row r="1293" spans="1:2">
      <c r="A1293" s="610" t="s">
        <v>1773</v>
      </c>
      <c r="B1293" s="610" t="s">
        <v>604</v>
      </c>
    </row>
    <row r="1294" spans="1:2">
      <c r="A1294" s="610" t="s">
        <v>1774</v>
      </c>
      <c r="B1294" s="610" t="s">
        <v>132</v>
      </c>
    </row>
    <row r="1295" spans="1:2">
      <c r="A1295" s="610" t="s">
        <v>168</v>
      </c>
      <c r="B1295" s="610" t="s">
        <v>526</v>
      </c>
    </row>
    <row r="1296" spans="1:2">
      <c r="A1296" s="610" t="s">
        <v>137</v>
      </c>
      <c r="B1296" s="610" t="s">
        <v>526</v>
      </c>
    </row>
    <row r="1297" spans="1:2">
      <c r="A1297" s="610" t="s">
        <v>1775</v>
      </c>
      <c r="B1297" s="610" t="s">
        <v>132</v>
      </c>
    </row>
    <row r="1298" spans="1:2">
      <c r="A1298" s="610" t="s">
        <v>1776</v>
      </c>
      <c r="B1298" s="610" t="s">
        <v>526</v>
      </c>
    </row>
    <row r="1299" spans="1:2">
      <c r="A1299" s="610" t="s">
        <v>1777</v>
      </c>
      <c r="B1299" s="610" t="s">
        <v>526</v>
      </c>
    </row>
    <row r="1300" spans="1:2">
      <c r="A1300" s="610" t="s">
        <v>411</v>
      </c>
      <c r="B1300" s="610" t="s">
        <v>526</v>
      </c>
    </row>
    <row r="1301" spans="1:2">
      <c r="A1301" s="610" t="s">
        <v>1778</v>
      </c>
      <c r="B1301" s="610" t="s">
        <v>108</v>
      </c>
    </row>
    <row r="1302" spans="1:2">
      <c r="A1302" s="610" t="s">
        <v>1779</v>
      </c>
      <c r="B1302" s="610" t="s">
        <v>132</v>
      </c>
    </row>
    <row r="1303" spans="1:2">
      <c r="A1303" s="610" t="s">
        <v>1780</v>
      </c>
      <c r="B1303" s="610" t="s">
        <v>108</v>
      </c>
    </row>
    <row r="1304" spans="1:2">
      <c r="A1304" s="610" t="s">
        <v>1781</v>
      </c>
      <c r="B1304" s="610" t="s">
        <v>604</v>
      </c>
    </row>
    <row r="1305" spans="1:2">
      <c r="A1305" s="610" t="s">
        <v>269</v>
      </c>
      <c r="B1305" s="610" t="s">
        <v>108</v>
      </c>
    </row>
    <row r="1306" spans="1:2">
      <c r="A1306" s="610" t="s">
        <v>1782</v>
      </c>
      <c r="B1306" s="610" t="s">
        <v>108</v>
      </c>
    </row>
    <row r="1307" spans="1:2">
      <c r="A1307" s="610" t="s">
        <v>1783</v>
      </c>
      <c r="B1307" s="610" t="s">
        <v>132</v>
      </c>
    </row>
    <row r="1308" spans="1:2">
      <c r="A1308" s="610" t="s">
        <v>1784</v>
      </c>
      <c r="B1308" s="610" t="s">
        <v>132</v>
      </c>
    </row>
    <row r="1309" spans="1:2">
      <c r="A1309" s="610" t="s">
        <v>1785</v>
      </c>
      <c r="B1309" s="610" t="s">
        <v>108</v>
      </c>
    </row>
    <row r="1310" spans="1:2">
      <c r="A1310" s="610" t="s">
        <v>1786</v>
      </c>
      <c r="B1310" s="610" t="s">
        <v>526</v>
      </c>
    </row>
    <row r="1311" spans="1:2">
      <c r="A1311" s="610" t="s">
        <v>1787</v>
      </c>
      <c r="B1311" s="610" t="s">
        <v>108</v>
      </c>
    </row>
    <row r="1312" spans="1:2">
      <c r="A1312" s="610" t="s">
        <v>1788</v>
      </c>
      <c r="B1312" s="610" t="s">
        <v>132</v>
      </c>
    </row>
    <row r="1313" spans="1:2">
      <c r="A1313" s="610" t="s">
        <v>1789</v>
      </c>
      <c r="B1313" s="610" t="s">
        <v>526</v>
      </c>
    </row>
    <row r="1314" spans="1:2">
      <c r="A1314" s="610" t="s">
        <v>1790</v>
      </c>
      <c r="B1314" s="610" t="s">
        <v>604</v>
      </c>
    </row>
    <row r="1315" spans="1:2">
      <c r="A1315" s="610" t="s">
        <v>1791</v>
      </c>
      <c r="B1315" s="610" t="s">
        <v>604</v>
      </c>
    </row>
    <row r="1316" spans="1:2">
      <c r="A1316" s="610" t="s">
        <v>1792</v>
      </c>
      <c r="B1316" s="610" t="s">
        <v>526</v>
      </c>
    </row>
    <row r="1317" spans="1:2">
      <c r="A1317" s="610" t="s">
        <v>1793</v>
      </c>
      <c r="B1317" s="610" t="s">
        <v>132</v>
      </c>
    </row>
    <row r="1318" spans="1:2">
      <c r="A1318" s="610" t="s">
        <v>1794</v>
      </c>
      <c r="B1318" s="610" t="s">
        <v>526</v>
      </c>
    </row>
    <row r="1319" spans="1:2">
      <c r="A1319" s="610" t="s">
        <v>1795</v>
      </c>
      <c r="B1319" s="610" t="s">
        <v>132</v>
      </c>
    </row>
    <row r="1320" spans="1:2">
      <c r="A1320" s="610" t="s">
        <v>1796</v>
      </c>
      <c r="B1320" s="610" t="s">
        <v>526</v>
      </c>
    </row>
    <row r="1321" spans="1:2">
      <c r="A1321" s="610" t="s">
        <v>1797</v>
      </c>
      <c r="B1321" s="610" t="s">
        <v>132</v>
      </c>
    </row>
    <row r="1322" spans="1:2">
      <c r="A1322" s="610" t="s">
        <v>1798</v>
      </c>
      <c r="B1322" s="610" t="s">
        <v>132</v>
      </c>
    </row>
    <row r="1323" spans="1:2">
      <c r="A1323" s="610" t="s">
        <v>1799</v>
      </c>
      <c r="B1323" s="610" t="s">
        <v>132</v>
      </c>
    </row>
    <row r="1324" spans="1:2">
      <c r="A1324" s="610" t="s">
        <v>1800</v>
      </c>
      <c r="B1324" s="610" t="s">
        <v>526</v>
      </c>
    </row>
    <row r="1325" spans="1:2">
      <c r="A1325" s="610" t="s">
        <v>1801</v>
      </c>
      <c r="B1325" s="610" t="s">
        <v>132</v>
      </c>
    </row>
    <row r="1326" spans="1:2">
      <c r="A1326" s="610" t="s">
        <v>1802</v>
      </c>
      <c r="B1326" s="610" t="s">
        <v>132</v>
      </c>
    </row>
    <row r="1327" spans="1:2">
      <c r="A1327" s="610" t="s">
        <v>1803</v>
      </c>
      <c r="B1327" s="610" t="s">
        <v>108</v>
      </c>
    </row>
    <row r="1328" spans="1:2">
      <c r="A1328" s="610" t="s">
        <v>1804</v>
      </c>
      <c r="B1328" s="610" t="s">
        <v>132</v>
      </c>
    </row>
    <row r="1329" spans="1:2">
      <c r="A1329" s="610" t="s">
        <v>1805</v>
      </c>
      <c r="B1329" s="610" t="s">
        <v>108</v>
      </c>
    </row>
    <row r="1330" spans="1:2">
      <c r="A1330" s="610" t="s">
        <v>170</v>
      </c>
      <c r="B1330" s="610" t="s">
        <v>526</v>
      </c>
    </row>
    <row r="1331" spans="1:2">
      <c r="A1331" s="610" t="s">
        <v>1806</v>
      </c>
      <c r="B1331" s="610" t="s">
        <v>526</v>
      </c>
    </row>
    <row r="1332" spans="1:2">
      <c r="A1332" s="610" t="s">
        <v>275</v>
      </c>
      <c r="B1332" s="610" t="s">
        <v>526</v>
      </c>
    </row>
    <row r="1333" spans="1:2">
      <c r="A1333" s="610" t="s">
        <v>1807</v>
      </c>
      <c r="B1333" s="610" t="s">
        <v>413</v>
      </c>
    </row>
    <row r="1334" spans="1:2">
      <c r="A1334" s="610" t="s">
        <v>1808</v>
      </c>
      <c r="B1334" s="610" t="s">
        <v>604</v>
      </c>
    </row>
    <row r="1335" spans="1:2">
      <c r="A1335" s="610" t="s">
        <v>1809</v>
      </c>
      <c r="B1335" s="610" t="s">
        <v>132</v>
      </c>
    </row>
    <row r="1336" spans="1:2">
      <c r="A1336" s="610" t="s">
        <v>1810</v>
      </c>
      <c r="B1336" s="610" t="s">
        <v>132</v>
      </c>
    </row>
    <row r="1337" spans="1:2">
      <c r="A1337" s="610" t="s">
        <v>1811</v>
      </c>
      <c r="B1337" s="610" t="s">
        <v>108</v>
      </c>
    </row>
    <row r="1338" spans="1:2">
      <c r="A1338" s="610" t="s">
        <v>1812</v>
      </c>
      <c r="B1338" s="610" t="s">
        <v>108</v>
      </c>
    </row>
    <row r="1339" spans="1:2">
      <c r="A1339" s="610" t="s">
        <v>1813</v>
      </c>
      <c r="B1339" s="610" t="s">
        <v>526</v>
      </c>
    </row>
    <row r="1340" spans="1:2">
      <c r="A1340" s="610" t="s">
        <v>1814</v>
      </c>
      <c r="B1340" s="610" t="s">
        <v>526</v>
      </c>
    </row>
    <row r="1341" spans="1:2">
      <c r="A1341" s="610" t="s">
        <v>1815</v>
      </c>
      <c r="B1341" s="610" t="s">
        <v>132</v>
      </c>
    </row>
    <row r="1342" spans="1:2">
      <c r="A1342" s="610" t="s">
        <v>1816</v>
      </c>
      <c r="B1342" s="610" t="s">
        <v>132</v>
      </c>
    </row>
    <row r="1343" spans="1:2">
      <c r="A1343" s="610" t="s">
        <v>1817</v>
      </c>
      <c r="B1343" s="610" t="s">
        <v>526</v>
      </c>
    </row>
    <row r="1344" spans="1:2">
      <c r="A1344" s="610" t="s">
        <v>1818</v>
      </c>
      <c r="B1344" s="610" t="s">
        <v>132</v>
      </c>
    </row>
    <row r="1345" spans="1:2">
      <c r="A1345" s="610" t="s">
        <v>1819</v>
      </c>
      <c r="B1345" s="610" t="s">
        <v>526</v>
      </c>
    </row>
    <row r="1346" spans="1:2">
      <c r="A1346" s="610" t="s">
        <v>1820</v>
      </c>
      <c r="B1346" s="610" t="s">
        <v>604</v>
      </c>
    </row>
    <row r="1347" spans="1:2">
      <c r="A1347" s="610" t="s">
        <v>1821</v>
      </c>
      <c r="B1347" s="610" t="s">
        <v>132</v>
      </c>
    </row>
    <row r="1348" spans="1:2">
      <c r="A1348" s="610" t="s">
        <v>1822</v>
      </c>
      <c r="B1348" s="610" t="s">
        <v>526</v>
      </c>
    </row>
    <row r="1349" spans="1:2">
      <c r="A1349" s="610" t="s">
        <v>1823</v>
      </c>
      <c r="B1349" s="610" t="s">
        <v>132</v>
      </c>
    </row>
    <row r="1350" spans="1:2">
      <c r="A1350" s="610" t="s">
        <v>1824</v>
      </c>
      <c r="B1350" s="610" t="s">
        <v>132</v>
      </c>
    </row>
    <row r="1351" spans="1:2">
      <c r="A1351" s="610" t="s">
        <v>1825</v>
      </c>
      <c r="B1351" s="610" t="s">
        <v>108</v>
      </c>
    </row>
    <row r="1352" spans="1:2">
      <c r="A1352" s="610" t="s">
        <v>1826</v>
      </c>
      <c r="B1352" s="610" t="s">
        <v>108</v>
      </c>
    </row>
    <row r="1353" spans="1:2">
      <c r="A1353" s="610" t="s">
        <v>1827</v>
      </c>
      <c r="B1353" s="610" t="s">
        <v>132</v>
      </c>
    </row>
    <row r="1354" spans="1:2">
      <c r="A1354" s="610" t="s">
        <v>1828</v>
      </c>
      <c r="B1354" s="610" t="s">
        <v>604</v>
      </c>
    </row>
    <row r="1355" spans="1:2">
      <c r="A1355" s="610" t="s">
        <v>1829</v>
      </c>
      <c r="B1355" s="610" t="s">
        <v>108</v>
      </c>
    </row>
    <row r="1356" spans="1:2">
      <c r="A1356" s="610" t="s">
        <v>1830</v>
      </c>
      <c r="B1356" s="610" t="s">
        <v>132</v>
      </c>
    </row>
    <row r="1357" spans="1:2">
      <c r="A1357" s="610" t="s">
        <v>1831</v>
      </c>
      <c r="B1357" s="610" t="s">
        <v>526</v>
      </c>
    </row>
    <row r="1358" spans="1:2">
      <c r="A1358" s="610" t="s">
        <v>1832</v>
      </c>
      <c r="B1358" s="610" t="s">
        <v>108</v>
      </c>
    </row>
    <row r="1359" spans="1:2">
      <c r="A1359" s="610" t="s">
        <v>1833</v>
      </c>
      <c r="B1359" s="610" t="s">
        <v>132</v>
      </c>
    </row>
    <row r="1360" spans="1:2">
      <c r="A1360" s="610" t="s">
        <v>1834</v>
      </c>
      <c r="B1360" s="610" t="s">
        <v>132</v>
      </c>
    </row>
    <row r="1361" spans="1:2">
      <c r="A1361" s="610" t="s">
        <v>1835</v>
      </c>
      <c r="B1361" s="610" t="s">
        <v>132</v>
      </c>
    </row>
    <row r="1362" spans="1:2">
      <c r="A1362" s="610" t="s">
        <v>1836</v>
      </c>
      <c r="B1362" s="610" t="s">
        <v>132</v>
      </c>
    </row>
    <row r="1363" spans="1:2">
      <c r="A1363" s="610" t="s">
        <v>1837</v>
      </c>
      <c r="B1363" s="610" t="s">
        <v>526</v>
      </c>
    </row>
    <row r="1364" spans="1:2">
      <c r="A1364" s="610" t="s">
        <v>1838</v>
      </c>
      <c r="B1364" s="610" t="s">
        <v>132</v>
      </c>
    </row>
    <row r="1365" spans="1:2">
      <c r="A1365" s="610" t="s">
        <v>1839</v>
      </c>
      <c r="B1365" s="610" t="s">
        <v>108</v>
      </c>
    </row>
    <row r="1366" spans="1:2">
      <c r="A1366" s="610" t="s">
        <v>1840</v>
      </c>
      <c r="B1366" s="610" t="s">
        <v>132</v>
      </c>
    </row>
    <row r="1367" spans="1:2">
      <c r="A1367" s="610" t="s">
        <v>1841</v>
      </c>
      <c r="B1367" s="610" t="s">
        <v>604</v>
      </c>
    </row>
    <row r="1368" spans="1:2">
      <c r="A1368" s="610" t="s">
        <v>1842</v>
      </c>
      <c r="B1368" s="610" t="s">
        <v>108</v>
      </c>
    </row>
    <row r="1369" spans="1:2">
      <c r="A1369" s="610" t="s">
        <v>1843</v>
      </c>
      <c r="B1369" s="610" t="s">
        <v>132</v>
      </c>
    </row>
    <row r="1370" spans="1:2">
      <c r="A1370" s="610" t="s">
        <v>1844</v>
      </c>
      <c r="B1370" s="610" t="s">
        <v>132</v>
      </c>
    </row>
    <row r="1371" spans="1:2">
      <c r="A1371" s="610" t="s">
        <v>273</v>
      </c>
      <c r="B1371" s="610" t="s">
        <v>526</v>
      </c>
    </row>
    <row r="1372" spans="1:2">
      <c r="A1372" s="610" t="s">
        <v>1845</v>
      </c>
      <c r="B1372" s="610" t="s">
        <v>526</v>
      </c>
    </row>
    <row r="1373" spans="1:2">
      <c r="A1373" s="610" t="s">
        <v>1846</v>
      </c>
      <c r="B1373" s="610" t="s">
        <v>604</v>
      </c>
    </row>
    <row r="1374" spans="1:2">
      <c r="A1374" s="610" t="s">
        <v>1847</v>
      </c>
      <c r="B1374" s="610" t="s">
        <v>604</v>
      </c>
    </row>
    <row r="1375" spans="1:2">
      <c r="A1375" s="610" t="s">
        <v>1848</v>
      </c>
      <c r="B1375" s="610" t="s">
        <v>604</v>
      </c>
    </row>
    <row r="1376" spans="1:2">
      <c r="A1376" s="610" t="s">
        <v>1849</v>
      </c>
      <c r="B1376" s="610" t="s">
        <v>132</v>
      </c>
    </row>
    <row r="1377" spans="1:2">
      <c r="A1377" s="610" t="s">
        <v>1850</v>
      </c>
      <c r="B1377" s="610" t="s">
        <v>108</v>
      </c>
    </row>
    <row r="1378" spans="1:2">
      <c r="A1378" s="610" t="s">
        <v>1851</v>
      </c>
      <c r="B1378" s="610" t="s">
        <v>526</v>
      </c>
    </row>
    <row r="1379" spans="1:2">
      <c r="A1379" s="610" t="s">
        <v>1852</v>
      </c>
      <c r="B1379" s="610" t="s">
        <v>604</v>
      </c>
    </row>
    <row r="1380" spans="1:2">
      <c r="A1380" s="610" t="s">
        <v>1853</v>
      </c>
      <c r="B1380" s="610" t="s">
        <v>604</v>
      </c>
    </row>
    <row r="1381" spans="1:2">
      <c r="A1381" s="610" t="s">
        <v>1854</v>
      </c>
      <c r="B1381" s="610" t="s">
        <v>108</v>
      </c>
    </row>
    <row r="1382" spans="1:2">
      <c r="A1382" s="610" t="s">
        <v>1855</v>
      </c>
      <c r="B1382" s="610" t="s">
        <v>526</v>
      </c>
    </row>
    <row r="1383" spans="1:2">
      <c r="A1383" s="610" t="s">
        <v>1856</v>
      </c>
      <c r="B1383" s="610" t="s">
        <v>108</v>
      </c>
    </row>
    <row r="1384" spans="1:2">
      <c r="A1384" s="610" t="s">
        <v>1857</v>
      </c>
      <c r="B1384" s="610" t="s">
        <v>108</v>
      </c>
    </row>
    <row r="1385" spans="1:2">
      <c r="A1385" s="610" t="s">
        <v>1858</v>
      </c>
      <c r="B1385" s="610" t="s">
        <v>108</v>
      </c>
    </row>
    <row r="1386" spans="1:2">
      <c r="A1386" s="610" t="s">
        <v>1859</v>
      </c>
      <c r="B1386" s="610" t="s">
        <v>526</v>
      </c>
    </row>
    <row r="1387" spans="1:2">
      <c r="A1387" s="610" t="s">
        <v>1860</v>
      </c>
      <c r="B1387" s="610" t="s">
        <v>526</v>
      </c>
    </row>
    <row r="1388" spans="1:2">
      <c r="A1388" s="610" t="s">
        <v>1861</v>
      </c>
      <c r="B1388" s="610" t="s">
        <v>526</v>
      </c>
    </row>
    <row r="1389" spans="1:2">
      <c r="A1389" s="610" t="s">
        <v>1862</v>
      </c>
      <c r="B1389" s="610" t="s">
        <v>132</v>
      </c>
    </row>
    <row r="1390" spans="1:2">
      <c r="A1390" s="610" t="s">
        <v>1863</v>
      </c>
      <c r="B1390" s="610" t="s">
        <v>108</v>
      </c>
    </row>
    <row r="1391" spans="1:2">
      <c r="A1391" s="610" t="s">
        <v>1864</v>
      </c>
      <c r="B1391" s="610" t="s">
        <v>604</v>
      </c>
    </row>
    <row r="1392" spans="1:2">
      <c r="A1392" s="610" t="s">
        <v>253</v>
      </c>
      <c r="B1392" s="610" t="s">
        <v>526</v>
      </c>
    </row>
    <row r="1393" spans="1:2">
      <c r="A1393" s="610" t="s">
        <v>1865</v>
      </c>
      <c r="B1393" s="610" t="s">
        <v>132</v>
      </c>
    </row>
    <row r="1394" spans="1:2">
      <c r="A1394" s="610" t="s">
        <v>1866</v>
      </c>
      <c r="B1394" s="610" t="s">
        <v>526</v>
      </c>
    </row>
    <row r="1395" spans="1:2">
      <c r="A1395" s="610" t="s">
        <v>1867</v>
      </c>
      <c r="B1395" s="610" t="s">
        <v>108</v>
      </c>
    </row>
    <row r="1396" spans="1:2">
      <c r="A1396" s="610" t="s">
        <v>1868</v>
      </c>
      <c r="B1396" s="610" t="s">
        <v>132</v>
      </c>
    </row>
    <row r="1397" spans="1:2">
      <c r="A1397" s="610" t="s">
        <v>1869</v>
      </c>
      <c r="B1397" s="610" t="s">
        <v>108</v>
      </c>
    </row>
    <row r="1398" spans="1:2">
      <c r="A1398" s="610" t="s">
        <v>1870</v>
      </c>
      <c r="B1398" s="610" t="s">
        <v>132</v>
      </c>
    </row>
    <row r="1399" spans="1:2">
      <c r="A1399" s="610" t="s">
        <v>1871</v>
      </c>
      <c r="B1399" s="610" t="s">
        <v>108</v>
      </c>
    </row>
    <row r="1400" spans="1:2">
      <c r="A1400" s="610" t="s">
        <v>1872</v>
      </c>
      <c r="B1400" s="610" t="s">
        <v>132</v>
      </c>
    </row>
    <row r="1401" spans="1:2">
      <c r="A1401" s="610" t="s">
        <v>1873</v>
      </c>
      <c r="B1401" s="610" t="s">
        <v>108</v>
      </c>
    </row>
    <row r="1402" spans="1:2">
      <c r="A1402" s="610" t="s">
        <v>1874</v>
      </c>
      <c r="B1402" s="610" t="s">
        <v>132</v>
      </c>
    </row>
    <row r="1403" spans="1:2">
      <c r="A1403" s="610" t="s">
        <v>1875</v>
      </c>
      <c r="B1403" s="610" t="s">
        <v>526</v>
      </c>
    </row>
    <row r="1404" spans="1:2">
      <c r="A1404" s="610" t="s">
        <v>1876</v>
      </c>
      <c r="B1404" s="610" t="s">
        <v>526</v>
      </c>
    </row>
    <row r="1405" spans="1:2">
      <c r="A1405" s="610" t="s">
        <v>1877</v>
      </c>
      <c r="B1405" s="610" t="s">
        <v>108</v>
      </c>
    </row>
    <row r="1406" spans="1:2">
      <c r="A1406" s="610" t="s">
        <v>200</v>
      </c>
      <c r="B1406" s="610" t="s">
        <v>526</v>
      </c>
    </row>
    <row r="1407" spans="1:2">
      <c r="A1407" s="610" t="s">
        <v>1878</v>
      </c>
      <c r="B1407" s="610" t="s">
        <v>108</v>
      </c>
    </row>
    <row r="1408" spans="1:2">
      <c r="A1408" s="610" t="s">
        <v>1879</v>
      </c>
      <c r="B1408" s="610" t="s">
        <v>132</v>
      </c>
    </row>
    <row r="1409" spans="1:2">
      <c r="A1409" s="610" t="s">
        <v>1880</v>
      </c>
      <c r="B1409" s="610" t="s">
        <v>526</v>
      </c>
    </row>
    <row r="1410" spans="1:2">
      <c r="A1410" s="610" t="s">
        <v>1881</v>
      </c>
      <c r="B1410" s="610" t="s">
        <v>108</v>
      </c>
    </row>
    <row r="1411" spans="1:2">
      <c r="A1411" s="610" t="s">
        <v>1882</v>
      </c>
      <c r="B1411" s="610" t="s">
        <v>526</v>
      </c>
    </row>
    <row r="1412" spans="1:2">
      <c r="A1412" s="610" t="s">
        <v>1883</v>
      </c>
      <c r="B1412" s="610" t="s">
        <v>108</v>
      </c>
    </row>
    <row r="1413" spans="1:2">
      <c r="A1413" s="610" t="s">
        <v>1884</v>
      </c>
      <c r="B1413" s="610" t="s">
        <v>108</v>
      </c>
    </row>
    <row r="1414" spans="1:2">
      <c r="A1414" s="610" t="s">
        <v>1885</v>
      </c>
      <c r="B1414" s="610" t="s">
        <v>108</v>
      </c>
    </row>
    <row r="1415" spans="1:2">
      <c r="A1415" s="610" t="s">
        <v>1886</v>
      </c>
      <c r="B1415" s="610" t="s">
        <v>604</v>
      </c>
    </row>
    <row r="1416" spans="1:2">
      <c r="A1416" s="610" t="s">
        <v>1887</v>
      </c>
      <c r="B1416" s="610" t="s">
        <v>526</v>
      </c>
    </row>
    <row r="1417" spans="1:2">
      <c r="A1417" s="610" t="s">
        <v>1888</v>
      </c>
      <c r="B1417" s="610" t="s">
        <v>132</v>
      </c>
    </row>
    <row r="1418" spans="1:2">
      <c r="A1418" s="610" t="s">
        <v>1889</v>
      </c>
      <c r="B1418" s="610" t="s">
        <v>526</v>
      </c>
    </row>
    <row r="1419" spans="1:2">
      <c r="A1419" s="610" t="s">
        <v>1890</v>
      </c>
      <c r="B1419" s="610" t="s">
        <v>132</v>
      </c>
    </row>
    <row r="1420" spans="1:2">
      <c r="A1420" s="610" t="s">
        <v>1891</v>
      </c>
      <c r="B1420" s="610" t="s">
        <v>526</v>
      </c>
    </row>
    <row r="1421" spans="1:2">
      <c r="A1421" s="610" t="s">
        <v>1892</v>
      </c>
      <c r="B1421" s="610" t="s">
        <v>132</v>
      </c>
    </row>
    <row r="1422" spans="1:2">
      <c r="A1422" s="610" t="s">
        <v>1893</v>
      </c>
      <c r="B1422" s="610" t="s">
        <v>108</v>
      </c>
    </row>
    <row r="1423" spans="1:2">
      <c r="A1423" s="610" t="s">
        <v>1894</v>
      </c>
      <c r="B1423" s="610" t="s">
        <v>108</v>
      </c>
    </row>
    <row r="1424" spans="1:2">
      <c r="A1424" s="610" t="s">
        <v>1895</v>
      </c>
      <c r="B1424" s="610" t="s">
        <v>108</v>
      </c>
    </row>
    <row r="1425" spans="1:2">
      <c r="A1425" s="610" t="s">
        <v>1896</v>
      </c>
      <c r="B1425" s="610" t="s">
        <v>604</v>
      </c>
    </row>
    <row r="1426" spans="1:2">
      <c r="A1426" s="610" t="s">
        <v>124</v>
      </c>
      <c r="B1426" s="610" t="s">
        <v>526</v>
      </c>
    </row>
    <row r="1427" spans="1:2">
      <c r="A1427" s="610" t="s">
        <v>1897</v>
      </c>
      <c r="B1427" s="610" t="s">
        <v>108</v>
      </c>
    </row>
    <row r="1428" spans="1:2">
      <c r="A1428" s="610" t="s">
        <v>1898</v>
      </c>
      <c r="B1428" s="610" t="s">
        <v>108</v>
      </c>
    </row>
    <row r="1429" spans="1:2">
      <c r="A1429" s="610" t="s">
        <v>1899</v>
      </c>
      <c r="B1429" s="610" t="s">
        <v>108</v>
      </c>
    </row>
    <row r="1430" spans="1:2">
      <c r="A1430" s="610" t="s">
        <v>1900</v>
      </c>
      <c r="B1430" s="610" t="s">
        <v>526</v>
      </c>
    </row>
    <row r="1431" spans="1:2">
      <c r="A1431" s="610" t="s">
        <v>1901</v>
      </c>
      <c r="B1431" s="610" t="s">
        <v>108</v>
      </c>
    </row>
    <row r="1432" spans="1:2">
      <c r="A1432" s="610" t="s">
        <v>1902</v>
      </c>
      <c r="B1432" s="610" t="s">
        <v>526</v>
      </c>
    </row>
    <row r="1433" spans="1:2">
      <c r="A1433" s="610" t="s">
        <v>1903</v>
      </c>
      <c r="B1433" s="610" t="s">
        <v>526</v>
      </c>
    </row>
    <row r="1434" spans="1:2">
      <c r="A1434" s="610" t="s">
        <v>1904</v>
      </c>
      <c r="B1434" s="610" t="s">
        <v>526</v>
      </c>
    </row>
    <row r="1435" spans="1:2">
      <c r="A1435" s="610" t="s">
        <v>1905</v>
      </c>
      <c r="B1435" s="610" t="s">
        <v>132</v>
      </c>
    </row>
    <row r="1436" spans="1:2">
      <c r="A1436" s="610" t="s">
        <v>1906</v>
      </c>
      <c r="B1436" s="610" t="s">
        <v>604</v>
      </c>
    </row>
    <row r="1437" spans="1:2">
      <c r="A1437" s="610" t="s">
        <v>1907</v>
      </c>
      <c r="B1437" s="610" t="s">
        <v>526</v>
      </c>
    </row>
    <row r="1438" spans="1:2">
      <c r="A1438" s="610" t="s">
        <v>1908</v>
      </c>
      <c r="B1438" s="610" t="s">
        <v>526</v>
      </c>
    </row>
    <row r="1439" spans="1:2">
      <c r="A1439" s="610" t="s">
        <v>1909</v>
      </c>
      <c r="B1439" s="610" t="s">
        <v>132</v>
      </c>
    </row>
    <row r="1440" spans="1:2">
      <c r="A1440" s="610" t="s">
        <v>1910</v>
      </c>
      <c r="B1440" s="610" t="s">
        <v>132</v>
      </c>
    </row>
    <row r="1441" spans="1:2">
      <c r="A1441" s="610" t="s">
        <v>1911</v>
      </c>
      <c r="B1441" s="610" t="s">
        <v>108</v>
      </c>
    </row>
    <row r="1442" spans="1:2">
      <c r="A1442" s="610" t="s">
        <v>1912</v>
      </c>
      <c r="B1442" s="610" t="s">
        <v>108</v>
      </c>
    </row>
    <row r="1443" spans="1:2">
      <c r="A1443" s="610" t="s">
        <v>1913</v>
      </c>
      <c r="B1443" s="610" t="s">
        <v>108</v>
      </c>
    </row>
    <row r="1444" spans="1:2">
      <c r="A1444" s="610" t="s">
        <v>1914</v>
      </c>
      <c r="B1444" s="610" t="s">
        <v>604</v>
      </c>
    </row>
    <row r="1445" spans="1:2">
      <c r="A1445" s="610" t="s">
        <v>1915</v>
      </c>
      <c r="B1445" s="610" t="s">
        <v>526</v>
      </c>
    </row>
    <row r="1446" spans="1:2">
      <c r="A1446" s="610" t="s">
        <v>1916</v>
      </c>
      <c r="B1446" s="610" t="s">
        <v>108</v>
      </c>
    </row>
    <row r="1447" spans="1:2">
      <c r="A1447" s="610" t="s">
        <v>226</v>
      </c>
      <c r="B1447" s="610" t="s">
        <v>132</v>
      </c>
    </row>
    <row r="1448" spans="1:2">
      <c r="A1448" s="610" t="s">
        <v>1917</v>
      </c>
      <c r="B1448" s="610" t="s">
        <v>132</v>
      </c>
    </row>
    <row r="1449" spans="1:2">
      <c r="A1449" s="610" t="s">
        <v>1918</v>
      </c>
      <c r="B1449" s="610" t="s">
        <v>526</v>
      </c>
    </row>
    <row r="1450" spans="1:2">
      <c r="A1450" s="610" t="s">
        <v>1919</v>
      </c>
      <c r="B1450" s="610" t="s">
        <v>132</v>
      </c>
    </row>
    <row r="1451" spans="1:2">
      <c r="A1451" s="610" t="s">
        <v>1920</v>
      </c>
      <c r="B1451" s="610" t="s">
        <v>526</v>
      </c>
    </row>
    <row r="1452" spans="1:2">
      <c r="A1452" s="610" t="s">
        <v>1921</v>
      </c>
      <c r="B1452" s="610" t="s">
        <v>526</v>
      </c>
    </row>
    <row r="1453" spans="1:2">
      <c r="A1453" s="610" t="s">
        <v>1922</v>
      </c>
      <c r="B1453" s="610" t="s">
        <v>132</v>
      </c>
    </row>
    <row r="1454" spans="1:2">
      <c r="A1454" s="610" t="s">
        <v>1923</v>
      </c>
      <c r="B1454" s="610" t="s">
        <v>108</v>
      </c>
    </row>
    <row r="1455" spans="1:2">
      <c r="A1455" s="610" t="s">
        <v>1924</v>
      </c>
      <c r="B1455" s="610" t="s">
        <v>604</v>
      </c>
    </row>
    <row r="1456" spans="1:2">
      <c r="A1456" s="610" t="s">
        <v>127</v>
      </c>
      <c r="B1456" s="610" t="s">
        <v>526</v>
      </c>
    </row>
    <row r="1457" spans="1:2">
      <c r="A1457" s="610" t="s">
        <v>1925</v>
      </c>
      <c r="B1457" s="610" t="s">
        <v>526</v>
      </c>
    </row>
    <row r="1458" spans="1:2">
      <c r="A1458" s="610" t="s">
        <v>1926</v>
      </c>
      <c r="B1458" s="610" t="s">
        <v>108</v>
      </c>
    </row>
    <row r="1459" spans="1:2">
      <c r="A1459" s="610" t="s">
        <v>1927</v>
      </c>
      <c r="B1459" s="610" t="s">
        <v>526</v>
      </c>
    </row>
    <row r="1460" spans="1:2">
      <c r="A1460" s="610" t="s">
        <v>1928</v>
      </c>
      <c r="B1460" s="610" t="s">
        <v>108</v>
      </c>
    </row>
    <row r="1461" spans="1:2">
      <c r="A1461" s="610" t="s">
        <v>1929</v>
      </c>
      <c r="B1461" s="610" t="s">
        <v>604</v>
      </c>
    </row>
    <row r="1462" spans="1:2">
      <c r="A1462" s="610" t="s">
        <v>247</v>
      </c>
      <c r="B1462" s="610" t="s">
        <v>526</v>
      </c>
    </row>
    <row r="1463" spans="1:2">
      <c r="A1463" s="610" t="s">
        <v>1930</v>
      </c>
      <c r="B1463" s="610" t="s">
        <v>132</v>
      </c>
    </row>
    <row r="1464" spans="1:2">
      <c r="A1464" s="610" t="s">
        <v>1931</v>
      </c>
      <c r="B1464" s="610" t="s">
        <v>132</v>
      </c>
    </row>
    <row r="1465" spans="1:2">
      <c r="A1465" s="610" t="s">
        <v>1932</v>
      </c>
      <c r="B1465" s="610" t="s">
        <v>132</v>
      </c>
    </row>
    <row r="1466" spans="1:2">
      <c r="A1466" s="610" t="s">
        <v>1933</v>
      </c>
      <c r="B1466" s="610" t="s">
        <v>108</v>
      </c>
    </row>
    <row r="1467" spans="1:2">
      <c r="A1467" s="610" t="s">
        <v>1934</v>
      </c>
      <c r="B1467" s="610" t="s">
        <v>132</v>
      </c>
    </row>
    <row r="1468" spans="1:2">
      <c r="A1468" s="610" t="s">
        <v>1935</v>
      </c>
      <c r="B1468" s="610" t="s">
        <v>526</v>
      </c>
    </row>
    <row r="1469" spans="1:2">
      <c r="A1469" s="610" t="s">
        <v>134</v>
      </c>
      <c r="B1469" s="610" t="s">
        <v>132</v>
      </c>
    </row>
    <row r="1470" spans="1:2">
      <c r="A1470" s="610" t="s">
        <v>1936</v>
      </c>
      <c r="B1470" s="610" t="s">
        <v>132</v>
      </c>
    </row>
    <row r="1471" spans="1:2">
      <c r="A1471" s="610" t="s">
        <v>1937</v>
      </c>
      <c r="B1471" s="610" t="s">
        <v>132</v>
      </c>
    </row>
    <row r="1472" spans="1:2">
      <c r="A1472" s="610" t="s">
        <v>1938</v>
      </c>
      <c r="B1472" s="610" t="s">
        <v>108</v>
      </c>
    </row>
    <row r="1473" spans="1:2">
      <c r="A1473" s="610" t="s">
        <v>1939</v>
      </c>
      <c r="B1473" s="610" t="s">
        <v>108</v>
      </c>
    </row>
    <row r="1474" spans="1:2">
      <c r="A1474" s="610" t="s">
        <v>1940</v>
      </c>
      <c r="B1474" s="610" t="s">
        <v>526</v>
      </c>
    </row>
    <row r="1475" spans="1:2">
      <c r="A1475" s="610" t="s">
        <v>1941</v>
      </c>
      <c r="B1475" s="610" t="s">
        <v>132</v>
      </c>
    </row>
    <row r="1476" spans="1:2">
      <c r="A1476" s="610" t="s">
        <v>1942</v>
      </c>
      <c r="B1476" s="610" t="s">
        <v>132</v>
      </c>
    </row>
    <row r="1477" spans="1:2">
      <c r="A1477" s="610" t="s">
        <v>1943</v>
      </c>
      <c r="B1477" s="610" t="s">
        <v>132</v>
      </c>
    </row>
    <row r="1478" spans="1:2">
      <c r="A1478" s="610" t="s">
        <v>1944</v>
      </c>
      <c r="B1478" s="610" t="s">
        <v>526</v>
      </c>
    </row>
    <row r="1479" spans="1:2">
      <c r="A1479" s="610" t="s">
        <v>1945</v>
      </c>
      <c r="B1479" s="610" t="s">
        <v>132</v>
      </c>
    </row>
    <row r="1480" spans="1:2">
      <c r="A1480" s="610" t="s">
        <v>1946</v>
      </c>
      <c r="B1480" s="610" t="s">
        <v>132</v>
      </c>
    </row>
    <row r="1481" spans="1:2">
      <c r="A1481" s="610" t="s">
        <v>1947</v>
      </c>
      <c r="B1481" s="610" t="s">
        <v>132</v>
      </c>
    </row>
    <row r="1482" spans="1:2">
      <c r="A1482" s="610" t="s">
        <v>1948</v>
      </c>
      <c r="B1482" s="610" t="s">
        <v>108</v>
      </c>
    </row>
    <row r="1483" spans="1:2">
      <c r="A1483" s="610" t="s">
        <v>1949</v>
      </c>
      <c r="B1483" s="610" t="s">
        <v>132</v>
      </c>
    </row>
    <row r="1484" spans="1:2">
      <c r="A1484" s="610" t="s">
        <v>1950</v>
      </c>
      <c r="B1484" s="610" t="s">
        <v>604</v>
      </c>
    </row>
    <row r="1485" spans="1:2">
      <c r="A1485" s="610" t="s">
        <v>1951</v>
      </c>
      <c r="B1485" s="610" t="s">
        <v>108</v>
      </c>
    </row>
    <row r="1486" spans="1:2">
      <c r="A1486" s="610" t="s">
        <v>1952</v>
      </c>
      <c r="B1486" s="610" t="s">
        <v>108</v>
      </c>
    </row>
    <row r="1487" spans="1:2">
      <c r="A1487" s="610" t="s">
        <v>1953</v>
      </c>
      <c r="B1487" s="610" t="s">
        <v>132</v>
      </c>
    </row>
    <row r="1488" spans="1:2">
      <c r="A1488" s="610" t="s">
        <v>1954</v>
      </c>
      <c r="B1488" s="610" t="s">
        <v>132</v>
      </c>
    </row>
    <row r="1489" spans="1:2">
      <c r="A1489" s="610" t="s">
        <v>1955</v>
      </c>
      <c r="B1489" s="610" t="s">
        <v>108</v>
      </c>
    </row>
    <row r="1490" spans="1:2">
      <c r="A1490" s="610" t="s">
        <v>1956</v>
      </c>
      <c r="B1490" s="610" t="s">
        <v>108</v>
      </c>
    </row>
    <row r="1491" spans="1:2">
      <c r="A1491" s="610" t="s">
        <v>1957</v>
      </c>
      <c r="B1491" s="610" t="s">
        <v>604</v>
      </c>
    </row>
    <row r="1492" spans="1:2">
      <c r="A1492" s="610" t="s">
        <v>1958</v>
      </c>
      <c r="B1492" s="610" t="s">
        <v>108</v>
      </c>
    </row>
    <row r="1493" spans="1:2">
      <c r="A1493" s="610" t="s">
        <v>1959</v>
      </c>
      <c r="B1493" s="610" t="s">
        <v>132</v>
      </c>
    </row>
    <row r="1494" spans="1:2">
      <c r="A1494" s="610" t="s">
        <v>157</v>
      </c>
      <c r="B1494" s="610" t="s">
        <v>526</v>
      </c>
    </row>
    <row r="1495" spans="1:2">
      <c r="A1495" s="610" t="s">
        <v>1960</v>
      </c>
      <c r="B1495" s="610" t="s">
        <v>604</v>
      </c>
    </row>
    <row r="1496" spans="1:2">
      <c r="A1496" s="610" t="s">
        <v>1961</v>
      </c>
      <c r="B1496" s="610" t="s">
        <v>132</v>
      </c>
    </row>
    <row r="1497" spans="1:2">
      <c r="A1497" s="610" t="s">
        <v>1962</v>
      </c>
      <c r="B1497" s="610" t="s">
        <v>132</v>
      </c>
    </row>
    <row r="1498" spans="1:2">
      <c r="A1498" s="610" t="s">
        <v>1963</v>
      </c>
      <c r="B1498" s="610" t="s">
        <v>132</v>
      </c>
    </row>
    <row r="1499" spans="1:2">
      <c r="A1499" s="610" t="s">
        <v>1964</v>
      </c>
      <c r="B1499" s="610" t="s">
        <v>604</v>
      </c>
    </row>
    <row r="1500" spans="1:2">
      <c r="A1500" s="610" t="s">
        <v>1965</v>
      </c>
      <c r="B1500" s="610" t="s">
        <v>132</v>
      </c>
    </row>
    <row r="1501" spans="1:2">
      <c r="A1501" s="610" t="s">
        <v>1966</v>
      </c>
      <c r="B1501" s="610" t="s">
        <v>132</v>
      </c>
    </row>
    <row r="1502" spans="1:2">
      <c r="A1502" s="610" t="s">
        <v>1967</v>
      </c>
      <c r="B1502" s="610" t="s">
        <v>526</v>
      </c>
    </row>
    <row r="1503" spans="1:2">
      <c r="A1503" s="610" t="s">
        <v>280</v>
      </c>
      <c r="B1503" s="610" t="s">
        <v>526</v>
      </c>
    </row>
    <row r="1504" spans="1:2">
      <c r="A1504" s="610" t="s">
        <v>1968</v>
      </c>
      <c r="B1504" s="610" t="s">
        <v>108</v>
      </c>
    </row>
    <row r="1505" spans="1:2">
      <c r="A1505" s="610" t="s">
        <v>1969</v>
      </c>
      <c r="B1505" s="610" t="s">
        <v>132</v>
      </c>
    </row>
    <row r="1506" spans="1:2">
      <c r="A1506" s="610" t="s">
        <v>1970</v>
      </c>
      <c r="B1506" s="610" t="s">
        <v>132</v>
      </c>
    </row>
    <row r="1507" spans="1:2">
      <c r="A1507" s="610" t="s">
        <v>1971</v>
      </c>
      <c r="B1507" s="610" t="s">
        <v>526</v>
      </c>
    </row>
    <row r="1508" spans="1:2">
      <c r="A1508" s="610" t="s">
        <v>1972</v>
      </c>
      <c r="B1508" s="610" t="s">
        <v>413</v>
      </c>
    </row>
    <row r="1509" spans="1:2">
      <c r="A1509" s="610" t="s">
        <v>1973</v>
      </c>
      <c r="B1509" s="610" t="s">
        <v>108</v>
      </c>
    </row>
    <row r="1510" spans="1:2">
      <c r="A1510" s="610" t="s">
        <v>1974</v>
      </c>
      <c r="B1510" s="610" t="s">
        <v>108</v>
      </c>
    </row>
    <row r="1511" spans="1:2">
      <c r="A1511" s="610" t="s">
        <v>1975</v>
      </c>
      <c r="B1511" s="610" t="s">
        <v>108</v>
      </c>
    </row>
    <row r="1512" spans="1:2">
      <c r="A1512" s="610" t="s">
        <v>1976</v>
      </c>
      <c r="B1512" s="610" t="s">
        <v>108</v>
      </c>
    </row>
    <row r="1513" spans="1:2">
      <c r="A1513" s="610" t="s">
        <v>1977</v>
      </c>
      <c r="B1513" s="610" t="s">
        <v>604</v>
      </c>
    </row>
    <row r="1514" spans="1:2">
      <c r="A1514" s="610" t="s">
        <v>1978</v>
      </c>
      <c r="B1514" s="610" t="s">
        <v>526</v>
      </c>
    </row>
    <row r="1515" spans="1:2">
      <c r="A1515" s="610" t="s">
        <v>1979</v>
      </c>
      <c r="B1515" s="610" t="s">
        <v>526</v>
      </c>
    </row>
    <row r="1516" spans="1:2">
      <c r="A1516" s="610" t="s">
        <v>1980</v>
      </c>
      <c r="B1516" s="610" t="s">
        <v>108</v>
      </c>
    </row>
    <row r="1517" spans="1:2">
      <c r="A1517" s="610" t="s">
        <v>1981</v>
      </c>
      <c r="B1517" s="610" t="s">
        <v>108</v>
      </c>
    </row>
    <row r="1518" spans="1:2">
      <c r="A1518" s="610" t="s">
        <v>1982</v>
      </c>
      <c r="B1518" s="610" t="s">
        <v>132</v>
      </c>
    </row>
    <row r="1519" spans="1:2">
      <c r="A1519" s="610" t="s">
        <v>1983</v>
      </c>
      <c r="B1519" s="610" t="s">
        <v>413</v>
      </c>
    </row>
    <row r="1520" spans="1:2">
      <c r="A1520" s="610" t="s">
        <v>1984</v>
      </c>
      <c r="B1520" s="610" t="s">
        <v>108</v>
      </c>
    </row>
    <row r="1521" spans="1:2">
      <c r="A1521" s="610" t="s">
        <v>1985</v>
      </c>
      <c r="B1521" s="610" t="s">
        <v>108</v>
      </c>
    </row>
    <row r="1522" spans="1:2">
      <c r="A1522" s="610" t="s">
        <v>1986</v>
      </c>
      <c r="B1522" s="610" t="s">
        <v>132</v>
      </c>
    </row>
    <row r="1523" spans="1:2">
      <c r="A1523" s="610" t="s">
        <v>1987</v>
      </c>
      <c r="B1523" s="610" t="s">
        <v>108</v>
      </c>
    </row>
    <row r="1524" spans="1:2">
      <c r="A1524" s="610" t="s">
        <v>1988</v>
      </c>
      <c r="B1524" s="610" t="s">
        <v>526</v>
      </c>
    </row>
    <row r="1525" spans="1:2">
      <c r="A1525" s="610" t="s">
        <v>1989</v>
      </c>
      <c r="B1525" s="610" t="s">
        <v>108</v>
      </c>
    </row>
    <row r="1526" spans="1:2">
      <c r="A1526" s="610" t="s">
        <v>1990</v>
      </c>
      <c r="B1526" s="610" t="s">
        <v>604</v>
      </c>
    </row>
    <row r="1527" spans="1:2">
      <c r="A1527" s="610" t="s">
        <v>1991</v>
      </c>
      <c r="B1527" s="610" t="s">
        <v>526</v>
      </c>
    </row>
    <row r="1528" spans="1:2">
      <c r="A1528" s="610" t="s">
        <v>1992</v>
      </c>
      <c r="B1528" s="610" t="s">
        <v>108</v>
      </c>
    </row>
    <row r="1529" spans="1:2">
      <c r="A1529" s="610" t="s">
        <v>232</v>
      </c>
      <c r="B1529" s="610" t="s">
        <v>526</v>
      </c>
    </row>
    <row r="1530" spans="1:2">
      <c r="A1530" s="610" t="s">
        <v>1993</v>
      </c>
      <c r="B1530" s="610" t="s">
        <v>604</v>
      </c>
    </row>
    <row r="1531" spans="1:2">
      <c r="A1531" s="610" t="s">
        <v>1994</v>
      </c>
      <c r="B1531" s="610" t="s">
        <v>132</v>
      </c>
    </row>
    <row r="1532" spans="1:2">
      <c r="A1532" s="610" t="s">
        <v>1995</v>
      </c>
      <c r="B1532" s="610" t="s">
        <v>413</v>
      </c>
    </row>
    <row r="1533" spans="1:2">
      <c r="A1533" s="610" t="s">
        <v>1996</v>
      </c>
      <c r="B1533" s="610" t="s">
        <v>526</v>
      </c>
    </row>
    <row r="1534" spans="1:2">
      <c r="A1534" s="610" t="s">
        <v>397</v>
      </c>
      <c r="B1534" s="610" t="s">
        <v>108</v>
      </c>
    </row>
    <row r="1535" spans="1:2">
      <c r="A1535" s="610" t="s">
        <v>1997</v>
      </c>
      <c r="B1535" s="610" t="s">
        <v>108</v>
      </c>
    </row>
    <row r="1536" spans="1:2">
      <c r="A1536" s="610" t="s">
        <v>1998</v>
      </c>
      <c r="B1536" s="610" t="s">
        <v>132</v>
      </c>
    </row>
    <row r="1537" spans="1:2">
      <c r="A1537" s="610" t="s">
        <v>1999</v>
      </c>
      <c r="B1537" s="610" t="s">
        <v>108</v>
      </c>
    </row>
    <row r="1538" spans="1:2">
      <c r="A1538" s="610" t="s">
        <v>2000</v>
      </c>
      <c r="B1538" s="610" t="s">
        <v>604</v>
      </c>
    </row>
    <row r="1539" spans="1:2">
      <c r="A1539" s="610" t="s">
        <v>464</v>
      </c>
      <c r="B1539" s="610" t="s">
        <v>604</v>
      </c>
    </row>
    <row r="1540" spans="1:2">
      <c r="A1540" s="610" t="s">
        <v>2001</v>
      </c>
      <c r="B1540" s="610" t="s">
        <v>526</v>
      </c>
    </row>
    <row r="1541" spans="1:2">
      <c r="A1541" s="610" t="s">
        <v>2002</v>
      </c>
      <c r="B1541" s="610" t="s">
        <v>108</v>
      </c>
    </row>
    <row r="1542" spans="1:2">
      <c r="A1542" s="610" t="s">
        <v>378</v>
      </c>
      <c r="B1542" s="610" t="s">
        <v>132</v>
      </c>
    </row>
    <row r="1543" spans="1:2">
      <c r="A1543" s="610" t="s">
        <v>209</v>
      </c>
      <c r="B1543" s="610" t="s">
        <v>108</v>
      </c>
    </row>
    <row r="1544" spans="1:2">
      <c r="A1544" s="610" t="s">
        <v>315</v>
      </c>
      <c r="B1544" s="610" t="s">
        <v>108</v>
      </c>
    </row>
    <row r="1545" spans="1:2">
      <c r="A1545" s="610" t="s">
        <v>319</v>
      </c>
      <c r="B1545" s="610" t="s">
        <v>526</v>
      </c>
    </row>
    <row r="1546" spans="1:2">
      <c r="A1546" s="610" t="s">
        <v>2003</v>
      </c>
      <c r="B1546" s="610" t="s">
        <v>132</v>
      </c>
    </row>
    <row r="1547" spans="1:2">
      <c r="A1547" s="610" t="s">
        <v>2004</v>
      </c>
      <c r="B1547" s="610" t="s">
        <v>132</v>
      </c>
    </row>
    <row r="1548" spans="1:2">
      <c r="A1548" s="610" t="s">
        <v>299</v>
      </c>
      <c r="B1548" s="610" t="s">
        <v>526</v>
      </c>
    </row>
    <row r="1549" spans="1:2">
      <c r="A1549" s="610" t="s">
        <v>2005</v>
      </c>
      <c r="B1549" s="610" t="s">
        <v>526</v>
      </c>
    </row>
    <row r="1550" spans="1:2">
      <c r="A1550" s="610" t="s">
        <v>2006</v>
      </c>
      <c r="B1550" s="610" t="s">
        <v>132</v>
      </c>
    </row>
    <row r="1551" spans="1:2">
      <c r="A1551" s="610" t="s">
        <v>2007</v>
      </c>
      <c r="B1551" s="610" t="s">
        <v>108</v>
      </c>
    </row>
    <row r="1552" spans="1:2">
      <c r="A1552" s="610" t="s">
        <v>407</v>
      </c>
      <c r="B1552" s="610" t="s">
        <v>526</v>
      </c>
    </row>
    <row r="1553" spans="1:2">
      <c r="A1553" s="610" t="s">
        <v>2008</v>
      </c>
      <c r="B1553" s="610" t="s">
        <v>132</v>
      </c>
    </row>
    <row r="1554" spans="1:2">
      <c r="A1554" s="610" t="s">
        <v>289</v>
      </c>
      <c r="B1554" s="610" t="s">
        <v>526</v>
      </c>
    </row>
    <row r="1555" spans="1:2">
      <c r="A1555" s="610" t="s">
        <v>2009</v>
      </c>
      <c r="B1555" s="610" t="s">
        <v>132</v>
      </c>
    </row>
    <row r="1556" spans="1:2">
      <c r="A1556" s="610" t="s">
        <v>2010</v>
      </c>
      <c r="B1556" s="610" t="s">
        <v>108</v>
      </c>
    </row>
    <row r="1557" spans="1:2">
      <c r="A1557" s="610" t="s">
        <v>474</v>
      </c>
      <c r="B1557" s="610" t="s">
        <v>132</v>
      </c>
    </row>
    <row r="1558" spans="1:2">
      <c r="A1558" s="610" t="s">
        <v>2011</v>
      </c>
      <c r="B1558" s="610" t="s">
        <v>132</v>
      </c>
    </row>
    <row r="1559" spans="1:2">
      <c r="A1559" s="610" t="s">
        <v>2012</v>
      </c>
      <c r="B1559" s="610" t="s">
        <v>526</v>
      </c>
    </row>
    <row r="1560" spans="1:2">
      <c r="A1560" s="610" t="s">
        <v>2013</v>
      </c>
      <c r="B1560" s="610" t="s">
        <v>132</v>
      </c>
    </row>
    <row r="1561" spans="1:2">
      <c r="A1561" s="610" t="s">
        <v>380</v>
      </c>
      <c r="B1561" s="610" t="s">
        <v>108</v>
      </c>
    </row>
    <row r="1562" spans="1:2">
      <c r="A1562" s="610" t="s">
        <v>2014</v>
      </c>
      <c r="B1562" s="610" t="s">
        <v>132</v>
      </c>
    </row>
    <row r="1563" spans="1:2">
      <c r="A1563" s="610" t="s">
        <v>2015</v>
      </c>
      <c r="B1563" s="610" t="s">
        <v>108</v>
      </c>
    </row>
    <row r="1564" spans="1:2">
      <c r="A1564" s="610" t="s">
        <v>2016</v>
      </c>
      <c r="B1564" s="610" t="s">
        <v>132</v>
      </c>
    </row>
    <row r="1565" spans="1:2">
      <c r="A1565" s="610" t="s">
        <v>2017</v>
      </c>
      <c r="B1565" s="610" t="s">
        <v>132</v>
      </c>
    </row>
    <row r="1566" spans="1:2">
      <c r="A1566" s="610" t="s">
        <v>2018</v>
      </c>
      <c r="B1566" s="610" t="s">
        <v>132</v>
      </c>
    </row>
    <row r="1567" spans="1:2">
      <c r="A1567" s="610" t="s">
        <v>467</v>
      </c>
      <c r="B1567" s="610" t="s">
        <v>132</v>
      </c>
    </row>
    <row r="1568" spans="1:2">
      <c r="A1568" s="610" t="s">
        <v>409</v>
      </c>
      <c r="B1568" s="610" t="s">
        <v>132</v>
      </c>
    </row>
    <row r="1569" spans="1:2">
      <c r="A1569" s="610" t="s">
        <v>405</v>
      </c>
      <c r="B1569" s="610" t="s">
        <v>108</v>
      </c>
    </row>
    <row r="1570" spans="1:2">
      <c r="A1570" s="610" t="s">
        <v>2019</v>
      </c>
      <c r="B1570" s="610" t="s">
        <v>132</v>
      </c>
    </row>
    <row r="1571" spans="1:2">
      <c r="A1571" s="610" t="s">
        <v>2020</v>
      </c>
      <c r="B1571" s="610" t="s">
        <v>526</v>
      </c>
    </row>
    <row r="1572" spans="1:2">
      <c r="A1572" s="610" t="s">
        <v>2021</v>
      </c>
      <c r="B1572" s="610" t="s">
        <v>526</v>
      </c>
    </row>
    <row r="1573" spans="1:2">
      <c r="A1573" s="610" t="s">
        <v>2022</v>
      </c>
      <c r="B1573" s="610" t="s">
        <v>108</v>
      </c>
    </row>
    <row r="1574" spans="1:2">
      <c r="A1574" s="610" t="s">
        <v>2023</v>
      </c>
      <c r="B1574" s="610" t="s">
        <v>108</v>
      </c>
    </row>
    <row r="1575" spans="1:2">
      <c r="A1575" s="610" t="s">
        <v>2024</v>
      </c>
      <c r="B1575" s="610" t="s">
        <v>132</v>
      </c>
    </row>
    <row r="1576" spans="1:2">
      <c r="A1576" s="610" t="s">
        <v>2025</v>
      </c>
      <c r="B1576" s="610" t="s">
        <v>132</v>
      </c>
    </row>
    <row r="1577" spans="1:2">
      <c r="A1577" s="610" t="s">
        <v>373</v>
      </c>
      <c r="B1577" s="610" t="s">
        <v>526</v>
      </c>
    </row>
    <row r="1578" spans="1:2">
      <c r="A1578" s="610" t="s">
        <v>434</v>
      </c>
      <c r="B1578" s="610" t="s">
        <v>132</v>
      </c>
    </row>
    <row r="1579" spans="1:2">
      <c r="A1579" s="610" t="s">
        <v>343</v>
      </c>
      <c r="B1579" s="610" t="s">
        <v>526</v>
      </c>
    </row>
    <row r="1580" spans="1:2">
      <c r="A1580" s="610" t="s">
        <v>2026</v>
      </c>
      <c r="B1580" s="610" t="s">
        <v>132</v>
      </c>
    </row>
    <row r="1581" spans="1:2">
      <c r="A1581" s="610" t="s">
        <v>2027</v>
      </c>
      <c r="B1581" s="610" t="s">
        <v>526</v>
      </c>
    </row>
    <row r="1582" spans="1:2">
      <c r="A1582" s="610" t="s">
        <v>375</v>
      </c>
      <c r="B1582" s="610" t="s">
        <v>132</v>
      </c>
    </row>
    <row r="1583" spans="1:2">
      <c r="A1583" s="610" t="s">
        <v>2028</v>
      </c>
      <c r="B1583" s="610" t="s">
        <v>132</v>
      </c>
    </row>
    <row r="1584" spans="1:2">
      <c r="A1584" s="610" t="s">
        <v>2029</v>
      </c>
      <c r="B1584" s="610" t="s">
        <v>108</v>
      </c>
    </row>
    <row r="1585" spans="1:2">
      <c r="A1585" s="610" t="s">
        <v>2030</v>
      </c>
      <c r="B1585" s="610" t="s">
        <v>132</v>
      </c>
    </row>
    <row r="1586" spans="1:2">
      <c r="A1586" s="610" t="s">
        <v>2031</v>
      </c>
      <c r="B1586" s="610" t="s">
        <v>604</v>
      </c>
    </row>
    <row r="1587" spans="1:2">
      <c r="A1587" s="610" t="s">
        <v>2032</v>
      </c>
      <c r="B1587" s="610" t="s">
        <v>108</v>
      </c>
    </row>
    <row r="1588" spans="1:2">
      <c r="A1588" s="610" t="s">
        <v>2033</v>
      </c>
      <c r="B1588" s="610" t="s">
        <v>132</v>
      </c>
    </row>
    <row r="1589" spans="1:2">
      <c r="A1589" s="610" t="s">
        <v>2034</v>
      </c>
      <c r="B1589" s="610" t="s">
        <v>132</v>
      </c>
    </row>
    <row r="1590" spans="1:2">
      <c r="A1590" s="610" t="s">
        <v>2035</v>
      </c>
      <c r="B1590" s="610" t="s">
        <v>108</v>
      </c>
    </row>
    <row r="1591" spans="1:2">
      <c r="A1591" s="610" t="s">
        <v>2036</v>
      </c>
      <c r="B1591" s="610" t="s">
        <v>526</v>
      </c>
    </row>
    <row r="1592" spans="1:2">
      <c r="A1592" s="610" t="s">
        <v>476</v>
      </c>
      <c r="B1592" s="610" t="s">
        <v>132</v>
      </c>
    </row>
    <row r="1593" spans="1:2">
      <c r="A1593" s="610" t="s">
        <v>427</v>
      </c>
      <c r="B1593" s="610" t="s">
        <v>132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93"/>
  <sheetViews>
    <sheetView workbookViewId="0">
      <selection activeCell="A116" sqref="A116"/>
    </sheetView>
  </sheetViews>
  <sheetFormatPr defaultColWidth="9" defaultRowHeight="13.85" outlineLevelCol="2"/>
  <cols>
    <col min="1" max="1" width="13.4424778761062" customWidth="1"/>
    <col min="2" max="2" width="18.5575221238938" customWidth="1"/>
  </cols>
  <sheetData>
    <row r="1" ht="24" customHeight="1" spans="1:3">
      <c r="A1" s="605" t="s">
        <v>488</v>
      </c>
      <c r="B1" s="606" t="s">
        <v>2037</v>
      </c>
      <c r="C1" s="607" t="s">
        <v>2038</v>
      </c>
    </row>
    <row r="2" spans="1:3">
      <c r="A2" s="608" t="s">
        <v>445</v>
      </c>
      <c r="B2" s="608" t="s">
        <v>2039</v>
      </c>
      <c r="C2" s="608" t="e">
        <v>#N/A</v>
      </c>
    </row>
    <row r="3" spans="1:3">
      <c r="A3" s="608" t="s">
        <v>2040</v>
      </c>
      <c r="B3" s="608" t="s">
        <v>2041</v>
      </c>
      <c r="C3" s="608">
        <v>19.67</v>
      </c>
    </row>
    <row r="4" spans="1:3">
      <c r="A4" s="608" t="s">
        <v>2042</v>
      </c>
      <c r="B4" s="608" t="s">
        <v>2041</v>
      </c>
      <c r="C4" s="608">
        <v>19.67</v>
      </c>
    </row>
    <row r="5" spans="1:3">
      <c r="A5" s="608" t="s">
        <v>2043</v>
      </c>
      <c r="B5" s="608" t="s">
        <v>2044</v>
      </c>
      <c r="C5" s="608">
        <v>8.06</v>
      </c>
    </row>
    <row r="6" spans="1:3">
      <c r="A6" s="608" t="s">
        <v>2045</v>
      </c>
      <c r="B6" s="608" t="s">
        <v>2046</v>
      </c>
      <c r="C6" s="608">
        <v>28.89</v>
      </c>
    </row>
    <row r="7" spans="1:3">
      <c r="A7" s="608" t="s">
        <v>2047</v>
      </c>
      <c r="B7" s="608" t="s">
        <v>2048</v>
      </c>
      <c r="C7" s="608" t="e">
        <v>#N/A</v>
      </c>
    </row>
    <row r="8" spans="1:3">
      <c r="A8" s="608" t="s">
        <v>2049</v>
      </c>
      <c r="B8" s="608" t="s">
        <v>2048</v>
      </c>
      <c r="C8" s="608" t="e">
        <v>#N/A</v>
      </c>
    </row>
    <row r="9" spans="1:3">
      <c r="A9" s="608" t="s">
        <v>2050</v>
      </c>
      <c r="B9" s="608" t="s">
        <v>2048</v>
      </c>
      <c r="C9" s="608" t="e">
        <v>#N/A</v>
      </c>
    </row>
    <row r="10" spans="1:3">
      <c r="A10" s="608" t="s">
        <v>2051</v>
      </c>
      <c r="B10" s="608" t="s">
        <v>2048</v>
      </c>
      <c r="C10" s="608" t="e">
        <v>#N/A</v>
      </c>
    </row>
    <row r="11" spans="1:3">
      <c r="A11" s="608" t="s">
        <v>2052</v>
      </c>
      <c r="B11" s="608" t="s">
        <v>2053</v>
      </c>
      <c r="C11" s="608">
        <v>1.2</v>
      </c>
    </row>
    <row r="12" spans="1:3">
      <c r="A12" s="608" t="s">
        <v>713</v>
      </c>
      <c r="B12" s="608" t="s">
        <v>2054</v>
      </c>
      <c r="C12" s="608">
        <v>21.56</v>
      </c>
    </row>
    <row r="13" spans="1:3">
      <c r="A13" s="608" t="s">
        <v>2055</v>
      </c>
      <c r="B13" s="608" t="s">
        <v>2054</v>
      </c>
      <c r="C13" s="608">
        <v>21.56</v>
      </c>
    </row>
    <row r="14" spans="1:3">
      <c r="A14" s="608" t="s">
        <v>2056</v>
      </c>
      <c r="B14" s="608" t="s">
        <v>2057</v>
      </c>
      <c r="C14" s="608">
        <v>32.15</v>
      </c>
    </row>
    <row r="15" spans="1:3">
      <c r="A15" s="608" t="s">
        <v>2058</v>
      </c>
      <c r="B15" s="608" t="s">
        <v>2057</v>
      </c>
      <c r="C15" s="608">
        <v>32.15</v>
      </c>
    </row>
    <row r="16" spans="1:3">
      <c r="A16" s="608" t="s">
        <v>2059</v>
      </c>
      <c r="B16" s="608" t="s">
        <v>2057</v>
      </c>
      <c r="C16" s="608">
        <v>32.15</v>
      </c>
    </row>
    <row r="17" spans="1:3">
      <c r="A17" s="608" t="s">
        <v>2060</v>
      </c>
      <c r="B17" s="608" t="s">
        <v>2057</v>
      </c>
      <c r="C17" s="608">
        <v>32.15</v>
      </c>
    </row>
    <row r="18" spans="1:3">
      <c r="A18" s="608" t="s">
        <v>2061</v>
      </c>
      <c r="B18" s="608" t="s">
        <v>2057</v>
      </c>
      <c r="C18" s="608">
        <v>32.15</v>
      </c>
    </row>
    <row r="19" spans="1:3">
      <c r="A19" s="608" t="s">
        <v>2062</v>
      </c>
      <c r="B19" s="608" t="s">
        <v>2057</v>
      </c>
      <c r="C19" s="608">
        <v>32.15</v>
      </c>
    </row>
    <row r="20" spans="1:3">
      <c r="A20" s="608" t="s">
        <v>2063</v>
      </c>
      <c r="B20" s="608" t="s">
        <v>2057</v>
      </c>
      <c r="C20" s="608">
        <v>32.15</v>
      </c>
    </row>
    <row r="21" spans="1:3">
      <c r="A21" s="608" t="s">
        <v>2064</v>
      </c>
      <c r="B21" s="608" t="s">
        <v>2057</v>
      </c>
      <c r="C21" s="608">
        <v>32.15</v>
      </c>
    </row>
    <row r="22" spans="1:3">
      <c r="A22" s="608" t="s">
        <v>2065</v>
      </c>
      <c r="B22" s="608" t="s">
        <v>2057</v>
      </c>
      <c r="C22" s="608">
        <v>32.15</v>
      </c>
    </row>
    <row r="23" spans="1:3">
      <c r="A23" s="608" t="s">
        <v>2066</v>
      </c>
      <c r="B23" s="608" t="s">
        <v>2057</v>
      </c>
      <c r="C23" s="608">
        <v>32.15</v>
      </c>
    </row>
    <row r="24" spans="1:3">
      <c r="A24" s="608" t="s">
        <v>2067</v>
      </c>
      <c r="B24" s="608" t="s">
        <v>2057</v>
      </c>
      <c r="C24" s="608">
        <v>32.15</v>
      </c>
    </row>
    <row r="25" spans="1:3">
      <c r="A25" s="608" t="s">
        <v>2068</v>
      </c>
      <c r="B25" s="608" t="s">
        <v>2057</v>
      </c>
      <c r="C25" s="608">
        <v>32.15</v>
      </c>
    </row>
    <row r="26" spans="1:3">
      <c r="A26" s="608" t="s">
        <v>2069</v>
      </c>
      <c r="B26" s="608" t="s">
        <v>2057</v>
      </c>
      <c r="C26" s="608">
        <v>32.15</v>
      </c>
    </row>
    <row r="27" spans="1:3">
      <c r="A27" s="608" t="s">
        <v>2070</v>
      </c>
      <c r="B27" s="608" t="s">
        <v>2057</v>
      </c>
      <c r="C27" s="608">
        <v>32.15</v>
      </c>
    </row>
    <row r="28" spans="1:3">
      <c r="A28" s="608" t="s">
        <v>2071</v>
      </c>
      <c r="B28" s="608" t="s">
        <v>2072</v>
      </c>
      <c r="C28" s="608" t="e">
        <v>#N/A</v>
      </c>
    </row>
    <row r="29" spans="1:3">
      <c r="A29" s="608" t="s">
        <v>2073</v>
      </c>
      <c r="B29" s="608" t="s">
        <v>2074</v>
      </c>
      <c r="C29" s="608">
        <v>12.02</v>
      </c>
    </row>
    <row r="30" spans="1:3">
      <c r="A30" s="608" t="s">
        <v>2075</v>
      </c>
      <c r="B30" s="608" t="s">
        <v>2074</v>
      </c>
      <c r="C30" s="608">
        <v>12.02</v>
      </c>
    </row>
    <row r="31" spans="1:3">
      <c r="A31" s="608" t="s">
        <v>2076</v>
      </c>
      <c r="B31" s="608" t="s">
        <v>2077</v>
      </c>
      <c r="C31" s="608">
        <v>18.5</v>
      </c>
    </row>
    <row r="32" spans="1:3">
      <c r="A32" s="608" t="s">
        <v>2078</v>
      </c>
      <c r="B32" s="608" t="s">
        <v>2077</v>
      </c>
      <c r="C32" s="608">
        <v>18.5</v>
      </c>
    </row>
    <row r="33" spans="1:3">
      <c r="A33" s="608" t="s">
        <v>1851</v>
      </c>
      <c r="B33" s="608" t="s">
        <v>2079</v>
      </c>
      <c r="C33" s="608" t="e">
        <v>#N/A</v>
      </c>
    </row>
    <row r="34" spans="1:3">
      <c r="A34" s="608" t="s">
        <v>649</v>
      </c>
      <c r="B34" s="608" t="s">
        <v>2080</v>
      </c>
      <c r="C34" s="608">
        <v>13.07</v>
      </c>
    </row>
    <row r="35" spans="1:3">
      <c r="A35" s="608" t="s">
        <v>2081</v>
      </c>
      <c r="B35" s="608" t="s">
        <v>2082</v>
      </c>
      <c r="C35" s="608">
        <v>17.91</v>
      </c>
    </row>
    <row r="36" spans="1:3">
      <c r="A36" s="608" t="s">
        <v>2083</v>
      </c>
      <c r="B36" s="608" t="s">
        <v>2082</v>
      </c>
      <c r="C36" s="608">
        <v>17.91</v>
      </c>
    </row>
    <row r="37" spans="1:3">
      <c r="A37" s="608" t="s">
        <v>2084</v>
      </c>
      <c r="B37" s="608" t="s">
        <v>2082</v>
      </c>
      <c r="C37" s="608">
        <v>17.91</v>
      </c>
    </row>
    <row r="38" spans="1:3">
      <c r="A38" s="608" t="s">
        <v>2085</v>
      </c>
      <c r="B38" s="608" t="s">
        <v>2082</v>
      </c>
      <c r="C38" s="608">
        <v>17.91</v>
      </c>
    </row>
    <row r="39" spans="1:3">
      <c r="A39" s="608" t="s">
        <v>2086</v>
      </c>
      <c r="B39" s="608" t="s">
        <v>2087</v>
      </c>
      <c r="C39" s="608">
        <v>5</v>
      </c>
    </row>
    <row r="40" spans="1:3">
      <c r="A40" s="608" t="s">
        <v>2088</v>
      </c>
      <c r="B40" s="608" t="s">
        <v>2087</v>
      </c>
      <c r="C40" s="608">
        <v>5</v>
      </c>
    </row>
    <row r="41" spans="1:3">
      <c r="A41" s="608" t="s">
        <v>2089</v>
      </c>
      <c r="B41" s="608" t="s">
        <v>2090</v>
      </c>
      <c r="C41" s="608">
        <v>18.1</v>
      </c>
    </row>
    <row r="42" spans="1:3">
      <c r="A42" s="608" t="s">
        <v>2091</v>
      </c>
      <c r="B42" s="608" t="s">
        <v>2092</v>
      </c>
      <c r="C42" s="608">
        <v>10.25</v>
      </c>
    </row>
    <row r="43" spans="1:3">
      <c r="A43" s="608" t="s">
        <v>2093</v>
      </c>
      <c r="B43" s="608" t="s">
        <v>2092</v>
      </c>
      <c r="C43" s="608">
        <v>10.25</v>
      </c>
    </row>
    <row r="44" spans="1:3">
      <c r="A44" s="608" t="s">
        <v>2094</v>
      </c>
      <c r="B44" s="608" t="s">
        <v>2092</v>
      </c>
      <c r="C44" s="608">
        <v>10.25</v>
      </c>
    </row>
    <row r="45" spans="1:3">
      <c r="A45" s="608" t="s">
        <v>2095</v>
      </c>
      <c r="B45" s="608" t="s">
        <v>2096</v>
      </c>
      <c r="C45" s="608">
        <v>22.02</v>
      </c>
    </row>
    <row r="46" spans="1:3">
      <c r="A46" s="608" t="s">
        <v>2097</v>
      </c>
      <c r="B46" s="608" t="s">
        <v>2098</v>
      </c>
      <c r="C46" s="608">
        <v>23.69</v>
      </c>
    </row>
    <row r="47" spans="1:3">
      <c r="A47" s="608" t="s">
        <v>1492</v>
      </c>
      <c r="B47" s="608" t="s">
        <v>2099</v>
      </c>
      <c r="C47" s="608" t="e">
        <v>#N/A</v>
      </c>
    </row>
    <row r="48" spans="1:3">
      <c r="A48" s="608" t="s">
        <v>747</v>
      </c>
      <c r="B48" s="608" t="s">
        <v>2100</v>
      </c>
      <c r="C48" s="608">
        <v>15.37</v>
      </c>
    </row>
    <row r="49" spans="1:3">
      <c r="A49" s="608" t="s">
        <v>2101</v>
      </c>
      <c r="B49" s="608" t="s">
        <v>2100</v>
      </c>
      <c r="C49" s="608">
        <v>15.37</v>
      </c>
    </row>
    <row r="50" spans="1:3">
      <c r="A50" s="608" t="s">
        <v>2102</v>
      </c>
      <c r="B50" s="608" t="s">
        <v>2100</v>
      </c>
      <c r="C50" s="608">
        <v>15.37</v>
      </c>
    </row>
    <row r="51" spans="1:3">
      <c r="A51" s="608" t="s">
        <v>2103</v>
      </c>
      <c r="B51" s="608" t="s">
        <v>2100</v>
      </c>
      <c r="C51" s="608">
        <v>15.37</v>
      </c>
    </row>
    <row r="52" spans="1:3">
      <c r="A52" s="608" t="s">
        <v>478</v>
      </c>
      <c r="B52" s="608" t="s">
        <v>2104</v>
      </c>
      <c r="C52" s="608">
        <v>18.01</v>
      </c>
    </row>
    <row r="53" spans="1:3">
      <c r="A53" s="608" t="s">
        <v>601</v>
      </c>
      <c r="B53" s="608" t="s">
        <v>2104</v>
      </c>
      <c r="C53" s="608">
        <v>18.01</v>
      </c>
    </row>
    <row r="54" spans="1:3">
      <c r="A54" s="608" t="s">
        <v>823</v>
      </c>
      <c r="B54" s="608" t="s">
        <v>2104</v>
      </c>
      <c r="C54" s="608">
        <v>18.01</v>
      </c>
    </row>
    <row r="55" spans="1:3">
      <c r="A55" s="608" t="s">
        <v>822</v>
      </c>
      <c r="B55" s="608" t="s">
        <v>2104</v>
      </c>
      <c r="C55" s="608">
        <v>18.01</v>
      </c>
    </row>
    <row r="56" spans="1:3">
      <c r="A56" s="608" t="s">
        <v>2105</v>
      </c>
      <c r="B56" s="608" t="s">
        <v>2106</v>
      </c>
      <c r="C56" s="608">
        <v>18.08</v>
      </c>
    </row>
    <row r="57" spans="1:3">
      <c r="A57" s="608" t="s">
        <v>695</v>
      </c>
      <c r="B57" s="608" t="s">
        <v>2107</v>
      </c>
      <c r="C57" s="608" t="e">
        <v>#N/A</v>
      </c>
    </row>
    <row r="58" spans="1:3">
      <c r="A58" s="608" t="s">
        <v>389</v>
      </c>
      <c r="B58" s="608" t="s">
        <v>2107</v>
      </c>
      <c r="C58" s="608" t="e">
        <v>#N/A</v>
      </c>
    </row>
    <row r="59" spans="1:3">
      <c r="A59" s="608" t="s">
        <v>2108</v>
      </c>
      <c r="B59" s="608" t="s">
        <v>2109</v>
      </c>
      <c r="C59" s="608" t="e">
        <v>#N/A</v>
      </c>
    </row>
    <row r="60" spans="1:3">
      <c r="A60" s="608" t="s">
        <v>2110</v>
      </c>
      <c r="B60" s="608" t="s">
        <v>2111</v>
      </c>
      <c r="C60" s="608">
        <v>8</v>
      </c>
    </row>
    <row r="61" spans="1:3">
      <c r="A61" s="608" t="s">
        <v>2112</v>
      </c>
      <c r="B61" s="608" t="s">
        <v>2113</v>
      </c>
      <c r="C61" s="608">
        <v>7.4</v>
      </c>
    </row>
    <row r="62" spans="1:3">
      <c r="A62" s="608" t="s">
        <v>559</v>
      </c>
      <c r="B62" s="608" t="s">
        <v>2114</v>
      </c>
      <c r="C62" s="608">
        <v>15</v>
      </c>
    </row>
    <row r="63" spans="1:3">
      <c r="A63" s="608" t="s">
        <v>779</v>
      </c>
      <c r="B63" s="608" t="s">
        <v>2115</v>
      </c>
      <c r="C63" s="608">
        <v>21.56</v>
      </c>
    </row>
    <row r="64" spans="1:3">
      <c r="A64" s="608" t="s">
        <v>1732</v>
      </c>
      <c r="B64" s="608" t="s">
        <v>2115</v>
      </c>
      <c r="C64" s="608">
        <v>21.56</v>
      </c>
    </row>
    <row r="65" spans="1:3">
      <c r="A65" s="608" t="s">
        <v>2116</v>
      </c>
      <c r="B65" s="608" t="s">
        <v>2115</v>
      </c>
      <c r="C65" s="608">
        <v>21.56</v>
      </c>
    </row>
    <row r="66" spans="1:3">
      <c r="A66" s="608" t="s">
        <v>606</v>
      </c>
      <c r="B66" s="608" t="s">
        <v>2117</v>
      </c>
      <c r="C66" s="608">
        <v>26.15</v>
      </c>
    </row>
    <row r="67" spans="1:3">
      <c r="A67" s="608" t="s">
        <v>603</v>
      </c>
      <c r="B67" s="608" t="s">
        <v>2117</v>
      </c>
      <c r="C67" s="608">
        <v>26.15</v>
      </c>
    </row>
    <row r="68" spans="1:3">
      <c r="A68" s="608" t="s">
        <v>2118</v>
      </c>
      <c r="B68" s="608" t="s">
        <v>2117</v>
      </c>
      <c r="C68" s="608">
        <v>26.15</v>
      </c>
    </row>
    <row r="69" spans="1:3">
      <c r="A69" s="608" t="s">
        <v>2119</v>
      </c>
      <c r="B69" s="608" t="s">
        <v>2120</v>
      </c>
      <c r="C69" s="608">
        <v>15.32</v>
      </c>
    </row>
    <row r="70" spans="1:3">
      <c r="A70" s="608" t="s">
        <v>2121</v>
      </c>
      <c r="B70" s="608" t="s">
        <v>2122</v>
      </c>
      <c r="C70" s="608">
        <v>32.47</v>
      </c>
    </row>
    <row r="71" spans="1:3">
      <c r="A71" s="608" t="s">
        <v>2123</v>
      </c>
      <c r="B71" s="608" t="s">
        <v>2122</v>
      </c>
      <c r="C71" s="608">
        <v>32.47</v>
      </c>
    </row>
    <row r="72" spans="1:3">
      <c r="A72" s="608" t="s">
        <v>2124</v>
      </c>
      <c r="B72" s="608" t="s">
        <v>2125</v>
      </c>
      <c r="C72" s="608">
        <v>15.64</v>
      </c>
    </row>
    <row r="73" spans="1:3">
      <c r="A73" s="608" t="s">
        <v>2126</v>
      </c>
      <c r="B73" s="608" t="s">
        <v>2127</v>
      </c>
      <c r="C73" s="608">
        <v>8.01</v>
      </c>
    </row>
    <row r="74" spans="1:3">
      <c r="A74" s="608" t="s">
        <v>2128</v>
      </c>
      <c r="B74" s="608" t="s">
        <v>2127</v>
      </c>
      <c r="C74" s="608">
        <v>8.01</v>
      </c>
    </row>
    <row r="75" spans="1:3">
      <c r="A75" s="608" t="s">
        <v>2129</v>
      </c>
      <c r="B75" s="608" t="s">
        <v>2130</v>
      </c>
      <c r="C75" s="608">
        <v>8</v>
      </c>
    </row>
    <row r="76" spans="1:3">
      <c r="A76" s="608" t="s">
        <v>2131</v>
      </c>
      <c r="B76" s="608" t="s">
        <v>2130</v>
      </c>
      <c r="C76" s="608">
        <v>8</v>
      </c>
    </row>
    <row r="77" spans="1:3">
      <c r="A77" s="608" t="s">
        <v>1643</v>
      </c>
      <c r="B77" s="608" t="s">
        <v>2132</v>
      </c>
      <c r="C77" s="608">
        <v>22.61</v>
      </c>
    </row>
    <row r="78" spans="1:3">
      <c r="A78" s="608" t="s">
        <v>1338</v>
      </c>
      <c r="B78" s="608" t="s">
        <v>2132</v>
      </c>
      <c r="C78" s="608">
        <v>22.61</v>
      </c>
    </row>
    <row r="79" spans="1:3">
      <c r="A79" s="608" t="s">
        <v>780</v>
      </c>
      <c r="B79" s="608" t="s">
        <v>2132</v>
      </c>
      <c r="C79" s="608">
        <v>22.61</v>
      </c>
    </row>
    <row r="80" spans="1:3">
      <c r="A80" s="608" t="s">
        <v>402</v>
      </c>
      <c r="B80" s="608" t="s">
        <v>2132</v>
      </c>
      <c r="C80" s="608">
        <v>22.61</v>
      </c>
    </row>
    <row r="81" spans="1:3">
      <c r="A81" s="608" t="s">
        <v>462</v>
      </c>
      <c r="B81" s="608" t="s">
        <v>2132</v>
      </c>
      <c r="C81" s="608">
        <v>22.61</v>
      </c>
    </row>
    <row r="82" spans="1:3">
      <c r="A82" s="608" t="s">
        <v>460</v>
      </c>
      <c r="B82" s="608" t="s">
        <v>2132</v>
      </c>
      <c r="C82" s="608">
        <v>22.61</v>
      </c>
    </row>
    <row r="83" spans="1:3">
      <c r="A83" s="608" t="s">
        <v>583</v>
      </c>
      <c r="B83" s="608" t="s">
        <v>2132</v>
      </c>
      <c r="C83" s="608">
        <v>22.61</v>
      </c>
    </row>
    <row r="84" spans="1:3">
      <c r="A84" s="608" t="s">
        <v>2133</v>
      </c>
      <c r="B84" s="608" t="s">
        <v>2132</v>
      </c>
      <c r="C84" s="608">
        <v>22.61</v>
      </c>
    </row>
    <row r="85" spans="1:3">
      <c r="A85" s="608" t="s">
        <v>586</v>
      </c>
      <c r="B85" s="608" t="s">
        <v>2134</v>
      </c>
      <c r="C85" s="608">
        <v>18.15</v>
      </c>
    </row>
    <row r="86" spans="1:3">
      <c r="A86" s="608" t="s">
        <v>1704</v>
      </c>
      <c r="B86" s="608" t="s">
        <v>2135</v>
      </c>
      <c r="C86" s="608">
        <v>15.1</v>
      </c>
    </row>
    <row r="87" spans="1:3">
      <c r="A87" s="608" t="s">
        <v>1940</v>
      </c>
      <c r="B87" s="608" t="s">
        <v>2136</v>
      </c>
      <c r="C87" s="608">
        <v>3.03</v>
      </c>
    </row>
    <row r="88" spans="1:3">
      <c r="A88" s="608" t="s">
        <v>2137</v>
      </c>
      <c r="B88" s="608" t="s">
        <v>2138</v>
      </c>
      <c r="C88" s="608">
        <v>15.31</v>
      </c>
    </row>
    <row r="89" spans="1:3">
      <c r="A89" s="608" t="s">
        <v>2139</v>
      </c>
      <c r="B89" s="608" t="s">
        <v>2140</v>
      </c>
      <c r="C89" s="608">
        <v>20.6</v>
      </c>
    </row>
    <row r="90" spans="1:3">
      <c r="A90" s="608" t="s">
        <v>2141</v>
      </c>
      <c r="B90" s="608" t="s">
        <v>2142</v>
      </c>
      <c r="C90" s="608">
        <v>14.46</v>
      </c>
    </row>
    <row r="91" spans="1:3">
      <c r="A91" s="608" t="s">
        <v>1877</v>
      </c>
      <c r="B91" s="608" t="s">
        <v>2143</v>
      </c>
      <c r="C91" s="608" t="e">
        <v>#N/A</v>
      </c>
    </row>
    <row r="92" spans="1:3">
      <c r="A92" s="608" t="s">
        <v>977</v>
      </c>
      <c r="B92" s="608" t="s">
        <v>2143</v>
      </c>
      <c r="C92" s="608" t="e">
        <v>#N/A</v>
      </c>
    </row>
    <row r="93" spans="1:3">
      <c r="A93" s="608" t="s">
        <v>598</v>
      </c>
      <c r="B93" s="608" t="s">
        <v>2143</v>
      </c>
      <c r="C93" s="608" t="e">
        <v>#N/A</v>
      </c>
    </row>
    <row r="94" spans="1:3">
      <c r="A94" s="608" t="s">
        <v>2144</v>
      </c>
      <c r="B94" s="608" t="s">
        <v>2143</v>
      </c>
      <c r="C94" s="608" t="e">
        <v>#N/A</v>
      </c>
    </row>
    <row r="95" spans="1:3">
      <c r="A95" s="608" t="s">
        <v>2145</v>
      </c>
      <c r="B95" s="608" t="s">
        <v>2143</v>
      </c>
      <c r="C95" s="608" t="e">
        <v>#N/A</v>
      </c>
    </row>
    <row r="96" spans="1:3">
      <c r="A96" s="608" t="s">
        <v>2146</v>
      </c>
      <c r="B96" s="608" t="s">
        <v>2147</v>
      </c>
      <c r="C96" s="608">
        <v>18.16</v>
      </c>
    </row>
    <row r="97" spans="1:3">
      <c r="A97" s="608" t="s">
        <v>2148</v>
      </c>
      <c r="B97" s="608" t="s">
        <v>2149</v>
      </c>
      <c r="C97" s="608">
        <v>18.08</v>
      </c>
    </row>
    <row r="98" spans="1:3">
      <c r="A98" s="608" t="s">
        <v>2150</v>
      </c>
      <c r="B98" s="608" t="s">
        <v>2151</v>
      </c>
      <c r="C98" s="608">
        <v>13</v>
      </c>
    </row>
    <row r="99" spans="1:3">
      <c r="A99" s="608" t="s">
        <v>1999</v>
      </c>
      <c r="B99" s="608" t="s">
        <v>2152</v>
      </c>
      <c r="C99" s="608">
        <v>21.48</v>
      </c>
    </row>
    <row r="100" spans="1:3">
      <c r="A100" s="608" t="s">
        <v>777</v>
      </c>
      <c r="B100" s="608" t="s">
        <v>2153</v>
      </c>
      <c r="C100" s="608">
        <v>20.95</v>
      </c>
    </row>
    <row r="101" spans="1:3">
      <c r="A101" s="608" t="s">
        <v>1991</v>
      </c>
      <c r="B101" s="608" t="s">
        <v>2154</v>
      </c>
      <c r="C101" s="608">
        <v>16.24</v>
      </c>
    </row>
    <row r="102" spans="1:3">
      <c r="A102" s="608" t="s">
        <v>664</v>
      </c>
      <c r="B102" s="608" t="s">
        <v>2154</v>
      </c>
      <c r="C102" s="608">
        <v>16.24</v>
      </c>
    </row>
    <row r="103" spans="1:3">
      <c r="A103" s="608" t="s">
        <v>1944</v>
      </c>
      <c r="B103" s="608" t="s">
        <v>2154</v>
      </c>
      <c r="C103" s="608">
        <v>16.24</v>
      </c>
    </row>
    <row r="104" spans="1:3">
      <c r="A104" s="608" t="s">
        <v>702</v>
      </c>
      <c r="B104" s="608" t="s">
        <v>2154</v>
      </c>
      <c r="C104" s="608">
        <v>16.24</v>
      </c>
    </row>
    <row r="105" spans="1:3">
      <c r="A105" s="608" t="s">
        <v>863</v>
      </c>
      <c r="B105" s="608" t="s">
        <v>2154</v>
      </c>
      <c r="C105" s="608">
        <v>16.24</v>
      </c>
    </row>
    <row r="106" spans="1:3">
      <c r="A106" s="608" t="s">
        <v>656</v>
      </c>
      <c r="B106" s="608" t="s">
        <v>2154</v>
      </c>
      <c r="C106" s="608">
        <v>16.24</v>
      </c>
    </row>
    <row r="107" spans="1:3">
      <c r="A107" s="608" t="s">
        <v>2155</v>
      </c>
      <c r="B107" s="608" t="s">
        <v>2154</v>
      </c>
      <c r="C107" s="608">
        <v>16.24</v>
      </c>
    </row>
    <row r="108" spans="1:3">
      <c r="A108" s="608" t="s">
        <v>2156</v>
      </c>
      <c r="B108" s="608" t="s">
        <v>2154</v>
      </c>
      <c r="C108" s="608">
        <v>16.24</v>
      </c>
    </row>
    <row r="109" spans="1:3">
      <c r="A109" s="608" t="s">
        <v>2157</v>
      </c>
      <c r="B109" s="608" t="s">
        <v>2154</v>
      </c>
      <c r="C109" s="608">
        <v>16.24</v>
      </c>
    </row>
    <row r="110" spans="1:3">
      <c r="A110" s="608" t="s">
        <v>2158</v>
      </c>
      <c r="B110" s="608" t="s">
        <v>2154</v>
      </c>
      <c r="C110" s="608">
        <v>16.24</v>
      </c>
    </row>
    <row r="111" spans="1:3">
      <c r="A111" s="608" t="s">
        <v>2159</v>
      </c>
      <c r="B111" s="608" t="s">
        <v>2154</v>
      </c>
      <c r="C111" s="608">
        <v>16.24</v>
      </c>
    </row>
    <row r="112" spans="1:3">
      <c r="A112" s="608" t="s">
        <v>2160</v>
      </c>
      <c r="B112" s="608" t="s">
        <v>2154</v>
      </c>
      <c r="C112" s="608">
        <v>16.24</v>
      </c>
    </row>
    <row r="113" spans="1:3">
      <c r="A113" s="608" t="s">
        <v>2161</v>
      </c>
      <c r="B113" s="608" t="s">
        <v>2162</v>
      </c>
      <c r="C113" s="608">
        <v>8.37</v>
      </c>
    </row>
    <row r="114" spans="1:3">
      <c r="A114" s="608" t="s">
        <v>2163</v>
      </c>
      <c r="B114" s="608" t="s">
        <v>2164</v>
      </c>
      <c r="C114" s="608">
        <v>15.01</v>
      </c>
    </row>
    <row r="115" spans="1:3">
      <c r="A115" s="608" t="s">
        <v>2165</v>
      </c>
      <c r="B115" s="608" t="s">
        <v>2166</v>
      </c>
      <c r="C115" s="608">
        <v>22.28</v>
      </c>
    </row>
    <row r="116" spans="1:3">
      <c r="A116" s="608" t="s">
        <v>846</v>
      </c>
      <c r="B116" s="608" t="s">
        <v>2167</v>
      </c>
      <c r="C116" s="608" t="e">
        <v>#N/A</v>
      </c>
    </row>
    <row r="117" spans="1:3">
      <c r="A117" s="608" t="s">
        <v>754</v>
      </c>
      <c r="B117" s="608" t="s">
        <v>2168</v>
      </c>
      <c r="C117" s="608">
        <v>13.68</v>
      </c>
    </row>
    <row r="118" spans="1:3">
      <c r="A118" s="608" t="s">
        <v>841</v>
      </c>
      <c r="B118" s="608" t="s">
        <v>2168</v>
      </c>
      <c r="C118" s="608">
        <v>13.68</v>
      </c>
    </row>
    <row r="119" spans="1:3">
      <c r="A119" s="608" t="s">
        <v>753</v>
      </c>
      <c r="B119" s="608" t="s">
        <v>2168</v>
      </c>
      <c r="C119" s="608">
        <v>13.68</v>
      </c>
    </row>
    <row r="120" spans="1:3">
      <c r="A120" s="608" t="s">
        <v>827</v>
      </c>
      <c r="B120" s="608" t="s">
        <v>2168</v>
      </c>
      <c r="C120" s="608">
        <v>13.68</v>
      </c>
    </row>
    <row r="121" spans="1:3">
      <c r="A121" s="608" t="s">
        <v>828</v>
      </c>
      <c r="B121" s="608" t="s">
        <v>2168</v>
      </c>
      <c r="C121" s="608">
        <v>13.68</v>
      </c>
    </row>
    <row r="122" spans="1:3">
      <c r="A122" s="608" t="s">
        <v>829</v>
      </c>
      <c r="B122" s="608" t="s">
        <v>2168</v>
      </c>
      <c r="C122" s="608">
        <v>13.68</v>
      </c>
    </row>
    <row r="123" spans="1:3">
      <c r="A123" s="608" t="s">
        <v>830</v>
      </c>
      <c r="B123" s="608" t="s">
        <v>2168</v>
      </c>
      <c r="C123" s="608">
        <v>13.68</v>
      </c>
    </row>
    <row r="124" spans="1:3">
      <c r="A124" s="608" t="s">
        <v>831</v>
      </c>
      <c r="B124" s="608" t="s">
        <v>2168</v>
      </c>
      <c r="C124" s="608">
        <v>13.68</v>
      </c>
    </row>
    <row r="125" spans="1:3">
      <c r="A125" s="608" t="s">
        <v>832</v>
      </c>
      <c r="B125" s="608" t="s">
        <v>2168</v>
      </c>
      <c r="C125" s="608">
        <v>13.68</v>
      </c>
    </row>
    <row r="126" spans="1:3">
      <c r="A126" s="608" t="s">
        <v>834</v>
      </c>
      <c r="B126" s="608" t="s">
        <v>2168</v>
      </c>
      <c r="C126" s="608">
        <v>13.68</v>
      </c>
    </row>
    <row r="127" spans="1:3">
      <c r="A127" s="608" t="s">
        <v>836</v>
      </c>
      <c r="B127" s="608" t="s">
        <v>2168</v>
      </c>
      <c r="C127" s="608">
        <v>13.68</v>
      </c>
    </row>
    <row r="128" spans="1:3">
      <c r="A128" s="608" t="s">
        <v>837</v>
      </c>
      <c r="B128" s="608" t="s">
        <v>2168</v>
      </c>
      <c r="C128" s="608">
        <v>13.68</v>
      </c>
    </row>
    <row r="129" spans="1:3">
      <c r="A129" s="608" t="s">
        <v>838</v>
      </c>
      <c r="B129" s="608" t="s">
        <v>2168</v>
      </c>
      <c r="C129" s="608">
        <v>13.68</v>
      </c>
    </row>
    <row r="130" spans="1:3">
      <c r="A130" s="608" t="s">
        <v>839</v>
      </c>
      <c r="B130" s="608" t="s">
        <v>2168</v>
      </c>
      <c r="C130" s="608">
        <v>13.68</v>
      </c>
    </row>
    <row r="131" spans="1:3">
      <c r="A131" s="608" t="s">
        <v>840</v>
      </c>
      <c r="B131" s="608" t="s">
        <v>2168</v>
      </c>
      <c r="C131" s="608">
        <v>13.68</v>
      </c>
    </row>
    <row r="132" spans="1:3">
      <c r="A132" s="608" t="s">
        <v>782</v>
      </c>
      <c r="B132" s="608" t="s">
        <v>2168</v>
      </c>
      <c r="C132" s="608">
        <v>13.68</v>
      </c>
    </row>
    <row r="133" spans="1:3">
      <c r="A133" s="608" t="s">
        <v>2169</v>
      </c>
      <c r="B133" s="608" t="s">
        <v>2168</v>
      </c>
      <c r="C133" s="608">
        <v>13.68</v>
      </c>
    </row>
    <row r="134" spans="1:3">
      <c r="A134" s="608" t="s">
        <v>2170</v>
      </c>
      <c r="B134" s="608" t="s">
        <v>2171</v>
      </c>
      <c r="C134" s="608">
        <v>20.17</v>
      </c>
    </row>
    <row r="135" spans="1:3">
      <c r="A135" s="608" t="s">
        <v>2172</v>
      </c>
      <c r="B135" s="608" t="s">
        <v>2173</v>
      </c>
      <c r="C135" s="608">
        <v>20.3</v>
      </c>
    </row>
    <row r="136" spans="1:3">
      <c r="A136" s="608" t="s">
        <v>2174</v>
      </c>
      <c r="B136" s="608" t="s">
        <v>2175</v>
      </c>
      <c r="C136" s="608">
        <v>20.49</v>
      </c>
    </row>
    <row r="137" spans="1:3">
      <c r="A137" s="608" t="s">
        <v>2176</v>
      </c>
      <c r="B137" s="608" t="s">
        <v>2177</v>
      </c>
      <c r="C137" s="608">
        <v>20.5</v>
      </c>
    </row>
    <row r="138" spans="1:3">
      <c r="A138" s="608" t="s">
        <v>2178</v>
      </c>
      <c r="B138" s="608" t="s">
        <v>2179</v>
      </c>
      <c r="C138" s="608">
        <v>20.49</v>
      </c>
    </row>
    <row r="139" spans="1:3">
      <c r="A139" s="608" t="s">
        <v>2180</v>
      </c>
      <c r="B139" s="608" t="s">
        <v>2181</v>
      </c>
      <c r="C139" s="608">
        <v>20.71</v>
      </c>
    </row>
    <row r="140" spans="1:3">
      <c r="A140" s="608" t="s">
        <v>2182</v>
      </c>
      <c r="B140" s="608" t="s">
        <v>2183</v>
      </c>
      <c r="C140" s="608">
        <v>20.69</v>
      </c>
    </row>
    <row r="141" spans="1:3">
      <c r="A141" s="608" t="s">
        <v>2184</v>
      </c>
      <c r="B141" s="608" t="s">
        <v>2185</v>
      </c>
      <c r="C141" s="608">
        <v>20.5</v>
      </c>
    </row>
    <row r="142" spans="1:3">
      <c r="A142" s="608" t="s">
        <v>2186</v>
      </c>
      <c r="B142" s="608" t="s">
        <v>2187</v>
      </c>
      <c r="C142" s="608">
        <v>20.49</v>
      </c>
    </row>
    <row r="143" spans="1:3">
      <c r="A143" s="608" t="s">
        <v>2188</v>
      </c>
      <c r="B143" s="608" t="s">
        <v>2189</v>
      </c>
      <c r="C143" s="608">
        <v>20.49</v>
      </c>
    </row>
    <row r="144" spans="1:3">
      <c r="A144" s="608" t="s">
        <v>2190</v>
      </c>
      <c r="B144" s="608" t="s">
        <v>2191</v>
      </c>
      <c r="C144" s="608">
        <v>20.5</v>
      </c>
    </row>
    <row r="145" spans="1:3">
      <c r="A145" s="608" t="s">
        <v>819</v>
      </c>
      <c r="B145" s="608" t="s">
        <v>2192</v>
      </c>
      <c r="C145" s="608">
        <v>7.87</v>
      </c>
    </row>
    <row r="146" spans="1:3">
      <c r="A146" s="608" t="s">
        <v>2193</v>
      </c>
      <c r="B146" s="608" t="s">
        <v>2194</v>
      </c>
      <c r="C146" s="608" t="e">
        <v>#N/A</v>
      </c>
    </row>
    <row r="147" spans="1:3">
      <c r="A147" s="608" t="s">
        <v>2195</v>
      </c>
      <c r="B147" s="608" t="s">
        <v>2194</v>
      </c>
      <c r="C147" s="608" t="e">
        <v>#N/A</v>
      </c>
    </row>
    <row r="148" spans="1:3">
      <c r="A148" s="608" t="s">
        <v>714</v>
      </c>
      <c r="B148" s="608" t="s">
        <v>2196</v>
      </c>
      <c r="C148" s="608">
        <v>8.37</v>
      </c>
    </row>
    <row r="149" spans="1:3">
      <c r="A149" s="608" t="s">
        <v>1998</v>
      </c>
      <c r="B149" s="608" t="s">
        <v>2196</v>
      </c>
      <c r="C149" s="608">
        <v>8.37</v>
      </c>
    </row>
    <row r="150" spans="1:3">
      <c r="A150" s="608" t="s">
        <v>804</v>
      </c>
      <c r="B150" s="608" t="s">
        <v>2197</v>
      </c>
      <c r="C150" s="608">
        <v>21.67</v>
      </c>
    </row>
    <row r="151" spans="1:3">
      <c r="A151" s="608" t="s">
        <v>2198</v>
      </c>
      <c r="B151" s="608" t="s">
        <v>2199</v>
      </c>
      <c r="C151" s="608">
        <v>16.61</v>
      </c>
    </row>
    <row r="152" spans="1:3">
      <c r="A152" s="608" t="s">
        <v>2200</v>
      </c>
      <c r="B152" s="608" t="s">
        <v>2201</v>
      </c>
      <c r="C152" s="608">
        <v>15.48</v>
      </c>
    </row>
    <row r="153" spans="1:3">
      <c r="A153" s="608" t="s">
        <v>2202</v>
      </c>
      <c r="B153" s="608" t="s">
        <v>2201</v>
      </c>
      <c r="C153" s="608">
        <v>15.48</v>
      </c>
    </row>
    <row r="154" spans="1:3">
      <c r="A154" s="608" t="s">
        <v>2203</v>
      </c>
      <c r="B154" s="608" t="s">
        <v>2201</v>
      </c>
      <c r="C154" s="608">
        <v>15.48</v>
      </c>
    </row>
    <row r="155" spans="1:3">
      <c r="A155" s="608" t="s">
        <v>2204</v>
      </c>
      <c r="B155" s="608" t="s">
        <v>2201</v>
      </c>
      <c r="C155" s="608">
        <v>15.48</v>
      </c>
    </row>
    <row r="156" spans="1:3">
      <c r="A156" s="608" t="s">
        <v>2205</v>
      </c>
      <c r="B156" s="608" t="s">
        <v>2201</v>
      </c>
      <c r="C156" s="608">
        <v>15.48</v>
      </c>
    </row>
    <row r="157" spans="1:3">
      <c r="A157" s="608" t="s">
        <v>2206</v>
      </c>
      <c r="B157" s="608" t="s">
        <v>2201</v>
      </c>
      <c r="C157" s="608">
        <v>15.48</v>
      </c>
    </row>
    <row r="158" spans="1:3">
      <c r="A158" s="608" t="s">
        <v>2207</v>
      </c>
      <c r="B158" s="608" t="s">
        <v>2201</v>
      </c>
      <c r="C158" s="608">
        <v>15.48</v>
      </c>
    </row>
    <row r="159" spans="1:3">
      <c r="A159" s="608" t="s">
        <v>2208</v>
      </c>
      <c r="B159" s="608" t="s">
        <v>2209</v>
      </c>
      <c r="C159" s="608">
        <v>16.79</v>
      </c>
    </row>
    <row r="160" spans="1:3">
      <c r="A160" s="608" t="s">
        <v>624</v>
      </c>
      <c r="B160" s="608" t="s">
        <v>2210</v>
      </c>
      <c r="C160" s="608">
        <v>22.8</v>
      </c>
    </row>
    <row r="161" spans="1:3">
      <c r="A161" s="608" t="s">
        <v>2211</v>
      </c>
      <c r="B161" s="608" t="s">
        <v>2212</v>
      </c>
      <c r="C161" s="608">
        <v>10.44</v>
      </c>
    </row>
    <row r="162" spans="1:3">
      <c r="A162" s="608" t="s">
        <v>2213</v>
      </c>
      <c r="B162" s="608" t="s">
        <v>2214</v>
      </c>
      <c r="C162" s="608">
        <v>18.37</v>
      </c>
    </row>
    <row r="163" spans="1:3">
      <c r="A163" s="608" t="s">
        <v>607</v>
      </c>
      <c r="B163" s="608" t="s">
        <v>2215</v>
      </c>
      <c r="C163" s="608">
        <v>18.88</v>
      </c>
    </row>
    <row r="164" spans="1:3">
      <c r="A164" s="608" t="s">
        <v>2216</v>
      </c>
      <c r="B164" s="608" t="s">
        <v>2217</v>
      </c>
      <c r="C164" s="608">
        <v>14</v>
      </c>
    </row>
    <row r="165" spans="1:3">
      <c r="A165" s="608" t="s">
        <v>2218</v>
      </c>
      <c r="B165" s="608" t="s">
        <v>2217</v>
      </c>
      <c r="C165" s="608">
        <v>14</v>
      </c>
    </row>
    <row r="166" spans="1:3">
      <c r="A166" s="608" t="s">
        <v>2219</v>
      </c>
      <c r="B166" s="608" t="s">
        <v>2220</v>
      </c>
      <c r="C166" s="608">
        <v>13.84</v>
      </c>
    </row>
    <row r="167" spans="1:3">
      <c r="A167" s="608" t="s">
        <v>625</v>
      </c>
      <c r="B167" s="608" t="s">
        <v>2221</v>
      </c>
      <c r="C167" s="608">
        <v>20</v>
      </c>
    </row>
    <row r="168" spans="1:3">
      <c r="A168" s="608" t="s">
        <v>2222</v>
      </c>
      <c r="B168" s="608" t="s">
        <v>2221</v>
      </c>
      <c r="C168" s="608">
        <v>20</v>
      </c>
    </row>
    <row r="169" spans="1:3">
      <c r="A169" s="608" t="s">
        <v>2223</v>
      </c>
      <c r="B169" s="608" t="s">
        <v>2221</v>
      </c>
      <c r="C169" s="608">
        <v>20</v>
      </c>
    </row>
    <row r="170" spans="1:3">
      <c r="A170" s="608" t="s">
        <v>620</v>
      </c>
      <c r="B170" s="608" t="s">
        <v>2224</v>
      </c>
      <c r="C170" s="608">
        <v>12</v>
      </c>
    </row>
    <row r="171" spans="1:3">
      <c r="A171" s="608" t="s">
        <v>553</v>
      </c>
      <c r="B171" s="608" t="s">
        <v>2225</v>
      </c>
      <c r="C171" s="608" t="e">
        <v>#N/A</v>
      </c>
    </row>
    <row r="172" spans="1:3">
      <c r="A172" s="608" t="s">
        <v>2226</v>
      </c>
      <c r="B172" s="608" t="s">
        <v>2227</v>
      </c>
      <c r="C172" s="608">
        <v>29.5</v>
      </c>
    </row>
    <row r="173" spans="1:3">
      <c r="A173" s="608" t="s">
        <v>2228</v>
      </c>
      <c r="B173" s="608" t="s">
        <v>2227</v>
      </c>
      <c r="C173" s="608">
        <v>29.5</v>
      </c>
    </row>
    <row r="174" spans="1:3">
      <c r="A174" s="608" t="s">
        <v>2229</v>
      </c>
      <c r="B174" s="608" t="s">
        <v>2227</v>
      </c>
      <c r="C174" s="608">
        <v>29.5</v>
      </c>
    </row>
    <row r="175" spans="1:3">
      <c r="A175" s="608" t="s">
        <v>2230</v>
      </c>
      <c r="B175" s="608" t="s">
        <v>2227</v>
      </c>
      <c r="C175" s="608">
        <v>29.5</v>
      </c>
    </row>
    <row r="176" spans="1:3">
      <c r="A176" s="608" t="s">
        <v>2231</v>
      </c>
      <c r="B176" s="608" t="s">
        <v>2227</v>
      </c>
      <c r="C176" s="608">
        <v>29.5</v>
      </c>
    </row>
    <row r="177" spans="1:3">
      <c r="A177" s="608" t="s">
        <v>2232</v>
      </c>
      <c r="B177" s="608" t="s">
        <v>2227</v>
      </c>
      <c r="C177" s="608">
        <v>29.5</v>
      </c>
    </row>
    <row r="178" spans="1:3">
      <c r="A178" s="608" t="s">
        <v>2233</v>
      </c>
      <c r="B178" s="608" t="s">
        <v>2227</v>
      </c>
      <c r="C178" s="608">
        <v>29.5</v>
      </c>
    </row>
    <row r="179" spans="1:3">
      <c r="A179" s="608" t="s">
        <v>2234</v>
      </c>
      <c r="B179" s="608" t="s">
        <v>2227</v>
      </c>
      <c r="C179" s="608">
        <v>29.5</v>
      </c>
    </row>
    <row r="180" spans="1:3">
      <c r="A180" s="608" t="s">
        <v>2235</v>
      </c>
      <c r="B180" s="608" t="s">
        <v>2227</v>
      </c>
      <c r="C180" s="608">
        <v>29.5</v>
      </c>
    </row>
    <row r="181" spans="1:3">
      <c r="A181" s="608" t="s">
        <v>2236</v>
      </c>
      <c r="B181" s="608" t="s">
        <v>2227</v>
      </c>
      <c r="C181" s="608">
        <v>29.5</v>
      </c>
    </row>
    <row r="182" spans="1:3">
      <c r="A182" s="608" t="s">
        <v>2237</v>
      </c>
      <c r="B182" s="608" t="s">
        <v>2227</v>
      </c>
      <c r="C182" s="608">
        <v>29.5</v>
      </c>
    </row>
    <row r="183" spans="1:3">
      <c r="A183" s="608" t="s">
        <v>2238</v>
      </c>
      <c r="B183" s="608" t="s">
        <v>2227</v>
      </c>
      <c r="C183" s="608">
        <v>29.5</v>
      </c>
    </row>
    <row r="184" spans="1:3">
      <c r="A184" s="608" t="s">
        <v>2239</v>
      </c>
      <c r="B184" s="608" t="s">
        <v>2227</v>
      </c>
      <c r="C184" s="608">
        <v>29.5</v>
      </c>
    </row>
    <row r="185" spans="1:3">
      <c r="A185" s="608" t="s">
        <v>2240</v>
      </c>
      <c r="B185" s="608" t="s">
        <v>2227</v>
      </c>
      <c r="C185" s="608">
        <v>29.5</v>
      </c>
    </row>
    <row r="186" spans="1:3">
      <c r="A186" s="608" t="s">
        <v>579</v>
      </c>
      <c r="B186" s="608" t="s">
        <v>2241</v>
      </c>
      <c r="C186" s="608" t="e">
        <v>#N/A</v>
      </c>
    </row>
    <row r="187" spans="1:3">
      <c r="A187" s="608" t="s">
        <v>2242</v>
      </c>
      <c r="B187" s="608" t="s">
        <v>2243</v>
      </c>
      <c r="C187" s="608">
        <v>15.1</v>
      </c>
    </row>
    <row r="188" spans="1:3">
      <c r="A188" s="608" t="s">
        <v>2244</v>
      </c>
      <c r="B188" s="608" t="s">
        <v>2243</v>
      </c>
      <c r="C188" s="608">
        <v>15.1</v>
      </c>
    </row>
    <row r="189" spans="1:3">
      <c r="A189" s="608" t="s">
        <v>2245</v>
      </c>
      <c r="B189" s="608" t="s">
        <v>2246</v>
      </c>
      <c r="C189" s="608">
        <v>13.63</v>
      </c>
    </row>
    <row r="190" spans="1:3">
      <c r="A190" s="608" t="s">
        <v>2247</v>
      </c>
      <c r="B190" s="608" t="s">
        <v>2248</v>
      </c>
      <c r="C190" s="608">
        <v>12</v>
      </c>
    </row>
    <row r="191" spans="1:3">
      <c r="A191" s="608" t="s">
        <v>549</v>
      </c>
      <c r="B191" s="608" t="s">
        <v>2249</v>
      </c>
      <c r="C191" s="608" t="e">
        <v>#N/A</v>
      </c>
    </row>
    <row r="192" spans="1:3">
      <c r="A192" s="608" t="s">
        <v>849</v>
      </c>
      <c r="B192" s="608" t="s">
        <v>2250</v>
      </c>
      <c r="C192" s="608">
        <v>20.11</v>
      </c>
    </row>
    <row r="193" spans="1:3">
      <c r="A193" s="608" t="s">
        <v>1579</v>
      </c>
      <c r="B193" s="608" t="s">
        <v>2250</v>
      </c>
      <c r="C193" s="608">
        <v>20.11</v>
      </c>
    </row>
    <row r="194" spans="1:3">
      <c r="A194" s="608" t="s">
        <v>967</v>
      </c>
      <c r="B194" s="608" t="s">
        <v>2250</v>
      </c>
      <c r="C194" s="608">
        <v>20.11</v>
      </c>
    </row>
    <row r="195" spans="1:3">
      <c r="A195" s="608" t="s">
        <v>833</v>
      </c>
      <c r="B195" s="608" t="s">
        <v>2250</v>
      </c>
      <c r="C195" s="608">
        <v>20.11</v>
      </c>
    </row>
    <row r="196" spans="1:3">
      <c r="A196" s="608" t="s">
        <v>954</v>
      </c>
      <c r="B196" s="608" t="s">
        <v>2250</v>
      </c>
      <c r="C196" s="608">
        <v>20.11</v>
      </c>
    </row>
    <row r="197" spans="1:3">
      <c r="A197" s="608" t="s">
        <v>2251</v>
      </c>
      <c r="B197" s="608" t="s">
        <v>2250</v>
      </c>
      <c r="C197" s="608">
        <v>20.11</v>
      </c>
    </row>
    <row r="198" spans="1:3">
      <c r="A198" s="608" t="s">
        <v>442</v>
      </c>
      <c r="B198" s="608" t="s">
        <v>2252</v>
      </c>
      <c r="C198" s="608" t="e">
        <v>#N/A</v>
      </c>
    </row>
    <row r="199" spans="1:3">
      <c r="A199" s="608" t="s">
        <v>763</v>
      </c>
      <c r="B199" s="608" t="s">
        <v>2252</v>
      </c>
      <c r="C199" s="608" t="e">
        <v>#N/A</v>
      </c>
    </row>
    <row r="200" spans="1:3">
      <c r="A200" s="608" t="s">
        <v>2253</v>
      </c>
      <c r="B200" s="608" t="s">
        <v>2252</v>
      </c>
      <c r="C200" s="608" t="e">
        <v>#N/A</v>
      </c>
    </row>
    <row r="201" spans="1:3">
      <c r="A201" s="608" t="s">
        <v>2254</v>
      </c>
      <c r="B201" s="608" t="s">
        <v>2252</v>
      </c>
      <c r="C201" s="608" t="e">
        <v>#N/A</v>
      </c>
    </row>
    <row r="202" spans="1:3">
      <c r="A202" s="608" t="s">
        <v>596</v>
      </c>
      <c r="B202" s="608" t="s">
        <v>2255</v>
      </c>
      <c r="C202" s="608">
        <v>8.91</v>
      </c>
    </row>
    <row r="203" spans="1:3">
      <c r="A203" s="608" t="s">
        <v>662</v>
      </c>
      <c r="B203" s="608" t="s">
        <v>2256</v>
      </c>
      <c r="C203" s="608">
        <v>15.2</v>
      </c>
    </row>
    <row r="204" spans="1:3">
      <c r="A204" s="608" t="s">
        <v>2257</v>
      </c>
      <c r="B204" s="608" t="s">
        <v>2256</v>
      </c>
      <c r="C204" s="608">
        <v>15.2</v>
      </c>
    </row>
    <row r="205" spans="1:3">
      <c r="A205" s="608" t="s">
        <v>2258</v>
      </c>
      <c r="B205" s="608" t="s">
        <v>2256</v>
      </c>
      <c r="C205" s="608">
        <v>15.2</v>
      </c>
    </row>
    <row r="206" spans="1:3">
      <c r="A206" s="608" t="s">
        <v>2259</v>
      </c>
      <c r="B206" s="608" t="s">
        <v>2260</v>
      </c>
      <c r="C206" s="608">
        <v>5</v>
      </c>
    </row>
    <row r="207" spans="1:3">
      <c r="A207" s="608" t="s">
        <v>471</v>
      </c>
      <c r="B207" s="608" t="s">
        <v>2261</v>
      </c>
      <c r="C207" s="608">
        <v>16.2</v>
      </c>
    </row>
    <row r="208" spans="1:3">
      <c r="A208" s="608" t="s">
        <v>568</v>
      </c>
      <c r="B208" s="608" t="s">
        <v>2262</v>
      </c>
      <c r="C208" s="608">
        <v>38.55</v>
      </c>
    </row>
    <row r="209" spans="1:3">
      <c r="A209" s="608" t="s">
        <v>2263</v>
      </c>
      <c r="B209" s="608" t="s">
        <v>2264</v>
      </c>
      <c r="C209" s="608">
        <v>32.11</v>
      </c>
    </row>
    <row r="210" spans="1:3">
      <c r="A210" s="608" t="s">
        <v>2265</v>
      </c>
      <c r="B210" s="608" t="s">
        <v>2264</v>
      </c>
      <c r="C210" s="608">
        <v>32.11</v>
      </c>
    </row>
    <row r="211" spans="1:3">
      <c r="A211" s="608" t="s">
        <v>2266</v>
      </c>
      <c r="B211" s="608" t="s">
        <v>2264</v>
      </c>
      <c r="C211" s="608">
        <v>32.11</v>
      </c>
    </row>
    <row r="212" spans="1:3">
      <c r="A212" s="608" t="s">
        <v>2267</v>
      </c>
      <c r="B212" s="608" t="s">
        <v>2264</v>
      </c>
      <c r="C212" s="608">
        <v>32.11</v>
      </c>
    </row>
    <row r="213" spans="1:3">
      <c r="A213" s="608" t="s">
        <v>2268</v>
      </c>
      <c r="B213" s="608" t="s">
        <v>2264</v>
      </c>
      <c r="C213" s="608">
        <v>32.11</v>
      </c>
    </row>
    <row r="214" spans="1:3">
      <c r="A214" s="608" t="s">
        <v>2269</v>
      </c>
      <c r="B214" s="608" t="s">
        <v>2264</v>
      </c>
      <c r="C214" s="608">
        <v>32.11</v>
      </c>
    </row>
    <row r="215" spans="1:3">
      <c r="A215" s="608" t="s">
        <v>2270</v>
      </c>
      <c r="B215" s="608" t="s">
        <v>2264</v>
      </c>
      <c r="C215" s="608">
        <v>32.11</v>
      </c>
    </row>
    <row r="216" spans="1:3">
      <c r="A216" s="608" t="s">
        <v>897</v>
      </c>
      <c r="B216" s="608" t="s">
        <v>2271</v>
      </c>
      <c r="C216" s="608">
        <v>23.15</v>
      </c>
    </row>
    <row r="217" spans="1:3">
      <c r="A217" s="608" t="s">
        <v>632</v>
      </c>
      <c r="B217" s="608" t="s">
        <v>2272</v>
      </c>
      <c r="C217" s="608">
        <v>10.33</v>
      </c>
    </row>
    <row r="218" spans="1:3">
      <c r="A218" s="608" t="s">
        <v>2273</v>
      </c>
      <c r="B218" s="608" t="s">
        <v>2274</v>
      </c>
      <c r="C218" s="608">
        <v>19.59</v>
      </c>
    </row>
    <row r="219" spans="1:3">
      <c r="A219" s="608" t="s">
        <v>297</v>
      </c>
      <c r="B219" s="608" t="s">
        <v>2275</v>
      </c>
      <c r="C219" s="608">
        <v>15.43</v>
      </c>
    </row>
    <row r="220" spans="1:3">
      <c r="A220" s="608" t="s">
        <v>2276</v>
      </c>
      <c r="B220" s="608" t="s">
        <v>2275</v>
      </c>
      <c r="C220" s="608">
        <v>15.43</v>
      </c>
    </row>
    <row r="221" spans="1:3">
      <c r="A221" s="608" t="s">
        <v>795</v>
      </c>
      <c r="B221" s="608" t="s">
        <v>2277</v>
      </c>
      <c r="C221" s="608">
        <v>8.08</v>
      </c>
    </row>
    <row r="222" spans="1:3">
      <c r="A222" s="608" t="s">
        <v>209</v>
      </c>
      <c r="B222" s="608" t="s">
        <v>2278</v>
      </c>
      <c r="C222" s="608">
        <v>22.9</v>
      </c>
    </row>
    <row r="223" spans="1:3">
      <c r="A223" s="608" t="s">
        <v>1912</v>
      </c>
      <c r="B223" s="608" t="s">
        <v>2278</v>
      </c>
      <c r="C223" s="608">
        <v>22.9</v>
      </c>
    </row>
    <row r="224" spans="1:3">
      <c r="A224" s="608" t="s">
        <v>810</v>
      </c>
      <c r="B224" s="608" t="s">
        <v>2278</v>
      </c>
      <c r="C224" s="608">
        <v>22.9</v>
      </c>
    </row>
    <row r="225" spans="1:3">
      <c r="A225" s="608" t="s">
        <v>693</v>
      </c>
      <c r="B225" s="608" t="s">
        <v>2279</v>
      </c>
      <c r="C225" s="608">
        <v>26.01</v>
      </c>
    </row>
    <row r="226" spans="1:3">
      <c r="A226" s="608" t="s">
        <v>764</v>
      </c>
      <c r="B226" s="608" t="s">
        <v>2279</v>
      </c>
      <c r="C226" s="608">
        <v>26.01</v>
      </c>
    </row>
    <row r="227" spans="1:3">
      <c r="A227" s="608" t="s">
        <v>759</v>
      </c>
      <c r="B227" s="608" t="s">
        <v>2279</v>
      </c>
      <c r="C227" s="608">
        <v>26.01</v>
      </c>
    </row>
    <row r="228" spans="1:3">
      <c r="A228" s="608" t="s">
        <v>772</v>
      </c>
      <c r="B228" s="608" t="s">
        <v>2279</v>
      </c>
      <c r="C228" s="608">
        <v>26.01</v>
      </c>
    </row>
    <row r="229" spans="1:3">
      <c r="A229" s="608" t="s">
        <v>425</v>
      </c>
      <c r="B229" s="608" t="s">
        <v>2280</v>
      </c>
      <c r="C229" s="608" t="e">
        <v>#N/A</v>
      </c>
    </row>
    <row r="230" spans="1:3">
      <c r="A230" s="608" t="s">
        <v>2281</v>
      </c>
      <c r="B230" s="608" t="s">
        <v>2282</v>
      </c>
      <c r="C230" s="608">
        <v>8.6</v>
      </c>
    </row>
    <row r="231" spans="1:3">
      <c r="A231" s="608" t="s">
        <v>738</v>
      </c>
      <c r="B231" s="608" t="s">
        <v>2283</v>
      </c>
      <c r="C231" s="608">
        <v>13.5</v>
      </c>
    </row>
    <row r="232" spans="1:3">
      <c r="A232" s="608" t="s">
        <v>663</v>
      </c>
      <c r="B232" s="608" t="s">
        <v>2284</v>
      </c>
      <c r="C232" s="608">
        <v>8</v>
      </c>
    </row>
    <row r="233" spans="1:3">
      <c r="A233" s="608" t="s">
        <v>635</v>
      </c>
      <c r="B233" s="608" t="s">
        <v>2285</v>
      </c>
      <c r="C233" s="608" t="e">
        <v>#N/A</v>
      </c>
    </row>
    <row r="234" spans="1:3">
      <c r="A234" s="608" t="s">
        <v>434</v>
      </c>
      <c r="B234" s="608" t="s">
        <v>2286</v>
      </c>
      <c r="C234" s="608" t="e">
        <v>#N/A</v>
      </c>
    </row>
    <row r="235" spans="1:3">
      <c r="A235" s="608" t="s">
        <v>2287</v>
      </c>
      <c r="B235" s="608" t="s">
        <v>2288</v>
      </c>
      <c r="C235" s="608">
        <v>12.01</v>
      </c>
    </row>
    <row r="236" spans="1:3">
      <c r="A236" s="608" t="s">
        <v>642</v>
      </c>
      <c r="B236" s="608" t="s">
        <v>2289</v>
      </c>
      <c r="C236" s="608">
        <v>8</v>
      </c>
    </row>
    <row r="237" spans="1:3">
      <c r="A237" s="608" t="s">
        <v>1046</v>
      </c>
      <c r="B237" s="608" t="s">
        <v>2289</v>
      </c>
      <c r="C237" s="608">
        <v>8</v>
      </c>
    </row>
    <row r="238" spans="1:3">
      <c r="A238" s="608" t="s">
        <v>2290</v>
      </c>
      <c r="B238" s="608" t="s">
        <v>2291</v>
      </c>
      <c r="C238" s="608">
        <v>18.2</v>
      </c>
    </row>
    <row r="239" spans="1:3">
      <c r="A239" s="608" t="s">
        <v>1063</v>
      </c>
      <c r="B239" s="608" t="s">
        <v>2292</v>
      </c>
      <c r="C239" s="608">
        <v>5.99</v>
      </c>
    </row>
    <row r="240" spans="1:3">
      <c r="A240" s="608" t="s">
        <v>2293</v>
      </c>
      <c r="B240" s="608" t="s">
        <v>2294</v>
      </c>
      <c r="C240" s="608">
        <v>18.04</v>
      </c>
    </row>
    <row r="241" spans="1:3">
      <c r="A241" s="608" t="s">
        <v>2295</v>
      </c>
      <c r="B241" s="608" t="s">
        <v>2296</v>
      </c>
      <c r="C241" s="608">
        <v>18.02</v>
      </c>
    </row>
    <row r="242" spans="1:3">
      <c r="A242" s="608" t="s">
        <v>671</v>
      </c>
      <c r="B242" s="608" t="s">
        <v>2297</v>
      </c>
      <c r="C242" s="608">
        <v>5</v>
      </c>
    </row>
    <row r="243" spans="1:3">
      <c r="A243" s="608" t="s">
        <v>2298</v>
      </c>
      <c r="B243" s="608" t="s">
        <v>2299</v>
      </c>
      <c r="C243" s="608">
        <v>16.71</v>
      </c>
    </row>
    <row r="244" spans="1:3">
      <c r="A244" s="608" t="s">
        <v>994</v>
      </c>
      <c r="B244" s="608" t="s">
        <v>2300</v>
      </c>
      <c r="C244" s="608">
        <v>7.3</v>
      </c>
    </row>
    <row r="245" spans="1:3">
      <c r="A245" s="608" t="s">
        <v>1723</v>
      </c>
      <c r="B245" s="608" t="s">
        <v>2301</v>
      </c>
      <c r="C245" s="608">
        <v>13.26</v>
      </c>
    </row>
    <row r="246" spans="1:3">
      <c r="A246" s="608" t="s">
        <v>2302</v>
      </c>
      <c r="B246" s="608" t="s">
        <v>2303</v>
      </c>
      <c r="C246" s="608">
        <v>15</v>
      </c>
    </row>
    <row r="247" spans="1:3">
      <c r="A247" s="608" t="s">
        <v>2304</v>
      </c>
      <c r="B247" s="608" t="s">
        <v>2305</v>
      </c>
      <c r="C247" s="608">
        <v>15</v>
      </c>
    </row>
    <row r="248" spans="1:3">
      <c r="A248" s="608" t="s">
        <v>2306</v>
      </c>
      <c r="B248" s="608" t="s">
        <v>2307</v>
      </c>
      <c r="C248" s="608">
        <v>25.8</v>
      </c>
    </row>
    <row r="249" spans="1:3">
      <c r="A249" s="608" t="s">
        <v>1746</v>
      </c>
      <c r="B249" s="608" t="s">
        <v>2308</v>
      </c>
      <c r="C249" s="608">
        <v>21.98</v>
      </c>
    </row>
    <row r="250" spans="1:3">
      <c r="A250" s="608" t="s">
        <v>1104</v>
      </c>
      <c r="B250" s="608" t="s">
        <v>2309</v>
      </c>
      <c r="C250" s="608">
        <v>26.9</v>
      </c>
    </row>
    <row r="251" spans="1:3">
      <c r="A251" s="608" t="s">
        <v>202</v>
      </c>
      <c r="B251" s="608" t="s">
        <v>2309</v>
      </c>
      <c r="C251" s="608">
        <v>26.9</v>
      </c>
    </row>
    <row r="252" spans="1:3">
      <c r="A252" s="608" t="s">
        <v>792</v>
      </c>
      <c r="B252" s="608" t="s">
        <v>2310</v>
      </c>
      <c r="C252" s="608" t="e">
        <v>#N/A</v>
      </c>
    </row>
    <row r="253" spans="1:3">
      <c r="A253" s="608" t="s">
        <v>2311</v>
      </c>
      <c r="B253" s="608" t="s">
        <v>2312</v>
      </c>
      <c r="C253" s="608">
        <v>19.99</v>
      </c>
    </row>
    <row r="254" spans="1:3">
      <c r="A254" s="608" t="s">
        <v>2313</v>
      </c>
      <c r="B254" s="608" t="s">
        <v>2314</v>
      </c>
      <c r="C254" s="608">
        <v>15.19</v>
      </c>
    </row>
    <row r="255" spans="1:3">
      <c r="A255" s="608" t="s">
        <v>2315</v>
      </c>
      <c r="B255" s="608" t="s">
        <v>2316</v>
      </c>
      <c r="C255" s="608">
        <v>14</v>
      </c>
    </row>
    <row r="256" spans="1:3">
      <c r="A256" s="608" t="s">
        <v>2317</v>
      </c>
      <c r="B256" s="608" t="s">
        <v>2316</v>
      </c>
      <c r="C256" s="608">
        <v>14</v>
      </c>
    </row>
    <row r="257" spans="1:3">
      <c r="A257" s="608" t="s">
        <v>781</v>
      </c>
      <c r="B257" s="608" t="s">
        <v>2318</v>
      </c>
      <c r="C257" s="608">
        <v>17.32</v>
      </c>
    </row>
    <row r="258" spans="1:3">
      <c r="A258" s="608" t="s">
        <v>1970</v>
      </c>
      <c r="B258" s="608" t="s">
        <v>2319</v>
      </c>
      <c r="C258" s="608">
        <v>22.08</v>
      </c>
    </row>
    <row r="259" spans="1:3">
      <c r="A259" s="608" t="s">
        <v>1640</v>
      </c>
      <c r="B259" s="608" t="s">
        <v>2320</v>
      </c>
      <c r="C259" s="608">
        <v>25.81</v>
      </c>
    </row>
    <row r="260" spans="1:3">
      <c r="A260" s="608" t="s">
        <v>447</v>
      </c>
      <c r="B260" s="608" t="s">
        <v>2321</v>
      </c>
      <c r="C260" s="608">
        <v>12.03</v>
      </c>
    </row>
    <row r="261" spans="1:3">
      <c r="A261" s="608" t="s">
        <v>2322</v>
      </c>
      <c r="B261" s="608" t="s">
        <v>2323</v>
      </c>
      <c r="C261" s="608">
        <v>15.03</v>
      </c>
    </row>
    <row r="262" spans="1:3">
      <c r="A262" s="608" t="s">
        <v>2324</v>
      </c>
      <c r="B262" s="608" t="s">
        <v>2325</v>
      </c>
      <c r="C262" s="608">
        <v>15.01</v>
      </c>
    </row>
    <row r="263" spans="1:3">
      <c r="A263" s="608" t="s">
        <v>2326</v>
      </c>
      <c r="B263" s="608" t="s">
        <v>2327</v>
      </c>
      <c r="C263" s="608">
        <v>15.01</v>
      </c>
    </row>
    <row r="264" spans="1:3">
      <c r="A264" s="608" t="s">
        <v>2328</v>
      </c>
      <c r="B264" s="608" t="s">
        <v>2329</v>
      </c>
      <c r="C264" s="608">
        <v>8</v>
      </c>
    </row>
    <row r="265" spans="1:3">
      <c r="A265" s="608" t="s">
        <v>927</v>
      </c>
      <c r="B265" s="608" t="s">
        <v>2330</v>
      </c>
      <c r="C265" s="608">
        <v>19.01</v>
      </c>
    </row>
    <row r="266" spans="1:3">
      <c r="A266" s="608" t="s">
        <v>955</v>
      </c>
      <c r="B266" s="608" t="s">
        <v>2330</v>
      </c>
      <c r="C266" s="608">
        <v>19.01</v>
      </c>
    </row>
    <row r="267" spans="1:3">
      <c r="A267" s="608" t="s">
        <v>2331</v>
      </c>
      <c r="B267" s="608" t="s">
        <v>2332</v>
      </c>
      <c r="C267" s="608">
        <v>8</v>
      </c>
    </row>
    <row r="268" spans="1:3">
      <c r="A268" s="608" t="s">
        <v>2333</v>
      </c>
      <c r="B268" s="608" t="s">
        <v>2332</v>
      </c>
      <c r="C268" s="608">
        <v>8</v>
      </c>
    </row>
    <row r="269" spans="1:3">
      <c r="A269" s="608" t="s">
        <v>963</v>
      </c>
      <c r="B269" s="608" t="s">
        <v>2334</v>
      </c>
      <c r="C269" s="608">
        <v>18.56</v>
      </c>
    </row>
    <row r="270" spans="1:3">
      <c r="A270" s="608" t="s">
        <v>2335</v>
      </c>
      <c r="B270" s="608" t="s">
        <v>2336</v>
      </c>
      <c r="C270" s="608">
        <v>18.06</v>
      </c>
    </row>
    <row r="271" spans="1:3">
      <c r="A271" s="608" t="s">
        <v>2337</v>
      </c>
      <c r="B271" s="608" t="s">
        <v>2338</v>
      </c>
      <c r="C271" s="608">
        <v>18.06</v>
      </c>
    </row>
    <row r="272" spans="1:3">
      <c r="A272" s="608" t="s">
        <v>718</v>
      </c>
      <c r="B272" s="608" t="s">
        <v>2339</v>
      </c>
      <c r="C272" s="608">
        <v>14.89</v>
      </c>
    </row>
    <row r="273" spans="1:3">
      <c r="A273" s="608" t="s">
        <v>709</v>
      </c>
      <c r="B273" s="608" t="s">
        <v>2339</v>
      </c>
      <c r="C273" s="608">
        <v>14.89</v>
      </c>
    </row>
    <row r="274" spans="1:3">
      <c r="A274" s="608" t="s">
        <v>650</v>
      </c>
      <c r="B274" s="608" t="s">
        <v>2339</v>
      </c>
      <c r="C274" s="608">
        <v>14.89</v>
      </c>
    </row>
    <row r="275" spans="1:3">
      <c r="A275" s="608" t="s">
        <v>705</v>
      </c>
      <c r="B275" s="608" t="s">
        <v>2339</v>
      </c>
      <c r="C275" s="608">
        <v>14.89</v>
      </c>
    </row>
    <row r="276" spans="1:3">
      <c r="A276" s="608" t="s">
        <v>824</v>
      </c>
      <c r="B276" s="608" t="s">
        <v>2339</v>
      </c>
      <c r="C276" s="608">
        <v>14.89</v>
      </c>
    </row>
    <row r="277" spans="1:3">
      <c r="A277" s="608" t="s">
        <v>710</v>
      </c>
      <c r="B277" s="608" t="s">
        <v>2339</v>
      </c>
      <c r="C277" s="608">
        <v>14.89</v>
      </c>
    </row>
    <row r="278" spans="1:3">
      <c r="A278" s="608" t="s">
        <v>1847</v>
      </c>
      <c r="B278" s="608" t="s">
        <v>2339</v>
      </c>
      <c r="C278" s="608">
        <v>14.89</v>
      </c>
    </row>
    <row r="279" spans="1:3">
      <c r="A279" s="608" t="s">
        <v>762</v>
      </c>
      <c r="B279" s="608" t="s">
        <v>2339</v>
      </c>
      <c r="C279" s="608">
        <v>14.89</v>
      </c>
    </row>
    <row r="280" spans="1:3">
      <c r="A280" s="608" t="s">
        <v>1476</v>
      </c>
      <c r="B280" s="608" t="s">
        <v>2339</v>
      </c>
      <c r="C280" s="608">
        <v>14.89</v>
      </c>
    </row>
    <row r="281" spans="1:3">
      <c r="A281" s="608" t="s">
        <v>1010</v>
      </c>
      <c r="B281" s="608" t="s">
        <v>2339</v>
      </c>
      <c r="C281" s="608">
        <v>14.89</v>
      </c>
    </row>
    <row r="282" spans="1:3">
      <c r="A282" s="608" t="s">
        <v>672</v>
      </c>
      <c r="B282" s="608" t="s">
        <v>2339</v>
      </c>
      <c r="C282" s="608">
        <v>14.89</v>
      </c>
    </row>
    <row r="283" spans="1:3">
      <c r="A283" s="608" t="s">
        <v>1936</v>
      </c>
      <c r="B283" s="608" t="s">
        <v>2339</v>
      </c>
      <c r="C283" s="608">
        <v>14.89</v>
      </c>
    </row>
    <row r="284" spans="1:3">
      <c r="A284" s="608" t="s">
        <v>679</v>
      </c>
      <c r="B284" s="608" t="s">
        <v>2339</v>
      </c>
      <c r="C284" s="608">
        <v>14.89</v>
      </c>
    </row>
    <row r="285" spans="1:3">
      <c r="A285" s="608" t="s">
        <v>2340</v>
      </c>
      <c r="B285" s="608" t="s">
        <v>2339</v>
      </c>
      <c r="C285" s="608">
        <v>14.89</v>
      </c>
    </row>
    <row r="286" spans="1:3">
      <c r="A286" s="608" t="s">
        <v>2341</v>
      </c>
      <c r="B286" s="608" t="s">
        <v>2339</v>
      </c>
      <c r="C286" s="608">
        <v>14.89</v>
      </c>
    </row>
    <row r="287" spans="1:3">
      <c r="A287" s="608" t="s">
        <v>2342</v>
      </c>
      <c r="B287" s="608" t="s">
        <v>2339</v>
      </c>
      <c r="C287" s="608">
        <v>14.89</v>
      </c>
    </row>
    <row r="288" spans="1:3">
      <c r="A288" s="608" t="s">
        <v>2343</v>
      </c>
      <c r="B288" s="608" t="s">
        <v>2339</v>
      </c>
      <c r="C288" s="608">
        <v>14.89</v>
      </c>
    </row>
    <row r="289" spans="1:3">
      <c r="A289" s="608" t="s">
        <v>2344</v>
      </c>
      <c r="B289" s="608" t="s">
        <v>2339</v>
      </c>
      <c r="C289" s="608">
        <v>14.89</v>
      </c>
    </row>
    <row r="290" spans="1:3">
      <c r="A290" s="608" t="s">
        <v>2345</v>
      </c>
      <c r="B290" s="608" t="s">
        <v>2339</v>
      </c>
      <c r="C290" s="608">
        <v>14.89</v>
      </c>
    </row>
    <row r="291" spans="1:3">
      <c r="A291" s="608" t="s">
        <v>2346</v>
      </c>
      <c r="B291" s="608" t="s">
        <v>2339</v>
      </c>
      <c r="C291" s="608">
        <v>14.89</v>
      </c>
    </row>
    <row r="292" spans="1:3">
      <c r="A292" s="608" t="s">
        <v>2347</v>
      </c>
      <c r="B292" s="608" t="s">
        <v>2339</v>
      </c>
      <c r="C292" s="608">
        <v>14.89</v>
      </c>
    </row>
    <row r="293" spans="1:3">
      <c r="A293" s="608" t="s">
        <v>861</v>
      </c>
      <c r="B293" s="608" t="s">
        <v>2348</v>
      </c>
      <c r="C293" s="608">
        <v>18.16</v>
      </c>
    </row>
    <row r="294" spans="1:3">
      <c r="A294" s="608" t="s">
        <v>2349</v>
      </c>
      <c r="B294" s="608" t="s">
        <v>2350</v>
      </c>
      <c r="C294" s="608">
        <v>15.22</v>
      </c>
    </row>
    <row r="295" spans="1:3">
      <c r="A295" s="608" t="s">
        <v>2351</v>
      </c>
      <c r="B295" s="608" t="s">
        <v>2352</v>
      </c>
      <c r="C295" s="608">
        <v>16.47</v>
      </c>
    </row>
    <row r="296" spans="1:3">
      <c r="A296" s="608" t="s">
        <v>2353</v>
      </c>
      <c r="B296" s="608" t="s">
        <v>2354</v>
      </c>
      <c r="C296" s="608">
        <v>10</v>
      </c>
    </row>
    <row r="297" spans="1:3">
      <c r="A297" s="608" t="s">
        <v>2355</v>
      </c>
      <c r="B297" s="608" t="s">
        <v>2356</v>
      </c>
      <c r="C297" s="608">
        <v>30.3</v>
      </c>
    </row>
    <row r="298" spans="1:3">
      <c r="A298" s="608" t="s">
        <v>2357</v>
      </c>
      <c r="B298" s="608" t="s">
        <v>2356</v>
      </c>
      <c r="C298" s="608">
        <v>30.3</v>
      </c>
    </row>
    <row r="299" spans="1:3">
      <c r="A299" s="608" t="s">
        <v>2358</v>
      </c>
      <c r="B299" s="608" t="s">
        <v>2356</v>
      </c>
      <c r="C299" s="608">
        <v>30.3</v>
      </c>
    </row>
    <row r="300" spans="1:3">
      <c r="A300" s="608" t="s">
        <v>2359</v>
      </c>
      <c r="B300" s="608" t="s">
        <v>2356</v>
      </c>
      <c r="C300" s="608">
        <v>30.3</v>
      </c>
    </row>
    <row r="301" spans="1:3">
      <c r="A301" s="608" t="s">
        <v>2360</v>
      </c>
      <c r="B301" s="608" t="s">
        <v>2356</v>
      </c>
      <c r="C301" s="608">
        <v>30.3</v>
      </c>
    </row>
    <row r="302" spans="1:3">
      <c r="A302" s="608" t="s">
        <v>391</v>
      </c>
      <c r="B302" s="608" t="s">
        <v>2361</v>
      </c>
      <c r="C302" s="608">
        <v>15</v>
      </c>
    </row>
    <row r="303" spans="1:3">
      <c r="A303" s="608" t="s">
        <v>393</v>
      </c>
      <c r="B303" s="608" t="s">
        <v>2362</v>
      </c>
      <c r="C303" s="608">
        <v>15</v>
      </c>
    </row>
    <row r="304" spans="1:3">
      <c r="A304" s="608" t="s">
        <v>2363</v>
      </c>
      <c r="B304" s="608" t="s">
        <v>2364</v>
      </c>
      <c r="C304" s="608">
        <v>17.8</v>
      </c>
    </row>
    <row r="305" spans="1:3">
      <c r="A305" s="608" t="s">
        <v>2017</v>
      </c>
      <c r="B305" s="608" t="s">
        <v>2365</v>
      </c>
      <c r="C305" s="608">
        <v>25</v>
      </c>
    </row>
    <row r="306" spans="1:3">
      <c r="A306" s="608" t="s">
        <v>2006</v>
      </c>
      <c r="B306" s="608" t="s">
        <v>2365</v>
      </c>
      <c r="C306" s="608">
        <v>25</v>
      </c>
    </row>
    <row r="307" spans="1:3">
      <c r="A307" s="608" t="s">
        <v>2025</v>
      </c>
      <c r="B307" s="608" t="s">
        <v>2365</v>
      </c>
      <c r="C307" s="608">
        <v>25</v>
      </c>
    </row>
    <row r="308" spans="1:3">
      <c r="A308" s="608" t="s">
        <v>776</v>
      </c>
      <c r="B308" s="608" t="s">
        <v>2365</v>
      </c>
      <c r="C308" s="608">
        <v>25</v>
      </c>
    </row>
    <row r="309" spans="1:3">
      <c r="A309" s="608" t="s">
        <v>2366</v>
      </c>
      <c r="B309" s="608" t="s">
        <v>2367</v>
      </c>
      <c r="C309" s="608">
        <v>8</v>
      </c>
    </row>
    <row r="310" spans="1:3">
      <c r="A310" s="608" t="s">
        <v>2368</v>
      </c>
      <c r="B310" s="608" t="s">
        <v>2369</v>
      </c>
      <c r="C310" s="608">
        <v>8</v>
      </c>
    </row>
    <row r="311" spans="1:3">
      <c r="A311" s="608" t="s">
        <v>2370</v>
      </c>
      <c r="B311" s="608" t="s">
        <v>2371</v>
      </c>
      <c r="C311" s="608">
        <v>24.99</v>
      </c>
    </row>
    <row r="312" spans="1:3">
      <c r="A312" s="608" t="s">
        <v>842</v>
      </c>
      <c r="B312" s="608" t="s">
        <v>2372</v>
      </c>
      <c r="C312" s="608">
        <v>22</v>
      </c>
    </row>
    <row r="313" spans="1:3">
      <c r="A313" s="608" t="s">
        <v>1697</v>
      </c>
      <c r="B313" s="608" t="s">
        <v>2372</v>
      </c>
      <c r="C313" s="608">
        <v>22</v>
      </c>
    </row>
    <row r="314" spans="1:3">
      <c r="A314" s="608" t="s">
        <v>2009</v>
      </c>
      <c r="B314" s="608" t="s">
        <v>2372</v>
      </c>
      <c r="C314" s="608">
        <v>22</v>
      </c>
    </row>
    <row r="315" spans="1:3">
      <c r="A315" s="608" t="s">
        <v>2373</v>
      </c>
      <c r="B315" s="608" t="s">
        <v>2374</v>
      </c>
      <c r="C315" s="608">
        <v>16.7</v>
      </c>
    </row>
    <row r="316" spans="1:3">
      <c r="A316" s="608" t="s">
        <v>2375</v>
      </c>
      <c r="B316" s="608" t="s">
        <v>2376</v>
      </c>
      <c r="C316" s="608">
        <v>14</v>
      </c>
    </row>
    <row r="317" spans="1:3">
      <c r="A317" s="608" t="s">
        <v>739</v>
      </c>
      <c r="B317" s="608" t="s">
        <v>2377</v>
      </c>
      <c r="C317" s="608">
        <v>21.8</v>
      </c>
    </row>
    <row r="318" spans="1:3">
      <c r="A318" s="608" t="s">
        <v>2378</v>
      </c>
      <c r="B318" s="608" t="s">
        <v>2379</v>
      </c>
      <c r="C318" s="608">
        <v>20.1</v>
      </c>
    </row>
    <row r="319" spans="1:3">
      <c r="A319" s="608" t="s">
        <v>2380</v>
      </c>
      <c r="B319" s="608" t="s">
        <v>2381</v>
      </c>
      <c r="C319" s="608">
        <v>20.1</v>
      </c>
    </row>
    <row r="320" spans="1:3">
      <c r="A320" s="608" t="s">
        <v>2382</v>
      </c>
      <c r="B320" s="608" t="s">
        <v>2381</v>
      </c>
      <c r="C320" s="608">
        <v>20.1</v>
      </c>
    </row>
    <row r="321" spans="1:3">
      <c r="A321" s="608" t="s">
        <v>2383</v>
      </c>
      <c r="B321" s="608" t="s">
        <v>2381</v>
      </c>
      <c r="C321" s="608">
        <v>20.1</v>
      </c>
    </row>
    <row r="322" spans="1:3">
      <c r="A322" s="608" t="s">
        <v>2384</v>
      </c>
      <c r="B322" s="608" t="s">
        <v>2381</v>
      </c>
      <c r="C322" s="608">
        <v>20.1</v>
      </c>
    </row>
    <row r="323" spans="1:3">
      <c r="A323" s="608" t="s">
        <v>765</v>
      </c>
      <c r="B323" s="608" t="s">
        <v>2385</v>
      </c>
      <c r="C323" s="608">
        <v>12.32</v>
      </c>
    </row>
    <row r="324" spans="1:3">
      <c r="A324" s="608" t="s">
        <v>735</v>
      </c>
      <c r="B324" s="608" t="s">
        <v>2385</v>
      </c>
      <c r="C324" s="608">
        <v>12.32</v>
      </c>
    </row>
    <row r="325" spans="1:3">
      <c r="A325" s="608" t="s">
        <v>2386</v>
      </c>
      <c r="B325" s="608" t="s">
        <v>2387</v>
      </c>
      <c r="C325" s="608">
        <v>12.08</v>
      </c>
    </row>
    <row r="326" spans="1:3">
      <c r="A326" s="608" t="s">
        <v>1586</v>
      </c>
      <c r="B326" s="608" t="s">
        <v>2388</v>
      </c>
      <c r="C326" s="608">
        <v>27.3</v>
      </c>
    </row>
    <row r="327" spans="1:3">
      <c r="A327" s="608" t="s">
        <v>712</v>
      </c>
      <c r="B327" s="608" t="s">
        <v>2389</v>
      </c>
      <c r="C327" s="608">
        <v>18.16</v>
      </c>
    </row>
    <row r="328" spans="1:3">
      <c r="A328" s="608" t="s">
        <v>793</v>
      </c>
      <c r="B328" s="608" t="s">
        <v>2390</v>
      </c>
      <c r="C328" s="608">
        <v>22.37</v>
      </c>
    </row>
    <row r="329" spans="1:3">
      <c r="A329" s="608" t="s">
        <v>1908</v>
      </c>
      <c r="B329" s="608" t="s">
        <v>2391</v>
      </c>
      <c r="C329" s="608">
        <v>21.12</v>
      </c>
    </row>
    <row r="330" spans="1:3">
      <c r="A330" s="608" t="s">
        <v>1786</v>
      </c>
      <c r="B330" s="608" t="s">
        <v>2391</v>
      </c>
      <c r="C330" s="608">
        <v>21.12</v>
      </c>
    </row>
    <row r="331" spans="1:3">
      <c r="A331" s="608" t="s">
        <v>1814</v>
      </c>
      <c r="B331" s="608" t="s">
        <v>2391</v>
      </c>
      <c r="C331" s="608">
        <v>21.12</v>
      </c>
    </row>
    <row r="332" spans="1:3">
      <c r="A332" s="608" t="s">
        <v>1920</v>
      </c>
      <c r="B332" s="608" t="s">
        <v>2391</v>
      </c>
      <c r="C332" s="608">
        <v>21.12</v>
      </c>
    </row>
    <row r="333" spans="1:3">
      <c r="A333" s="608" t="s">
        <v>1343</v>
      </c>
      <c r="B333" s="608" t="s">
        <v>2391</v>
      </c>
      <c r="C333" s="608">
        <v>21.12</v>
      </c>
    </row>
    <row r="334" spans="1:3">
      <c r="A334" s="608" t="s">
        <v>1855</v>
      </c>
      <c r="B334" s="608" t="s">
        <v>2391</v>
      </c>
      <c r="C334" s="608">
        <v>21.12</v>
      </c>
    </row>
    <row r="335" spans="1:3">
      <c r="A335" s="608" t="s">
        <v>1184</v>
      </c>
      <c r="B335" s="608" t="s">
        <v>2391</v>
      </c>
      <c r="C335" s="608">
        <v>21.12</v>
      </c>
    </row>
    <row r="336" spans="1:3">
      <c r="A336" s="608" t="s">
        <v>1300</v>
      </c>
      <c r="B336" s="608" t="s">
        <v>2391</v>
      </c>
      <c r="C336" s="608">
        <v>21.12</v>
      </c>
    </row>
    <row r="337" spans="1:3">
      <c r="A337" s="608" t="s">
        <v>1032</v>
      </c>
      <c r="B337" s="608" t="s">
        <v>2391</v>
      </c>
      <c r="C337" s="608">
        <v>21.12</v>
      </c>
    </row>
    <row r="338" spans="1:3">
      <c r="A338" s="608" t="s">
        <v>1728</v>
      </c>
      <c r="B338" s="608" t="s">
        <v>2391</v>
      </c>
      <c r="C338" s="608">
        <v>21.12</v>
      </c>
    </row>
    <row r="339" spans="1:3">
      <c r="A339" s="608" t="s">
        <v>1436</v>
      </c>
      <c r="B339" s="608" t="s">
        <v>2391</v>
      </c>
      <c r="C339" s="608">
        <v>21.12</v>
      </c>
    </row>
    <row r="340" spans="1:3">
      <c r="A340" s="608" t="s">
        <v>1580</v>
      </c>
      <c r="B340" s="608" t="s">
        <v>2391</v>
      </c>
      <c r="C340" s="608">
        <v>21.12</v>
      </c>
    </row>
    <row r="341" spans="1:3">
      <c r="A341" s="608" t="s">
        <v>164</v>
      </c>
      <c r="B341" s="608" t="s">
        <v>2391</v>
      </c>
      <c r="C341" s="608">
        <v>21.12</v>
      </c>
    </row>
    <row r="342" spans="1:3">
      <c r="A342" s="608" t="s">
        <v>168</v>
      </c>
      <c r="B342" s="608" t="s">
        <v>2391</v>
      </c>
      <c r="C342" s="608">
        <v>21.12</v>
      </c>
    </row>
    <row r="343" spans="1:3">
      <c r="A343" s="608" t="s">
        <v>170</v>
      </c>
      <c r="B343" s="608" t="s">
        <v>2391</v>
      </c>
      <c r="C343" s="608">
        <v>21.12</v>
      </c>
    </row>
    <row r="344" spans="1:3">
      <c r="A344" s="608" t="s">
        <v>1751</v>
      </c>
      <c r="B344" s="608" t="s">
        <v>2391</v>
      </c>
      <c r="C344" s="608">
        <v>21.12</v>
      </c>
    </row>
    <row r="345" spans="1:3">
      <c r="A345" s="608" t="s">
        <v>1094</v>
      </c>
      <c r="B345" s="608" t="s">
        <v>2391</v>
      </c>
      <c r="C345" s="608">
        <v>21.12</v>
      </c>
    </row>
    <row r="346" spans="1:3">
      <c r="A346" s="608" t="s">
        <v>172</v>
      </c>
      <c r="B346" s="608" t="s">
        <v>2391</v>
      </c>
      <c r="C346" s="608">
        <v>21.12</v>
      </c>
    </row>
    <row r="347" spans="1:3">
      <c r="A347" s="608" t="s">
        <v>1379</v>
      </c>
      <c r="B347" s="608" t="s">
        <v>2391</v>
      </c>
      <c r="C347" s="608">
        <v>21.12</v>
      </c>
    </row>
    <row r="348" spans="1:3">
      <c r="A348" s="608" t="s">
        <v>195</v>
      </c>
      <c r="B348" s="608" t="s">
        <v>2391</v>
      </c>
      <c r="C348" s="608">
        <v>21.12</v>
      </c>
    </row>
    <row r="349" spans="1:3">
      <c r="A349" s="608" t="s">
        <v>1192</v>
      </c>
      <c r="B349" s="608" t="s">
        <v>2391</v>
      </c>
      <c r="C349" s="608">
        <v>21.12</v>
      </c>
    </row>
    <row r="350" spans="1:3">
      <c r="A350" s="608" t="s">
        <v>200</v>
      </c>
      <c r="B350" s="608" t="s">
        <v>2391</v>
      </c>
      <c r="C350" s="608">
        <v>21.12</v>
      </c>
    </row>
    <row r="351" spans="1:3">
      <c r="A351" s="608" t="s">
        <v>1520</v>
      </c>
      <c r="B351" s="608" t="s">
        <v>2391</v>
      </c>
      <c r="C351" s="608">
        <v>21.12</v>
      </c>
    </row>
    <row r="352" spans="1:3">
      <c r="A352" s="608" t="s">
        <v>1330</v>
      </c>
      <c r="B352" s="608" t="s">
        <v>2391</v>
      </c>
      <c r="C352" s="608">
        <v>21.12</v>
      </c>
    </row>
    <row r="353" spans="1:3">
      <c r="A353" s="608" t="s">
        <v>1053</v>
      </c>
      <c r="B353" s="608" t="s">
        <v>2391</v>
      </c>
      <c r="C353" s="608">
        <v>21.12</v>
      </c>
    </row>
    <row r="354" spans="1:3">
      <c r="A354" s="608" t="s">
        <v>204</v>
      </c>
      <c r="B354" s="608" t="s">
        <v>2391</v>
      </c>
      <c r="C354" s="608">
        <v>21.12</v>
      </c>
    </row>
    <row r="355" spans="1:3">
      <c r="A355" s="608" t="s">
        <v>1861</v>
      </c>
      <c r="B355" s="608" t="s">
        <v>2391</v>
      </c>
      <c r="C355" s="608">
        <v>21.12</v>
      </c>
    </row>
    <row r="356" spans="1:3">
      <c r="A356" s="608" t="s">
        <v>704</v>
      </c>
      <c r="B356" s="608" t="s">
        <v>2391</v>
      </c>
      <c r="C356" s="608">
        <v>21.12</v>
      </c>
    </row>
    <row r="357" spans="1:3">
      <c r="A357" s="608" t="s">
        <v>1792</v>
      </c>
      <c r="B357" s="608" t="s">
        <v>2391</v>
      </c>
      <c r="C357" s="608">
        <v>21.12</v>
      </c>
    </row>
    <row r="358" spans="1:3">
      <c r="A358" s="608" t="s">
        <v>889</v>
      </c>
      <c r="B358" s="608" t="s">
        <v>2392</v>
      </c>
      <c r="C358" s="608" t="e">
        <v>#N/A</v>
      </c>
    </row>
    <row r="359" spans="1:3">
      <c r="A359" s="608" t="s">
        <v>884</v>
      </c>
      <c r="B359" s="608" t="s">
        <v>2392</v>
      </c>
      <c r="C359" s="608" t="e">
        <v>#N/A</v>
      </c>
    </row>
    <row r="360" spans="1:3">
      <c r="A360" s="608" t="s">
        <v>887</v>
      </c>
      <c r="B360" s="608" t="s">
        <v>2392</v>
      </c>
      <c r="C360" s="608" t="e">
        <v>#N/A</v>
      </c>
    </row>
    <row r="361" spans="1:3">
      <c r="A361" s="608" t="s">
        <v>886</v>
      </c>
      <c r="B361" s="608" t="s">
        <v>2392</v>
      </c>
      <c r="C361" s="608" t="e">
        <v>#N/A</v>
      </c>
    </row>
    <row r="362" spans="1:3">
      <c r="A362" s="608" t="s">
        <v>883</v>
      </c>
      <c r="B362" s="608" t="s">
        <v>2392</v>
      </c>
      <c r="C362" s="608" t="e">
        <v>#N/A</v>
      </c>
    </row>
    <row r="363" spans="1:3">
      <c r="A363" s="608" t="s">
        <v>881</v>
      </c>
      <c r="B363" s="608" t="s">
        <v>2392</v>
      </c>
      <c r="C363" s="608" t="e">
        <v>#N/A</v>
      </c>
    </row>
    <row r="364" spans="1:3">
      <c r="A364" s="608" t="s">
        <v>888</v>
      </c>
      <c r="B364" s="608" t="s">
        <v>2392</v>
      </c>
      <c r="C364" s="608" t="e">
        <v>#N/A</v>
      </c>
    </row>
    <row r="365" spans="1:3">
      <c r="A365" s="608" t="s">
        <v>885</v>
      </c>
      <c r="B365" s="608" t="s">
        <v>2392</v>
      </c>
      <c r="C365" s="608" t="e">
        <v>#N/A</v>
      </c>
    </row>
    <row r="366" spans="1:3">
      <c r="A366" s="608" t="s">
        <v>882</v>
      </c>
      <c r="B366" s="608" t="s">
        <v>2392</v>
      </c>
      <c r="C366" s="608" t="e">
        <v>#N/A</v>
      </c>
    </row>
    <row r="367" spans="1:3">
      <c r="A367" s="608" t="s">
        <v>874</v>
      </c>
      <c r="B367" s="608" t="s">
        <v>2392</v>
      </c>
      <c r="C367" s="608" t="e">
        <v>#N/A</v>
      </c>
    </row>
    <row r="368" spans="1:3">
      <c r="A368" s="608" t="s">
        <v>1876</v>
      </c>
      <c r="B368" s="608" t="s">
        <v>2392</v>
      </c>
      <c r="C368" s="608" t="e">
        <v>#N/A</v>
      </c>
    </row>
    <row r="369" spans="1:3">
      <c r="A369" s="608" t="s">
        <v>893</v>
      </c>
      <c r="B369" s="608" t="s">
        <v>2392</v>
      </c>
      <c r="C369" s="608" t="e">
        <v>#N/A</v>
      </c>
    </row>
    <row r="370" spans="1:3">
      <c r="A370" s="608" t="s">
        <v>681</v>
      </c>
      <c r="B370" s="608" t="s">
        <v>2392</v>
      </c>
      <c r="C370" s="608" t="e">
        <v>#N/A</v>
      </c>
    </row>
    <row r="371" spans="1:3">
      <c r="A371" s="608" t="s">
        <v>682</v>
      </c>
      <c r="B371" s="608" t="s">
        <v>2392</v>
      </c>
      <c r="C371" s="608" t="e">
        <v>#N/A</v>
      </c>
    </row>
    <row r="372" spans="1:3">
      <c r="A372" s="608" t="s">
        <v>673</v>
      </c>
      <c r="B372" s="608" t="s">
        <v>2393</v>
      </c>
      <c r="C372" s="608" t="e">
        <v>#N/A</v>
      </c>
    </row>
    <row r="373" spans="1:3">
      <c r="A373" s="608" t="s">
        <v>2394</v>
      </c>
      <c r="B373" s="608" t="s">
        <v>2395</v>
      </c>
      <c r="C373" s="608" t="e">
        <v>#N/A</v>
      </c>
    </row>
    <row r="374" spans="1:3">
      <c r="A374" s="608" t="s">
        <v>2396</v>
      </c>
      <c r="B374" s="608" t="s">
        <v>2397</v>
      </c>
      <c r="C374" s="608">
        <v>8</v>
      </c>
    </row>
    <row r="375" spans="1:3">
      <c r="A375" s="608" t="s">
        <v>627</v>
      </c>
      <c r="B375" s="608" t="s">
        <v>2398</v>
      </c>
      <c r="C375" s="608">
        <v>20.19</v>
      </c>
    </row>
    <row r="376" spans="1:3">
      <c r="A376" s="608" t="s">
        <v>2399</v>
      </c>
      <c r="B376" s="608" t="s">
        <v>2400</v>
      </c>
      <c r="C376" s="608" t="e">
        <v>#N/A</v>
      </c>
    </row>
    <row r="377" spans="1:3">
      <c r="A377" s="608" t="s">
        <v>2401</v>
      </c>
      <c r="B377" s="608" t="s">
        <v>2402</v>
      </c>
      <c r="C377" s="608">
        <v>15.71</v>
      </c>
    </row>
    <row r="378" spans="1:3">
      <c r="A378" s="608" t="s">
        <v>2403</v>
      </c>
      <c r="B378" s="608" t="s">
        <v>2402</v>
      </c>
      <c r="C378" s="608">
        <v>15.71</v>
      </c>
    </row>
    <row r="379" spans="1:3">
      <c r="A379" s="608" t="s">
        <v>755</v>
      </c>
      <c r="B379" s="608" t="s">
        <v>2404</v>
      </c>
      <c r="C379" s="608">
        <v>20.1</v>
      </c>
    </row>
    <row r="380" spans="1:3">
      <c r="A380" s="608" t="s">
        <v>757</v>
      </c>
      <c r="B380" s="608" t="s">
        <v>2404</v>
      </c>
      <c r="C380" s="608">
        <v>20.1</v>
      </c>
    </row>
    <row r="381" spans="1:3">
      <c r="A381" s="608" t="s">
        <v>758</v>
      </c>
      <c r="B381" s="608" t="s">
        <v>2404</v>
      </c>
      <c r="C381" s="608">
        <v>20.1</v>
      </c>
    </row>
    <row r="382" spans="1:3">
      <c r="A382" s="608" t="s">
        <v>2405</v>
      </c>
      <c r="B382" s="608" t="s">
        <v>2406</v>
      </c>
      <c r="C382" s="608">
        <v>15.89</v>
      </c>
    </row>
    <row r="383" spans="1:3">
      <c r="A383" s="608" t="s">
        <v>756</v>
      </c>
      <c r="B383" s="608" t="s">
        <v>2407</v>
      </c>
      <c r="C383" s="608">
        <v>20.1</v>
      </c>
    </row>
    <row r="384" spans="1:3">
      <c r="A384" s="608" t="s">
        <v>761</v>
      </c>
      <c r="B384" s="608" t="s">
        <v>2408</v>
      </c>
      <c r="C384" s="608">
        <v>20.1</v>
      </c>
    </row>
    <row r="385" spans="1:3">
      <c r="A385" s="608" t="s">
        <v>2409</v>
      </c>
      <c r="B385" s="608" t="s">
        <v>2410</v>
      </c>
      <c r="C385" s="608">
        <v>10.42</v>
      </c>
    </row>
    <row r="386" spans="1:3">
      <c r="A386" s="608" t="s">
        <v>2411</v>
      </c>
      <c r="B386" s="608" t="s">
        <v>2410</v>
      </c>
      <c r="C386" s="608">
        <v>10.42</v>
      </c>
    </row>
    <row r="387" spans="1:3">
      <c r="A387" s="608" t="s">
        <v>2412</v>
      </c>
      <c r="B387" s="608" t="s">
        <v>2410</v>
      </c>
      <c r="C387" s="608">
        <v>10.42</v>
      </c>
    </row>
    <row r="388" spans="1:3">
      <c r="A388" s="608" t="s">
        <v>2413</v>
      </c>
      <c r="B388" s="608" t="s">
        <v>2410</v>
      </c>
      <c r="C388" s="608">
        <v>10.42</v>
      </c>
    </row>
    <row r="389" spans="1:3">
      <c r="A389" s="608" t="s">
        <v>2414</v>
      </c>
      <c r="B389" s="608" t="s">
        <v>2410</v>
      </c>
      <c r="C389" s="608">
        <v>10.42</v>
      </c>
    </row>
    <row r="390" spans="1:3">
      <c r="A390" s="608" t="s">
        <v>2415</v>
      </c>
      <c r="B390" s="608" t="s">
        <v>2410</v>
      </c>
      <c r="C390" s="608">
        <v>10.42</v>
      </c>
    </row>
    <row r="391" spans="1:3">
      <c r="A391" s="608" t="s">
        <v>2416</v>
      </c>
      <c r="B391" s="608" t="s">
        <v>2410</v>
      </c>
      <c r="C391" s="608">
        <v>10.42</v>
      </c>
    </row>
    <row r="392" spans="1:3">
      <c r="A392" s="608" t="s">
        <v>2417</v>
      </c>
      <c r="B392" s="608" t="s">
        <v>2410</v>
      </c>
      <c r="C392" s="608">
        <v>10.42</v>
      </c>
    </row>
    <row r="393" spans="1:3">
      <c r="A393" s="608" t="s">
        <v>2418</v>
      </c>
      <c r="B393" s="608" t="s">
        <v>2410</v>
      </c>
      <c r="C393" s="608">
        <v>10.42</v>
      </c>
    </row>
    <row r="394" spans="1:3">
      <c r="A394" s="608" t="s">
        <v>2419</v>
      </c>
      <c r="B394" s="608" t="s">
        <v>2410</v>
      </c>
      <c r="C394" s="608">
        <v>10.42</v>
      </c>
    </row>
    <row r="395" spans="1:3">
      <c r="A395" s="608" t="s">
        <v>2420</v>
      </c>
      <c r="B395" s="608" t="s">
        <v>2410</v>
      </c>
      <c r="C395" s="608">
        <v>10.42</v>
      </c>
    </row>
    <row r="396" spans="1:3">
      <c r="A396" s="608" t="s">
        <v>2421</v>
      </c>
      <c r="B396" s="608" t="s">
        <v>2410</v>
      </c>
      <c r="C396" s="608">
        <v>10.42</v>
      </c>
    </row>
    <row r="397" spans="1:3">
      <c r="A397" s="608" t="s">
        <v>2422</v>
      </c>
      <c r="B397" s="608" t="s">
        <v>2410</v>
      </c>
      <c r="C397" s="608">
        <v>10.42</v>
      </c>
    </row>
    <row r="398" spans="1:3">
      <c r="A398" s="608" t="s">
        <v>2423</v>
      </c>
      <c r="B398" s="608" t="s">
        <v>2410</v>
      </c>
      <c r="C398" s="608">
        <v>10.42</v>
      </c>
    </row>
    <row r="399" spans="1:3">
      <c r="A399" s="608" t="s">
        <v>2424</v>
      </c>
      <c r="B399" s="608" t="s">
        <v>2410</v>
      </c>
      <c r="C399" s="608">
        <v>10.42</v>
      </c>
    </row>
    <row r="400" spans="1:3">
      <c r="A400" s="608" t="s">
        <v>2425</v>
      </c>
      <c r="B400" s="608" t="s">
        <v>2410</v>
      </c>
      <c r="C400" s="608">
        <v>10.42</v>
      </c>
    </row>
    <row r="401" spans="1:3">
      <c r="A401" s="608" t="s">
        <v>2426</v>
      </c>
      <c r="B401" s="608" t="s">
        <v>2410</v>
      </c>
      <c r="C401" s="608">
        <v>10.42</v>
      </c>
    </row>
    <row r="402" spans="1:3">
      <c r="A402" s="608" t="s">
        <v>2427</v>
      </c>
      <c r="B402" s="608" t="s">
        <v>2410</v>
      </c>
      <c r="C402" s="608">
        <v>10.42</v>
      </c>
    </row>
    <row r="403" spans="1:3">
      <c r="A403" s="608" t="s">
        <v>2428</v>
      </c>
      <c r="B403" s="608" t="s">
        <v>2410</v>
      </c>
      <c r="C403" s="608">
        <v>10.42</v>
      </c>
    </row>
    <row r="404" spans="1:3">
      <c r="A404" s="608" t="s">
        <v>2429</v>
      </c>
      <c r="B404" s="608" t="s">
        <v>2410</v>
      </c>
      <c r="C404" s="608">
        <v>10.42</v>
      </c>
    </row>
    <row r="405" spans="1:3">
      <c r="A405" s="608" t="s">
        <v>2430</v>
      </c>
      <c r="B405" s="608" t="s">
        <v>2410</v>
      </c>
      <c r="C405" s="608">
        <v>10.42</v>
      </c>
    </row>
    <row r="406" spans="1:3">
      <c r="A406" s="608" t="s">
        <v>2431</v>
      </c>
      <c r="B406" s="608" t="s">
        <v>2410</v>
      </c>
      <c r="C406" s="608">
        <v>10.42</v>
      </c>
    </row>
    <row r="407" spans="1:3">
      <c r="A407" s="608" t="s">
        <v>2432</v>
      </c>
      <c r="B407" s="608" t="s">
        <v>2410</v>
      </c>
      <c r="C407" s="608">
        <v>10.42</v>
      </c>
    </row>
    <row r="408" spans="1:3">
      <c r="A408" s="608" t="s">
        <v>2433</v>
      </c>
      <c r="B408" s="608" t="s">
        <v>2410</v>
      </c>
      <c r="C408" s="608">
        <v>10.42</v>
      </c>
    </row>
    <row r="409" spans="1:3">
      <c r="A409" s="608" t="s">
        <v>2434</v>
      </c>
      <c r="B409" s="608" t="s">
        <v>2435</v>
      </c>
      <c r="C409" s="608">
        <v>33.52</v>
      </c>
    </row>
    <row r="410" spans="1:3">
      <c r="A410" s="608" t="s">
        <v>2436</v>
      </c>
      <c r="B410" s="608" t="s">
        <v>2435</v>
      </c>
      <c r="C410" s="608">
        <v>33.52</v>
      </c>
    </row>
    <row r="411" spans="1:3">
      <c r="A411" s="608" t="s">
        <v>2437</v>
      </c>
      <c r="B411" s="608" t="s">
        <v>2435</v>
      </c>
      <c r="C411" s="608">
        <v>33.52</v>
      </c>
    </row>
    <row r="412" spans="1:3">
      <c r="A412" s="608" t="s">
        <v>2438</v>
      </c>
      <c r="B412" s="608" t="s">
        <v>2435</v>
      </c>
      <c r="C412" s="608">
        <v>33.52</v>
      </c>
    </row>
    <row r="413" spans="1:3">
      <c r="A413" s="608" t="s">
        <v>2439</v>
      </c>
      <c r="B413" s="608" t="s">
        <v>2435</v>
      </c>
      <c r="C413" s="608">
        <v>33.52</v>
      </c>
    </row>
    <row r="414" spans="1:3">
      <c r="A414" s="608" t="s">
        <v>2440</v>
      </c>
      <c r="B414" s="608" t="s">
        <v>2435</v>
      </c>
      <c r="C414" s="608">
        <v>33.52</v>
      </c>
    </row>
    <row r="415" spans="1:3">
      <c r="A415" s="608" t="s">
        <v>2441</v>
      </c>
      <c r="B415" s="608" t="s">
        <v>2442</v>
      </c>
      <c r="C415" s="608">
        <v>31.39</v>
      </c>
    </row>
    <row r="416" spans="1:3">
      <c r="A416" s="608" t="s">
        <v>2443</v>
      </c>
      <c r="B416" s="608" t="s">
        <v>2442</v>
      </c>
      <c r="C416" s="608">
        <v>31.39</v>
      </c>
    </row>
    <row r="417" spans="1:3">
      <c r="A417" s="608" t="s">
        <v>2444</v>
      </c>
      <c r="B417" s="608" t="s">
        <v>2442</v>
      </c>
      <c r="C417" s="608">
        <v>31.39</v>
      </c>
    </row>
    <row r="418" spans="1:3">
      <c r="A418" s="608" t="s">
        <v>2445</v>
      </c>
      <c r="B418" s="608" t="s">
        <v>2442</v>
      </c>
      <c r="C418" s="608">
        <v>31.39</v>
      </c>
    </row>
    <row r="419" spans="1:3">
      <c r="A419" s="608" t="s">
        <v>2446</v>
      </c>
      <c r="B419" s="608" t="s">
        <v>2442</v>
      </c>
      <c r="C419" s="608">
        <v>31.39</v>
      </c>
    </row>
    <row r="420" spans="1:3">
      <c r="A420" s="608" t="s">
        <v>2447</v>
      </c>
      <c r="B420" s="608" t="s">
        <v>2442</v>
      </c>
      <c r="C420" s="608">
        <v>31.39</v>
      </c>
    </row>
    <row r="421" spans="1:3">
      <c r="A421" s="608" t="s">
        <v>2448</v>
      </c>
      <c r="B421" s="608" t="s">
        <v>2442</v>
      </c>
      <c r="C421" s="608">
        <v>31.39</v>
      </c>
    </row>
    <row r="422" spans="1:3">
      <c r="A422" s="608" t="s">
        <v>2449</v>
      </c>
      <c r="B422" s="608" t="s">
        <v>2442</v>
      </c>
      <c r="C422" s="608">
        <v>31.39</v>
      </c>
    </row>
    <row r="423" spans="1:3">
      <c r="A423" s="608" t="s">
        <v>2032</v>
      </c>
      <c r="B423" s="608" t="s">
        <v>2450</v>
      </c>
      <c r="C423" s="608">
        <v>16.04</v>
      </c>
    </row>
    <row r="424" spans="1:3">
      <c r="A424" s="608" t="s">
        <v>2378</v>
      </c>
      <c r="B424" s="608" t="s">
        <v>2451</v>
      </c>
      <c r="C424" s="608">
        <v>20.1</v>
      </c>
    </row>
    <row r="425" spans="1:3">
      <c r="A425" s="608" t="s">
        <v>2452</v>
      </c>
      <c r="B425" s="608" t="s">
        <v>2453</v>
      </c>
      <c r="C425" s="608">
        <v>13.75</v>
      </c>
    </row>
    <row r="426" spans="1:3">
      <c r="A426" s="608" t="s">
        <v>1318</v>
      </c>
      <c r="B426" s="608" t="s">
        <v>2454</v>
      </c>
      <c r="C426" s="608">
        <v>25</v>
      </c>
    </row>
    <row r="427" spans="1:3">
      <c r="A427" s="608" t="s">
        <v>1954</v>
      </c>
      <c r="B427" s="608" t="s">
        <v>2454</v>
      </c>
      <c r="C427" s="608">
        <v>25</v>
      </c>
    </row>
    <row r="428" spans="1:3">
      <c r="A428" s="608" t="s">
        <v>1654</v>
      </c>
      <c r="B428" s="608" t="s">
        <v>2454</v>
      </c>
      <c r="C428" s="608">
        <v>25</v>
      </c>
    </row>
    <row r="429" spans="1:3">
      <c r="A429" s="608" t="s">
        <v>1224</v>
      </c>
      <c r="B429" s="608" t="s">
        <v>2454</v>
      </c>
      <c r="C429" s="608">
        <v>25</v>
      </c>
    </row>
    <row r="430" spans="1:3">
      <c r="A430" s="608" t="s">
        <v>367</v>
      </c>
      <c r="B430" s="608" t="s">
        <v>2455</v>
      </c>
      <c r="C430" s="608" t="e">
        <v>#N/A</v>
      </c>
    </row>
    <row r="431" spans="1:3">
      <c r="A431" s="608" t="s">
        <v>2456</v>
      </c>
      <c r="B431" s="608" t="s">
        <v>2457</v>
      </c>
      <c r="C431" s="608" t="e">
        <v>#N/A</v>
      </c>
    </row>
    <row r="432" spans="1:3">
      <c r="A432" s="608" t="s">
        <v>1560</v>
      </c>
      <c r="B432" s="608" t="s">
        <v>2458</v>
      </c>
      <c r="C432" s="608" t="e">
        <v>#N/A</v>
      </c>
    </row>
    <row r="433" spans="1:3">
      <c r="A433" s="608" t="s">
        <v>2459</v>
      </c>
      <c r="B433" s="608" t="s">
        <v>2460</v>
      </c>
      <c r="C433" s="608">
        <v>8.5</v>
      </c>
    </row>
    <row r="434" spans="1:3">
      <c r="A434" s="608" t="s">
        <v>2461</v>
      </c>
      <c r="B434" s="608" t="s">
        <v>2462</v>
      </c>
      <c r="C434" s="608">
        <v>15.69</v>
      </c>
    </row>
    <row r="435" spans="1:3">
      <c r="A435" s="608" t="s">
        <v>711</v>
      </c>
      <c r="B435" s="608" t="s">
        <v>2463</v>
      </c>
      <c r="C435" s="608" t="e">
        <v>#N/A</v>
      </c>
    </row>
    <row r="436" spans="1:3">
      <c r="A436" s="608" t="s">
        <v>708</v>
      </c>
      <c r="B436" s="608" t="s">
        <v>2463</v>
      </c>
      <c r="C436" s="608" t="e">
        <v>#N/A</v>
      </c>
    </row>
    <row r="437" spans="1:3">
      <c r="A437" s="608" t="s">
        <v>622</v>
      </c>
      <c r="B437" s="608" t="s">
        <v>2463</v>
      </c>
      <c r="C437" s="608" t="e">
        <v>#N/A</v>
      </c>
    </row>
    <row r="438" spans="1:3">
      <c r="A438" s="608" t="s">
        <v>623</v>
      </c>
      <c r="B438" s="608" t="s">
        <v>2463</v>
      </c>
      <c r="C438" s="608" t="e">
        <v>#N/A</v>
      </c>
    </row>
    <row r="439" spans="1:3">
      <c r="A439" s="608" t="s">
        <v>2464</v>
      </c>
      <c r="B439" s="608" t="s">
        <v>2463</v>
      </c>
      <c r="C439" s="608" t="e">
        <v>#N/A</v>
      </c>
    </row>
    <row r="440" spans="1:3">
      <c r="A440" s="608" t="s">
        <v>2465</v>
      </c>
      <c r="B440" s="608" t="s">
        <v>2463</v>
      </c>
      <c r="C440" s="608" t="e">
        <v>#N/A</v>
      </c>
    </row>
    <row r="441" spans="1:3">
      <c r="A441" s="608" t="s">
        <v>2466</v>
      </c>
      <c r="B441" s="608" t="s">
        <v>2463</v>
      </c>
      <c r="C441" s="608" t="e">
        <v>#N/A</v>
      </c>
    </row>
    <row r="442" spans="1:3">
      <c r="A442" s="608" t="s">
        <v>698</v>
      </c>
      <c r="B442" s="608" t="s">
        <v>2467</v>
      </c>
      <c r="C442" s="608">
        <v>20</v>
      </c>
    </row>
    <row r="443" spans="1:3">
      <c r="A443" s="608" t="s">
        <v>2468</v>
      </c>
      <c r="B443" s="608" t="s">
        <v>2469</v>
      </c>
      <c r="C443" s="608">
        <v>8</v>
      </c>
    </row>
    <row r="444" spans="1:3">
      <c r="A444" s="608" t="s">
        <v>2470</v>
      </c>
      <c r="B444" s="608" t="s">
        <v>2469</v>
      </c>
      <c r="C444" s="608">
        <v>8</v>
      </c>
    </row>
    <row r="445" spans="1:3">
      <c r="A445" s="608" t="s">
        <v>2471</v>
      </c>
      <c r="B445" s="608" t="s">
        <v>2472</v>
      </c>
      <c r="C445" s="608">
        <v>8.08</v>
      </c>
    </row>
    <row r="446" spans="1:3">
      <c r="A446" s="608" t="s">
        <v>364</v>
      </c>
      <c r="B446" s="608" t="s">
        <v>2473</v>
      </c>
      <c r="C446" s="608">
        <v>20.16</v>
      </c>
    </row>
    <row r="447" spans="1:3">
      <c r="A447" s="608" t="s">
        <v>870</v>
      </c>
      <c r="B447" s="608" t="s">
        <v>2473</v>
      </c>
      <c r="C447" s="608">
        <v>20.16</v>
      </c>
    </row>
    <row r="448" spans="1:3">
      <c r="A448" s="608" t="s">
        <v>2474</v>
      </c>
      <c r="B448" s="608" t="s">
        <v>2475</v>
      </c>
      <c r="C448" s="608">
        <v>16.52</v>
      </c>
    </row>
    <row r="449" spans="1:3">
      <c r="A449" s="608" t="s">
        <v>573</v>
      </c>
      <c r="B449" s="608" t="s">
        <v>2476</v>
      </c>
      <c r="C449" s="608" t="e">
        <v>#N/A</v>
      </c>
    </row>
    <row r="450" spans="1:3">
      <c r="A450" s="608" t="s">
        <v>286</v>
      </c>
      <c r="B450" s="608" t="s">
        <v>2477</v>
      </c>
      <c r="C450" s="608">
        <v>19.44</v>
      </c>
    </row>
    <row r="451" spans="1:3">
      <c r="A451" s="608" t="s">
        <v>535</v>
      </c>
      <c r="B451" s="608" t="s">
        <v>2477</v>
      </c>
      <c r="C451" s="608">
        <v>19.44</v>
      </c>
    </row>
    <row r="452" spans="1:3">
      <c r="A452" s="608" t="s">
        <v>1849</v>
      </c>
      <c r="B452" s="608" t="s">
        <v>2478</v>
      </c>
      <c r="C452" s="608">
        <v>23.84</v>
      </c>
    </row>
    <row r="453" spans="1:3">
      <c r="A453" s="608" t="s">
        <v>2479</v>
      </c>
      <c r="B453" s="608" t="s">
        <v>2480</v>
      </c>
      <c r="C453" s="608">
        <v>12.02</v>
      </c>
    </row>
    <row r="454" spans="1:3">
      <c r="A454" s="608" t="s">
        <v>812</v>
      </c>
      <c r="B454" s="608" t="s">
        <v>2481</v>
      </c>
      <c r="C454" s="608">
        <v>20.5</v>
      </c>
    </row>
    <row r="455" spans="1:3">
      <c r="A455" s="608" t="s">
        <v>2482</v>
      </c>
      <c r="B455" s="608" t="s">
        <v>2483</v>
      </c>
      <c r="C455" s="608">
        <v>8</v>
      </c>
    </row>
    <row r="456" spans="1:3">
      <c r="A456" s="608" t="s">
        <v>2484</v>
      </c>
      <c r="B456" s="608" t="s">
        <v>2485</v>
      </c>
      <c r="C456" s="608">
        <v>8</v>
      </c>
    </row>
    <row r="457" spans="1:3">
      <c r="A457" s="608" t="s">
        <v>2486</v>
      </c>
      <c r="B457" s="608" t="s">
        <v>2487</v>
      </c>
      <c r="C457" s="608">
        <v>13.1</v>
      </c>
    </row>
    <row r="458" spans="1:3">
      <c r="A458" s="608" t="s">
        <v>1118</v>
      </c>
      <c r="B458" s="608" t="s">
        <v>2488</v>
      </c>
      <c r="C458" s="608" t="e">
        <v>#N/A</v>
      </c>
    </row>
    <row r="459" spans="1:3">
      <c r="A459" s="608" t="s">
        <v>2489</v>
      </c>
      <c r="B459" s="608" t="s">
        <v>2490</v>
      </c>
      <c r="C459" s="608">
        <v>30.85</v>
      </c>
    </row>
    <row r="460" spans="1:3">
      <c r="A460" s="608" t="s">
        <v>2491</v>
      </c>
      <c r="B460" s="608" t="s">
        <v>2490</v>
      </c>
      <c r="C460" s="608">
        <v>30.85</v>
      </c>
    </row>
    <row r="461" spans="1:3">
      <c r="A461" s="608" t="s">
        <v>2492</v>
      </c>
      <c r="B461" s="608" t="s">
        <v>2490</v>
      </c>
      <c r="C461" s="608">
        <v>30.85</v>
      </c>
    </row>
    <row r="462" spans="1:3">
      <c r="A462" s="608" t="s">
        <v>2493</v>
      </c>
      <c r="B462" s="608" t="s">
        <v>2490</v>
      </c>
      <c r="C462" s="608">
        <v>30.85</v>
      </c>
    </row>
    <row r="463" spans="1:3">
      <c r="A463" s="608" t="s">
        <v>2494</v>
      </c>
      <c r="B463" s="608" t="s">
        <v>2490</v>
      </c>
      <c r="C463" s="608">
        <v>30.85</v>
      </c>
    </row>
    <row r="464" spans="1:3">
      <c r="A464" s="608" t="s">
        <v>2495</v>
      </c>
      <c r="B464" s="608" t="s">
        <v>2490</v>
      </c>
      <c r="C464" s="608">
        <v>30.85</v>
      </c>
    </row>
    <row r="465" spans="1:3">
      <c r="A465" s="608" t="s">
        <v>930</v>
      </c>
      <c r="B465" s="608" t="s">
        <v>2496</v>
      </c>
      <c r="C465" s="608">
        <v>20.96</v>
      </c>
    </row>
    <row r="466" spans="1:3">
      <c r="A466" s="608" t="s">
        <v>2497</v>
      </c>
      <c r="B466" s="608" t="s">
        <v>2498</v>
      </c>
      <c r="C466" s="608">
        <v>20.85</v>
      </c>
    </row>
    <row r="467" spans="1:3">
      <c r="A467" s="608" t="s">
        <v>280</v>
      </c>
      <c r="B467" s="608" t="s">
        <v>2499</v>
      </c>
      <c r="C467" s="608">
        <v>14.64</v>
      </c>
    </row>
    <row r="468" spans="1:3">
      <c r="A468" s="608" t="s">
        <v>660</v>
      </c>
      <c r="B468" s="608" t="s">
        <v>2499</v>
      </c>
      <c r="C468" s="608">
        <v>14.64</v>
      </c>
    </row>
    <row r="469" spans="1:3">
      <c r="A469" s="608" t="s">
        <v>655</v>
      </c>
      <c r="B469" s="608" t="s">
        <v>2499</v>
      </c>
      <c r="C469" s="608">
        <v>14.64</v>
      </c>
    </row>
    <row r="470" spans="1:3">
      <c r="A470" s="608" t="s">
        <v>2500</v>
      </c>
      <c r="B470" s="608" t="s">
        <v>2499</v>
      </c>
      <c r="C470" s="608">
        <v>14.64</v>
      </c>
    </row>
    <row r="471" spans="1:3">
      <c r="A471" s="608" t="s">
        <v>2501</v>
      </c>
      <c r="B471" s="608" t="s">
        <v>2499</v>
      </c>
      <c r="C471" s="608">
        <v>14.64</v>
      </c>
    </row>
    <row r="472" spans="1:3">
      <c r="A472" s="608" t="s">
        <v>668</v>
      </c>
      <c r="B472" s="608" t="s">
        <v>2502</v>
      </c>
      <c r="C472" s="608">
        <v>18.39</v>
      </c>
    </row>
    <row r="473" spans="1:3">
      <c r="A473" s="608" t="s">
        <v>371</v>
      </c>
      <c r="B473" s="608" t="s">
        <v>2502</v>
      </c>
      <c r="C473" s="608">
        <v>18.39</v>
      </c>
    </row>
    <row r="474" spans="1:3">
      <c r="A474" s="608" t="s">
        <v>2503</v>
      </c>
      <c r="B474" s="608" t="s">
        <v>2504</v>
      </c>
      <c r="C474" s="608">
        <v>26.41</v>
      </c>
    </row>
    <row r="475" spans="1:3">
      <c r="A475" s="608" t="s">
        <v>303</v>
      </c>
      <c r="B475" s="608" t="s">
        <v>2505</v>
      </c>
      <c r="C475" s="608" t="e">
        <v>#N/A</v>
      </c>
    </row>
    <row r="476" spans="1:3">
      <c r="A476" s="608" t="s">
        <v>576</v>
      </c>
      <c r="B476" s="608" t="s">
        <v>2506</v>
      </c>
      <c r="C476" s="608">
        <v>18.16</v>
      </c>
    </row>
    <row r="477" spans="1:3">
      <c r="A477" s="608" t="s">
        <v>2507</v>
      </c>
      <c r="B477" s="608" t="s">
        <v>2508</v>
      </c>
      <c r="C477" s="608">
        <v>29.13</v>
      </c>
    </row>
    <row r="478" spans="1:3">
      <c r="A478" s="608" t="s">
        <v>2509</v>
      </c>
      <c r="B478" s="608" t="s">
        <v>2508</v>
      </c>
      <c r="C478" s="608">
        <v>29.13</v>
      </c>
    </row>
    <row r="479" spans="1:3">
      <c r="A479" s="608" t="s">
        <v>2510</v>
      </c>
      <c r="B479" s="608" t="s">
        <v>2508</v>
      </c>
      <c r="C479" s="608">
        <v>29.13</v>
      </c>
    </row>
    <row r="480" spans="1:3">
      <c r="A480" s="608" t="s">
        <v>2511</v>
      </c>
      <c r="B480" s="608" t="s">
        <v>2508</v>
      </c>
      <c r="C480" s="608">
        <v>29.13</v>
      </c>
    </row>
    <row r="481" spans="1:3">
      <c r="A481" s="608" t="s">
        <v>2512</v>
      </c>
      <c r="B481" s="608" t="s">
        <v>2508</v>
      </c>
      <c r="C481" s="608">
        <v>29.13</v>
      </c>
    </row>
    <row r="482" spans="1:3">
      <c r="A482" s="608" t="s">
        <v>2513</v>
      </c>
      <c r="B482" s="608" t="s">
        <v>2508</v>
      </c>
      <c r="C482" s="608">
        <v>29.13</v>
      </c>
    </row>
    <row r="483" spans="1:3">
      <c r="A483" s="608" t="s">
        <v>2514</v>
      </c>
      <c r="B483" s="608" t="s">
        <v>2508</v>
      </c>
      <c r="C483" s="608">
        <v>29.13</v>
      </c>
    </row>
    <row r="484" spans="1:3">
      <c r="A484" s="608" t="s">
        <v>2515</v>
      </c>
      <c r="B484" s="608" t="s">
        <v>2508</v>
      </c>
      <c r="C484" s="608">
        <v>29.13</v>
      </c>
    </row>
    <row r="485" spans="1:3">
      <c r="A485" s="608" t="s">
        <v>2516</v>
      </c>
      <c r="B485" s="608" t="s">
        <v>2508</v>
      </c>
      <c r="C485" s="608">
        <v>29.13</v>
      </c>
    </row>
    <row r="486" spans="1:3">
      <c r="A486" s="608" t="s">
        <v>2517</v>
      </c>
      <c r="B486" s="608" t="s">
        <v>2518</v>
      </c>
      <c r="C486" s="608">
        <v>10.88</v>
      </c>
    </row>
    <row r="487" spans="1:3">
      <c r="A487" s="608" t="s">
        <v>2019</v>
      </c>
      <c r="B487" s="608" t="s">
        <v>2519</v>
      </c>
      <c r="C487" s="608">
        <v>19.1</v>
      </c>
    </row>
    <row r="488" spans="1:3">
      <c r="A488" s="608" t="s">
        <v>1784</v>
      </c>
      <c r="B488" s="608" t="s">
        <v>2519</v>
      </c>
      <c r="C488" s="608">
        <v>19.1</v>
      </c>
    </row>
    <row r="489" spans="1:3">
      <c r="A489" s="608" t="s">
        <v>973</v>
      </c>
      <c r="B489" s="608" t="s">
        <v>2519</v>
      </c>
      <c r="C489" s="608">
        <v>19.1</v>
      </c>
    </row>
    <row r="490" spans="1:3">
      <c r="A490" s="608" t="s">
        <v>2520</v>
      </c>
      <c r="B490" s="608" t="s">
        <v>2519</v>
      </c>
      <c r="C490" s="608">
        <v>19.1</v>
      </c>
    </row>
    <row r="491" spans="1:3">
      <c r="A491" s="608" t="s">
        <v>2521</v>
      </c>
      <c r="B491" s="608" t="s">
        <v>2519</v>
      </c>
      <c r="C491" s="608">
        <v>19.1</v>
      </c>
    </row>
    <row r="492" spans="1:3">
      <c r="A492" s="608" t="s">
        <v>685</v>
      </c>
      <c r="B492" s="608" t="s">
        <v>2522</v>
      </c>
      <c r="C492" s="608">
        <v>10</v>
      </c>
    </row>
    <row r="493" spans="1:3">
      <c r="A493" s="608" t="s">
        <v>1106</v>
      </c>
      <c r="B493" s="608" t="s">
        <v>2523</v>
      </c>
      <c r="C493" s="608" t="e">
        <v>#N/A</v>
      </c>
    </row>
    <row r="494" spans="1:3">
      <c r="A494" s="608" t="s">
        <v>904</v>
      </c>
      <c r="B494" s="608" t="s">
        <v>2523</v>
      </c>
      <c r="C494" s="608" t="e">
        <v>#N/A</v>
      </c>
    </row>
    <row r="495" spans="1:3">
      <c r="A495" s="608" t="s">
        <v>934</v>
      </c>
      <c r="B495" s="608" t="s">
        <v>2523</v>
      </c>
      <c r="C495" s="608" t="e">
        <v>#N/A</v>
      </c>
    </row>
    <row r="496" spans="1:3">
      <c r="A496" s="608" t="s">
        <v>918</v>
      </c>
      <c r="B496" s="608" t="s">
        <v>2523</v>
      </c>
      <c r="C496" s="608" t="e">
        <v>#N/A</v>
      </c>
    </row>
    <row r="497" spans="1:3">
      <c r="A497" s="608" t="s">
        <v>935</v>
      </c>
      <c r="B497" s="608" t="s">
        <v>2524</v>
      </c>
      <c r="C497" s="608" t="e">
        <v>#N/A</v>
      </c>
    </row>
    <row r="498" spans="1:3">
      <c r="A498" s="608" t="s">
        <v>110</v>
      </c>
      <c r="B498" s="608" t="s">
        <v>2525</v>
      </c>
      <c r="C498" s="608" t="e">
        <v>#N/A</v>
      </c>
    </row>
    <row r="499" spans="1:3">
      <c r="A499" s="608" t="s">
        <v>1796</v>
      </c>
      <c r="B499" s="608" t="s">
        <v>2526</v>
      </c>
      <c r="C499" s="608" t="e">
        <v>#N/A</v>
      </c>
    </row>
    <row r="500" spans="1:3">
      <c r="A500" s="608" t="s">
        <v>2527</v>
      </c>
      <c r="B500" s="608" t="s">
        <v>2528</v>
      </c>
      <c r="C500" s="608">
        <v>25.08</v>
      </c>
    </row>
    <row r="501" spans="1:3">
      <c r="A501" s="608" t="s">
        <v>1457</v>
      </c>
      <c r="B501" s="608" t="s">
        <v>2529</v>
      </c>
      <c r="C501" s="608" t="e">
        <v>#N/A</v>
      </c>
    </row>
    <row r="502" spans="1:3">
      <c r="A502" s="608" t="s">
        <v>217</v>
      </c>
      <c r="B502" s="608" t="s">
        <v>2530</v>
      </c>
      <c r="C502" s="608">
        <v>4.2</v>
      </c>
    </row>
    <row r="503" spans="1:3">
      <c r="A503" s="608" t="s">
        <v>1169</v>
      </c>
      <c r="B503" s="608" t="s">
        <v>2531</v>
      </c>
      <c r="C503" s="608">
        <v>8.8</v>
      </c>
    </row>
    <row r="504" spans="1:3">
      <c r="A504" s="608" t="s">
        <v>1881</v>
      </c>
      <c r="B504" s="608" t="s">
        <v>2532</v>
      </c>
      <c r="C504" s="608">
        <v>17.9</v>
      </c>
    </row>
    <row r="505" spans="1:3">
      <c r="A505" s="608" t="s">
        <v>2533</v>
      </c>
      <c r="B505" s="608" t="s">
        <v>2534</v>
      </c>
      <c r="C505" s="608">
        <v>8</v>
      </c>
    </row>
    <row r="506" spans="1:3">
      <c r="A506" s="608" t="s">
        <v>452</v>
      </c>
      <c r="B506" s="608" t="s">
        <v>2535</v>
      </c>
      <c r="C506" s="608">
        <v>26.9</v>
      </c>
    </row>
    <row r="507" spans="1:3">
      <c r="A507" s="608" t="s">
        <v>241</v>
      </c>
      <c r="B507" s="608" t="s">
        <v>2536</v>
      </c>
      <c r="C507" s="608" t="e">
        <v>#N/A</v>
      </c>
    </row>
    <row r="508" spans="1:3">
      <c r="A508" s="608" t="s">
        <v>2537</v>
      </c>
      <c r="B508" s="608" t="s">
        <v>2538</v>
      </c>
      <c r="C508" s="608">
        <v>8</v>
      </c>
    </row>
    <row r="509" spans="1:3">
      <c r="A509" s="608" t="s">
        <v>2539</v>
      </c>
      <c r="B509" s="608" t="s">
        <v>2540</v>
      </c>
      <c r="C509" s="608">
        <v>12.01</v>
      </c>
    </row>
    <row r="510" spans="1:3">
      <c r="A510" s="608" t="s">
        <v>127</v>
      </c>
      <c r="B510" s="608" t="s">
        <v>2541</v>
      </c>
      <c r="C510" s="608">
        <v>34.92</v>
      </c>
    </row>
    <row r="511" spans="1:3">
      <c r="A511" s="608" t="s">
        <v>2542</v>
      </c>
      <c r="B511" s="608" t="s">
        <v>2543</v>
      </c>
      <c r="C511" s="608">
        <v>18.21</v>
      </c>
    </row>
    <row r="512" spans="1:3">
      <c r="A512" s="608" t="s">
        <v>2544</v>
      </c>
      <c r="B512" s="608" t="s">
        <v>2545</v>
      </c>
      <c r="C512" s="608">
        <v>20.14</v>
      </c>
    </row>
    <row r="513" spans="1:3">
      <c r="A513" s="608" t="s">
        <v>2546</v>
      </c>
      <c r="B513" s="608" t="s">
        <v>2547</v>
      </c>
      <c r="C513" s="608">
        <v>16.52</v>
      </c>
    </row>
    <row r="514" spans="1:3">
      <c r="A514" s="608" t="s">
        <v>2548</v>
      </c>
      <c r="B514" s="608" t="s">
        <v>2549</v>
      </c>
      <c r="C514" s="608">
        <v>10.96</v>
      </c>
    </row>
    <row r="515" spans="1:3">
      <c r="A515" s="608" t="s">
        <v>2550</v>
      </c>
      <c r="B515" s="608" t="s">
        <v>2551</v>
      </c>
      <c r="C515" s="608">
        <v>8</v>
      </c>
    </row>
    <row r="516" spans="1:3">
      <c r="A516" s="608" t="s">
        <v>2552</v>
      </c>
      <c r="B516" s="608" t="s">
        <v>2551</v>
      </c>
      <c r="C516" s="608">
        <v>8</v>
      </c>
    </row>
    <row r="517" spans="1:3">
      <c r="A517" s="608" t="s">
        <v>2553</v>
      </c>
      <c r="B517" s="608" t="s">
        <v>2551</v>
      </c>
      <c r="C517" s="608">
        <v>8</v>
      </c>
    </row>
    <row r="518" spans="1:3">
      <c r="A518" s="608" t="s">
        <v>2554</v>
      </c>
      <c r="B518" s="608" t="s">
        <v>2555</v>
      </c>
      <c r="C518" s="608">
        <v>30.02</v>
      </c>
    </row>
    <row r="519" spans="1:3">
      <c r="A519" s="608" t="s">
        <v>2556</v>
      </c>
      <c r="B519" s="608" t="s">
        <v>2555</v>
      </c>
      <c r="C519" s="608">
        <v>30.02</v>
      </c>
    </row>
    <row r="520" spans="1:3">
      <c r="A520" s="608" t="s">
        <v>2557</v>
      </c>
      <c r="B520" s="608" t="s">
        <v>2555</v>
      </c>
      <c r="C520" s="608">
        <v>30.02</v>
      </c>
    </row>
    <row r="521" spans="1:3">
      <c r="A521" s="608" t="s">
        <v>2558</v>
      </c>
      <c r="B521" s="608" t="s">
        <v>2555</v>
      </c>
      <c r="C521" s="608">
        <v>30.02</v>
      </c>
    </row>
    <row r="522" spans="1:3">
      <c r="A522" s="608" t="s">
        <v>137</v>
      </c>
      <c r="B522" s="608" t="s">
        <v>2559</v>
      </c>
      <c r="C522" s="608" t="e">
        <v>#N/A</v>
      </c>
    </row>
    <row r="523" spans="1:3">
      <c r="A523" s="608" t="s">
        <v>148</v>
      </c>
      <c r="B523" s="608" t="s">
        <v>2560</v>
      </c>
      <c r="C523" s="608" t="e">
        <v>#N/A</v>
      </c>
    </row>
    <row r="524" spans="1:3">
      <c r="A524" s="608" t="s">
        <v>697</v>
      </c>
      <c r="B524" s="608" t="s">
        <v>2561</v>
      </c>
      <c r="C524" s="608">
        <v>20.09</v>
      </c>
    </row>
    <row r="525" spans="1:3">
      <c r="A525" s="608" t="s">
        <v>2562</v>
      </c>
      <c r="B525" s="608" t="s">
        <v>2563</v>
      </c>
      <c r="C525" s="608" t="e">
        <v>#N/A</v>
      </c>
    </row>
    <row r="526" spans="1:3">
      <c r="A526" s="608" t="s">
        <v>1058</v>
      </c>
      <c r="B526" s="608" t="s">
        <v>2564</v>
      </c>
      <c r="C526" s="608">
        <v>10</v>
      </c>
    </row>
    <row r="527" spans="1:3">
      <c r="A527" s="608" t="s">
        <v>317</v>
      </c>
      <c r="B527" s="608" t="s">
        <v>2565</v>
      </c>
      <c r="C527" s="608" t="e">
        <v>#N/A</v>
      </c>
    </row>
    <row r="528" spans="1:3">
      <c r="A528" s="608" t="s">
        <v>701</v>
      </c>
      <c r="B528" s="608" t="s">
        <v>2566</v>
      </c>
      <c r="C528" s="608">
        <v>20.35</v>
      </c>
    </row>
    <row r="529" spans="1:3">
      <c r="A529" s="608" t="s">
        <v>1972</v>
      </c>
      <c r="B529" s="608" t="s">
        <v>2567</v>
      </c>
      <c r="C529" s="608">
        <v>10</v>
      </c>
    </row>
    <row r="530" spans="1:3">
      <c r="A530" s="608" t="s">
        <v>2568</v>
      </c>
      <c r="B530" s="608" t="s">
        <v>2569</v>
      </c>
      <c r="C530" s="608">
        <v>21.2</v>
      </c>
    </row>
    <row r="531" spans="1:3">
      <c r="A531" s="608" t="s">
        <v>2570</v>
      </c>
      <c r="B531" s="608" t="s">
        <v>2571</v>
      </c>
      <c r="C531" s="608">
        <v>31.85</v>
      </c>
    </row>
    <row r="532" spans="1:3">
      <c r="A532" s="608" t="s">
        <v>2572</v>
      </c>
      <c r="B532" s="608" t="s">
        <v>2571</v>
      </c>
      <c r="C532" s="608">
        <v>31.85</v>
      </c>
    </row>
    <row r="533" spans="1:3">
      <c r="A533" s="608" t="s">
        <v>2573</v>
      </c>
      <c r="B533" s="608" t="s">
        <v>2571</v>
      </c>
      <c r="C533" s="608">
        <v>31.85</v>
      </c>
    </row>
    <row r="534" spans="1:3">
      <c r="A534" s="608" t="s">
        <v>2574</v>
      </c>
      <c r="B534" s="608" t="s">
        <v>2571</v>
      </c>
      <c r="C534" s="608">
        <v>31.85</v>
      </c>
    </row>
    <row r="535" spans="1:3">
      <c r="A535" s="608" t="s">
        <v>2575</v>
      </c>
      <c r="B535" s="608" t="s">
        <v>2571</v>
      </c>
      <c r="C535" s="608">
        <v>31.85</v>
      </c>
    </row>
    <row r="536" spans="1:3">
      <c r="A536" s="608" t="s">
        <v>2576</v>
      </c>
      <c r="B536" s="608" t="s">
        <v>2571</v>
      </c>
      <c r="C536" s="608">
        <v>31.85</v>
      </c>
    </row>
    <row r="537" spans="1:3">
      <c r="A537" s="608" t="s">
        <v>1523</v>
      </c>
      <c r="B537" s="608" t="s">
        <v>2577</v>
      </c>
      <c r="C537" s="608">
        <v>20.15</v>
      </c>
    </row>
    <row r="538" spans="1:3">
      <c r="A538" s="608" t="s">
        <v>2578</v>
      </c>
      <c r="B538" s="608" t="s">
        <v>2579</v>
      </c>
      <c r="C538" s="608">
        <v>28.14</v>
      </c>
    </row>
    <row r="539" spans="1:3">
      <c r="A539" s="608" t="s">
        <v>2580</v>
      </c>
      <c r="B539" s="608" t="s">
        <v>2579</v>
      </c>
      <c r="C539" s="608">
        <v>28.14</v>
      </c>
    </row>
    <row r="540" spans="1:3">
      <c r="A540" s="608" t="s">
        <v>2581</v>
      </c>
      <c r="B540" s="608" t="s">
        <v>2579</v>
      </c>
      <c r="C540" s="608">
        <v>28.14</v>
      </c>
    </row>
    <row r="541" spans="1:3">
      <c r="A541" s="608" t="s">
        <v>2582</v>
      </c>
      <c r="B541" s="608" t="s">
        <v>2579</v>
      </c>
      <c r="C541" s="608">
        <v>28.14</v>
      </c>
    </row>
    <row r="542" spans="1:3">
      <c r="A542" s="608" t="s">
        <v>2583</v>
      </c>
      <c r="B542" s="608" t="s">
        <v>2579</v>
      </c>
      <c r="C542" s="608">
        <v>28.14</v>
      </c>
    </row>
    <row r="543" spans="1:3">
      <c r="A543" s="608" t="s">
        <v>2584</v>
      </c>
      <c r="B543" s="608" t="s">
        <v>2585</v>
      </c>
      <c r="C543" s="608">
        <v>15.3</v>
      </c>
    </row>
    <row r="544" spans="1:3">
      <c r="A544" s="608" t="s">
        <v>751</v>
      </c>
      <c r="B544" s="608" t="s">
        <v>2586</v>
      </c>
      <c r="C544" s="608">
        <v>7.51</v>
      </c>
    </row>
    <row r="545" spans="1:3">
      <c r="A545" s="608" t="s">
        <v>855</v>
      </c>
      <c r="B545" s="608" t="s">
        <v>2586</v>
      </c>
      <c r="C545" s="608">
        <v>7.51</v>
      </c>
    </row>
    <row r="546" spans="1:3">
      <c r="A546" s="608" t="s">
        <v>675</v>
      </c>
      <c r="B546" s="608" t="s">
        <v>2586</v>
      </c>
      <c r="C546" s="608">
        <v>7.51</v>
      </c>
    </row>
    <row r="547" spans="1:3">
      <c r="A547" s="608" t="s">
        <v>626</v>
      </c>
      <c r="B547" s="608" t="s">
        <v>2586</v>
      </c>
      <c r="C547" s="608">
        <v>7.51</v>
      </c>
    </row>
    <row r="548" spans="1:3">
      <c r="A548" s="608" t="s">
        <v>630</v>
      </c>
      <c r="B548" s="608" t="s">
        <v>2586</v>
      </c>
      <c r="C548" s="608">
        <v>7.51</v>
      </c>
    </row>
    <row r="549" spans="1:3">
      <c r="A549" s="608" t="s">
        <v>850</v>
      </c>
      <c r="B549" s="608" t="s">
        <v>2586</v>
      </c>
      <c r="C549" s="608">
        <v>7.51</v>
      </c>
    </row>
    <row r="550" spans="1:3">
      <c r="A550" s="608" t="s">
        <v>717</v>
      </c>
      <c r="B550" s="608" t="s">
        <v>2586</v>
      </c>
      <c r="C550" s="608">
        <v>7.51</v>
      </c>
    </row>
    <row r="551" spans="1:3">
      <c r="A551" s="608" t="s">
        <v>851</v>
      </c>
      <c r="B551" s="608" t="s">
        <v>2586</v>
      </c>
      <c r="C551" s="608">
        <v>7.51</v>
      </c>
    </row>
    <row r="552" spans="1:3">
      <c r="A552" s="608" t="s">
        <v>686</v>
      </c>
      <c r="B552" s="608" t="s">
        <v>2586</v>
      </c>
      <c r="C552" s="608">
        <v>7.51</v>
      </c>
    </row>
    <row r="553" spans="1:3">
      <c r="A553" s="608" t="s">
        <v>848</v>
      </c>
      <c r="B553" s="608" t="s">
        <v>2586</v>
      </c>
      <c r="C553" s="608">
        <v>7.51</v>
      </c>
    </row>
    <row r="554" spans="1:3">
      <c r="A554" s="608" t="s">
        <v>719</v>
      </c>
      <c r="B554" s="608" t="s">
        <v>2586</v>
      </c>
      <c r="C554" s="608">
        <v>7.51</v>
      </c>
    </row>
    <row r="555" spans="1:3">
      <c r="A555" s="608" t="s">
        <v>847</v>
      </c>
      <c r="B555" s="608" t="s">
        <v>2586</v>
      </c>
      <c r="C555" s="608">
        <v>7.51</v>
      </c>
    </row>
    <row r="556" spans="1:3">
      <c r="A556" s="608" t="s">
        <v>852</v>
      </c>
      <c r="B556" s="608" t="s">
        <v>2586</v>
      </c>
      <c r="C556" s="608">
        <v>7.51</v>
      </c>
    </row>
    <row r="557" spans="1:3">
      <c r="A557" s="608" t="s">
        <v>853</v>
      </c>
      <c r="B557" s="608" t="s">
        <v>2586</v>
      </c>
      <c r="C557" s="608">
        <v>7.51</v>
      </c>
    </row>
    <row r="558" spans="1:3">
      <c r="A558" s="608" t="s">
        <v>854</v>
      </c>
      <c r="B558" s="608" t="s">
        <v>2586</v>
      </c>
      <c r="C558" s="608">
        <v>7.51</v>
      </c>
    </row>
    <row r="559" spans="1:3">
      <c r="A559" s="608" t="s">
        <v>2014</v>
      </c>
      <c r="B559" s="608" t="s">
        <v>2587</v>
      </c>
      <c r="C559" s="608">
        <v>10.33</v>
      </c>
    </row>
    <row r="560" spans="1:3">
      <c r="A560" s="608" t="s">
        <v>858</v>
      </c>
      <c r="B560" s="608" t="s">
        <v>2588</v>
      </c>
      <c r="C560" s="608">
        <v>16.09</v>
      </c>
    </row>
    <row r="561" spans="1:3">
      <c r="A561" s="608" t="s">
        <v>2589</v>
      </c>
      <c r="B561" s="608" t="s">
        <v>2590</v>
      </c>
      <c r="C561" s="608">
        <v>13.32</v>
      </c>
    </row>
    <row r="562" spans="1:3">
      <c r="A562" s="608" t="s">
        <v>2591</v>
      </c>
      <c r="B562" s="608" t="s">
        <v>2592</v>
      </c>
      <c r="C562" s="608">
        <v>15.03</v>
      </c>
    </row>
    <row r="563" spans="1:3">
      <c r="A563" s="608" t="s">
        <v>2593</v>
      </c>
      <c r="B563" s="608" t="s">
        <v>2594</v>
      </c>
      <c r="C563" s="608">
        <v>19.07</v>
      </c>
    </row>
    <row r="564" spans="1:3">
      <c r="A564" s="608" t="s">
        <v>706</v>
      </c>
      <c r="B564" s="608" t="s">
        <v>2595</v>
      </c>
      <c r="C564" s="608">
        <v>18</v>
      </c>
    </row>
    <row r="565" spans="1:3">
      <c r="A565" s="608" t="s">
        <v>2596</v>
      </c>
      <c r="B565" s="608" t="s">
        <v>2597</v>
      </c>
      <c r="C565" s="608">
        <v>21.23</v>
      </c>
    </row>
    <row r="566" spans="1:3">
      <c r="A566" s="608" t="s">
        <v>2598</v>
      </c>
      <c r="B566" s="608" t="s">
        <v>2599</v>
      </c>
      <c r="C566" s="608">
        <v>12.13</v>
      </c>
    </row>
    <row r="567" spans="1:3">
      <c r="A567" s="608" t="s">
        <v>2600</v>
      </c>
      <c r="B567" s="608" t="s">
        <v>2601</v>
      </c>
      <c r="C567" s="608">
        <v>16.1</v>
      </c>
    </row>
    <row r="568" spans="1:3">
      <c r="A568" s="608" t="s">
        <v>2602</v>
      </c>
      <c r="B568" s="608" t="s">
        <v>2603</v>
      </c>
      <c r="C568" s="608">
        <v>18.41</v>
      </c>
    </row>
    <row r="569" spans="1:3">
      <c r="A569" s="608" t="s">
        <v>2604</v>
      </c>
      <c r="B569" s="608" t="s">
        <v>2603</v>
      </c>
      <c r="C569" s="608">
        <v>18.41</v>
      </c>
    </row>
    <row r="570" spans="1:3">
      <c r="A570" s="608" t="s">
        <v>1632</v>
      </c>
      <c r="B570" s="608" t="s">
        <v>2605</v>
      </c>
      <c r="C570" s="608" t="e">
        <v>#N/A</v>
      </c>
    </row>
    <row r="571" spans="1:3">
      <c r="A571" s="608" t="s">
        <v>1279</v>
      </c>
      <c r="B571" s="608" t="s">
        <v>2605</v>
      </c>
      <c r="C571" s="608" t="e">
        <v>#N/A</v>
      </c>
    </row>
    <row r="572" spans="1:3">
      <c r="A572" s="608" t="s">
        <v>1430</v>
      </c>
      <c r="B572" s="608" t="s">
        <v>2605</v>
      </c>
      <c r="C572" s="608" t="e">
        <v>#N/A</v>
      </c>
    </row>
    <row r="573" spans="1:3">
      <c r="A573" s="608" t="s">
        <v>862</v>
      </c>
      <c r="B573" s="608" t="s">
        <v>2605</v>
      </c>
      <c r="C573" s="608" t="e">
        <v>#N/A</v>
      </c>
    </row>
    <row r="574" spans="1:3">
      <c r="A574" s="608" t="s">
        <v>742</v>
      </c>
      <c r="B574" s="608" t="s">
        <v>2605</v>
      </c>
      <c r="C574" s="608" t="e">
        <v>#N/A</v>
      </c>
    </row>
    <row r="575" spans="1:3">
      <c r="A575" s="608" t="s">
        <v>898</v>
      </c>
      <c r="B575" s="608" t="s">
        <v>2605</v>
      </c>
      <c r="C575" s="608" t="e">
        <v>#N/A</v>
      </c>
    </row>
    <row r="576" spans="1:3">
      <c r="A576" s="608" t="s">
        <v>2606</v>
      </c>
      <c r="B576" s="608" t="s">
        <v>2605</v>
      </c>
      <c r="C576" s="608" t="e">
        <v>#N/A</v>
      </c>
    </row>
    <row r="577" spans="1:3">
      <c r="A577" s="608" t="s">
        <v>2001</v>
      </c>
      <c r="B577" s="608" t="s">
        <v>2607</v>
      </c>
      <c r="C577" s="608">
        <v>88.78</v>
      </c>
    </row>
    <row r="578" spans="1:3">
      <c r="A578" s="608" t="s">
        <v>2608</v>
      </c>
      <c r="B578" s="608" t="s">
        <v>2609</v>
      </c>
      <c r="C578" s="608">
        <v>18.56</v>
      </c>
    </row>
    <row r="579" spans="1:3">
      <c r="A579" s="608" t="s">
        <v>2610</v>
      </c>
      <c r="B579" s="608" t="s">
        <v>2611</v>
      </c>
      <c r="C579" s="608">
        <v>18.47</v>
      </c>
    </row>
    <row r="580" spans="1:3">
      <c r="A580" s="608" t="s">
        <v>456</v>
      </c>
      <c r="B580" s="608" t="s">
        <v>2612</v>
      </c>
      <c r="C580" s="608">
        <v>18.96</v>
      </c>
    </row>
    <row r="581" spans="1:3">
      <c r="A581" s="608" t="s">
        <v>2613</v>
      </c>
      <c r="B581" s="608" t="s">
        <v>2614</v>
      </c>
      <c r="C581" s="608">
        <v>20.1</v>
      </c>
    </row>
    <row r="582" spans="1:3">
      <c r="A582" s="608" t="s">
        <v>869</v>
      </c>
      <c r="B582" s="608" t="s">
        <v>2615</v>
      </c>
      <c r="C582" s="608">
        <v>18.16</v>
      </c>
    </row>
    <row r="583" spans="1:3">
      <c r="A583" s="608" t="s">
        <v>2616</v>
      </c>
      <c r="B583" s="608" t="s">
        <v>2617</v>
      </c>
      <c r="C583" s="608">
        <v>15.19</v>
      </c>
    </row>
    <row r="584" spans="1:3">
      <c r="A584" s="608" t="s">
        <v>2618</v>
      </c>
      <c r="B584" s="608" t="s">
        <v>2619</v>
      </c>
      <c r="C584" s="608">
        <v>15.19</v>
      </c>
    </row>
    <row r="585" spans="1:3">
      <c r="A585" s="608" t="s">
        <v>2620</v>
      </c>
      <c r="B585" s="608" t="s">
        <v>2621</v>
      </c>
      <c r="C585" s="608">
        <v>18.17</v>
      </c>
    </row>
    <row r="586" spans="1:3">
      <c r="A586" s="608" t="s">
        <v>2622</v>
      </c>
      <c r="B586" s="608" t="s">
        <v>2623</v>
      </c>
      <c r="C586" s="608">
        <v>21.16</v>
      </c>
    </row>
    <row r="587" spans="1:3">
      <c r="A587" s="608" t="s">
        <v>794</v>
      </c>
      <c r="B587" s="608" t="s">
        <v>2624</v>
      </c>
      <c r="C587" s="608">
        <v>16.08</v>
      </c>
    </row>
    <row r="588" spans="1:3">
      <c r="A588" s="608" t="s">
        <v>2625</v>
      </c>
      <c r="B588" s="608" t="s">
        <v>2624</v>
      </c>
      <c r="C588" s="608">
        <v>16.08</v>
      </c>
    </row>
    <row r="589" spans="1:3">
      <c r="A589" s="608" t="s">
        <v>2626</v>
      </c>
      <c r="B589" s="608" t="s">
        <v>2627</v>
      </c>
      <c r="C589" s="608">
        <v>18.06</v>
      </c>
    </row>
    <row r="590" spans="1:3">
      <c r="A590" s="608" t="s">
        <v>856</v>
      </c>
      <c r="B590" s="608" t="s">
        <v>2628</v>
      </c>
      <c r="C590" s="608" t="e">
        <v>#N/A</v>
      </c>
    </row>
    <row r="591" spans="1:3">
      <c r="A591" s="608" t="s">
        <v>2629</v>
      </c>
      <c r="B591" s="608" t="s">
        <v>2630</v>
      </c>
      <c r="C591" s="608">
        <v>15.87</v>
      </c>
    </row>
    <row r="592" spans="1:3">
      <c r="A592" s="608" t="s">
        <v>716</v>
      </c>
      <c r="B592" s="608" t="s">
        <v>2631</v>
      </c>
      <c r="C592" s="608">
        <v>10.01</v>
      </c>
    </row>
    <row r="593" spans="1:3">
      <c r="A593" s="608" t="s">
        <v>600</v>
      </c>
      <c r="B593" s="608" t="s">
        <v>2631</v>
      </c>
      <c r="C593" s="608">
        <v>10.01</v>
      </c>
    </row>
    <row r="594" spans="1:3">
      <c r="A594" s="608" t="s">
        <v>676</v>
      </c>
      <c r="B594" s="608" t="s">
        <v>2631</v>
      </c>
      <c r="C594" s="608">
        <v>10.01</v>
      </c>
    </row>
    <row r="595" spans="1:3">
      <c r="A595" s="608" t="s">
        <v>2632</v>
      </c>
      <c r="B595" s="608" t="s">
        <v>2633</v>
      </c>
      <c r="C595" s="608">
        <v>9.61</v>
      </c>
    </row>
    <row r="596" spans="1:3">
      <c r="A596" s="608" t="s">
        <v>2634</v>
      </c>
      <c r="B596" s="608" t="s">
        <v>2635</v>
      </c>
      <c r="C596" s="608">
        <v>19.2</v>
      </c>
    </row>
    <row r="597" spans="1:3">
      <c r="A597" s="608" t="s">
        <v>2636</v>
      </c>
      <c r="B597" s="608" t="s">
        <v>2637</v>
      </c>
      <c r="C597" s="608">
        <v>18.8</v>
      </c>
    </row>
    <row r="598" spans="1:3">
      <c r="A598" s="608" t="s">
        <v>2638</v>
      </c>
      <c r="B598" s="608" t="s">
        <v>2637</v>
      </c>
      <c r="C598" s="608">
        <v>18.8</v>
      </c>
    </row>
    <row r="599" spans="1:3">
      <c r="A599" s="608" t="s">
        <v>2639</v>
      </c>
      <c r="B599" s="608" t="s">
        <v>2637</v>
      </c>
      <c r="C599" s="608">
        <v>18.8</v>
      </c>
    </row>
    <row r="600" spans="1:3">
      <c r="A600" s="608" t="s">
        <v>2640</v>
      </c>
      <c r="B600" s="608" t="s">
        <v>2641</v>
      </c>
      <c r="C600" s="608">
        <v>18.09</v>
      </c>
    </row>
    <row r="601" spans="1:3">
      <c r="A601" s="608" t="s">
        <v>343</v>
      </c>
      <c r="B601" s="608" t="s">
        <v>2642</v>
      </c>
      <c r="C601" s="608">
        <v>29.98</v>
      </c>
    </row>
    <row r="602" spans="1:3">
      <c r="A602" s="608" t="s">
        <v>2643</v>
      </c>
      <c r="B602" s="608" t="s">
        <v>2644</v>
      </c>
      <c r="C602" s="608">
        <v>15</v>
      </c>
    </row>
    <row r="603" spans="1:3">
      <c r="A603" s="608" t="s">
        <v>873</v>
      </c>
      <c r="B603" s="608" t="s">
        <v>2645</v>
      </c>
      <c r="C603" s="608">
        <v>21.24</v>
      </c>
    </row>
    <row r="604" spans="1:3">
      <c r="A604" s="608" t="s">
        <v>752</v>
      </c>
      <c r="B604" s="608" t="s">
        <v>2646</v>
      </c>
      <c r="C604" s="608">
        <v>26.5</v>
      </c>
    </row>
    <row r="605" spans="1:3">
      <c r="A605" s="608" t="s">
        <v>636</v>
      </c>
      <c r="B605" s="608" t="s">
        <v>2647</v>
      </c>
      <c r="C605" s="608">
        <v>28.66</v>
      </c>
    </row>
    <row r="606" spans="1:3">
      <c r="A606" s="608" t="s">
        <v>602</v>
      </c>
      <c r="B606" s="608" t="s">
        <v>2648</v>
      </c>
      <c r="C606" s="608">
        <v>18.11</v>
      </c>
    </row>
    <row r="607" spans="1:3">
      <c r="A607" s="608" t="s">
        <v>1950</v>
      </c>
      <c r="B607" s="608" t="s">
        <v>2649</v>
      </c>
      <c r="C607" s="608">
        <v>22.18</v>
      </c>
    </row>
    <row r="608" spans="1:3">
      <c r="A608" s="608" t="s">
        <v>2650</v>
      </c>
      <c r="B608" s="608" t="s">
        <v>2649</v>
      </c>
      <c r="C608" s="608">
        <v>22.18</v>
      </c>
    </row>
    <row r="609" spans="1:3">
      <c r="A609" s="608" t="s">
        <v>1181</v>
      </c>
      <c r="B609" s="608" t="s">
        <v>2651</v>
      </c>
      <c r="C609" s="608">
        <v>16.61</v>
      </c>
    </row>
    <row r="610" spans="1:3">
      <c r="A610" s="608" t="s">
        <v>2652</v>
      </c>
      <c r="B610" s="608" t="s">
        <v>2651</v>
      </c>
      <c r="C610" s="608">
        <v>16.61</v>
      </c>
    </row>
    <row r="611" spans="1:3">
      <c r="A611" s="608" t="s">
        <v>740</v>
      </c>
      <c r="B611" s="608" t="s">
        <v>2653</v>
      </c>
      <c r="C611" s="608">
        <v>29.14</v>
      </c>
    </row>
    <row r="612" spans="1:3">
      <c r="A612" s="608" t="s">
        <v>678</v>
      </c>
      <c r="B612" s="608" t="s">
        <v>2653</v>
      </c>
      <c r="C612" s="608">
        <v>29.14</v>
      </c>
    </row>
    <row r="613" spans="1:3">
      <c r="A613" s="608" t="s">
        <v>644</v>
      </c>
      <c r="B613" s="608" t="s">
        <v>2653</v>
      </c>
      <c r="C613" s="608">
        <v>29.14</v>
      </c>
    </row>
    <row r="614" spans="1:3">
      <c r="A614" s="608" t="s">
        <v>741</v>
      </c>
      <c r="B614" s="608" t="s">
        <v>2653</v>
      </c>
      <c r="C614" s="608">
        <v>29.14</v>
      </c>
    </row>
    <row r="615" spans="1:3">
      <c r="A615" s="608" t="s">
        <v>645</v>
      </c>
      <c r="B615" s="608" t="s">
        <v>2653</v>
      </c>
      <c r="C615" s="608">
        <v>29.14</v>
      </c>
    </row>
    <row r="616" spans="1:3">
      <c r="A616" s="608" t="s">
        <v>2654</v>
      </c>
      <c r="B616" s="608" t="s">
        <v>2655</v>
      </c>
      <c r="C616" s="608" t="e">
        <v>#N/A</v>
      </c>
    </row>
    <row r="617" spans="1:3">
      <c r="A617" s="608" t="s">
        <v>2656</v>
      </c>
      <c r="B617" s="608" t="s">
        <v>2657</v>
      </c>
      <c r="C617" s="608">
        <v>15</v>
      </c>
    </row>
    <row r="618" spans="1:3">
      <c r="A618" s="608" t="s">
        <v>2658</v>
      </c>
      <c r="B618" s="608" t="s">
        <v>2659</v>
      </c>
      <c r="C618" s="608">
        <v>26.61</v>
      </c>
    </row>
    <row r="619" spans="1:3">
      <c r="A619" s="608" t="s">
        <v>619</v>
      </c>
      <c r="B619" s="608" t="s">
        <v>2660</v>
      </c>
      <c r="C619" s="608">
        <v>10.91</v>
      </c>
    </row>
    <row r="620" spans="1:3">
      <c r="A620" s="608" t="s">
        <v>1199</v>
      </c>
      <c r="B620" s="608" t="s">
        <v>2661</v>
      </c>
      <c r="C620" s="608">
        <v>14.95</v>
      </c>
    </row>
    <row r="621" spans="1:3">
      <c r="A621" s="608" t="s">
        <v>1795</v>
      </c>
      <c r="B621" s="608" t="s">
        <v>2662</v>
      </c>
      <c r="C621" s="608" t="e">
        <v>#N/A</v>
      </c>
    </row>
    <row r="622" spans="1:3">
      <c r="A622" s="608" t="s">
        <v>2663</v>
      </c>
      <c r="B622" s="608" t="s">
        <v>2664</v>
      </c>
      <c r="C622" s="608">
        <v>18.04</v>
      </c>
    </row>
    <row r="623" spans="1:3">
      <c r="A623" s="608" t="s">
        <v>618</v>
      </c>
      <c r="B623" s="608" t="s">
        <v>2665</v>
      </c>
      <c r="C623" s="608">
        <v>20.21</v>
      </c>
    </row>
    <row r="624" spans="1:3">
      <c r="A624" s="608" t="s">
        <v>2666</v>
      </c>
      <c r="B624" s="608" t="s">
        <v>2667</v>
      </c>
      <c r="C624" s="608">
        <v>16.42</v>
      </c>
    </row>
    <row r="625" spans="1:3">
      <c r="A625" s="608" t="s">
        <v>2668</v>
      </c>
      <c r="B625" s="608" t="s">
        <v>2669</v>
      </c>
      <c r="C625" s="608">
        <v>20.1</v>
      </c>
    </row>
    <row r="626" spans="1:3">
      <c r="A626" s="608" t="s">
        <v>2670</v>
      </c>
      <c r="B626" s="608" t="s">
        <v>2671</v>
      </c>
      <c r="C626" s="608">
        <v>31.61</v>
      </c>
    </row>
    <row r="627" spans="1:3">
      <c r="A627" s="608" t="s">
        <v>723</v>
      </c>
      <c r="B627" s="608" t="s">
        <v>2672</v>
      </c>
      <c r="C627" s="608">
        <v>5.1</v>
      </c>
    </row>
    <row r="628" spans="1:3">
      <c r="A628" s="608" t="s">
        <v>134</v>
      </c>
      <c r="B628" s="608" t="s">
        <v>2673</v>
      </c>
      <c r="C628" s="608" t="e">
        <v>#N/A</v>
      </c>
    </row>
    <row r="629" spans="1:3">
      <c r="A629" s="608" t="s">
        <v>293</v>
      </c>
      <c r="B629" s="608" t="s">
        <v>2674</v>
      </c>
      <c r="C629" s="608" t="e">
        <v>#N/A</v>
      </c>
    </row>
    <row r="630" spans="1:3">
      <c r="A630" s="608" t="s">
        <v>592</v>
      </c>
      <c r="B630" s="608" t="s">
        <v>2675</v>
      </c>
      <c r="C630" s="608">
        <v>29.07</v>
      </c>
    </row>
    <row r="631" spans="1:3">
      <c r="A631" s="608" t="s">
        <v>621</v>
      </c>
      <c r="B631" s="608" t="s">
        <v>2675</v>
      </c>
      <c r="C631" s="608">
        <v>29.07</v>
      </c>
    </row>
    <row r="632" spans="1:3">
      <c r="A632" s="608" t="s">
        <v>640</v>
      </c>
      <c r="B632" s="608" t="s">
        <v>2675</v>
      </c>
      <c r="C632" s="608">
        <v>29.07</v>
      </c>
    </row>
    <row r="633" spans="1:3">
      <c r="A633" s="608" t="s">
        <v>593</v>
      </c>
      <c r="B633" s="608" t="s">
        <v>2675</v>
      </c>
      <c r="C633" s="608">
        <v>29.07</v>
      </c>
    </row>
    <row r="634" spans="1:3">
      <c r="A634" s="608" t="s">
        <v>610</v>
      </c>
      <c r="B634" s="608" t="s">
        <v>2675</v>
      </c>
      <c r="C634" s="608">
        <v>29.07</v>
      </c>
    </row>
    <row r="635" spans="1:3">
      <c r="A635" s="608" t="s">
        <v>639</v>
      </c>
      <c r="B635" s="608" t="s">
        <v>2675</v>
      </c>
      <c r="C635" s="608">
        <v>29.07</v>
      </c>
    </row>
    <row r="636" spans="1:3">
      <c r="A636" s="608" t="s">
        <v>2676</v>
      </c>
      <c r="B636" s="608" t="s">
        <v>2677</v>
      </c>
      <c r="C636" s="608">
        <v>8.03</v>
      </c>
    </row>
    <row r="637" spans="1:3">
      <c r="A637" s="608" t="s">
        <v>631</v>
      </c>
      <c r="B637" s="608" t="s">
        <v>2678</v>
      </c>
      <c r="C637" s="608">
        <v>15.32</v>
      </c>
    </row>
    <row r="638" spans="1:3">
      <c r="A638" s="608" t="s">
        <v>1807</v>
      </c>
      <c r="B638" s="608" t="s">
        <v>2678</v>
      </c>
      <c r="C638" s="608">
        <v>15.32</v>
      </c>
    </row>
    <row r="639" spans="1:3">
      <c r="A639" s="608" t="s">
        <v>876</v>
      </c>
      <c r="B639" s="608" t="s">
        <v>2678</v>
      </c>
      <c r="C639" s="608">
        <v>15.32</v>
      </c>
    </row>
    <row r="640" spans="1:3">
      <c r="A640" s="608" t="s">
        <v>1752</v>
      </c>
      <c r="B640" s="608" t="s">
        <v>2678</v>
      </c>
      <c r="C640" s="608">
        <v>15.32</v>
      </c>
    </row>
    <row r="641" spans="1:3">
      <c r="A641" s="608" t="s">
        <v>1464</v>
      </c>
      <c r="B641" s="608" t="s">
        <v>2678</v>
      </c>
      <c r="C641" s="608">
        <v>15.32</v>
      </c>
    </row>
    <row r="642" spans="1:3">
      <c r="A642" s="608" t="s">
        <v>816</v>
      </c>
      <c r="B642" s="608" t="s">
        <v>2679</v>
      </c>
      <c r="C642" s="608">
        <v>18.15</v>
      </c>
    </row>
    <row r="643" spans="1:3">
      <c r="A643" s="608" t="s">
        <v>880</v>
      </c>
      <c r="B643" s="608" t="s">
        <v>2680</v>
      </c>
      <c r="C643" s="608">
        <v>18.37</v>
      </c>
    </row>
    <row r="644" spans="1:3">
      <c r="A644" s="608" t="s">
        <v>2681</v>
      </c>
      <c r="B644" s="608" t="s">
        <v>2680</v>
      </c>
      <c r="C644" s="608">
        <v>18.37</v>
      </c>
    </row>
    <row r="645" spans="1:3">
      <c r="A645" s="608" t="s">
        <v>2682</v>
      </c>
      <c r="B645" s="608" t="s">
        <v>2683</v>
      </c>
      <c r="C645" s="608">
        <v>18.18</v>
      </c>
    </row>
    <row r="646" spans="1:3">
      <c r="A646" s="608" t="s">
        <v>2008</v>
      </c>
      <c r="B646" s="608" t="s">
        <v>2684</v>
      </c>
      <c r="C646" s="608">
        <v>8.09</v>
      </c>
    </row>
    <row r="647" spans="1:3">
      <c r="A647" s="608" t="s">
        <v>2685</v>
      </c>
      <c r="B647" s="608" t="s">
        <v>2686</v>
      </c>
      <c r="C647" s="608">
        <v>20.68</v>
      </c>
    </row>
    <row r="648" spans="1:3">
      <c r="A648" s="608" t="s">
        <v>609</v>
      </c>
      <c r="B648" s="608" t="s">
        <v>2687</v>
      </c>
      <c r="C648" s="608">
        <v>10.84</v>
      </c>
    </row>
    <row r="649" spans="1:3">
      <c r="A649" s="608" t="s">
        <v>2688</v>
      </c>
      <c r="B649" s="608" t="s">
        <v>2689</v>
      </c>
      <c r="C649" s="608">
        <v>1</v>
      </c>
    </row>
    <row r="650" spans="1:3">
      <c r="A650" s="608" t="s">
        <v>899</v>
      </c>
      <c r="B650" s="608" t="s">
        <v>2690</v>
      </c>
      <c r="C650" s="608" t="e">
        <v>#N/A</v>
      </c>
    </row>
    <row r="651" spans="1:3">
      <c r="A651" s="608" t="s">
        <v>206</v>
      </c>
      <c r="B651" s="608" t="s">
        <v>2690</v>
      </c>
      <c r="C651" s="608" t="e">
        <v>#N/A</v>
      </c>
    </row>
    <row r="652" spans="1:3">
      <c r="A652" s="608" t="s">
        <v>2003</v>
      </c>
      <c r="B652" s="608" t="s">
        <v>2691</v>
      </c>
      <c r="C652" s="608">
        <v>8</v>
      </c>
    </row>
    <row r="653" spans="1:3">
      <c r="A653" s="608" t="s">
        <v>2692</v>
      </c>
      <c r="B653" s="608" t="s">
        <v>2693</v>
      </c>
      <c r="C653" s="608">
        <v>11.59</v>
      </c>
    </row>
    <row r="654" spans="1:3">
      <c r="A654" s="608" t="s">
        <v>1078</v>
      </c>
      <c r="B654" s="608" t="s">
        <v>2694</v>
      </c>
      <c r="C654" s="608">
        <v>20.34</v>
      </c>
    </row>
    <row r="655" spans="1:3">
      <c r="A655" s="608" t="s">
        <v>2695</v>
      </c>
      <c r="B655" s="608" t="s">
        <v>2696</v>
      </c>
      <c r="C655" s="608">
        <v>12.5</v>
      </c>
    </row>
    <row r="656" spans="1:3">
      <c r="A656" s="608" t="s">
        <v>2697</v>
      </c>
      <c r="B656" s="608" t="s">
        <v>2698</v>
      </c>
      <c r="C656" s="608">
        <v>15.2</v>
      </c>
    </row>
    <row r="657" spans="1:3">
      <c r="A657" s="608" t="s">
        <v>798</v>
      </c>
      <c r="B657" s="608" t="s">
        <v>2699</v>
      </c>
      <c r="C657" s="608">
        <v>15.2</v>
      </c>
    </row>
    <row r="658" spans="1:3">
      <c r="A658" s="608" t="s">
        <v>1463</v>
      </c>
      <c r="B658" s="608" t="s">
        <v>2699</v>
      </c>
      <c r="C658" s="608">
        <v>15.2</v>
      </c>
    </row>
    <row r="659" spans="1:3">
      <c r="A659" s="608" t="s">
        <v>1158</v>
      </c>
      <c r="B659" s="608" t="s">
        <v>2699</v>
      </c>
      <c r="C659" s="608">
        <v>15.2</v>
      </c>
    </row>
    <row r="660" spans="1:3">
      <c r="A660" s="608" t="s">
        <v>980</v>
      </c>
      <c r="B660" s="608" t="s">
        <v>2699</v>
      </c>
      <c r="C660" s="608">
        <v>15.2</v>
      </c>
    </row>
    <row r="661" spans="1:3">
      <c r="A661" s="608" t="s">
        <v>868</v>
      </c>
      <c r="B661" s="608" t="s">
        <v>2699</v>
      </c>
      <c r="C661" s="608">
        <v>15.2</v>
      </c>
    </row>
    <row r="662" spans="1:3">
      <c r="A662" s="608" t="s">
        <v>2700</v>
      </c>
      <c r="B662" s="608" t="s">
        <v>2701</v>
      </c>
      <c r="C662" s="608">
        <v>16.25</v>
      </c>
    </row>
    <row r="663" spans="1:3">
      <c r="A663" s="608" t="s">
        <v>458</v>
      </c>
      <c r="B663" s="608" t="s">
        <v>2702</v>
      </c>
      <c r="C663" s="608">
        <v>18.16</v>
      </c>
    </row>
    <row r="664" spans="1:3">
      <c r="A664" s="608" t="s">
        <v>722</v>
      </c>
      <c r="B664" s="608" t="s">
        <v>2703</v>
      </c>
      <c r="C664" s="608">
        <v>5.02</v>
      </c>
    </row>
    <row r="665" spans="1:3">
      <c r="A665" s="608" t="s">
        <v>599</v>
      </c>
      <c r="B665" s="608" t="s">
        <v>2704</v>
      </c>
      <c r="C665" s="608">
        <v>6.81</v>
      </c>
    </row>
    <row r="666" spans="1:3">
      <c r="A666" s="608" t="s">
        <v>595</v>
      </c>
      <c r="B666" s="608" t="s">
        <v>2704</v>
      </c>
      <c r="C666" s="608">
        <v>6.81</v>
      </c>
    </row>
    <row r="667" spans="1:3">
      <c r="A667" s="608" t="s">
        <v>2705</v>
      </c>
      <c r="B667" s="608" t="s">
        <v>2706</v>
      </c>
      <c r="C667" s="608">
        <v>19.81</v>
      </c>
    </row>
    <row r="668" spans="1:3">
      <c r="A668" s="608" t="s">
        <v>1313</v>
      </c>
      <c r="B668" s="608" t="s">
        <v>2707</v>
      </c>
      <c r="C668" s="608">
        <v>3</v>
      </c>
    </row>
    <row r="669" spans="1:3">
      <c r="A669" s="608" t="s">
        <v>736</v>
      </c>
      <c r="B669" s="608" t="s">
        <v>2708</v>
      </c>
      <c r="C669" s="608">
        <v>29.01</v>
      </c>
    </row>
    <row r="670" spans="1:3">
      <c r="A670" s="608" t="s">
        <v>641</v>
      </c>
      <c r="B670" s="608" t="s">
        <v>2708</v>
      </c>
      <c r="C670" s="608">
        <v>29.01</v>
      </c>
    </row>
    <row r="671" spans="1:3">
      <c r="A671" s="608" t="s">
        <v>721</v>
      </c>
      <c r="B671" s="608" t="s">
        <v>2709</v>
      </c>
      <c r="C671" s="608">
        <v>5.19</v>
      </c>
    </row>
    <row r="672" spans="1:3">
      <c r="A672" s="608" t="s">
        <v>605</v>
      </c>
      <c r="B672" s="608" t="s">
        <v>2710</v>
      </c>
      <c r="C672" s="608">
        <v>15</v>
      </c>
    </row>
    <row r="673" spans="1:3">
      <c r="A673" s="608" t="s">
        <v>653</v>
      </c>
      <c r="B673" s="608" t="s">
        <v>2711</v>
      </c>
      <c r="C673" s="608">
        <v>15</v>
      </c>
    </row>
    <row r="674" spans="1:3">
      <c r="A674" s="608" t="s">
        <v>688</v>
      </c>
      <c r="B674" s="608" t="s">
        <v>2712</v>
      </c>
      <c r="C674" s="608">
        <v>15</v>
      </c>
    </row>
    <row r="675" spans="1:3">
      <c r="A675" s="608" t="s">
        <v>651</v>
      </c>
      <c r="B675" s="608" t="s">
        <v>2713</v>
      </c>
      <c r="C675" s="608" t="e">
        <v>#N/A</v>
      </c>
    </row>
    <row r="676" spans="1:3">
      <c r="A676" s="608" t="s">
        <v>652</v>
      </c>
      <c r="B676" s="608" t="s">
        <v>2713</v>
      </c>
      <c r="C676" s="608" t="e">
        <v>#N/A</v>
      </c>
    </row>
    <row r="677" spans="1:3">
      <c r="A677" s="608" t="s">
        <v>687</v>
      </c>
      <c r="B677" s="608" t="s">
        <v>2714</v>
      </c>
      <c r="C677" s="608">
        <v>21</v>
      </c>
    </row>
    <row r="678" spans="1:3">
      <c r="A678" s="608" t="s">
        <v>689</v>
      </c>
      <c r="B678" s="608" t="s">
        <v>2715</v>
      </c>
      <c r="C678" s="608">
        <v>21</v>
      </c>
    </row>
    <row r="679" spans="1:3">
      <c r="A679" s="608" t="s">
        <v>677</v>
      </c>
      <c r="B679" s="608" t="s">
        <v>2716</v>
      </c>
      <c r="C679" s="608">
        <v>25.4</v>
      </c>
    </row>
    <row r="680" spans="1:3">
      <c r="A680" s="608" t="s">
        <v>694</v>
      </c>
      <c r="B680" s="608" t="s">
        <v>2717</v>
      </c>
      <c r="C680" s="608">
        <v>15.2</v>
      </c>
    </row>
    <row r="681" spans="1:3">
      <c r="A681" s="608" t="s">
        <v>643</v>
      </c>
      <c r="B681" s="608" t="s">
        <v>2718</v>
      </c>
      <c r="C681" s="608">
        <v>22</v>
      </c>
    </row>
    <row r="682" spans="1:3">
      <c r="A682" s="608" t="s">
        <v>734</v>
      </c>
      <c r="B682" s="608" t="s">
        <v>2719</v>
      </c>
      <c r="C682" s="608">
        <v>18.73</v>
      </c>
    </row>
    <row r="683" spans="1:3">
      <c r="A683" s="608" t="s">
        <v>743</v>
      </c>
      <c r="B683" s="608" t="s">
        <v>2720</v>
      </c>
      <c r="C683" s="608">
        <v>12.16</v>
      </c>
    </row>
    <row r="684" spans="1:3">
      <c r="A684" s="608" t="s">
        <v>707</v>
      </c>
      <c r="B684" s="608" t="s">
        <v>2721</v>
      </c>
      <c r="C684" s="608">
        <v>9.05</v>
      </c>
    </row>
    <row r="685" spans="1:3">
      <c r="A685" s="608" t="s">
        <v>750</v>
      </c>
      <c r="B685" s="608" t="s">
        <v>2722</v>
      </c>
      <c r="C685" s="608">
        <v>22</v>
      </c>
    </row>
    <row r="686" spans="1:3">
      <c r="A686" s="608" t="s">
        <v>749</v>
      </c>
      <c r="B686" s="608" t="s">
        <v>2722</v>
      </c>
      <c r="C686" s="608">
        <v>22</v>
      </c>
    </row>
    <row r="687" spans="1:3">
      <c r="A687" s="608" t="s">
        <v>634</v>
      </c>
      <c r="B687" s="608" t="s">
        <v>2723</v>
      </c>
      <c r="C687" s="608">
        <v>20</v>
      </c>
    </row>
    <row r="688" spans="1:3">
      <c r="A688" s="608" t="s">
        <v>748</v>
      </c>
      <c r="B688" s="608" t="s">
        <v>2724</v>
      </c>
      <c r="C688" s="608">
        <v>22</v>
      </c>
    </row>
    <row r="689" spans="1:3">
      <c r="A689" s="608" t="s">
        <v>1758</v>
      </c>
      <c r="B689" s="608" t="s">
        <v>2724</v>
      </c>
      <c r="C689" s="608">
        <v>22</v>
      </c>
    </row>
    <row r="690" spans="1:3">
      <c r="A690" s="608" t="s">
        <v>778</v>
      </c>
      <c r="B690" s="608" t="s">
        <v>2724</v>
      </c>
      <c r="C690" s="608">
        <v>22</v>
      </c>
    </row>
    <row r="691" spans="1:3">
      <c r="A691" s="608" t="s">
        <v>790</v>
      </c>
      <c r="B691" s="608" t="s">
        <v>2724</v>
      </c>
      <c r="C691" s="608">
        <v>22</v>
      </c>
    </row>
    <row r="692" spans="1:3">
      <c r="A692" s="608" t="s">
        <v>744</v>
      </c>
      <c r="B692" s="608" t="s">
        <v>2724</v>
      </c>
      <c r="C692" s="608">
        <v>22</v>
      </c>
    </row>
    <row r="693" spans="1:3">
      <c r="A693" s="608" t="s">
        <v>784</v>
      </c>
      <c r="B693" s="608" t="s">
        <v>2725</v>
      </c>
      <c r="C693" s="608">
        <v>8.04</v>
      </c>
    </row>
    <row r="694" spans="1:3">
      <c r="A694" s="608" t="s">
        <v>785</v>
      </c>
      <c r="B694" s="608" t="s">
        <v>2725</v>
      </c>
      <c r="C694" s="608">
        <v>8.04</v>
      </c>
    </row>
    <row r="695" spans="1:3">
      <c r="A695" s="608" t="s">
        <v>2035</v>
      </c>
      <c r="B695" s="608" t="s">
        <v>2726</v>
      </c>
      <c r="C695" s="608" t="e">
        <v>#N/A</v>
      </c>
    </row>
    <row r="696" spans="1:3">
      <c r="A696" s="608" t="s">
        <v>820</v>
      </c>
      <c r="B696" s="608" t="s">
        <v>2727</v>
      </c>
      <c r="C696" s="608">
        <v>18.02</v>
      </c>
    </row>
    <row r="697" spans="1:3">
      <c r="A697" s="608" t="s">
        <v>791</v>
      </c>
      <c r="B697" s="608" t="s">
        <v>2728</v>
      </c>
      <c r="C697" s="608">
        <v>15</v>
      </c>
    </row>
    <row r="698" spans="1:3">
      <c r="A698" s="608" t="s">
        <v>1262</v>
      </c>
      <c r="B698" s="608" t="s">
        <v>2729</v>
      </c>
      <c r="C698" s="608">
        <v>19.56</v>
      </c>
    </row>
    <row r="699" spans="1:3">
      <c r="A699" s="608" t="s">
        <v>1726</v>
      </c>
      <c r="B699" s="608" t="s">
        <v>2729</v>
      </c>
      <c r="C699" s="608">
        <v>19.56</v>
      </c>
    </row>
    <row r="700" spans="1:3">
      <c r="A700" s="608" t="s">
        <v>1434</v>
      </c>
      <c r="B700" s="608" t="s">
        <v>2729</v>
      </c>
      <c r="C700" s="608">
        <v>19.56</v>
      </c>
    </row>
    <row r="701" spans="1:3">
      <c r="A701" s="608" t="s">
        <v>1131</v>
      </c>
      <c r="B701" s="608" t="s">
        <v>2729</v>
      </c>
      <c r="C701" s="608">
        <v>19.56</v>
      </c>
    </row>
    <row r="702" spans="1:3">
      <c r="A702" s="608" t="s">
        <v>813</v>
      </c>
      <c r="B702" s="608" t="s">
        <v>2730</v>
      </c>
      <c r="C702" s="608">
        <v>18.51</v>
      </c>
    </row>
    <row r="703" spans="1:3">
      <c r="A703" s="608" t="s">
        <v>825</v>
      </c>
      <c r="B703" s="608" t="s">
        <v>2731</v>
      </c>
      <c r="C703" s="608">
        <v>15.2</v>
      </c>
    </row>
    <row r="704" spans="1:3">
      <c r="A704" s="608" t="s">
        <v>818</v>
      </c>
      <c r="B704" s="608" t="s">
        <v>2731</v>
      </c>
      <c r="C704" s="608">
        <v>15.2</v>
      </c>
    </row>
    <row r="705" spans="1:3">
      <c r="A705" s="608" t="s">
        <v>783</v>
      </c>
      <c r="B705" s="608" t="s">
        <v>2731</v>
      </c>
      <c r="C705" s="608">
        <v>15.2</v>
      </c>
    </row>
    <row r="706" spans="1:3">
      <c r="A706" s="608" t="s">
        <v>806</v>
      </c>
      <c r="B706" s="608" t="s">
        <v>2731</v>
      </c>
      <c r="C706" s="608">
        <v>15.2</v>
      </c>
    </row>
    <row r="707" spans="1:3">
      <c r="A707" s="608" t="s">
        <v>859</v>
      </c>
      <c r="B707" s="608" t="s">
        <v>2732</v>
      </c>
      <c r="C707" s="608">
        <v>8.48</v>
      </c>
    </row>
    <row r="708" spans="1:3">
      <c r="A708" s="608" t="s">
        <v>467</v>
      </c>
      <c r="B708" s="608" t="s">
        <v>2733</v>
      </c>
      <c r="C708" s="608">
        <v>10.3</v>
      </c>
    </row>
    <row r="709" spans="1:3">
      <c r="A709" s="608" t="s">
        <v>879</v>
      </c>
      <c r="B709" s="608" t="s">
        <v>2734</v>
      </c>
      <c r="C709" s="608">
        <v>20</v>
      </c>
    </row>
    <row r="710" spans="1:3">
      <c r="A710" s="608" t="s">
        <v>965</v>
      </c>
      <c r="B710" s="608" t="s">
        <v>2735</v>
      </c>
      <c r="C710" s="608">
        <v>8</v>
      </c>
    </row>
    <row r="711" spans="1:3">
      <c r="A711" s="608" t="s">
        <v>964</v>
      </c>
      <c r="B711" s="608" t="s">
        <v>2736</v>
      </c>
      <c r="C711" s="608">
        <v>0</v>
      </c>
    </row>
    <row r="712" spans="1:3">
      <c r="A712" s="608" t="s">
        <v>699</v>
      </c>
      <c r="B712" s="608" t="s">
        <v>2737</v>
      </c>
      <c r="C712" s="608">
        <v>10.3</v>
      </c>
    </row>
    <row r="713" spans="1:3">
      <c r="A713" s="608" t="s">
        <v>745</v>
      </c>
      <c r="B713" s="608" t="s">
        <v>2738</v>
      </c>
      <c r="C713" s="608">
        <v>15.19</v>
      </c>
    </row>
    <row r="714" spans="1:3">
      <c r="A714" s="608" t="s">
        <v>667</v>
      </c>
      <c r="B714" s="608" t="s">
        <v>2739</v>
      </c>
      <c r="C714" s="608">
        <v>0</v>
      </c>
    </row>
    <row r="715" spans="1:3">
      <c r="A715" s="608" t="s">
        <v>724</v>
      </c>
      <c r="B715" s="608" t="s">
        <v>2740</v>
      </c>
      <c r="C715" s="608">
        <v>18</v>
      </c>
    </row>
    <row r="716" spans="1:3">
      <c r="A716" s="608" t="s">
        <v>998</v>
      </c>
      <c r="B716" s="608" t="s">
        <v>2741</v>
      </c>
      <c r="C716" s="608">
        <v>20.7</v>
      </c>
    </row>
    <row r="717" spans="1:3">
      <c r="A717" s="608" t="s">
        <v>1549</v>
      </c>
      <c r="B717" s="608" t="s">
        <v>2741</v>
      </c>
      <c r="C717" s="608">
        <v>20.7</v>
      </c>
    </row>
    <row r="718" spans="1:3">
      <c r="A718" s="608" t="s">
        <v>1259</v>
      </c>
      <c r="B718" s="608" t="s">
        <v>2741</v>
      </c>
      <c r="C718" s="608">
        <v>20.7</v>
      </c>
    </row>
    <row r="719" spans="1:3">
      <c r="A719" s="608" t="s">
        <v>1003</v>
      </c>
      <c r="B719" s="608" t="s">
        <v>2742</v>
      </c>
      <c r="C719" s="608">
        <v>20.81</v>
      </c>
    </row>
    <row r="720" spans="1:3">
      <c r="A720" s="608" t="s">
        <v>786</v>
      </c>
      <c r="B720" s="608" t="s">
        <v>2742</v>
      </c>
      <c r="C720" s="608">
        <v>20.81</v>
      </c>
    </row>
    <row r="721" spans="1:3">
      <c r="A721" s="608" t="s">
        <v>787</v>
      </c>
      <c r="B721" s="608" t="s">
        <v>2742</v>
      </c>
      <c r="C721" s="608">
        <v>20.81</v>
      </c>
    </row>
    <row r="722" spans="1:3">
      <c r="A722" s="608" t="s">
        <v>788</v>
      </c>
      <c r="B722" s="608" t="s">
        <v>2742</v>
      </c>
      <c r="C722" s="608">
        <v>20.81</v>
      </c>
    </row>
    <row r="723" spans="1:3">
      <c r="A723" s="608" t="s">
        <v>1937</v>
      </c>
      <c r="B723" s="608" t="s">
        <v>2743</v>
      </c>
      <c r="C723" s="608">
        <v>23.18</v>
      </c>
    </row>
    <row r="724" spans="1:3">
      <c r="A724" s="608" t="s">
        <v>857</v>
      </c>
      <c r="B724" s="608" t="s">
        <v>2744</v>
      </c>
      <c r="C724" s="608">
        <v>17.31</v>
      </c>
    </row>
    <row r="725" spans="1:3">
      <c r="A725" s="608" t="s">
        <v>1644</v>
      </c>
      <c r="B725" s="608" t="s">
        <v>2744</v>
      </c>
      <c r="C725" s="608">
        <v>17.31</v>
      </c>
    </row>
    <row r="726" spans="1:3">
      <c r="A726" s="608" t="s">
        <v>1339</v>
      </c>
      <c r="B726" s="608" t="s">
        <v>2744</v>
      </c>
      <c r="C726" s="608">
        <v>17.31</v>
      </c>
    </row>
    <row r="727" spans="1:3">
      <c r="A727" s="608" t="s">
        <v>1022</v>
      </c>
      <c r="B727" s="608" t="s">
        <v>2744</v>
      </c>
      <c r="C727" s="608">
        <v>17.31</v>
      </c>
    </row>
    <row r="728" spans="1:3">
      <c r="A728" s="608" t="s">
        <v>1578</v>
      </c>
      <c r="B728" s="608" t="s">
        <v>2744</v>
      </c>
      <c r="C728" s="608">
        <v>17.31</v>
      </c>
    </row>
    <row r="729" spans="1:3">
      <c r="A729" s="608" t="s">
        <v>993</v>
      </c>
      <c r="B729" s="608" t="s">
        <v>2745</v>
      </c>
      <c r="C729" s="608">
        <v>27.21</v>
      </c>
    </row>
    <row r="730" spans="1:3">
      <c r="A730" s="608" t="s">
        <v>821</v>
      </c>
      <c r="B730" s="608" t="s">
        <v>2746</v>
      </c>
      <c r="C730" s="608">
        <v>21</v>
      </c>
    </row>
    <row r="731" spans="1:3">
      <c r="A731" s="608" t="s">
        <v>1000</v>
      </c>
      <c r="B731" s="608" t="s">
        <v>2747</v>
      </c>
      <c r="C731" s="608" t="e">
        <v>#N/A</v>
      </c>
    </row>
    <row r="732" spans="1:3">
      <c r="A732" s="608" t="s">
        <v>826</v>
      </c>
      <c r="B732" s="608" t="s">
        <v>2748</v>
      </c>
      <c r="C732" s="608" t="e">
        <v>#N/A</v>
      </c>
    </row>
    <row r="733" spans="1:3">
      <c r="A733" s="608" t="s">
        <v>1021</v>
      </c>
      <c r="B733" s="608" t="s">
        <v>2749</v>
      </c>
      <c r="C733" s="608">
        <v>20.5</v>
      </c>
    </row>
    <row r="734" spans="1:3">
      <c r="A734" s="608" t="s">
        <v>1002</v>
      </c>
      <c r="B734" s="608" t="s">
        <v>2750</v>
      </c>
      <c r="C734" s="608">
        <v>15.27</v>
      </c>
    </row>
    <row r="735" spans="1:3">
      <c r="A735" s="608" t="s">
        <v>808</v>
      </c>
      <c r="B735" s="608" t="s">
        <v>2751</v>
      </c>
      <c r="C735" s="608">
        <v>15.79</v>
      </c>
    </row>
    <row r="736" spans="1:3">
      <c r="A736" s="608" t="s">
        <v>789</v>
      </c>
      <c r="B736" s="608" t="s">
        <v>2752</v>
      </c>
      <c r="C736" s="608">
        <v>15.32</v>
      </c>
    </row>
    <row r="737" spans="1:3">
      <c r="A737" s="608" t="s">
        <v>633</v>
      </c>
      <c r="B737" s="608" t="s">
        <v>2753</v>
      </c>
      <c r="C737" s="608">
        <v>21.7</v>
      </c>
    </row>
    <row r="738" spans="1:3">
      <c r="A738" s="608" t="s">
        <v>878</v>
      </c>
      <c r="B738" s="608" t="s">
        <v>2754</v>
      </c>
      <c r="C738" s="608">
        <v>15.36</v>
      </c>
    </row>
    <row r="739" spans="1:3">
      <c r="A739" s="608" t="s">
        <v>877</v>
      </c>
      <c r="B739" s="608" t="s">
        <v>2755</v>
      </c>
      <c r="C739" s="608">
        <v>15.28</v>
      </c>
    </row>
    <row r="740" spans="1:3">
      <c r="A740" s="608" t="s">
        <v>875</v>
      </c>
      <c r="B740" s="608" t="s">
        <v>2756</v>
      </c>
      <c r="C740" s="608">
        <v>15.2</v>
      </c>
    </row>
    <row r="741" spans="1:3">
      <c r="A741" s="608" t="s">
        <v>2012</v>
      </c>
      <c r="B741" s="608" t="s">
        <v>2757</v>
      </c>
      <c r="C741" s="608">
        <v>15</v>
      </c>
    </row>
    <row r="742" spans="1:3">
      <c r="A742" s="608" t="s">
        <v>775</v>
      </c>
      <c r="B742" s="608" t="s">
        <v>2758</v>
      </c>
      <c r="C742" s="608">
        <v>26</v>
      </c>
    </row>
    <row r="743" spans="1:3">
      <c r="A743" s="608" t="s">
        <v>805</v>
      </c>
      <c r="B743" s="608" t="s">
        <v>2759</v>
      </c>
      <c r="C743" s="608">
        <v>18.04</v>
      </c>
    </row>
    <row r="744" spans="1:3">
      <c r="A744" s="608" t="s">
        <v>474</v>
      </c>
      <c r="B744" s="608" t="s">
        <v>2760</v>
      </c>
      <c r="C744" s="608">
        <v>31.67</v>
      </c>
    </row>
    <row r="745" spans="1:3">
      <c r="A745" s="608" t="s">
        <v>464</v>
      </c>
      <c r="B745" s="608" t="s">
        <v>2760</v>
      </c>
      <c r="C745" s="608">
        <v>31.67</v>
      </c>
    </row>
    <row r="746" spans="1:3">
      <c r="A746" s="608" t="s">
        <v>2029</v>
      </c>
      <c r="B746" s="608" t="s">
        <v>2760</v>
      </c>
      <c r="C746" s="608">
        <v>31.67</v>
      </c>
    </row>
    <row r="747" spans="1:3">
      <c r="A747" s="608" t="s">
        <v>2026</v>
      </c>
      <c r="B747" s="608" t="s">
        <v>2761</v>
      </c>
      <c r="C747" s="608">
        <v>15</v>
      </c>
    </row>
    <row r="748" spans="1:3">
      <c r="A748" s="608" t="s">
        <v>628</v>
      </c>
      <c r="B748" s="608" t="s">
        <v>2762</v>
      </c>
      <c r="C748" s="608">
        <v>22.05</v>
      </c>
    </row>
    <row r="749" spans="1:3">
      <c r="A749" s="608" t="s">
        <v>960</v>
      </c>
      <c r="B749" s="608" t="s">
        <v>2763</v>
      </c>
      <c r="C749" s="608">
        <v>2.99</v>
      </c>
    </row>
    <row r="750" spans="1:3">
      <c r="A750" s="608" t="s">
        <v>1947</v>
      </c>
      <c r="B750" s="608" t="s">
        <v>2764</v>
      </c>
      <c r="C750" s="608">
        <v>18.29</v>
      </c>
    </row>
    <row r="751" spans="1:3">
      <c r="A751" s="608" t="s">
        <v>2033</v>
      </c>
      <c r="B751" s="608" t="s">
        <v>2765</v>
      </c>
      <c r="C751" s="608">
        <v>5</v>
      </c>
    </row>
    <row r="752" spans="1:3">
      <c r="A752" s="608" t="s">
        <v>1611</v>
      </c>
      <c r="B752" s="608" t="s">
        <v>2766</v>
      </c>
      <c r="C752" s="608">
        <v>25.74</v>
      </c>
    </row>
    <row r="753" spans="1:3">
      <c r="A753" s="608" t="s">
        <v>431</v>
      </c>
      <c r="B753" s="608" t="s">
        <v>2766</v>
      </c>
      <c r="C753" s="608">
        <v>25.74</v>
      </c>
    </row>
    <row r="754" spans="1:3">
      <c r="A754" s="608" t="s">
        <v>427</v>
      </c>
      <c r="B754" s="608" t="s">
        <v>2766</v>
      </c>
      <c r="C754" s="608">
        <v>25.74</v>
      </c>
    </row>
    <row r="755" spans="1:3">
      <c r="A755" s="608" t="s">
        <v>1699</v>
      </c>
      <c r="B755" s="608" t="s">
        <v>2766</v>
      </c>
      <c r="C755" s="608">
        <v>25.74</v>
      </c>
    </row>
    <row r="756" spans="1:3">
      <c r="A756" s="608" t="s">
        <v>608</v>
      </c>
      <c r="B756" s="608" t="s">
        <v>2767</v>
      </c>
      <c r="C756" s="608">
        <v>6.75</v>
      </c>
    </row>
    <row r="757" spans="1:3">
      <c r="A757" s="608" t="s">
        <v>2005</v>
      </c>
      <c r="B757" s="608" t="s">
        <v>2768</v>
      </c>
      <c r="C757" s="608">
        <v>20.28</v>
      </c>
    </row>
    <row r="758" spans="1:3">
      <c r="A758" s="608" t="s">
        <v>907</v>
      </c>
      <c r="B758" s="608" t="s">
        <v>2769</v>
      </c>
      <c r="C758" s="608" t="e">
        <v>#N/A</v>
      </c>
    </row>
    <row r="759" spans="1:3">
      <c r="A759" s="608" t="s">
        <v>1667</v>
      </c>
      <c r="B759" s="608" t="s">
        <v>2770</v>
      </c>
      <c r="C759" s="608">
        <v>18.04</v>
      </c>
    </row>
    <row r="760" spans="1:3">
      <c r="A760" s="608" t="s">
        <v>814</v>
      </c>
      <c r="B760" s="608" t="s">
        <v>2771</v>
      </c>
      <c r="C760" s="608">
        <v>18.02</v>
      </c>
    </row>
    <row r="761" spans="1:3">
      <c r="A761" s="608" t="s">
        <v>815</v>
      </c>
      <c r="B761" s="608" t="s">
        <v>2771</v>
      </c>
      <c r="C761" s="608">
        <v>18.02</v>
      </c>
    </row>
    <row r="762" spans="1:3">
      <c r="A762" s="608" t="s">
        <v>665</v>
      </c>
      <c r="B762" s="608" t="s">
        <v>2772</v>
      </c>
      <c r="C762" s="608">
        <v>12.55</v>
      </c>
    </row>
    <row r="763" spans="1:3">
      <c r="A763" s="608" t="s">
        <v>972</v>
      </c>
      <c r="B763" s="608" t="s">
        <v>2773</v>
      </c>
      <c r="C763" s="608" t="e">
        <v>#N/A</v>
      </c>
    </row>
    <row r="764" spans="1:3">
      <c r="A764" s="608" t="s">
        <v>970</v>
      </c>
      <c r="B764" s="608" t="s">
        <v>2773</v>
      </c>
      <c r="C764" s="608" t="e">
        <v>#N/A</v>
      </c>
    </row>
    <row r="765" spans="1:3">
      <c r="A765" s="608" t="s">
        <v>968</v>
      </c>
      <c r="B765" s="608" t="s">
        <v>2773</v>
      </c>
      <c r="C765" s="608" t="e">
        <v>#N/A</v>
      </c>
    </row>
    <row r="766" spans="1:3">
      <c r="A766" s="608" t="s">
        <v>969</v>
      </c>
      <c r="B766" s="608" t="s">
        <v>2774</v>
      </c>
      <c r="C766" s="608">
        <v>20.14</v>
      </c>
    </row>
    <row r="767" spans="1:3">
      <c r="A767" s="608" t="s">
        <v>999</v>
      </c>
      <c r="B767" s="608" t="s">
        <v>2775</v>
      </c>
      <c r="C767" s="608">
        <v>20.07</v>
      </c>
    </row>
    <row r="768" spans="1:3">
      <c r="A768" s="608" t="s">
        <v>864</v>
      </c>
      <c r="B768" s="608" t="s">
        <v>2776</v>
      </c>
      <c r="C768" s="608">
        <v>12.54</v>
      </c>
    </row>
    <row r="769" spans="1:3">
      <c r="A769" s="608" t="s">
        <v>669</v>
      </c>
      <c r="B769" s="608" t="s">
        <v>2777</v>
      </c>
      <c r="C769" s="608">
        <v>5</v>
      </c>
    </row>
    <row r="770" spans="1:3">
      <c r="A770" s="608" t="s">
        <v>720</v>
      </c>
      <c r="B770" s="608" t="s">
        <v>2778</v>
      </c>
      <c r="C770" s="608">
        <v>10</v>
      </c>
    </row>
    <row r="771" spans="1:3">
      <c r="A771" s="608" t="s">
        <v>2034</v>
      </c>
      <c r="B771" s="608" t="s">
        <v>2779</v>
      </c>
      <c r="C771" s="608">
        <v>17.9</v>
      </c>
    </row>
    <row r="772" spans="1:3">
      <c r="A772" s="608" t="s">
        <v>982</v>
      </c>
      <c r="B772" s="608" t="s">
        <v>2780</v>
      </c>
      <c r="C772" s="608">
        <v>20.66</v>
      </c>
    </row>
    <row r="773" spans="1:3">
      <c r="A773" s="608" t="s">
        <v>1495</v>
      </c>
      <c r="B773" s="608" t="s">
        <v>2780</v>
      </c>
      <c r="C773" s="608">
        <v>20.66</v>
      </c>
    </row>
    <row r="774" spans="1:3">
      <c r="A774" s="608" t="s">
        <v>2021</v>
      </c>
      <c r="B774" s="608" t="s">
        <v>2781</v>
      </c>
      <c r="C774" s="608">
        <v>2.99</v>
      </c>
    </row>
    <row r="775" spans="1:3">
      <c r="A775" s="608" t="s">
        <v>773</v>
      </c>
      <c r="B775" s="608" t="s">
        <v>2782</v>
      </c>
      <c r="C775" s="608">
        <v>22.01</v>
      </c>
    </row>
    <row r="776" spans="1:3">
      <c r="A776" s="608" t="s">
        <v>979</v>
      </c>
      <c r="B776" s="608" t="s">
        <v>2783</v>
      </c>
      <c r="C776" s="608" t="e">
        <v>#N/A</v>
      </c>
    </row>
    <row r="777" spans="1:3">
      <c r="A777" s="608" t="s">
        <v>684</v>
      </c>
      <c r="B777" s="608" t="s">
        <v>2784</v>
      </c>
      <c r="C777" s="608">
        <v>6.79</v>
      </c>
    </row>
    <row r="778" spans="1:3">
      <c r="A778" s="608" t="s">
        <v>449</v>
      </c>
      <c r="B778" s="608" t="s">
        <v>2785</v>
      </c>
      <c r="C778" s="608" t="e">
        <v>#N/A</v>
      </c>
    </row>
    <row r="779" spans="1:3">
      <c r="A779" s="608" t="s">
        <v>1613</v>
      </c>
      <c r="B779" s="608" t="s">
        <v>2786</v>
      </c>
      <c r="C779" s="608">
        <v>19.19</v>
      </c>
    </row>
    <row r="780" spans="1:3">
      <c r="A780" s="608" t="s">
        <v>1312</v>
      </c>
      <c r="B780" s="608" t="s">
        <v>2786</v>
      </c>
      <c r="C780" s="608">
        <v>19.19</v>
      </c>
    </row>
    <row r="781" spans="1:3">
      <c r="A781" s="608" t="s">
        <v>1673</v>
      </c>
      <c r="B781" s="608" t="s">
        <v>2786</v>
      </c>
      <c r="C781" s="608">
        <v>19.19</v>
      </c>
    </row>
    <row r="782" spans="1:3">
      <c r="A782" s="608" t="s">
        <v>1934</v>
      </c>
      <c r="B782" s="608" t="s">
        <v>2786</v>
      </c>
      <c r="C782" s="608">
        <v>19.19</v>
      </c>
    </row>
    <row r="783" spans="1:3">
      <c r="A783" s="608" t="s">
        <v>1679</v>
      </c>
      <c r="B783" s="608" t="s">
        <v>2786</v>
      </c>
      <c r="C783" s="608">
        <v>19.19</v>
      </c>
    </row>
    <row r="784" spans="1:3">
      <c r="A784" s="608" t="s">
        <v>1222</v>
      </c>
      <c r="B784" s="608" t="s">
        <v>2786</v>
      </c>
      <c r="C784" s="608">
        <v>19.19</v>
      </c>
    </row>
    <row r="785" spans="1:3">
      <c r="A785" s="608" t="s">
        <v>1477</v>
      </c>
      <c r="B785" s="608" t="s">
        <v>2786</v>
      </c>
      <c r="C785" s="608">
        <v>19.19</v>
      </c>
    </row>
    <row r="786" spans="1:3">
      <c r="A786" s="608" t="s">
        <v>1824</v>
      </c>
      <c r="B786" s="608" t="s">
        <v>2786</v>
      </c>
      <c r="C786" s="608">
        <v>19.19</v>
      </c>
    </row>
    <row r="787" spans="1:3">
      <c r="A787" s="608" t="s">
        <v>1536</v>
      </c>
      <c r="B787" s="608" t="s">
        <v>2786</v>
      </c>
      <c r="C787" s="608">
        <v>19.19</v>
      </c>
    </row>
    <row r="788" spans="1:3">
      <c r="A788" s="608" t="s">
        <v>1255</v>
      </c>
      <c r="B788" s="608" t="s">
        <v>2786</v>
      </c>
      <c r="C788" s="608">
        <v>19.19</v>
      </c>
    </row>
    <row r="789" spans="1:3">
      <c r="A789" s="608" t="s">
        <v>1230</v>
      </c>
      <c r="B789" s="608" t="s">
        <v>2786</v>
      </c>
      <c r="C789" s="608">
        <v>19.19</v>
      </c>
    </row>
    <row r="790" spans="1:3">
      <c r="A790" s="608" t="s">
        <v>140</v>
      </c>
      <c r="B790" s="608" t="s">
        <v>2787</v>
      </c>
      <c r="C790" s="608">
        <v>18.3</v>
      </c>
    </row>
    <row r="791" spans="1:3">
      <c r="A791" s="608" t="s">
        <v>454</v>
      </c>
      <c r="B791" s="608" t="s">
        <v>2787</v>
      </c>
      <c r="C791" s="608">
        <v>18.3</v>
      </c>
    </row>
    <row r="792" spans="1:3">
      <c r="A792" s="608" t="s">
        <v>1559</v>
      </c>
      <c r="B792" s="608" t="s">
        <v>2788</v>
      </c>
      <c r="C792" s="608">
        <v>6.8</v>
      </c>
    </row>
    <row r="793" spans="1:3">
      <c r="A793" s="608" t="s">
        <v>597</v>
      </c>
      <c r="B793" s="608" t="s">
        <v>2789</v>
      </c>
      <c r="C793" s="608">
        <v>20.5</v>
      </c>
    </row>
    <row r="794" spans="1:3">
      <c r="A794" s="608" t="s">
        <v>1916</v>
      </c>
      <c r="B794" s="608" t="s">
        <v>2790</v>
      </c>
      <c r="C794" s="608">
        <v>18.73</v>
      </c>
    </row>
    <row r="795" spans="1:3">
      <c r="A795" s="608" t="s">
        <v>1609</v>
      </c>
      <c r="B795" s="608" t="s">
        <v>2790</v>
      </c>
      <c r="C795" s="608">
        <v>18.73</v>
      </c>
    </row>
    <row r="796" spans="1:3">
      <c r="A796" s="608" t="s">
        <v>1196</v>
      </c>
      <c r="B796" s="608" t="s">
        <v>2790</v>
      </c>
      <c r="C796" s="608">
        <v>18.73</v>
      </c>
    </row>
    <row r="797" spans="1:3">
      <c r="A797" s="608" t="s">
        <v>1885</v>
      </c>
      <c r="B797" s="608" t="s">
        <v>2790</v>
      </c>
      <c r="C797" s="608">
        <v>18.73</v>
      </c>
    </row>
    <row r="798" spans="1:3">
      <c r="A798" s="608" t="s">
        <v>966</v>
      </c>
      <c r="B798" s="608" t="s">
        <v>2791</v>
      </c>
      <c r="C798" s="608">
        <v>17.32</v>
      </c>
    </row>
    <row r="799" spans="1:3">
      <c r="A799" s="608" t="s">
        <v>2010</v>
      </c>
      <c r="B799" s="608" t="s">
        <v>2792</v>
      </c>
      <c r="C799" s="608">
        <v>26.76</v>
      </c>
    </row>
    <row r="800" spans="1:3">
      <c r="A800" s="608" t="s">
        <v>1672</v>
      </c>
      <c r="B800" s="608" t="s">
        <v>2793</v>
      </c>
      <c r="C800" s="608">
        <v>20.4</v>
      </c>
    </row>
    <row r="801" spans="1:3">
      <c r="A801" s="608" t="s">
        <v>1469</v>
      </c>
      <c r="B801" s="608" t="s">
        <v>2793</v>
      </c>
      <c r="C801" s="608">
        <v>20.4</v>
      </c>
    </row>
    <row r="802" spans="1:3">
      <c r="A802" s="608" t="s">
        <v>301</v>
      </c>
      <c r="B802" s="608" t="s">
        <v>2793</v>
      </c>
      <c r="C802" s="608">
        <v>20.4</v>
      </c>
    </row>
    <row r="803" spans="1:3">
      <c r="A803" s="608" t="s">
        <v>1969</v>
      </c>
      <c r="B803" s="608" t="s">
        <v>2793</v>
      </c>
      <c r="C803" s="608">
        <v>20.4</v>
      </c>
    </row>
    <row r="804" spans="1:3">
      <c r="A804" s="608" t="s">
        <v>1491</v>
      </c>
      <c r="B804" s="608" t="s">
        <v>2793</v>
      </c>
      <c r="C804" s="608">
        <v>20.4</v>
      </c>
    </row>
    <row r="805" spans="1:3">
      <c r="A805" s="608" t="s">
        <v>1370</v>
      </c>
      <c r="B805" s="608" t="s">
        <v>2793</v>
      </c>
      <c r="C805" s="608">
        <v>20.4</v>
      </c>
    </row>
    <row r="806" spans="1:3">
      <c r="A806" s="608" t="s">
        <v>1604</v>
      </c>
      <c r="B806" s="608" t="s">
        <v>2793</v>
      </c>
      <c r="C806" s="608">
        <v>20.4</v>
      </c>
    </row>
    <row r="807" spans="1:3">
      <c r="A807" s="608" t="s">
        <v>1308</v>
      </c>
      <c r="B807" s="608" t="s">
        <v>2793</v>
      </c>
      <c r="C807" s="608">
        <v>20.4</v>
      </c>
    </row>
    <row r="808" spans="1:3">
      <c r="A808" s="608" t="s">
        <v>476</v>
      </c>
      <c r="B808" s="608" t="s">
        <v>2793</v>
      </c>
      <c r="C808" s="608">
        <v>20.4</v>
      </c>
    </row>
    <row r="809" spans="1:3">
      <c r="A809" s="608" t="s">
        <v>1639</v>
      </c>
      <c r="B809" s="608" t="s">
        <v>2793</v>
      </c>
      <c r="C809" s="608">
        <v>20.4</v>
      </c>
    </row>
    <row r="810" spans="1:3">
      <c r="A810" s="608" t="s">
        <v>670</v>
      </c>
      <c r="B810" s="608" t="s">
        <v>2794</v>
      </c>
      <c r="C810" s="608">
        <v>5</v>
      </c>
    </row>
    <row r="811" spans="1:3">
      <c r="A811" s="608" t="s">
        <v>469</v>
      </c>
      <c r="B811" s="608" t="s">
        <v>2795</v>
      </c>
      <c r="C811" s="608">
        <v>8.73</v>
      </c>
    </row>
    <row r="812" spans="1:3">
      <c r="A812" s="608" t="s">
        <v>1335</v>
      </c>
      <c r="B812" s="608" t="s">
        <v>2796</v>
      </c>
      <c r="C812" s="608">
        <v>21.29</v>
      </c>
    </row>
    <row r="813" spans="1:3">
      <c r="A813" s="608" t="s">
        <v>1001</v>
      </c>
      <c r="B813" s="608" t="s">
        <v>2797</v>
      </c>
      <c r="C813" s="608">
        <v>12.01</v>
      </c>
    </row>
    <row r="814" spans="1:3">
      <c r="A814" s="608" t="s">
        <v>1496</v>
      </c>
      <c r="B814" s="608" t="s">
        <v>2798</v>
      </c>
      <c r="C814" s="608">
        <v>12.55</v>
      </c>
    </row>
    <row r="815" spans="1:3">
      <c r="A815" s="608" t="s">
        <v>480</v>
      </c>
      <c r="B815" s="608" t="s">
        <v>2799</v>
      </c>
      <c r="C815" s="608">
        <v>15.8</v>
      </c>
    </row>
    <row r="816" spans="1:3">
      <c r="A816" s="608" t="s">
        <v>1067</v>
      </c>
      <c r="B816" s="608" t="s">
        <v>2800</v>
      </c>
      <c r="C816" s="608">
        <v>10.97</v>
      </c>
    </row>
    <row r="817" spans="1:3">
      <c r="A817" s="608" t="s">
        <v>746</v>
      </c>
      <c r="B817" s="608" t="s">
        <v>2801</v>
      </c>
      <c r="C817" s="608">
        <v>21.34</v>
      </c>
    </row>
    <row r="818" spans="1:3">
      <c r="A818" s="608" t="s">
        <v>730</v>
      </c>
      <c r="B818" s="608" t="s">
        <v>2802</v>
      </c>
      <c r="C818" s="608">
        <v>22.04</v>
      </c>
    </row>
    <row r="819" spans="1:3">
      <c r="A819" s="608" t="s">
        <v>729</v>
      </c>
      <c r="B819" s="608" t="s">
        <v>2802</v>
      </c>
      <c r="C819" s="608">
        <v>22.04</v>
      </c>
    </row>
    <row r="820" spans="1:3">
      <c r="A820" s="608" t="s">
        <v>844</v>
      </c>
      <c r="B820" s="608" t="s">
        <v>2802</v>
      </c>
      <c r="C820" s="608">
        <v>22.04</v>
      </c>
    </row>
    <row r="821" spans="1:3">
      <c r="A821" s="608" t="s">
        <v>674</v>
      </c>
      <c r="B821" s="608" t="s">
        <v>2802</v>
      </c>
      <c r="C821" s="608">
        <v>22.04</v>
      </c>
    </row>
    <row r="822" spans="1:3">
      <c r="A822" s="608" t="s">
        <v>728</v>
      </c>
      <c r="B822" s="608" t="s">
        <v>2802</v>
      </c>
      <c r="C822" s="608">
        <v>22.04</v>
      </c>
    </row>
    <row r="823" spans="1:3">
      <c r="A823" s="608" t="s">
        <v>733</v>
      </c>
      <c r="B823" s="608" t="s">
        <v>2802</v>
      </c>
      <c r="C823" s="608">
        <v>22.04</v>
      </c>
    </row>
    <row r="824" spans="1:3">
      <c r="A824" s="608" t="s">
        <v>732</v>
      </c>
      <c r="B824" s="608" t="s">
        <v>2802</v>
      </c>
      <c r="C824" s="608">
        <v>22.04</v>
      </c>
    </row>
    <row r="825" spans="1:3">
      <c r="A825" s="608" t="s">
        <v>731</v>
      </c>
      <c r="B825" s="608" t="s">
        <v>2802</v>
      </c>
      <c r="C825" s="608">
        <v>22.04</v>
      </c>
    </row>
    <row r="826" spans="1:3">
      <c r="A826" s="608" t="s">
        <v>1556</v>
      </c>
      <c r="B826" s="608" t="s">
        <v>2803</v>
      </c>
      <c r="C826" s="608">
        <v>15.46</v>
      </c>
    </row>
    <row r="827" spans="1:3">
      <c r="A827" s="608" t="s">
        <v>1159</v>
      </c>
      <c r="B827" s="608" t="s">
        <v>2804</v>
      </c>
      <c r="C827" s="608">
        <v>18.22</v>
      </c>
    </row>
    <row r="828" spans="1:3">
      <c r="A828" s="608" t="s">
        <v>1140</v>
      </c>
      <c r="B828" s="608" t="s">
        <v>2805</v>
      </c>
      <c r="C828" s="608">
        <v>24.99</v>
      </c>
    </row>
    <row r="829" spans="1:3">
      <c r="A829" s="608" t="s">
        <v>1101</v>
      </c>
      <c r="B829" s="608" t="s">
        <v>2806</v>
      </c>
      <c r="C829" s="608">
        <v>20.57</v>
      </c>
    </row>
    <row r="830" spans="1:3">
      <c r="A830" s="608" t="s">
        <v>350</v>
      </c>
      <c r="B830" s="608" t="s">
        <v>2807</v>
      </c>
      <c r="C830" s="608">
        <v>20.44</v>
      </c>
    </row>
    <row r="831" spans="1:3">
      <c r="A831" s="608" t="s">
        <v>771</v>
      </c>
      <c r="B831" s="608" t="s">
        <v>2808</v>
      </c>
      <c r="C831" s="608">
        <v>19.56</v>
      </c>
    </row>
    <row r="832" spans="1:3">
      <c r="A832" s="608" t="s">
        <v>1472</v>
      </c>
      <c r="B832" s="608" t="s">
        <v>2809</v>
      </c>
      <c r="C832" s="608">
        <v>22.08</v>
      </c>
    </row>
    <row r="833" spans="1:3">
      <c r="A833" s="608" t="s">
        <v>802</v>
      </c>
      <c r="B833" s="608" t="s">
        <v>2809</v>
      </c>
      <c r="C833" s="608">
        <v>22.08</v>
      </c>
    </row>
    <row r="834" spans="1:3">
      <c r="A834" s="608" t="s">
        <v>801</v>
      </c>
      <c r="B834" s="608" t="s">
        <v>2809</v>
      </c>
      <c r="C834" s="608">
        <v>22.08</v>
      </c>
    </row>
    <row r="835" spans="1:3">
      <c r="A835" s="608" t="s">
        <v>797</v>
      </c>
      <c r="B835" s="608" t="s">
        <v>2810</v>
      </c>
      <c r="C835" s="608" t="e">
        <v>#N/A</v>
      </c>
    </row>
    <row r="836" spans="1:3">
      <c r="A836" s="608" t="s">
        <v>356</v>
      </c>
      <c r="B836" s="608" t="s">
        <v>2811</v>
      </c>
      <c r="C836" s="608">
        <v>20.14</v>
      </c>
    </row>
    <row r="837" spans="1:3">
      <c r="A837" s="608" t="s">
        <v>411</v>
      </c>
      <c r="B837" s="608" t="s">
        <v>2812</v>
      </c>
      <c r="C837" s="608" t="e">
        <v>#N/A</v>
      </c>
    </row>
    <row r="838" spans="1:3">
      <c r="A838" s="608" t="s">
        <v>1271</v>
      </c>
      <c r="B838" s="608" t="s">
        <v>2813</v>
      </c>
      <c r="C838" s="608">
        <v>18.27</v>
      </c>
    </row>
    <row r="839" spans="1:3">
      <c r="A839" s="608" t="s">
        <v>1232</v>
      </c>
      <c r="B839" s="608" t="s">
        <v>2814</v>
      </c>
      <c r="C839" s="608">
        <v>18.53</v>
      </c>
    </row>
    <row r="840" spans="1:3">
      <c r="A840" s="608" t="s">
        <v>996</v>
      </c>
      <c r="B840" s="608" t="s">
        <v>2814</v>
      </c>
      <c r="C840" s="608">
        <v>18.53</v>
      </c>
    </row>
    <row r="841" spans="1:3">
      <c r="A841" s="608" t="s">
        <v>1220</v>
      </c>
      <c r="B841" s="608" t="s">
        <v>2815</v>
      </c>
      <c r="C841" s="608">
        <v>18.61</v>
      </c>
    </row>
    <row r="842" spans="1:3">
      <c r="A842" s="608" t="s">
        <v>353</v>
      </c>
      <c r="B842" s="608" t="s">
        <v>2816</v>
      </c>
      <c r="C842" s="608" t="e">
        <v>#N/A</v>
      </c>
    </row>
    <row r="843" spans="1:3">
      <c r="A843" s="608" t="s">
        <v>2020</v>
      </c>
      <c r="B843" s="608" t="s">
        <v>2817</v>
      </c>
      <c r="C843" s="608">
        <v>22.14</v>
      </c>
    </row>
    <row r="844" spans="1:3">
      <c r="A844" s="608" t="s">
        <v>380</v>
      </c>
      <c r="B844" s="608" t="s">
        <v>2817</v>
      </c>
      <c r="C844" s="608">
        <v>22.14</v>
      </c>
    </row>
    <row r="845" spans="1:3">
      <c r="A845" s="608" t="s">
        <v>378</v>
      </c>
      <c r="B845" s="608" t="s">
        <v>2817</v>
      </c>
      <c r="C845" s="608">
        <v>22.14</v>
      </c>
    </row>
    <row r="846" spans="1:3">
      <c r="A846" s="608" t="s">
        <v>2023</v>
      </c>
      <c r="B846" s="608" t="s">
        <v>2817</v>
      </c>
      <c r="C846" s="608">
        <v>22.14</v>
      </c>
    </row>
    <row r="847" spans="1:3">
      <c r="A847" s="608" t="s">
        <v>2036</v>
      </c>
      <c r="B847" s="608" t="s">
        <v>2818</v>
      </c>
      <c r="C847" s="608">
        <v>28.15</v>
      </c>
    </row>
    <row r="848" spans="1:3">
      <c r="A848" s="608" t="s">
        <v>659</v>
      </c>
      <c r="B848" s="608" t="s">
        <v>2819</v>
      </c>
      <c r="C848" s="608">
        <v>16.08</v>
      </c>
    </row>
    <row r="849" spans="1:3">
      <c r="A849" s="608" t="s">
        <v>661</v>
      </c>
      <c r="B849" s="608" t="s">
        <v>2819</v>
      </c>
      <c r="C849" s="608">
        <v>16.08</v>
      </c>
    </row>
    <row r="850" spans="1:3">
      <c r="A850" s="608" t="s">
        <v>658</v>
      </c>
      <c r="B850" s="608" t="s">
        <v>2819</v>
      </c>
      <c r="C850" s="608">
        <v>16.08</v>
      </c>
    </row>
    <row r="851" spans="1:3">
      <c r="A851" s="608" t="s">
        <v>1636</v>
      </c>
      <c r="B851" s="608" t="s">
        <v>2820</v>
      </c>
      <c r="C851" s="608">
        <v>21.14</v>
      </c>
    </row>
    <row r="852" spans="1:3">
      <c r="A852" s="608" t="s">
        <v>409</v>
      </c>
      <c r="B852" s="608" t="s">
        <v>2821</v>
      </c>
      <c r="C852" s="608">
        <v>23.24</v>
      </c>
    </row>
    <row r="853" spans="1:3">
      <c r="A853" s="608" t="s">
        <v>407</v>
      </c>
      <c r="B853" s="608" t="s">
        <v>2821</v>
      </c>
      <c r="C853" s="608">
        <v>23.24</v>
      </c>
    </row>
    <row r="854" spans="1:3">
      <c r="A854" s="608" t="s">
        <v>397</v>
      </c>
      <c r="B854" s="608" t="s">
        <v>2821</v>
      </c>
      <c r="C854" s="608">
        <v>23.24</v>
      </c>
    </row>
    <row r="855" spans="1:3">
      <c r="A855" s="608" t="s">
        <v>405</v>
      </c>
      <c r="B855" s="608" t="s">
        <v>2821</v>
      </c>
      <c r="C855" s="608">
        <v>23.24</v>
      </c>
    </row>
    <row r="856" spans="1:3">
      <c r="A856" s="608" t="s">
        <v>423</v>
      </c>
      <c r="B856" s="608" t="s">
        <v>2822</v>
      </c>
      <c r="C856" s="608" t="e">
        <v>#N/A</v>
      </c>
    </row>
    <row r="857" spans="1:3">
      <c r="A857" s="608" t="s">
        <v>421</v>
      </c>
      <c r="B857" s="608" t="s">
        <v>2823</v>
      </c>
      <c r="C857" s="608" t="e">
        <v>#N/A</v>
      </c>
    </row>
    <row r="858" spans="1:3">
      <c r="A858" s="608" t="s">
        <v>1707</v>
      </c>
      <c r="B858" s="608" t="s">
        <v>2824</v>
      </c>
      <c r="C858" s="608">
        <v>9.99</v>
      </c>
    </row>
    <row r="859" spans="1:3">
      <c r="A859" s="608" t="s">
        <v>415</v>
      </c>
      <c r="B859" s="608" t="s">
        <v>2825</v>
      </c>
      <c r="C859" s="608">
        <v>17.74</v>
      </c>
    </row>
    <row r="860" spans="1:3">
      <c r="A860" s="608" t="s">
        <v>1023</v>
      </c>
      <c r="B860" s="608" t="s">
        <v>2826</v>
      </c>
      <c r="C860" s="608">
        <v>4.99</v>
      </c>
    </row>
    <row r="861" spans="1:3">
      <c r="A861" s="608" t="s">
        <v>1378</v>
      </c>
      <c r="B861" s="608" t="s">
        <v>2827</v>
      </c>
      <c r="C861" s="608">
        <v>4.99</v>
      </c>
    </row>
    <row r="862" spans="1:3">
      <c r="A862" s="608" t="s">
        <v>991</v>
      </c>
      <c r="B862" s="608" t="s">
        <v>2828</v>
      </c>
      <c r="C862" s="608">
        <v>24.03</v>
      </c>
    </row>
    <row r="863" spans="1:3">
      <c r="A863" s="608" t="s">
        <v>1437</v>
      </c>
      <c r="B863" s="608" t="s">
        <v>2829</v>
      </c>
      <c r="C863" s="608">
        <v>15.2</v>
      </c>
    </row>
    <row r="864" spans="1:3">
      <c r="A864" s="608" t="s">
        <v>1554</v>
      </c>
      <c r="B864" s="608" t="s">
        <v>2830</v>
      </c>
      <c r="C864" s="608">
        <v>6.83</v>
      </c>
    </row>
    <row r="865" spans="1:3">
      <c r="A865" s="608" t="s">
        <v>1329</v>
      </c>
      <c r="B865" s="608" t="s">
        <v>2831</v>
      </c>
      <c r="C865" s="608">
        <v>26.37</v>
      </c>
    </row>
    <row r="866" spans="1:3">
      <c r="A866" s="608" t="s">
        <v>1827</v>
      </c>
      <c r="B866" s="608" t="s">
        <v>2831</v>
      </c>
      <c r="C866" s="608">
        <v>26.37</v>
      </c>
    </row>
    <row r="867" spans="1:3">
      <c r="A867" s="608" t="s">
        <v>1539</v>
      </c>
      <c r="B867" s="608" t="s">
        <v>2831</v>
      </c>
      <c r="C867" s="608">
        <v>26.37</v>
      </c>
    </row>
    <row r="868" spans="1:3">
      <c r="A868" s="608" t="s">
        <v>809</v>
      </c>
      <c r="B868" s="608" t="s">
        <v>2832</v>
      </c>
      <c r="C868" s="608">
        <v>16.2</v>
      </c>
    </row>
    <row r="869" spans="1:3">
      <c r="A869" s="608" t="s">
        <v>2015</v>
      </c>
      <c r="B869" s="608" t="s">
        <v>2833</v>
      </c>
      <c r="C869" s="608">
        <v>23.99</v>
      </c>
    </row>
    <row r="870" spans="1:3">
      <c r="A870" s="608" t="s">
        <v>700</v>
      </c>
      <c r="B870" s="608" t="s">
        <v>2834</v>
      </c>
      <c r="C870" s="608">
        <v>15.1</v>
      </c>
    </row>
    <row r="871" spans="1:3">
      <c r="A871" s="608" t="s">
        <v>1462</v>
      </c>
      <c r="B871" s="608" t="s">
        <v>2835</v>
      </c>
      <c r="C871" s="608">
        <v>8</v>
      </c>
    </row>
    <row r="872" spans="1:3">
      <c r="A872" s="608" t="s">
        <v>282</v>
      </c>
      <c r="B872" s="608" t="s">
        <v>2836</v>
      </c>
      <c r="C872" s="608">
        <v>21.31</v>
      </c>
    </row>
    <row r="873" spans="1:3">
      <c r="A873" s="608" t="s">
        <v>1153</v>
      </c>
      <c r="B873" s="608" t="s">
        <v>2836</v>
      </c>
      <c r="C873" s="608">
        <v>21.31</v>
      </c>
    </row>
    <row r="874" spans="1:3">
      <c r="A874" s="608" t="s">
        <v>995</v>
      </c>
      <c r="B874" s="608" t="s">
        <v>2837</v>
      </c>
      <c r="C874" s="608">
        <v>13.53</v>
      </c>
    </row>
    <row r="875" spans="1:3">
      <c r="A875" s="608" t="s">
        <v>871</v>
      </c>
      <c r="B875" s="608" t="s">
        <v>2837</v>
      </c>
      <c r="C875" s="608">
        <v>13.53</v>
      </c>
    </row>
    <row r="876" spans="1:3">
      <c r="A876" s="608" t="s">
        <v>984</v>
      </c>
      <c r="B876" s="608" t="s">
        <v>2838</v>
      </c>
      <c r="C876" s="608">
        <v>18.02</v>
      </c>
    </row>
    <row r="877" spans="1:3">
      <c r="A877" s="608" t="s">
        <v>989</v>
      </c>
      <c r="B877" s="608" t="s">
        <v>2838</v>
      </c>
      <c r="C877" s="608">
        <v>18.02</v>
      </c>
    </row>
    <row r="878" spans="1:3">
      <c r="A878" s="608" t="s">
        <v>985</v>
      </c>
      <c r="B878" s="608" t="s">
        <v>2838</v>
      </c>
      <c r="C878" s="608">
        <v>18.02</v>
      </c>
    </row>
    <row r="879" spans="1:3">
      <c r="A879" s="608" t="s">
        <v>1109</v>
      </c>
      <c r="B879" s="608" t="s">
        <v>2839</v>
      </c>
      <c r="C879" s="608">
        <v>20.67</v>
      </c>
    </row>
    <row r="880" spans="1:3">
      <c r="A880" s="608" t="s">
        <v>901</v>
      </c>
      <c r="B880" s="608" t="s">
        <v>2840</v>
      </c>
      <c r="C880" s="608">
        <v>16</v>
      </c>
    </row>
    <row r="881" spans="1:3">
      <c r="A881" s="608" t="s">
        <v>1945</v>
      </c>
      <c r="B881" s="608" t="s">
        <v>2840</v>
      </c>
      <c r="C881" s="608">
        <v>16</v>
      </c>
    </row>
    <row r="882" spans="1:3">
      <c r="A882" s="608" t="s">
        <v>197</v>
      </c>
      <c r="B882" s="608" t="s">
        <v>2841</v>
      </c>
      <c r="C882" s="608" t="e">
        <v>#N/A</v>
      </c>
    </row>
    <row r="883" spans="1:3">
      <c r="A883" s="608" t="s">
        <v>224</v>
      </c>
      <c r="B883" s="608" t="s">
        <v>2841</v>
      </c>
      <c r="C883" s="608" t="e">
        <v>#N/A</v>
      </c>
    </row>
    <row r="884" spans="1:3">
      <c r="A884" s="608" t="s">
        <v>226</v>
      </c>
      <c r="B884" s="608" t="s">
        <v>2841</v>
      </c>
      <c r="C884" s="608" t="e">
        <v>#N/A</v>
      </c>
    </row>
    <row r="885" spans="1:3">
      <c r="A885" s="608" t="s">
        <v>228</v>
      </c>
      <c r="B885" s="608" t="s">
        <v>2841</v>
      </c>
      <c r="C885" s="608" t="e">
        <v>#N/A</v>
      </c>
    </row>
    <row r="886" spans="1:3">
      <c r="A886" s="608" t="s">
        <v>230</v>
      </c>
      <c r="B886" s="608" t="s">
        <v>2841</v>
      </c>
      <c r="C886" s="608" t="e">
        <v>#N/A</v>
      </c>
    </row>
    <row r="887" spans="1:3">
      <c r="A887" s="608" t="s">
        <v>255</v>
      </c>
      <c r="B887" s="608" t="s">
        <v>2841</v>
      </c>
      <c r="C887" s="608" t="e">
        <v>#N/A</v>
      </c>
    </row>
    <row r="888" spans="1:3">
      <c r="A888" s="608" t="s">
        <v>1427</v>
      </c>
      <c r="B888" s="608" t="s">
        <v>2841</v>
      </c>
      <c r="C888" s="608" t="e">
        <v>#N/A</v>
      </c>
    </row>
    <row r="889" spans="1:3">
      <c r="A889" s="608" t="s">
        <v>1694</v>
      </c>
      <c r="B889" s="608" t="s">
        <v>2842</v>
      </c>
      <c r="C889" s="608">
        <v>21.06</v>
      </c>
    </row>
    <row r="890" spans="1:3">
      <c r="A890" s="608" t="s">
        <v>1327</v>
      </c>
      <c r="B890" s="608" t="s">
        <v>2842</v>
      </c>
      <c r="C890" s="608">
        <v>21.06</v>
      </c>
    </row>
    <row r="891" spans="1:3">
      <c r="A891" s="608" t="s">
        <v>1035</v>
      </c>
      <c r="B891" s="608" t="s">
        <v>2842</v>
      </c>
      <c r="C891" s="608">
        <v>21.06</v>
      </c>
    </row>
    <row r="892" spans="1:3">
      <c r="A892" s="608" t="s">
        <v>1718</v>
      </c>
      <c r="B892" s="608" t="s">
        <v>2842</v>
      </c>
      <c r="C892" s="608">
        <v>21.06</v>
      </c>
    </row>
    <row r="893" spans="1:3">
      <c r="A893" s="608" t="s">
        <v>1424</v>
      </c>
      <c r="B893" s="608" t="s">
        <v>2842</v>
      </c>
      <c r="C893" s="608">
        <v>21.06</v>
      </c>
    </row>
    <row r="894" spans="1:3">
      <c r="A894" s="608" t="s">
        <v>1121</v>
      </c>
      <c r="B894" s="608" t="s">
        <v>2842</v>
      </c>
      <c r="C894" s="608">
        <v>21.06</v>
      </c>
    </row>
    <row r="895" spans="1:3">
      <c r="A895" s="608" t="s">
        <v>1803</v>
      </c>
      <c r="B895" s="608" t="s">
        <v>2842</v>
      </c>
      <c r="C895" s="608">
        <v>21.06</v>
      </c>
    </row>
    <row r="896" spans="1:3">
      <c r="A896" s="608" t="s">
        <v>1455</v>
      </c>
      <c r="B896" s="608" t="s">
        <v>2842</v>
      </c>
      <c r="C896" s="608">
        <v>21.06</v>
      </c>
    </row>
    <row r="897" spans="1:3">
      <c r="A897" s="608" t="s">
        <v>1150</v>
      </c>
      <c r="B897" s="608" t="s">
        <v>2842</v>
      </c>
      <c r="C897" s="608">
        <v>21.06</v>
      </c>
    </row>
    <row r="898" spans="1:3">
      <c r="A898" s="608" t="s">
        <v>1701</v>
      </c>
      <c r="B898" s="608" t="s">
        <v>2842</v>
      </c>
      <c r="C898" s="608">
        <v>21.06</v>
      </c>
    </row>
    <row r="899" spans="1:3">
      <c r="A899" s="608" t="s">
        <v>1245</v>
      </c>
      <c r="B899" s="608" t="s">
        <v>2843</v>
      </c>
      <c r="C899" s="608">
        <v>20.08</v>
      </c>
    </row>
    <row r="900" spans="1:3">
      <c r="A900" s="608" t="s">
        <v>1949</v>
      </c>
      <c r="B900" s="608" t="s">
        <v>2844</v>
      </c>
      <c r="C900" s="608">
        <v>25.03</v>
      </c>
    </row>
    <row r="901" spans="1:3">
      <c r="A901" s="608" t="s">
        <v>1648</v>
      </c>
      <c r="B901" s="608" t="s">
        <v>2844</v>
      </c>
      <c r="C901" s="608">
        <v>25.03</v>
      </c>
    </row>
    <row r="902" spans="1:3">
      <c r="A902" s="608" t="s">
        <v>1690</v>
      </c>
      <c r="B902" s="608" t="s">
        <v>2845</v>
      </c>
      <c r="C902" s="608">
        <v>25.05</v>
      </c>
    </row>
    <row r="903" spans="1:3">
      <c r="A903" s="608" t="s">
        <v>1280</v>
      </c>
      <c r="B903" s="608" t="s">
        <v>2845</v>
      </c>
      <c r="C903" s="608">
        <v>25.05</v>
      </c>
    </row>
    <row r="904" spans="1:3">
      <c r="A904" s="608" t="s">
        <v>1362</v>
      </c>
      <c r="B904" s="608" t="s">
        <v>2846</v>
      </c>
      <c r="C904" s="608">
        <v>25.03</v>
      </c>
    </row>
    <row r="905" spans="1:3">
      <c r="A905" s="608" t="s">
        <v>1061</v>
      </c>
      <c r="B905" s="608" t="s">
        <v>2846</v>
      </c>
      <c r="C905" s="608">
        <v>25.03</v>
      </c>
    </row>
    <row r="906" spans="1:3">
      <c r="A906" s="608" t="s">
        <v>1685</v>
      </c>
      <c r="B906" s="608" t="s">
        <v>2847</v>
      </c>
      <c r="C906" s="608">
        <v>25</v>
      </c>
    </row>
    <row r="907" spans="1:3">
      <c r="A907" s="608" t="s">
        <v>1631</v>
      </c>
      <c r="B907" s="608" t="s">
        <v>2847</v>
      </c>
      <c r="C907" s="608">
        <v>25</v>
      </c>
    </row>
    <row r="908" spans="1:3">
      <c r="A908" s="608" t="s">
        <v>1844</v>
      </c>
      <c r="B908" s="608" t="s">
        <v>2848</v>
      </c>
      <c r="C908" s="608">
        <v>25.02</v>
      </c>
    </row>
    <row r="909" spans="1:3">
      <c r="A909" s="608" t="s">
        <v>1966</v>
      </c>
      <c r="B909" s="608" t="s">
        <v>2848</v>
      </c>
      <c r="C909" s="608">
        <v>25.02</v>
      </c>
    </row>
    <row r="910" spans="1:3">
      <c r="A910" s="608" t="s">
        <v>1120</v>
      </c>
      <c r="B910" s="608" t="s">
        <v>2849</v>
      </c>
      <c r="C910" s="608">
        <v>25.02</v>
      </c>
    </row>
    <row r="911" spans="1:3">
      <c r="A911" s="608" t="s">
        <v>1454</v>
      </c>
      <c r="B911" s="608" t="s">
        <v>2849</v>
      </c>
      <c r="C911" s="608">
        <v>25.02</v>
      </c>
    </row>
    <row r="912" spans="1:3">
      <c r="A912" s="608" t="s">
        <v>1774</v>
      </c>
      <c r="B912" s="608" t="s">
        <v>2849</v>
      </c>
      <c r="C912" s="608">
        <v>25.02</v>
      </c>
    </row>
    <row r="913" spans="1:3">
      <c r="A913" s="608" t="s">
        <v>1486</v>
      </c>
      <c r="B913" s="608" t="s">
        <v>2849</v>
      </c>
      <c r="C913" s="608">
        <v>25.02</v>
      </c>
    </row>
    <row r="914" spans="1:3">
      <c r="A914" s="608" t="s">
        <v>1187</v>
      </c>
      <c r="B914" s="608" t="s">
        <v>2849</v>
      </c>
      <c r="C914" s="608">
        <v>25.02</v>
      </c>
    </row>
    <row r="915" spans="1:3">
      <c r="A915" s="608" t="s">
        <v>1872</v>
      </c>
      <c r="B915" s="608" t="s">
        <v>2849</v>
      </c>
      <c r="C915" s="608">
        <v>25.02</v>
      </c>
    </row>
    <row r="916" spans="1:3">
      <c r="A916" s="608" t="s">
        <v>1213</v>
      </c>
      <c r="B916" s="608" t="s">
        <v>2849</v>
      </c>
      <c r="C916" s="608">
        <v>25.02</v>
      </c>
    </row>
    <row r="917" spans="1:3">
      <c r="A917" s="608" t="s">
        <v>1377</v>
      </c>
      <c r="B917" s="608" t="s">
        <v>2850</v>
      </c>
      <c r="C917" s="608">
        <v>20.96</v>
      </c>
    </row>
    <row r="918" spans="1:3">
      <c r="A918" s="608" t="s">
        <v>1073</v>
      </c>
      <c r="B918" s="608" t="s">
        <v>2850</v>
      </c>
      <c r="C918" s="608">
        <v>20.96</v>
      </c>
    </row>
    <row r="919" spans="1:3">
      <c r="A919" s="608" t="s">
        <v>1373</v>
      </c>
      <c r="B919" s="608" t="s">
        <v>2851</v>
      </c>
      <c r="C919" s="608">
        <v>13.96</v>
      </c>
    </row>
    <row r="920" spans="1:3">
      <c r="A920" s="608" t="s">
        <v>1244</v>
      </c>
      <c r="B920" s="608" t="s">
        <v>2852</v>
      </c>
      <c r="C920" s="608">
        <v>13.55</v>
      </c>
    </row>
    <row r="921" spans="1:3">
      <c r="A921" s="608" t="s">
        <v>1420</v>
      </c>
      <c r="B921" s="608" t="s">
        <v>2853</v>
      </c>
      <c r="C921" s="608">
        <v>20.22</v>
      </c>
    </row>
    <row r="922" spans="1:3">
      <c r="A922" s="608" t="s">
        <v>1971</v>
      </c>
      <c r="B922" s="608" t="s">
        <v>2853</v>
      </c>
      <c r="C922" s="608">
        <v>20.22</v>
      </c>
    </row>
    <row r="923" spans="1:3">
      <c r="A923" s="608" t="s">
        <v>796</v>
      </c>
      <c r="B923" s="608" t="s">
        <v>2854</v>
      </c>
      <c r="C923" s="608">
        <v>27.1</v>
      </c>
    </row>
    <row r="924" spans="1:3">
      <c r="A924" s="608" t="s">
        <v>1547</v>
      </c>
      <c r="B924" s="608" t="s">
        <v>2855</v>
      </c>
      <c r="C924" s="608">
        <v>17.49</v>
      </c>
    </row>
    <row r="925" spans="1:3">
      <c r="A925" s="608" t="s">
        <v>299</v>
      </c>
      <c r="B925" s="608" t="s">
        <v>2856</v>
      </c>
      <c r="C925" s="608">
        <v>19.46</v>
      </c>
    </row>
    <row r="926" spans="1:3">
      <c r="A926" s="608" t="s">
        <v>959</v>
      </c>
      <c r="B926" s="608" t="s">
        <v>2856</v>
      </c>
      <c r="C926" s="608">
        <v>19.46</v>
      </c>
    </row>
    <row r="927" spans="1:3">
      <c r="A927" s="608" t="s">
        <v>866</v>
      </c>
      <c r="B927" s="608" t="s">
        <v>2857</v>
      </c>
      <c r="C927" s="608">
        <v>23.37</v>
      </c>
    </row>
    <row r="928" spans="1:3">
      <c r="A928" s="608" t="s">
        <v>1096</v>
      </c>
      <c r="B928" s="608" t="s">
        <v>2858</v>
      </c>
      <c r="C928" s="608">
        <v>2</v>
      </c>
    </row>
    <row r="929" spans="1:3">
      <c r="A929" s="608" t="s">
        <v>629</v>
      </c>
      <c r="B929" s="608" t="s">
        <v>2859</v>
      </c>
      <c r="C929" s="608">
        <v>22.61</v>
      </c>
    </row>
    <row r="930" spans="1:3">
      <c r="A930" s="608" t="s">
        <v>1888</v>
      </c>
      <c r="B930" s="608" t="s">
        <v>2860</v>
      </c>
      <c r="C930" s="608">
        <v>6</v>
      </c>
    </row>
    <row r="931" spans="1:3">
      <c r="A931" s="608" t="s">
        <v>800</v>
      </c>
      <c r="B931" s="608" t="s">
        <v>2861</v>
      </c>
      <c r="C931" s="608" t="e">
        <v>#N/A</v>
      </c>
    </row>
    <row r="932" spans="1:3">
      <c r="A932" s="608" t="s">
        <v>2024</v>
      </c>
      <c r="B932" s="608" t="s">
        <v>2862</v>
      </c>
      <c r="C932" s="608">
        <v>16</v>
      </c>
    </row>
    <row r="933" spans="1:3">
      <c r="A933" s="608" t="s">
        <v>1018</v>
      </c>
      <c r="B933" s="608" t="s">
        <v>2862</v>
      </c>
      <c r="C933" s="608">
        <v>16</v>
      </c>
    </row>
    <row r="934" spans="1:3">
      <c r="A934" s="608" t="s">
        <v>1017</v>
      </c>
      <c r="B934" s="608" t="s">
        <v>2862</v>
      </c>
      <c r="C934" s="608">
        <v>16</v>
      </c>
    </row>
    <row r="935" spans="1:3">
      <c r="A935" s="608" t="s">
        <v>1015</v>
      </c>
      <c r="B935" s="608" t="s">
        <v>2862</v>
      </c>
      <c r="C935" s="608">
        <v>16</v>
      </c>
    </row>
    <row r="936" spans="1:3">
      <c r="A936" s="608" t="s">
        <v>1006</v>
      </c>
      <c r="B936" s="608" t="s">
        <v>2863</v>
      </c>
      <c r="C936" s="608" t="e">
        <v>#N/A</v>
      </c>
    </row>
    <row r="937" spans="1:3">
      <c r="A937" s="608" t="s">
        <v>1004</v>
      </c>
      <c r="B937" s="608" t="s">
        <v>2863</v>
      </c>
      <c r="C937" s="608" t="e">
        <v>#N/A</v>
      </c>
    </row>
    <row r="938" spans="1:3">
      <c r="A938" s="608" t="s">
        <v>1008</v>
      </c>
      <c r="B938" s="608" t="s">
        <v>2863</v>
      </c>
      <c r="C938" s="608" t="e">
        <v>#N/A</v>
      </c>
    </row>
    <row r="939" spans="1:3">
      <c r="A939" s="608" t="s">
        <v>1007</v>
      </c>
      <c r="B939" s="608" t="s">
        <v>2863</v>
      </c>
      <c r="C939" s="608" t="e">
        <v>#N/A</v>
      </c>
    </row>
    <row r="940" spans="1:3">
      <c r="A940" s="608" t="s">
        <v>1005</v>
      </c>
      <c r="B940" s="608" t="s">
        <v>2863</v>
      </c>
      <c r="C940" s="608" t="e">
        <v>#N/A</v>
      </c>
    </row>
    <row r="941" spans="1:3">
      <c r="A941" s="608" t="s">
        <v>1996</v>
      </c>
      <c r="B941" s="608" t="s">
        <v>2864</v>
      </c>
      <c r="C941" s="608" t="e">
        <v>#N/A</v>
      </c>
    </row>
    <row r="942" spans="1:3">
      <c r="A942" s="608" t="s">
        <v>1641</v>
      </c>
      <c r="B942" s="608" t="s">
        <v>2865</v>
      </c>
      <c r="C942" s="608">
        <v>19.76</v>
      </c>
    </row>
    <row r="943" spans="1:3">
      <c r="A943" s="608" t="s">
        <v>1431</v>
      </c>
      <c r="B943" s="608" t="s">
        <v>2866</v>
      </c>
      <c r="C943" s="608">
        <v>22.09</v>
      </c>
    </row>
    <row r="944" spans="1:3">
      <c r="A944" s="608" t="s">
        <v>438</v>
      </c>
      <c r="B944" s="608" t="s">
        <v>2867</v>
      </c>
      <c r="C944" s="608">
        <v>23.4</v>
      </c>
    </row>
    <row r="945" spans="1:3">
      <c r="A945" s="608" t="s">
        <v>1922</v>
      </c>
      <c r="B945" s="608" t="s">
        <v>2868</v>
      </c>
      <c r="C945" s="608">
        <v>21.08</v>
      </c>
    </row>
    <row r="946" spans="1:3">
      <c r="A946" s="608" t="s">
        <v>1616</v>
      </c>
      <c r="B946" s="608" t="s">
        <v>2868</v>
      </c>
      <c r="C946" s="608">
        <v>21.08</v>
      </c>
    </row>
    <row r="947" spans="1:3">
      <c r="A947" s="608" t="s">
        <v>594</v>
      </c>
      <c r="B947" s="608" t="s">
        <v>2869</v>
      </c>
      <c r="C947" s="608">
        <v>21.3</v>
      </c>
    </row>
    <row r="948" spans="1:3">
      <c r="A948" s="608" t="s">
        <v>872</v>
      </c>
      <c r="B948" s="608" t="s">
        <v>2870</v>
      </c>
      <c r="C948" s="608">
        <v>18.4</v>
      </c>
    </row>
    <row r="949" spans="1:3">
      <c r="A949" s="608" t="s">
        <v>375</v>
      </c>
      <c r="B949" s="608" t="s">
        <v>2871</v>
      </c>
      <c r="C949" s="608">
        <v>31.61</v>
      </c>
    </row>
    <row r="950" spans="1:3">
      <c r="A950" s="608" t="s">
        <v>1637</v>
      </c>
      <c r="B950" s="608" t="s">
        <v>2872</v>
      </c>
      <c r="C950" s="608">
        <v>23.37</v>
      </c>
    </row>
    <row r="951" spans="1:3">
      <c r="A951" s="608" t="s">
        <v>1305</v>
      </c>
      <c r="B951" s="608" t="s">
        <v>2873</v>
      </c>
      <c r="C951" s="608">
        <v>22.26</v>
      </c>
    </row>
    <row r="952" spans="1:3">
      <c r="A952" s="608" t="s">
        <v>387</v>
      </c>
      <c r="B952" s="608" t="s">
        <v>2874</v>
      </c>
      <c r="C952" s="608">
        <v>10.6</v>
      </c>
    </row>
    <row r="953" spans="1:3">
      <c r="A953" s="608" t="s">
        <v>1020</v>
      </c>
      <c r="B953" s="608" t="s">
        <v>2875</v>
      </c>
      <c r="C953" s="608">
        <v>15</v>
      </c>
    </row>
    <row r="954" spans="1:3">
      <c r="A954" s="608" t="s">
        <v>1011</v>
      </c>
      <c r="B954" s="608" t="s">
        <v>2875</v>
      </c>
      <c r="C954" s="608">
        <v>15</v>
      </c>
    </row>
    <row r="955" spans="1:3">
      <c r="A955" s="608" t="s">
        <v>1013</v>
      </c>
      <c r="B955" s="608" t="s">
        <v>2875</v>
      </c>
      <c r="C955" s="608">
        <v>15</v>
      </c>
    </row>
    <row r="956" spans="1:3">
      <c r="A956" s="608" t="s">
        <v>725</v>
      </c>
      <c r="B956" s="608" t="s">
        <v>2875</v>
      </c>
      <c r="C956" s="608">
        <v>15</v>
      </c>
    </row>
    <row r="957" spans="1:3">
      <c r="A957" s="608" t="s">
        <v>1019</v>
      </c>
      <c r="B957" s="608" t="s">
        <v>2875</v>
      </c>
      <c r="C957" s="608">
        <v>15</v>
      </c>
    </row>
    <row r="958" spans="1:3">
      <c r="A958" s="608" t="s">
        <v>1014</v>
      </c>
      <c r="B958" s="608" t="s">
        <v>2875</v>
      </c>
      <c r="C958" s="608">
        <v>15</v>
      </c>
    </row>
    <row r="959" spans="1:3">
      <c r="A959" s="608" t="s">
        <v>726</v>
      </c>
      <c r="B959" s="608" t="s">
        <v>2875</v>
      </c>
      <c r="C959" s="608">
        <v>15</v>
      </c>
    </row>
    <row r="960" spans="1:3">
      <c r="A960" s="608" t="s">
        <v>1016</v>
      </c>
      <c r="B960" s="608" t="s">
        <v>2875</v>
      </c>
      <c r="C960" s="608">
        <v>15</v>
      </c>
    </row>
    <row r="961" spans="1:3">
      <c r="A961" s="608" t="s">
        <v>1012</v>
      </c>
      <c r="B961" s="608" t="s">
        <v>2875</v>
      </c>
      <c r="C961" s="608">
        <v>15</v>
      </c>
    </row>
    <row r="962" spans="1:3">
      <c r="A962" s="608" t="s">
        <v>727</v>
      </c>
      <c r="B962" s="608" t="s">
        <v>2875</v>
      </c>
      <c r="C962" s="608">
        <v>15</v>
      </c>
    </row>
    <row r="963" spans="1:3">
      <c r="A963" s="608" t="s">
        <v>1290</v>
      </c>
      <c r="B963" s="608" t="s">
        <v>2876</v>
      </c>
      <c r="C963" s="608">
        <v>6</v>
      </c>
    </row>
    <row r="964" spans="1:3">
      <c r="A964" s="608" t="s">
        <v>1927</v>
      </c>
      <c r="B964" s="608" t="s">
        <v>2877</v>
      </c>
      <c r="C964" s="608">
        <v>8.4</v>
      </c>
    </row>
    <row r="965" spans="1:3">
      <c r="A965" s="608" t="s">
        <v>657</v>
      </c>
      <c r="B965" s="608" t="s">
        <v>2878</v>
      </c>
      <c r="C965" s="608">
        <v>0</v>
      </c>
    </row>
    <row r="966" spans="1:3">
      <c r="A966" s="608" t="s">
        <v>1267</v>
      </c>
      <c r="B966" s="608" t="s">
        <v>2879</v>
      </c>
      <c r="C966" s="608">
        <v>18.09</v>
      </c>
    </row>
    <row r="967" spans="1:3">
      <c r="A967" s="608" t="s">
        <v>1895</v>
      </c>
      <c r="B967" s="608" t="s">
        <v>2879</v>
      </c>
      <c r="C967" s="608">
        <v>18.09</v>
      </c>
    </row>
    <row r="968" spans="1:3">
      <c r="A968" s="608" t="s">
        <v>2002</v>
      </c>
      <c r="B968" s="608" t="s">
        <v>2880</v>
      </c>
      <c r="C968" s="608">
        <v>15.19</v>
      </c>
    </row>
    <row r="969" spans="1:3">
      <c r="A969" s="608" t="s">
        <v>865</v>
      </c>
      <c r="B969" s="608" t="s">
        <v>2881</v>
      </c>
      <c r="C969" s="608">
        <v>25.99</v>
      </c>
    </row>
    <row r="970" spans="1:3">
      <c r="A970" s="608" t="s">
        <v>1829</v>
      </c>
      <c r="B970" s="608" t="s">
        <v>2882</v>
      </c>
      <c r="C970" s="608" t="e">
        <v>#N/A</v>
      </c>
    </row>
    <row r="971" spans="1:3">
      <c r="A971" s="608" t="s">
        <v>703</v>
      </c>
      <c r="B971" s="608" t="s">
        <v>2883</v>
      </c>
      <c r="C971" s="608">
        <v>17.9</v>
      </c>
    </row>
    <row r="972" spans="1:3">
      <c r="A972" s="608" t="s">
        <v>692</v>
      </c>
      <c r="B972" s="608" t="s">
        <v>2884</v>
      </c>
      <c r="C972" s="608">
        <v>20.14</v>
      </c>
    </row>
    <row r="973" spans="1:3">
      <c r="A973" s="608" t="s">
        <v>1399</v>
      </c>
      <c r="B973" s="608" t="s">
        <v>2885</v>
      </c>
      <c r="C973" s="608" t="e">
        <v>#N/A</v>
      </c>
    </row>
    <row r="974" spans="1:3">
      <c r="A974" s="608" t="s">
        <v>1400</v>
      </c>
      <c r="B974" s="608" t="s">
        <v>2885</v>
      </c>
      <c r="C974" s="608" t="e">
        <v>#N/A</v>
      </c>
    </row>
    <row r="975" spans="1:3">
      <c r="A975" s="608" t="s">
        <v>2000</v>
      </c>
      <c r="B975" s="608" t="s">
        <v>2885</v>
      </c>
      <c r="C975" s="608" t="e">
        <v>#N/A</v>
      </c>
    </row>
    <row r="976" spans="1:3">
      <c r="A976" s="608" t="s">
        <v>1781</v>
      </c>
      <c r="B976" s="608" t="s">
        <v>2885</v>
      </c>
      <c r="C976" s="608" t="e">
        <v>#N/A</v>
      </c>
    </row>
    <row r="977" spans="1:3">
      <c r="A977" s="608" t="s">
        <v>395</v>
      </c>
      <c r="B977" s="608" t="s">
        <v>2886</v>
      </c>
      <c r="C977" s="608">
        <v>21.13</v>
      </c>
    </row>
    <row r="978" spans="1:3">
      <c r="A978" s="608" t="s">
        <v>770</v>
      </c>
      <c r="B978" s="608" t="s">
        <v>2886</v>
      </c>
      <c r="C978" s="608">
        <v>21.13</v>
      </c>
    </row>
    <row r="979" spans="1:3">
      <c r="A979" s="608" t="s">
        <v>1189</v>
      </c>
      <c r="B979" s="608" t="s">
        <v>2887</v>
      </c>
      <c r="C979" s="608">
        <v>15.81</v>
      </c>
    </row>
    <row r="980" spans="1:3">
      <c r="A980" s="608" t="s">
        <v>1432</v>
      </c>
      <c r="B980" s="608" t="s">
        <v>2888</v>
      </c>
      <c r="C980" s="608">
        <v>13.52</v>
      </c>
    </row>
    <row r="981" spans="1:3">
      <c r="A981" s="608" t="s">
        <v>2027</v>
      </c>
      <c r="B981" s="608" t="s">
        <v>2889</v>
      </c>
      <c r="C981" s="608">
        <v>13.31</v>
      </c>
    </row>
    <row r="982" spans="1:3">
      <c r="A982" s="608" t="s">
        <v>1212</v>
      </c>
      <c r="B982" s="608" t="s">
        <v>2890</v>
      </c>
      <c r="C982" s="608">
        <v>13.49</v>
      </c>
    </row>
    <row r="983" spans="1:3">
      <c r="A983" s="608" t="s">
        <v>1619</v>
      </c>
      <c r="B983" s="608" t="s">
        <v>2891</v>
      </c>
      <c r="C983" s="608">
        <v>23.29</v>
      </c>
    </row>
    <row r="984" spans="1:3">
      <c r="A984" s="608" t="s">
        <v>1348</v>
      </c>
      <c r="B984" s="608" t="s">
        <v>2891</v>
      </c>
      <c r="C984" s="608">
        <v>23.29</v>
      </c>
    </row>
    <row r="985" spans="1:3">
      <c r="A985" s="608" t="s">
        <v>1620</v>
      </c>
      <c r="B985" s="608" t="s">
        <v>2892</v>
      </c>
      <c r="C985" s="608">
        <v>23.7</v>
      </c>
    </row>
    <row r="986" spans="1:3">
      <c r="A986" s="608" t="s">
        <v>1756</v>
      </c>
      <c r="B986" s="608" t="s">
        <v>2893</v>
      </c>
      <c r="C986" s="608">
        <v>23.08</v>
      </c>
    </row>
    <row r="987" spans="1:3">
      <c r="A987" s="608" t="s">
        <v>1526</v>
      </c>
      <c r="B987" s="608" t="s">
        <v>2894</v>
      </c>
      <c r="C987" s="608">
        <v>-6.36</v>
      </c>
    </row>
    <row r="988" spans="1:3">
      <c r="A988" s="608" t="s">
        <v>1794</v>
      </c>
      <c r="B988" s="608" t="s">
        <v>2895</v>
      </c>
      <c r="C988" s="608" t="e">
        <v>#N/A</v>
      </c>
    </row>
    <row r="989" spans="1:3">
      <c r="A989" s="608" t="s">
        <v>1913</v>
      </c>
      <c r="B989" s="608" t="s">
        <v>2896</v>
      </c>
      <c r="C989" s="608" t="e">
        <v>#N/A</v>
      </c>
    </row>
    <row r="990" spans="1:3">
      <c r="A990" s="608" t="s">
        <v>1606</v>
      </c>
      <c r="B990" s="608" t="s">
        <v>2896</v>
      </c>
      <c r="C990" s="608" t="e">
        <v>#N/A</v>
      </c>
    </row>
    <row r="991" spans="1:3">
      <c r="A991" s="608" t="s">
        <v>992</v>
      </c>
      <c r="B991" s="608" t="s">
        <v>2896</v>
      </c>
      <c r="C991" s="608" t="e">
        <v>#N/A</v>
      </c>
    </row>
    <row r="992" spans="1:3">
      <c r="A992" s="608" t="s">
        <v>1840</v>
      </c>
      <c r="B992" s="608" t="s">
        <v>2897</v>
      </c>
      <c r="C992" s="608">
        <v>18.58</v>
      </c>
    </row>
    <row r="993" spans="1:3">
      <c r="A993" s="608" t="s">
        <v>1083</v>
      </c>
      <c r="B993" s="608" t="s">
        <v>2898</v>
      </c>
      <c r="C993" s="608">
        <v>25.75</v>
      </c>
    </row>
    <row r="994" spans="1:3">
      <c r="A994" s="608" t="s">
        <v>1769</v>
      </c>
      <c r="B994" s="608" t="s">
        <v>2899</v>
      </c>
      <c r="C994" s="608">
        <v>26.02</v>
      </c>
    </row>
    <row r="995" spans="1:3">
      <c r="A995" s="608" t="s">
        <v>1722</v>
      </c>
      <c r="B995" s="608" t="s">
        <v>2900</v>
      </c>
      <c r="C995" s="608"/>
    </row>
    <row r="996" spans="1:3">
      <c r="A996" s="608" t="s">
        <v>1039</v>
      </c>
      <c r="B996" s="608" t="s">
        <v>2901</v>
      </c>
      <c r="C996" s="608"/>
    </row>
    <row r="997" spans="1:3">
      <c r="A997" s="608" t="s">
        <v>1333</v>
      </c>
      <c r="B997" s="608" t="s">
        <v>2902</v>
      </c>
      <c r="C997" s="608"/>
    </row>
    <row r="998" spans="1:3">
      <c r="A998" s="608" t="s">
        <v>1987</v>
      </c>
      <c r="B998" s="608" t="s">
        <v>2903</v>
      </c>
      <c r="C998" s="608"/>
    </row>
    <row r="999" spans="1:3">
      <c r="A999" s="608" t="s">
        <v>1602</v>
      </c>
      <c r="B999" s="608" t="s">
        <v>2904</v>
      </c>
      <c r="C999" s="608"/>
    </row>
    <row r="1000" spans="1:3">
      <c r="A1000" s="608" t="s">
        <v>373</v>
      </c>
      <c r="B1000" s="608" t="s">
        <v>2905</v>
      </c>
      <c r="C1000" s="608">
        <v>34.72</v>
      </c>
    </row>
    <row r="1001" spans="1:3">
      <c r="A1001" s="608" t="s">
        <v>1185</v>
      </c>
      <c r="B1001" s="608" t="s">
        <v>2906</v>
      </c>
      <c r="C1001" s="608">
        <v>20.23</v>
      </c>
    </row>
    <row r="1002" spans="1:3">
      <c r="A1002" s="608" t="s">
        <v>2028</v>
      </c>
      <c r="B1002" s="608" t="s">
        <v>2907</v>
      </c>
      <c r="C1002" s="608">
        <v>22</v>
      </c>
    </row>
    <row r="1003" spans="1:3">
      <c r="A1003" s="608" t="s">
        <v>1227</v>
      </c>
      <c r="B1003" s="608" t="s">
        <v>2908</v>
      </c>
      <c r="C1003" s="608">
        <v>24.15</v>
      </c>
    </row>
    <row r="1004" spans="1:3">
      <c r="A1004" s="608" t="s">
        <v>1474</v>
      </c>
      <c r="B1004" s="608" t="s">
        <v>2909</v>
      </c>
      <c r="C1004" s="608">
        <v>17.49</v>
      </c>
    </row>
    <row r="1005" spans="1:3">
      <c r="A1005" s="608" t="s">
        <v>1857</v>
      </c>
      <c r="B1005" s="608" t="s">
        <v>2909</v>
      </c>
      <c r="C1005" s="608">
        <v>17.49</v>
      </c>
    </row>
    <row r="1006" spans="1:3">
      <c r="A1006" s="608" t="s">
        <v>1563</v>
      </c>
      <c r="B1006" s="608" t="s">
        <v>2909</v>
      </c>
      <c r="C1006" s="608">
        <v>17.49</v>
      </c>
    </row>
    <row r="1007" spans="1:3">
      <c r="A1007" s="608" t="s">
        <v>1879</v>
      </c>
      <c r="B1007" s="608" t="s">
        <v>2910</v>
      </c>
      <c r="C1007" s="608">
        <v>22</v>
      </c>
    </row>
    <row r="1008" spans="1:3">
      <c r="A1008" s="608" t="s">
        <v>845</v>
      </c>
      <c r="B1008" s="608" t="s">
        <v>2911</v>
      </c>
      <c r="C1008" s="608">
        <v>22</v>
      </c>
    </row>
    <row r="1009" spans="1:3">
      <c r="A1009" s="608" t="s">
        <v>1142</v>
      </c>
      <c r="B1009" s="608" t="s">
        <v>2912</v>
      </c>
      <c r="C1009" s="608">
        <v>20.45</v>
      </c>
    </row>
    <row r="1010" spans="1:3">
      <c r="A1010" s="608" t="s">
        <v>1286</v>
      </c>
      <c r="B1010" s="608" t="s">
        <v>2913</v>
      </c>
      <c r="C1010" s="608">
        <v>22</v>
      </c>
    </row>
    <row r="1011" spans="1:3">
      <c r="A1011" s="608" t="s">
        <v>1942</v>
      </c>
      <c r="B1011" s="608" t="s">
        <v>2914</v>
      </c>
      <c r="C1011" s="608">
        <v>22</v>
      </c>
    </row>
    <row r="1012" spans="1:3">
      <c r="A1012" s="608" t="s">
        <v>2018</v>
      </c>
      <c r="B1012" s="608" t="s">
        <v>2915</v>
      </c>
      <c r="C1012" s="608">
        <v>22</v>
      </c>
    </row>
    <row r="1013" spans="1:3">
      <c r="A1013" s="608" t="s">
        <v>1236</v>
      </c>
      <c r="B1013" s="608" t="s">
        <v>2916</v>
      </c>
      <c r="C1013" s="608">
        <v>22</v>
      </c>
    </row>
    <row r="1014" spans="1:3">
      <c r="A1014" s="608" t="s">
        <v>1031</v>
      </c>
      <c r="B1014" s="608" t="s">
        <v>2917</v>
      </c>
      <c r="C1014" s="608">
        <v>20.61</v>
      </c>
    </row>
    <row r="1015" spans="1:3">
      <c r="A1015" s="608" t="s">
        <v>1114</v>
      </c>
      <c r="B1015" s="608" t="s">
        <v>2917</v>
      </c>
      <c r="C1015" s="608">
        <v>20.61</v>
      </c>
    </row>
    <row r="1016" spans="1:3">
      <c r="A1016" s="608" t="s">
        <v>348</v>
      </c>
      <c r="B1016" s="608" t="s">
        <v>2918</v>
      </c>
      <c r="C1016" s="608">
        <v>24.73</v>
      </c>
    </row>
    <row r="1017" spans="1:3">
      <c r="A1017" s="608" t="s">
        <v>1993</v>
      </c>
      <c r="B1017" s="608" t="s">
        <v>2919</v>
      </c>
      <c r="C1017" s="608">
        <v>25.44</v>
      </c>
    </row>
    <row r="1018" spans="1:3">
      <c r="A1018" s="608" t="s">
        <v>1498</v>
      </c>
      <c r="B1018" s="608" t="s">
        <v>2919</v>
      </c>
      <c r="C1018" s="608">
        <v>25.44</v>
      </c>
    </row>
    <row r="1019" spans="1:3">
      <c r="A1019" s="608" t="s">
        <v>1197</v>
      </c>
      <c r="B1019" s="608" t="s">
        <v>2919</v>
      </c>
      <c r="C1019" s="608">
        <v>25.44</v>
      </c>
    </row>
    <row r="1020" spans="1:3">
      <c r="A1020" s="608" t="s">
        <v>1886</v>
      </c>
      <c r="B1020" s="608" t="s">
        <v>2919</v>
      </c>
      <c r="C1020" s="608">
        <v>25.44</v>
      </c>
    </row>
    <row r="1021" spans="1:3">
      <c r="A1021" s="608" t="s">
        <v>1524</v>
      </c>
      <c r="B1021" s="608" t="s">
        <v>2919</v>
      </c>
      <c r="C1021" s="608">
        <v>25.44</v>
      </c>
    </row>
    <row r="1022" spans="1:3">
      <c r="A1022" s="608" t="s">
        <v>1228</v>
      </c>
      <c r="B1022" s="608" t="s">
        <v>2919</v>
      </c>
      <c r="C1022" s="608">
        <v>25.44</v>
      </c>
    </row>
    <row r="1023" spans="1:3">
      <c r="A1023" s="608" t="s">
        <v>1914</v>
      </c>
      <c r="B1023" s="608" t="s">
        <v>2919</v>
      </c>
      <c r="C1023" s="608">
        <v>25.44</v>
      </c>
    </row>
    <row r="1024" spans="1:3">
      <c r="A1024" s="608" t="s">
        <v>1407</v>
      </c>
      <c r="B1024" s="608" t="s">
        <v>2920</v>
      </c>
      <c r="C1024" s="608">
        <v>20.28</v>
      </c>
    </row>
    <row r="1025" spans="1:3">
      <c r="A1025" s="608" t="s">
        <v>1706</v>
      </c>
      <c r="B1025" s="608" t="s">
        <v>2921</v>
      </c>
      <c r="C1025" s="608">
        <v>20.49</v>
      </c>
    </row>
    <row r="1026" spans="1:3">
      <c r="A1026" s="608" t="s">
        <v>978</v>
      </c>
      <c r="B1026" s="608" t="s">
        <v>2922</v>
      </c>
      <c r="C1026" s="608">
        <v>23.23</v>
      </c>
    </row>
    <row r="1027" spans="1:3">
      <c r="A1027" s="608" t="s">
        <v>974</v>
      </c>
      <c r="B1027" s="608" t="s">
        <v>2923</v>
      </c>
      <c r="C1027" s="608">
        <v>20.5</v>
      </c>
    </row>
    <row r="1028" spans="1:3">
      <c r="A1028" s="608" t="s">
        <v>1975</v>
      </c>
      <c r="B1028" s="608" t="s">
        <v>2924</v>
      </c>
      <c r="C1028" s="608">
        <v>8.84</v>
      </c>
    </row>
    <row r="1029" spans="1:3">
      <c r="A1029" s="608" t="s">
        <v>346</v>
      </c>
      <c r="B1029" s="608" t="s">
        <v>2925</v>
      </c>
      <c r="C1029" s="608">
        <v>15.37</v>
      </c>
    </row>
    <row r="1030" spans="1:3">
      <c r="A1030" s="608" t="s">
        <v>338</v>
      </c>
      <c r="B1030" s="608" t="s">
        <v>2926</v>
      </c>
      <c r="C1030" s="608">
        <v>15.6</v>
      </c>
    </row>
    <row r="1031" spans="1:3">
      <c r="A1031" s="608" t="s">
        <v>975</v>
      </c>
      <c r="B1031" s="608" t="s">
        <v>2927</v>
      </c>
      <c r="C1031" s="608">
        <v>9.22</v>
      </c>
    </row>
    <row r="1032" spans="1:3">
      <c r="A1032" s="608" t="s">
        <v>1738</v>
      </c>
      <c r="B1032" s="608" t="s">
        <v>2928</v>
      </c>
      <c r="C1032" s="608" t="e">
        <v>#N/A</v>
      </c>
    </row>
    <row r="1033" spans="1:3">
      <c r="A1033" s="608" t="s">
        <v>1168</v>
      </c>
      <c r="B1033" s="608" t="s">
        <v>2929</v>
      </c>
      <c r="C1033" s="608">
        <v>20.24</v>
      </c>
    </row>
    <row r="1034" spans="1:3">
      <c r="A1034" s="608" t="s">
        <v>807</v>
      </c>
      <c r="B1034" s="608" t="s">
        <v>2930</v>
      </c>
      <c r="C1034" s="608">
        <v>20</v>
      </c>
    </row>
    <row r="1035" spans="1:3">
      <c r="A1035" s="608" t="s">
        <v>359</v>
      </c>
      <c r="B1035" s="608" t="s">
        <v>2931</v>
      </c>
      <c r="C1035" s="608">
        <v>22.44</v>
      </c>
    </row>
    <row r="1036" spans="1:3">
      <c r="A1036" s="608" t="s">
        <v>1284</v>
      </c>
      <c r="B1036" s="608" t="s">
        <v>2931</v>
      </c>
      <c r="C1036" s="608">
        <v>22.44</v>
      </c>
    </row>
    <row r="1037" spans="1:3">
      <c r="A1037" s="608" t="s">
        <v>1968</v>
      </c>
      <c r="B1037" s="608" t="s">
        <v>2931</v>
      </c>
      <c r="C1037" s="608">
        <v>22.44</v>
      </c>
    </row>
    <row r="1038" spans="1:3">
      <c r="A1038" s="608" t="s">
        <v>1047</v>
      </c>
      <c r="B1038" s="608" t="s">
        <v>2932</v>
      </c>
      <c r="C1038" s="608">
        <v>20.97</v>
      </c>
    </row>
    <row r="1039" spans="1:3">
      <c r="A1039" s="608" t="s">
        <v>895</v>
      </c>
      <c r="B1039" s="608" t="s">
        <v>2933</v>
      </c>
      <c r="C1039" s="608">
        <v>9.31</v>
      </c>
    </row>
    <row r="1040" spans="1:3">
      <c r="A1040" s="608" t="s">
        <v>1990</v>
      </c>
      <c r="B1040" s="608" t="s">
        <v>2934</v>
      </c>
      <c r="C1040" s="608">
        <v>20.51</v>
      </c>
    </row>
    <row r="1041" spans="1:3">
      <c r="A1041" s="608" t="s">
        <v>638</v>
      </c>
      <c r="B1041" s="608" t="s">
        <v>2935</v>
      </c>
      <c r="C1041" s="608">
        <v>6</v>
      </c>
    </row>
    <row r="1042" spans="1:3">
      <c r="A1042" s="608" t="s">
        <v>2031</v>
      </c>
      <c r="B1042" s="608" t="s">
        <v>2936</v>
      </c>
      <c r="C1042" s="608">
        <v>21.2</v>
      </c>
    </row>
    <row r="1043" spans="1:3">
      <c r="A1043" s="608" t="s">
        <v>1997</v>
      </c>
      <c r="B1043" s="608" t="s">
        <v>2937</v>
      </c>
      <c r="C1043" s="608">
        <v>18.02</v>
      </c>
    </row>
    <row r="1044" spans="1:3">
      <c r="A1044" s="608" t="s">
        <v>1459</v>
      </c>
      <c r="B1044" s="608" t="s">
        <v>2938</v>
      </c>
      <c r="C1044" s="608">
        <v>18.17</v>
      </c>
    </row>
    <row r="1045" spans="1:3">
      <c r="A1045" s="608" t="s">
        <v>247</v>
      </c>
      <c r="B1045" s="608" t="s">
        <v>2939</v>
      </c>
      <c r="C1045" s="608" t="e">
        <v>#N/A</v>
      </c>
    </row>
    <row r="1046" spans="1:3">
      <c r="A1046" s="608" t="s">
        <v>1204</v>
      </c>
      <c r="B1046" s="608" t="s">
        <v>2940</v>
      </c>
      <c r="C1046" s="608">
        <v>22.08</v>
      </c>
    </row>
    <row r="1047" spans="1:3">
      <c r="A1047" s="608" t="s">
        <v>760</v>
      </c>
      <c r="B1047" s="608" t="s">
        <v>2941</v>
      </c>
      <c r="C1047" s="608" t="e">
        <v>#N/A</v>
      </c>
    </row>
    <row r="1048" spans="1:3">
      <c r="A1048" s="608" t="s">
        <v>1634</v>
      </c>
      <c r="B1048" s="608" t="s">
        <v>2942</v>
      </c>
      <c r="C1048" s="608" t="e">
        <v>#N/A</v>
      </c>
    </row>
    <row r="1049" spans="1:3">
      <c r="A1049" s="608" t="s">
        <v>1724</v>
      </c>
      <c r="B1049" s="608" t="s">
        <v>2943</v>
      </c>
      <c r="C1049" s="608">
        <v>16.51</v>
      </c>
    </row>
    <row r="1050" spans="1:3">
      <c r="A1050" s="608" t="s">
        <v>737</v>
      </c>
      <c r="B1050" s="608" t="s">
        <v>2944</v>
      </c>
      <c r="C1050" s="608">
        <v>16.87</v>
      </c>
    </row>
    <row r="1051" spans="1:3">
      <c r="A1051" s="608" t="s">
        <v>896</v>
      </c>
      <c r="B1051" s="608" t="s">
        <v>2945</v>
      </c>
      <c r="C1051" s="608">
        <v>15.49</v>
      </c>
    </row>
    <row r="1052" spans="1:3">
      <c r="A1052" s="608" t="s">
        <v>2007</v>
      </c>
      <c r="B1052" s="608" t="s">
        <v>2946</v>
      </c>
      <c r="C1052" s="608">
        <v>15.49</v>
      </c>
    </row>
    <row r="1053" spans="1:3">
      <c r="A1053" s="608" t="s">
        <v>1812</v>
      </c>
      <c r="B1053" s="608" t="s">
        <v>2947</v>
      </c>
      <c r="C1053" s="608">
        <v>20.5</v>
      </c>
    </row>
    <row r="1054" spans="1:3">
      <c r="A1054" s="608" t="s">
        <v>835</v>
      </c>
      <c r="B1054" s="608" t="s">
        <v>2948</v>
      </c>
      <c r="C1054" s="608">
        <v>20.69</v>
      </c>
    </row>
    <row r="1055" spans="1:3">
      <c r="A1055" s="608" t="s">
        <v>1880</v>
      </c>
      <c r="B1055" s="608" t="s">
        <v>2949</v>
      </c>
      <c r="C1055" s="608">
        <v>26.67</v>
      </c>
    </row>
    <row r="1056" spans="1:3">
      <c r="A1056" s="608" t="s">
        <v>811</v>
      </c>
      <c r="B1056" s="608" t="s">
        <v>2950</v>
      </c>
      <c r="C1056" s="608">
        <v>24.07</v>
      </c>
    </row>
    <row r="1057" spans="1:3">
      <c r="A1057" s="608" t="s">
        <v>957</v>
      </c>
      <c r="B1057" s="608" t="s">
        <v>2951</v>
      </c>
      <c r="C1057" s="608">
        <v>18.33</v>
      </c>
    </row>
    <row r="1058" spans="1:3">
      <c r="A1058" s="608" t="s">
        <v>1494</v>
      </c>
      <c r="B1058" s="608" t="s">
        <v>2952</v>
      </c>
      <c r="C1058" s="608">
        <v>18.2</v>
      </c>
    </row>
    <row r="1059" spans="1:3">
      <c r="A1059" s="608" t="s">
        <v>1493</v>
      </c>
      <c r="B1059" s="608" t="s">
        <v>2953</v>
      </c>
      <c r="C1059" s="608">
        <v>26.01</v>
      </c>
    </row>
    <row r="1060" spans="1:3">
      <c r="A1060" s="608" t="s">
        <v>894</v>
      </c>
      <c r="B1060" s="608" t="s">
        <v>2954</v>
      </c>
      <c r="C1060" s="608">
        <v>20.7</v>
      </c>
    </row>
    <row r="1061" spans="1:3">
      <c r="A1061" s="608" t="s">
        <v>1218</v>
      </c>
      <c r="B1061" s="608" t="s">
        <v>2955</v>
      </c>
      <c r="C1061" s="608">
        <v>17.5</v>
      </c>
    </row>
    <row r="1062" spans="1:3">
      <c r="A1062" s="608" t="s">
        <v>1973</v>
      </c>
      <c r="B1062" s="608" t="s">
        <v>2955</v>
      </c>
      <c r="C1062" s="608">
        <v>17.5</v>
      </c>
    </row>
    <row r="1063" spans="1:3">
      <c r="A1063" s="608" t="s">
        <v>1174</v>
      </c>
      <c r="B1063" s="608" t="s">
        <v>2955</v>
      </c>
      <c r="C1063" s="608">
        <v>17.5</v>
      </c>
    </row>
    <row r="1064" spans="1:3">
      <c r="A1064" s="608" t="s">
        <v>1269</v>
      </c>
      <c r="B1064" s="608" t="s">
        <v>2956</v>
      </c>
      <c r="C1064" s="608">
        <v>16.08</v>
      </c>
    </row>
    <row r="1065" spans="1:3">
      <c r="A1065" s="608" t="s">
        <v>1762</v>
      </c>
      <c r="B1065" s="608" t="s">
        <v>2957</v>
      </c>
      <c r="C1065" s="608"/>
    </row>
    <row r="1066" spans="1:3">
      <c r="A1066" s="608" t="s">
        <v>1076</v>
      </c>
      <c r="B1066" s="608" t="s">
        <v>2958</v>
      </c>
      <c r="C1066" s="608"/>
    </row>
    <row r="1067" spans="1:3">
      <c r="A1067" s="608" t="s">
        <v>1446</v>
      </c>
      <c r="B1067" s="608" t="s">
        <v>2959</v>
      </c>
      <c r="C1067" s="608"/>
    </row>
    <row r="1068" spans="1:3">
      <c r="A1068" s="608" t="s">
        <v>1737</v>
      </c>
      <c r="B1068" s="608" t="s">
        <v>2960</v>
      </c>
      <c r="C1068" s="608"/>
    </row>
    <row r="1069" spans="1:3">
      <c r="A1069" s="608" t="s">
        <v>1052</v>
      </c>
      <c r="B1069" s="608" t="s">
        <v>2961</v>
      </c>
      <c r="C1069" s="608"/>
    </row>
    <row r="1070" spans="1:3">
      <c r="A1070" s="608" t="s">
        <v>1352</v>
      </c>
      <c r="B1070" s="608" t="s">
        <v>2962</v>
      </c>
      <c r="C1070" s="608"/>
    </row>
    <row r="1071" spans="1:3">
      <c r="A1071" s="608" t="s">
        <v>1657</v>
      </c>
      <c r="B1071" s="608" t="s">
        <v>2963</v>
      </c>
      <c r="C1071" s="608"/>
    </row>
    <row r="1072" spans="1:3">
      <c r="A1072" s="608" t="s">
        <v>1956</v>
      </c>
      <c r="B1072" s="608" t="s">
        <v>2964</v>
      </c>
      <c r="C1072" s="608"/>
    </row>
    <row r="1073" spans="1:3">
      <c r="A1073" s="608" t="s">
        <v>981</v>
      </c>
      <c r="B1073" s="608" t="s">
        <v>2965</v>
      </c>
      <c r="C1073" s="608">
        <v>8</v>
      </c>
    </row>
    <row r="1074" spans="1:3">
      <c r="A1074" s="608" t="s">
        <v>976</v>
      </c>
      <c r="B1074" s="608" t="s">
        <v>2965</v>
      </c>
      <c r="C1074" s="608">
        <v>8</v>
      </c>
    </row>
    <row r="1075" spans="1:3">
      <c r="A1075" s="608" t="s">
        <v>1808</v>
      </c>
      <c r="B1075" s="608" t="s">
        <v>2966</v>
      </c>
      <c r="C1075" s="608">
        <v>99.64</v>
      </c>
    </row>
    <row r="1076" spans="1:3">
      <c r="A1076" s="608" t="s">
        <v>1852</v>
      </c>
      <c r="B1076" s="608" t="s">
        <v>2967</v>
      </c>
      <c r="C1076" s="608">
        <v>99.64</v>
      </c>
    </row>
    <row r="1077" spans="1:3">
      <c r="A1077" s="608" t="s">
        <v>1538</v>
      </c>
      <c r="B1077" s="608" t="s">
        <v>2968</v>
      </c>
      <c r="C1077" s="608" t="e">
        <v>#N/A</v>
      </c>
    </row>
    <row r="1078" spans="1:3">
      <c r="A1078" s="608" t="s">
        <v>310</v>
      </c>
      <c r="B1078" s="608" t="s">
        <v>2969</v>
      </c>
      <c r="C1078" s="608" t="e">
        <v>#N/A</v>
      </c>
    </row>
    <row r="1079" spans="1:3">
      <c r="A1079" s="608" t="s">
        <v>1253</v>
      </c>
      <c r="B1079" s="608" t="s">
        <v>2970</v>
      </c>
      <c r="C1079" s="608">
        <v>20.73</v>
      </c>
    </row>
    <row r="1080" spans="1:3">
      <c r="A1080" s="608" t="s">
        <v>1124</v>
      </c>
      <c r="B1080" s="608" t="s">
        <v>2971</v>
      </c>
      <c r="C1080" s="608">
        <v>16.04</v>
      </c>
    </row>
    <row r="1081" spans="1:3">
      <c r="A1081" s="608" t="s">
        <v>766</v>
      </c>
      <c r="B1081" s="608" t="s">
        <v>2972</v>
      </c>
      <c r="C1081" s="608" t="e">
        <v>#N/A</v>
      </c>
    </row>
    <row r="1082" spans="1:3">
      <c r="A1082" s="608" t="s">
        <v>326</v>
      </c>
      <c r="B1082" s="608" t="s">
        <v>2973</v>
      </c>
      <c r="C1082" s="608">
        <v>18.33</v>
      </c>
    </row>
    <row r="1083" spans="1:3">
      <c r="A1083" s="608" t="s">
        <v>1257</v>
      </c>
      <c r="B1083" s="608" t="s">
        <v>2974</v>
      </c>
      <c r="C1083" s="608" t="e">
        <v>#N/A</v>
      </c>
    </row>
    <row r="1084" spans="1:3">
      <c r="A1084" s="608" t="s">
        <v>1071</v>
      </c>
      <c r="B1084" s="608" t="s">
        <v>2975</v>
      </c>
      <c r="C1084" s="608" t="e">
        <v>#N/A</v>
      </c>
    </row>
    <row r="1085" spans="1:3">
      <c r="A1085" s="608" t="s">
        <v>323</v>
      </c>
      <c r="B1085" s="608" t="s">
        <v>2976</v>
      </c>
      <c r="C1085" s="608">
        <v>20.1</v>
      </c>
    </row>
    <row r="1086" spans="1:3">
      <c r="A1086" s="608" t="s">
        <v>321</v>
      </c>
      <c r="B1086" s="608" t="s">
        <v>2977</v>
      </c>
      <c r="C1086" s="608">
        <v>20.02</v>
      </c>
    </row>
    <row r="1087" spans="1:3">
      <c r="A1087" s="608" t="s">
        <v>971</v>
      </c>
      <c r="B1087" s="608" t="s">
        <v>2978</v>
      </c>
      <c r="C1087" s="608">
        <v>16.47</v>
      </c>
    </row>
    <row r="1088" spans="1:3">
      <c r="A1088" s="608" t="s">
        <v>867</v>
      </c>
      <c r="B1088" s="608" t="s">
        <v>2979</v>
      </c>
      <c r="C1088" s="608" t="e">
        <v>#N/A</v>
      </c>
    </row>
    <row r="1089" spans="1:3">
      <c r="A1089" s="608" t="s">
        <v>958</v>
      </c>
      <c r="B1089" s="608" t="s">
        <v>2980</v>
      </c>
      <c r="C1089" s="608">
        <v>21.99</v>
      </c>
    </row>
    <row r="1090" spans="1:3">
      <c r="A1090" s="608" t="s">
        <v>319</v>
      </c>
      <c r="B1090" s="608" t="s">
        <v>2981</v>
      </c>
      <c r="C1090" s="608">
        <v>20.6</v>
      </c>
    </row>
    <row r="1091" spans="1:3">
      <c r="A1091" s="608" t="s">
        <v>315</v>
      </c>
      <c r="B1091" s="608" t="s">
        <v>2982</v>
      </c>
      <c r="C1091" s="608">
        <v>16.14</v>
      </c>
    </row>
    <row r="1092" spans="1:3">
      <c r="A1092" s="608" t="s">
        <v>1487</v>
      </c>
      <c r="B1092" s="608" t="s">
        <v>2983</v>
      </c>
      <c r="C1092" s="608">
        <v>18</v>
      </c>
    </row>
    <row r="1093" spans="1:3">
      <c r="A1093" s="608" t="s">
        <v>1615</v>
      </c>
      <c r="B1093" s="608" t="s">
        <v>2984</v>
      </c>
      <c r="C1093" s="608">
        <v>3</v>
      </c>
    </row>
    <row r="1094" spans="1:3">
      <c r="A1094" s="608" t="s">
        <v>1921</v>
      </c>
      <c r="B1094" s="608" t="s">
        <v>2985</v>
      </c>
      <c r="C1094" s="608">
        <v>3</v>
      </c>
    </row>
    <row r="1095" spans="1:3">
      <c r="A1095" s="608" t="s">
        <v>1237</v>
      </c>
      <c r="B1095" s="608" t="s">
        <v>2986</v>
      </c>
      <c r="C1095" s="608">
        <v>3</v>
      </c>
    </row>
    <row r="1096" spans="1:3">
      <c r="A1096" s="608" t="s">
        <v>1137</v>
      </c>
      <c r="B1096" s="608" t="s">
        <v>2987</v>
      </c>
      <c r="C1096" s="608">
        <v>25.61</v>
      </c>
    </row>
    <row r="1097" spans="1:3">
      <c r="A1097" s="608" t="s">
        <v>1730</v>
      </c>
      <c r="B1097" s="608" t="s">
        <v>2988</v>
      </c>
      <c r="C1097" s="608">
        <v>25.87</v>
      </c>
    </row>
    <row r="1098" spans="1:3">
      <c r="A1098" s="608" t="s">
        <v>1439</v>
      </c>
      <c r="B1098" s="608" t="s">
        <v>2988</v>
      </c>
      <c r="C1098" s="608">
        <v>25.87</v>
      </c>
    </row>
    <row r="1099" spans="1:3">
      <c r="A1099" s="608" t="s">
        <v>2022</v>
      </c>
      <c r="B1099" s="608" t="s">
        <v>2989</v>
      </c>
      <c r="C1099" s="608">
        <v>15.19</v>
      </c>
    </row>
    <row r="1100" spans="1:3">
      <c r="A1100" s="608" t="s">
        <v>1368</v>
      </c>
      <c r="B1100" s="608" t="s">
        <v>2990</v>
      </c>
      <c r="C1100" s="608">
        <v>20.28</v>
      </c>
    </row>
    <row r="1101" spans="1:3">
      <c r="A1101" s="608" t="s">
        <v>1907</v>
      </c>
      <c r="B1101" s="608" t="s">
        <v>2991</v>
      </c>
      <c r="C1101" s="608" t="e">
        <v>#N/A</v>
      </c>
    </row>
    <row r="1102" spans="1:3">
      <c r="A1102" s="608" t="s">
        <v>1817</v>
      </c>
      <c r="B1102" s="608" t="s">
        <v>2992</v>
      </c>
      <c r="C1102" s="608" t="e">
        <v>#N/A</v>
      </c>
    </row>
    <row r="1103" spans="1:3">
      <c r="A1103" s="608" t="s">
        <v>1489</v>
      </c>
      <c r="B1103" s="608" t="s">
        <v>2993</v>
      </c>
      <c r="C1103" s="608" t="e">
        <v>#N/A</v>
      </c>
    </row>
    <row r="1104" spans="1:3">
      <c r="A1104" s="608" t="s">
        <v>1961</v>
      </c>
      <c r="B1104" s="608" t="s">
        <v>2993</v>
      </c>
      <c r="C1104" s="608" t="e">
        <v>#N/A</v>
      </c>
    </row>
    <row r="1105" spans="1:3">
      <c r="A1105" s="608" t="s">
        <v>1066</v>
      </c>
      <c r="B1105" s="608" t="s">
        <v>2993</v>
      </c>
      <c r="C1105" s="608" t="e">
        <v>#N/A</v>
      </c>
    </row>
    <row r="1106" spans="1:3">
      <c r="A1106" s="608" t="s">
        <v>1346</v>
      </c>
      <c r="B1106" s="608" t="s">
        <v>2993</v>
      </c>
      <c r="C1106" s="608" t="e">
        <v>#N/A</v>
      </c>
    </row>
    <row r="1107" spans="1:3">
      <c r="A1107" s="608" t="s">
        <v>1470</v>
      </c>
      <c r="B1107" s="608" t="s">
        <v>2993</v>
      </c>
      <c r="C1107" s="608" t="e">
        <v>#N/A</v>
      </c>
    </row>
    <row r="1108" spans="1:3">
      <c r="A1108" s="608" t="s">
        <v>1386</v>
      </c>
      <c r="B1108" s="608" t="s">
        <v>2993</v>
      </c>
      <c r="C1108" s="608" t="e">
        <v>#N/A</v>
      </c>
    </row>
    <row r="1109" spans="1:3">
      <c r="A1109" s="608" t="s">
        <v>1433</v>
      </c>
      <c r="B1109" s="608" t="s">
        <v>2993</v>
      </c>
      <c r="C1109" s="608" t="e">
        <v>#N/A</v>
      </c>
    </row>
    <row r="1110" spans="1:3">
      <c r="A1110" s="608" t="s">
        <v>1510</v>
      </c>
      <c r="B1110" s="608" t="s">
        <v>2993</v>
      </c>
      <c r="C1110" s="608" t="e">
        <v>#N/A</v>
      </c>
    </row>
    <row r="1111" spans="1:3">
      <c r="A1111" s="608" t="s">
        <v>1429</v>
      </c>
      <c r="B1111" s="608" t="s">
        <v>2993</v>
      </c>
      <c r="C1111" s="608" t="e">
        <v>#N/A</v>
      </c>
    </row>
    <row r="1112" spans="1:3">
      <c r="A1112" s="608" t="s">
        <v>1316</v>
      </c>
      <c r="B1112" s="608" t="s">
        <v>2993</v>
      </c>
      <c r="C1112" s="608" t="e">
        <v>#N/A</v>
      </c>
    </row>
    <row r="1113" spans="1:3">
      <c r="A1113" s="608" t="s">
        <v>1289</v>
      </c>
      <c r="B1113" s="608" t="s">
        <v>2993</v>
      </c>
      <c r="C1113" s="608" t="e">
        <v>#N/A</v>
      </c>
    </row>
    <row r="1114" spans="1:3">
      <c r="A1114" s="608" t="s">
        <v>1395</v>
      </c>
      <c r="B1114" s="608" t="s">
        <v>2993</v>
      </c>
      <c r="C1114" s="608" t="e">
        <v>#N/A</v>
      </c>
    </row>
    <row r="1115" spans="1:3">
      <c r="A1115" s="608" t="s">
        <v>193</v>
      </c>
      <c r="B1115" s="608" t="s">
        <v>2993</v>
      </c>
      <c r="C1115" s="608" t="e">
        <v>#N/A</v>
      </c>
    </row>
    <row r="1116" spans="1:3">
      <c r="A1116" s="608" t="s">
        <v>219</v>
      </c>
      <c r="B1116" s="608" t="s">
        <v>2994</v>
      </c>
      <c r="C1116" s="608">
        <v>24.6</v>
      </c>
    </row>
    <row r="1117" spans="1:3">
      <c r="A1117" s="608" t="s">
        <v>1263</v>
      </c>
      <c r="B1117" s="608" t="s">
        <v>2995</v>
      </c>
      <c r="C1117" s="608" t="e">
        <v>#N/A</v>
      </c>
    </row>
    <row r="1118" spans="1:3">
      <c r="A1118" s="608" t="s">
        <v>1529</v>
      </c>
      <c r="B1118" s="608" t="s">
        <v>2996</v>
      </c>
      <c r="C1118" s="608" t="e">
        <v>#N/A</v>
      </c>
    </row>
    <row r="1119" spans="1:3">
      <c r="A1119" s="608" t="s">
        <v>1534</v>
      </c>
      <c r="B1119" s="608" t="s">
        <v>2997</v>
      </c>
      <c r="C1119" s="608" t="e">
        <v>#N/A</v>
      </c>
    </row>
    <row r="1120" spans="1:3">
      <c r="A1120" s="608" t="s">
        <v>1574</v>
      </c>
      <c r="B1120" s="608" t="s">
        <v>2998</v>
      </c>
      <c r="C1120" s="608" t="e">
        <v>#N/A</v>
      </c>
    </row>
    <row r="1121" spans="1:3">
      <c r="A1121" s="608" t="s">
        <v>1992</v>
      </c>
      <c r="B1121" s="608" t="s">
        <v>2999</v>
      </c>
      <c r="C1121" s="608">
        <v>13.08</v>
      </c>
    </row>
    <row r="1122" spans="1:3">
      <c r="A1122" s="608" t="s">
        <v>1670</v>
      </c>
      <c r="B1122" s="608" t="s">
        <v>3000</v>
      </c>
      <c r="C1122" s="608" t="e">
        <v>#N/A</v>
      </c>
    </row>
    <row r="1123" spans="1:3">
      <c r="A1123" s="608" t="s">
        <v>933</v>
      </c>
      <c r="B1123" s="608" t="s">
        <v>3001</v>
      </c>
      <c r="C1123" s="608" t="e">
        <v>#N/A</v>
      </c>
    </row>
    <row r="1124" spans="1:3">
      <c r="A1124" s="608" t="s">
        <v>1371</v>
      </c>
      <c r="B1124" s="608" t="s">
        <v>3001</v>
      </c>
      <c r="C1124" s="608" t="e">
        <v>#N/A</v>
      </c>
    </row>
    <row r="1125" spans="1:3">
      <c r="A1125" s="608" t="s">
        <v>1041</v>
      </c>
      <c r="B1125" s="608" t="s">
        <v>3002</v>
      </c>
      <c r="C1125" s="608" t="e">
        <v>#N/A</v>
      </c>
    </row>
    <row r="1126" spans="1:3">
      <c r="A1126" s="608" t="s">
        <v>1285</v>
      </c>
      <c r="B1126" s="608" t="s">
        <v>3003</v>
      </c>
      <c r="C1126" s="608">
        <v>34.32</v>
      </c>
    </row>
    <row r="1127" spans="1:3">
      <c r="A1127" s="608" t="s">
        <v>1647</v>
      </c>
      <c r="B1127" s="608" t="s">
        <v>3004</v>
      </c>
      <c r="C1127" s="608">
        <v>15</v>
      </c>
    </row>
    <row r="1128" spans="1:3">
      <c r="A1128" s="608" t="s">
        <v>817</v>
      </c>
      <c r="B1128" s="608" t="s">
        <v>3005</v>
      </c>
      <c r="C1128" s="608" t="e">
        <v>#N/A</v>
      </c>
    </row>
    <row r="1129" spans="1:3">
      <c r="A1129" s="608" t="s">
        <v>1725</v>
      </c>
      <c r="B1129" s="608" t="s">
        <v>3006</v>
      </c>
      <c r="C1129" s="608" t="e">
        <v>#N/A</v>
      </c>
    </row>
    <row r="1130" spans="1:3">
      <c r="A1130" s="608" t="s">
        <v>1337</v>
      </c>
      <c r="B1130" s="608" t="s">
        <v>3007</v>
      </c>
      <c r="C1130" s="608">
        <v>18.52</v>
      </c>
    </row>
    <row r="1131" spans="1:3">
      <c r="A1131" s="608" t="s">
        <v>1995</v>
      </c>
      <c r="B1131" s="608" t="s">
        <v>3008</v>
      </c>
      <c r="C1131" s="608">
        <v>20.55</v>
      </c>
    </row>
    <row r="1132" spans="1:3">
      <c r="A1132" s="608" t="s">
        <v>1607</v>
      </c>
      <c r="B1132" s="608" t="s">
        <v>3009</v>
      </c>
      <c r="C1132" s="608">
        <v>17.5</v>
      </c>
    </row>
    <row r="1133" spans="1:3">
      <c r="A1133" s="608" t="s">
        <v>1500</v>
      </c>
      <c r="B1133" s="608" t="s">
        <v>3010</v>
      </c>
      <c r="C1133" s="608"/>
    </row>
    <row r="1134" spans="1:3">
      <c r="A1134" s="608" t="s">
        <v>1782</v>
      </c>
      <c r="B1134" s="608" t="s">
        <v>3011</v>
      </c>
      <c r="C1134" s="608"/>
    </row>
    <row r="1135" spans="1:3">
      <c r="A1135" s="608" t="s">
        <v>1099</v>
      </c>
      <c r="B1135" s="608" t="s">
        <v>3012</v>
      </c>
      <c r="C1135" s="608"/>
    </row>
    <row r="1136" spans="1:3">
      <c r="A1136" s="608" t="s">
        <v>1402</v>
      </c>
      <c r="B1136" s="608" t="s">
        <v>3013</v>
      </c>
      <c r="C1136" s="608"/>
    </row>
    <row r="1137" spans="1:3">
      <c r="A1137" s="608" t="s">
        <v>1702</v>
      </c>
      <c r="B1137" s="608" t="s">
        <v>3014</v>
      </c>
      <c r="C1137" s="608"/>
    </row>
    <row r="1138" spans="1:3">
      <c r="A1138" s="608" t="s">
        <v>1070</v>
      </c>
      <c r="B1138" s="608" t="s">
        <v>3015</v>
      </c>
      <c r="C1138" s="608"/>
    </row>
    <row r="1139" spans="1:3">
      <c r="A1139" s="608" t="s">
        <v>1374</v>
      </c>
      <c r="B1139" s="608" t="s">
        <v>3016</v>
      </c>
      <c r="C1139" s="608"/>
    </row>
    <row r="1140" spans="1:3">
      <c r="A1140" s="608" t="s">
        <v>1674</v>
      </c>
      <c r="B1140" s="608" t="s">
        <v>3017</v>
      </c>
      <c r="C1140" s="608"/>
    </row>
    <row r="1141" spans="1:3">
      <c r="A1141" s="608" t="s">
        <v>1344</v>
      </c>
      <c r="B1141" s="608" t="s">
        <v>3018</v>
      </c>
      <c r="C1141" s="608">
        <v>22</v>
      </c>
    </row>
    <row r="1142" spans="1:3">
      <c r="A1142" s="608" t="s">
        <v>306</v>
      </c>
      <c r="B1142" s="608" t="s">
        <v>3018</v>
      </c>
      <c r="C1142" s="608">
        <v>22</v>
      </c>
    </row>
    <row r="1143" spans="1:3">
      <c r="A1143" s="608" t="s">
        <v>1749</v>
      </c>
      <c r="B1143" s="608" t="s">
        <v>3019</v>
      </c>
      <c r="C1143" s="608">
        <v>12.02</v>
      </c>
    </row>
    <row r="1144" spans="1:3">
      <c r="A1144" s="608" t="s">
        <v>962</v>
      </c>
      <c r="B1144" s="608" t="s">
        <v>3020</v>
      </c>
      <c r="C1144" s="608">
        <v>22.07</v>
      </c>
    </row>
    <row r="1145" spans="1:3">
      <c r="A1145" s="608" t="s">
        <v>222</v>
      </c>
      <c r="B1145" s="608" t="s">
        <v>3021</v>
      </c>
      <c r="C1145" s="608">
        <v>22.4</v>
      </c>
    </row>
    <row r="1146" spans="1:3">
      <c r="A1146" s="608" t="s">
        <v>1024</v>
      </c>
      <c r="B1146" s="608" t="s">
        <v>3021</v>
      </c>
      <c r="C1146" s="608">
        <v>22.4</v>
      </c>
    </row>
    <row r="1147" spans="1:3">
      <c r="A1147" s="608" t="s">
        <v>253</v>
      </c>
      <c r="B1147" s="608" t="s">
        <v>3022</v>
      </c>
      <c r="C1147" s="608" t="e">
        <v>#N/A</v>
      </c>
    </row>
    <row r="1148" spans="1:3">
      <c r="A1148" s="608" t="s">
        <v>1128</v>
      </c>
      <c r="B1148" s="608" t="s">
        <v>3022</v>
      </c>
      <c r="C1148" s="608" t="e">
        <v>#N/A</v>
      </c>
    </row>
    <row r="1149" spans="1:3">
      <c r="A1149" s="608" t="s">
        <v>1806</v>
      </c>
      <c r="B1149" s="608" t="s">
        <v>3022</v>
      </c>
      <c r="C1149" s="608" t="e">
        <v>#N/A</v>
      </c>
    </row>
    <row r="1150" spans="1:3">
      <c r="A1150" s="608" t="s">
        <v>1223</v>
      </c>
      <c r="B1150" s="608" t="s">
        <v>3022</v>
      </c>
      <c r="C1150" s="608" t="e">
        <v>#N/A</v>
      </c>
    </row>
    <row r="1151" spans="1:3">
      <c r="A1151" s="608" t="s">
        <v>860</v>
      </c>
      <c r="B1151" s="608" t="s">
        <v>3023</v>
      </c>
      <c r="C1151" s="608">
        <v>15.09</v>
      </c>
    </row>
    <row r="1152" spans="1:3">
      <c r="A1152" s="608" t="s">
        <v>696</v>
      </c>
      <c r="B1152" s="608" t="s">
        <v>3024</v>
      </c>
      <c r="C1152" s="608">
        <v>15.13</v>
      </c>
    </row>
    <row r="1153" spans="1:3">
      <c r="A1153" s="608" t="s">
        <v>295</v>
      </c>
      <c r="B1153" s="608" t="s">
        <v>3025</v>
      </c>
      <c r="C1153" s="608">
        <v>20.6</v>
      </c>
    </row>
    <row r="1154" spans="1:3">
      <c r="A1154" s="608" t="s">
        <v>1409</v>
      </c>
      <c r="B1154" s="608" t="s">
        <v>3026</v>
      </c>
      <c r="C1154" s="608">
        <v>20.79</v>
      </c>
    </row>
    <row r="1155" spans="1:3">
      <c r="A1155" s="608" t="s">
        <v>289</v>
      </c>
      <c r="B1155" s="608" t="s">
        <v>3027</v>
      </c>
      <c r="C1155" s="608">
        <v>22.5</v>
      </c>
    </row>
    <row r="1156" spans="1:3">
      <c r="A1156" s="608" t="s">
        <v>1601</v>
      </c>
      <c r="B1156" s="608" t="s">
        <v>3028</v>
      </c>
      <c r="C1156" s="608">
        <v>7.99</v>
      </c>
    </row>
    <row r="1157" spans="1:3">
      <c r="A1157" s="608" t="s">
        <v>1680</v>
      </c>
      <c r="B1157" s="608" t="s">
        <v>3028</v>
      </c>
      <c r="C1157" s="608">
        <v>7.99</v>
      </c>
    </row>
    <row r="1158" spans="1:3">
      <c r="A1158" s="608" t="s">
        <v>269</v>
      </c>
      <c r="B1158" s="608" t="s">
        <v>3029</v>
      </c>
      <c r="C1158" s="608">
        <v>16.79</v>
      </c>
    </row>
    <row r="1159" spans="1:3">
      <c r="A1159" s="608" t="s">
        <v>1878</v>
      </c>
      <c r="B1159" s="608" t="s">
        <v>3030</v>
      </c>
      <c r="C1159" s="608">
        <v>12.2</v>
      </c>
    </row>
    <row r="1160" spans="1:3">
      <c r="A1160" s="608" t="s">
        <v>284</v>
      </c>
      <c r="B1160" s="608" t="s">
        <v>3031</v>
      </c>
      <c r="C1160" s="608">
        <v>25.97</v>
      </c>
    </row>
    <row r="1161" spans="1:3">
      <c r="A1161" s="608" t="s">
        <v>1397</v>
      </c>
      <c r="B1161" s="608" t="s">
        <v>3032</v>
      </c>
      <c r="C1161" s="608">
        <v>15.2</v>
      </c>
    </row>
    <row r="1162" spans="1:3">
      <c r="A1162" s="608" t="s">
        <v>1065</v>
      </c>
      <c r="B1162" s="608" t="s">
        <v>3033</v>
      </c>
      <c r="C1162" s="608">
        <v>17.74</v>
      </c>
    </row>
    <row r="1163" spans="1:3">
      <c r="A1163" s="608" t="s">
        <v>213</v>
      </c>
      <c r="B1163" s="608" t="s">
        <v>3034</v>
      </c>
      <c r="C1163" s="608">
        <v>20.5</v>
      </c>
    </row>
    <row r="1164" spans="1:3">
      <c r="A1164" s="608" t="s">
        <v>1525</v>
      </c>
      <c r="B1164" s="608" t="s">
        <v>3035</v>
      </c>
      <c r="C1164" s="608" t="e">
        <v>#N/A</v>
      </c>
    </row>
    <row r="1165" spans="1:3">
      <c r="A1165" s="608" t="s">
        <v>1941</v>
      </c>
      <c r="B1165" s="608" t="s">
        <v>3035</v>
      </c>
      <c r="C1165" s="608" t="e">
        <v>#N/A</v>
      </c>
    </row>
    <row r="1166" spans="1:3">
      <c r="A1166" s="608" t="s">
        <v>1283</v>
      </c>
      <c r="B1166" s="608" t="s">
        <v>3036</v>
      </c>
      <c r="C1166" s="608">
        <v>15.78</v>
      </c>
    </row>
    <row r="1167" spans="1:3">
      <c r="A1167" s="608" t="s">
        <v>1979</v>
      </c>
      <c r="B1167" s="608" t="s">
        <v>3037</v>
      </c>
      <c r="C1167" s="608">
        <v>20.44</v>
      </c>
    </row>
    <row r="1168" spans="1:3">
      <c r="A1168" s="608" t="s">
        <v>1336</v>
      </c>
      <c r="B1168" s="608" t="s">
        <v>3038</v>
      </c>
      <c r="C1168" s="608">
        <v>14.96</v>
      </c>
    </row>
    <row r="1169" spans="1:3">
      <c r="A1169" s="608" t="s">
        <v>1064</v>
      </c>
      <c r="B1169" s="608" t="s">
        <v>3038</v>
      </c>
      <c r="C1169" s="608">
        <v>14.96</v>
      </c>
    </row>
    <row r="1170" spans="1:3">
      <c r="A1170" s="608" t="s">
        <v>275</v>
      </c>
      <c r="B1170" s="608" t="s">
        <v>3039</v>
      </c>
      <c r="C1170" s="608">
        <v>20.1</v>
      </c>
    </row>
    <row r="1171" spans="1:3">
      <c r="A1171" s="608" t="s">
        <v>1863</v>
      </c>
      <c r="B1171" s="608" t="s">
        <v>3040</v>
      </c>
      <c r="C1171" s="608">
        <v>23.67</v>
      </c>
    </row>
    <row r="1172" spans="1:3">
      <c r="A1172" s="608" t="s">
        <v>1129</v>
      </c>
      <c r="B1172" s="608" t="s">
        <v>3041</v>
      </c>
      <c r="C1172" s="608">
        <v>15.19</v>
      </c>
    </row>
    <row r="1173" spans="1:3">
      <c r="A1173" s="608" t="s">
        <v>273</v>
      </c>
      <c r="B1173" s="608" t="s">
        <v>3042</v>
      </c>
      <c r="C1173" s="608">
        <v>22.6</v>
      </c>
    </row>
    <row r="1174" spans="1:3">
      <c r="A1174" s="608" t="s">
        <v>1157</v>
      </c>
      <c r="B1174" s="608" t="s">
        <v>3043</v>
      </c>
      <c r="C1174" s="608">
        <v>20.5</v>
      </c>
    </row>
    <row r="1175" spans="1:3">
      <c r="A1175" s="608" t="s">
        <v>961</v>
      </c>
      <c r="B1175" s="608" t="s">
        <v>3044</v>
      </c>
      <c r="C1175" s="608">
        <v>6.99</v>
      </c>
    </row>
    <row r="1176" spans="1:3">
      <c r="A1176" s="608" t="s">
        <v>1173</v>
      </c>
      <c r="B1176" s="608" t="s">
        <v>3045</v>
      </c>
      <c r="C1176" s="608">
        <v>20.75</v>
      </c>
    </row>
    <row r="1177" spans="1:3">
      <c r="A1177" s="608" t="s">
        <v>1859</v>
      </c>
      <c r="B1177" s="608" t="s">
        <v>3045</v>
      </c>
      <c r="C1177" s="608">
        <v>20.75</v>
      </c>
    </row>
    <row r="1178" spans="1:3">
      <c r="A1178" s="608" t="s">
        <v>1595</v>
      </c>
      <c r="B1178" s="608" t="s">
        <v>3045</v>
      </c>
      <c r="C1178" s="608">
        <v>20.75</v>
      </c>
    </row>
    <row r="1179" spans="1:3">
      <c r="A1179" s="608" t="s">
        <v>1754</v>
      </c>
      <c r="B1179" s="608" t="s">
        <v>3046</v>
      </c>
      <c r="C1179" s="608">
        <v>10.4</v>
      </c>
    </row>
    <row r="1180" spans="1:3">
      <c r="A1180" s="608" t="s">
        <v>1466</v>
      </c>
      <c r="B1180" s="608" t="s">
        <v>3046</v>
      </c>
      <c r="C1180" s="608">
        <v>10.4</v>
      </c>
    </row>
    <row r="1181" spans="1:3">
      <c r="A1181" s="608" t="s">
        <v>1162</v>
      </c>
      <c r="B1181" s="608" t="s">
        <v>3046</v>
      </c>
      <c r="C1181" s="608">
        <v>10.4</v>
      </c>
    </row>
    <row r="1182" spans="1:3">
      <c r="A1182" s="608" t="s">
        <v>1848</v>
      </c>
      <c r="B1182" s="608" t="s">
        <v>3046</v>
      </c>
      <c r="C1182" s="608">
        <v>10.4</v>
      </c>
    </row>
    <row r="1183" spans="1:3">
      <c r="A1183" s="608" t="s">
        <v>1682</v>
      </c>
      <c r="B1183" s="608" t="s">
        <v>3046</v>
      </c>
      <c r="C1183" s="608">
        <v>10.4</v>
      </c>
    </row>
    <row r="1184" spans="1:3">
      <c r="A1184" s="608" t="s">
        <v>1381</v>
      </c>
      <c r="B1184" s="608" t="s">
        <v>3046</v>
      </c>
      <c r="C1184" s="608">
        <v>10.4</v>
      </c>
    </row>
    <row r="1185" spans="1:3">
      <c r="A1185" s="608" t="s">
        <v>1026</v>
      </c>
      <c r="B1185" s="608" t="s">
        <v>3046</v>
      </c>
      <c r="C1185" s="608">
        <v>10.4</v>
      </c>
    </row>
    <row r="1186" spans="1:3">
      <c r="A1186" s="608" t="s">
        <v>1708</v>
      </c>
      <c r="B1186" s="608" t="s">
        <v>3046</v>
      </c>
      <c r="C1186" s="608">
        <v>10.4</v>
      </c>
    </row>
    <row r="1187" spans="1:3">
      <c r="A1187" s="608" t="s">
        <v>1411</v>
      </c>
      <c r="B1187" s="608" t="s">
        <v>3046</v>
      </c>
      <c r="C1187" s="608">
        <v>10.4</v>
      </c>
    </row>
    <row r="1188" spans="1:3">
      <c r="A1188" s="608" t="s">
        <v>1107</v>
      </c>
      <c r="B1188" s="608" t="s">
        <v>3046</v>
      </c>
      <c r="C1188" s="608">
        <v>10.4</v>
      </c>
    </row>
    <row r="1189" spans="1:3">
      <c r="A1189" s="608" t="s">
        <v>1790</v>
      </c>
      <c r="B1189" s="608" t="s">
        <v>3046</v>
      </c>
      <c r="C1189" s="608">
        <v>10.4</v>
      </c>
    </row>
    <row r="1190" spans="1:3">
      <c r="A1190" s="608" t="s">
        <v>1509</v>
      </c>
      <c r="B1190" s="608" t="s">
        <v>3046</v>
      </c>
      <c r="C1190" s="608">
        <v>10.4</v>
      </c>
    </row>
    <row r="1191" spans="1:3">
      <c r="A1191" s="608" t="s">
        <v>1208</v>
      </c>
      <c r="B1191" s="608" t="s">
        <v>3046</v>
      </c>
      <c r="C1191" s="608">
        <v>10.4</v>
      </c>
    </row>
    <row r="1192" spans="1:3">
      <c r="A1192" s="608" t="s">
        <v>1442</v>
      </c>
      <c r="B1192" s="608" t="s">
        <v>3046</v>
      </c>
      <c r="C1192" s="608">
        <v>10.4</v>
      </c>
    </row>
    <row r="1193" spans="1:3">
      <c r="A1193" s="608" t="s">
        <v>1139</v>
      </c>
      <c r="B1193" s="608" t="s">
        <v>3046</v>
      </c>
      <c r="C1193" s="608">
        <v>10.4</v>
      </c>
    </row>
    <row r="1194" spans="1:3">
      <c r="A1194" s="608" t="s">
        <v>1757</v>
      </c>
      <c r="B1194" s="608" t="s">
        <v>3046</v>
      </c>
      <c r="C1194" s="608">
        <v>10.4</v>
      </c>
    </row>
    <row r="1195" spans="1:3">
      <c r="A1195" s="608" t="s">
        <v>1471</v>
      </c>
      <c r="B1195" s="608" t="s">
        <v>3046</v>
      </c>
      <c r="C1195" s="608">
        <v>10.4</v>
      </c>
    </row>
    <row r="1196" spans="1:3">
      <c r="A1196" s="608" t="s">
        <v>1167</v>
      </c>
      <c r="B1196" s="608" t="s">
        <v>3046</v>
      </c>
      <c r="C1196" s="608">
        <v>10.4</v>
      </c>
    </row>
    <row r="1197" spans="1:3">
      <c r="A1197" s="608" t="s">
        <v>1566</v>
      </c>
      <c r="B1197" s="608" t="s">
        <v>3047</v>
      </c>
      <c r="C1197" s="608">
        <v>19.22</v>
      </c>
    </row>
    <row r="1198" spans="1:3">
      <c r="A1198" s="608" t="s">
        <v>2013</v>
      </c>
      <c r="B1198" s="608" t="s">
        <v>3048</v>
      </c>
      <c r="C1198" s="608">
        <v>18</v>
      </c>
    </row>
    <row r="1199" spans="1:3">
      <c r="A1199" s="608" t="s">
        <v>236</v>
      </c>
      <c r="B1199" s="608" t="s">
        <v>3049</v>
      </c>
      <c r="C1199" s="608">
        <v>12</v>
      </c>
    </row>
    <row r="1200" spans="1:3">
      <c r="A1200" s="608" t="s">
        <v>1608</v>
      </c>
      <c r="B1200" s="608" t="s">
        <v>3050</v>
      </c>
      <c r="C1200" s="608">
        <v>12.2</v>
      </c>
    </row>
    <row r="1201" spans="1:3">
      <c r="A1201" s="608" t="s">
        <v>1499</v>
      </c>
      <c r="B1201" s="608" t="s">
        <v>3051</v>
      </c>
      <c r="C1201" s="608">
        <v>22</v>
      </c>
    </row>
    <row r="1202" spans="1:3">
      <c r="A1202" s="608" t="s">
        <v>267</v>
      </c>
      <c r="B1202" s="608" t="s">
        <v>3052</v>
      </c>
      <c r="C1202" s="608">
        <v>20.15</v>
      </c>
    </row>
    <row r="1203" spans="1:3">
      <c r="A1203" s="608" t="s">
        <v>1467</v>
      </c>
      <c r="B1203" s="608" t="s">
        <v>3053</v>
      </c>
      <c r="C1203" s="608">
        <v>30.69</v>
      </c>
    </row>
    <row r="1204" spans="1:3">
      <c r="A1204" s="608" t="s">
        <v>1511</v>
      </c>
      <c r="B1204" s="608" t="s">
        <v>3054</v>
      </c>
      <c r="C1204" s="608">
        <v>18</v>
      </c>
    </row>
    <row r="1205" spans="1:3">
      <c r="A1205" s="608" t="s">
        <v>1401</v>
      </c>
      <c r="B1205" s="608" t="s">
        <v>3054</v>
      </c>
      <c r="C1205" s="608">
        <v>18</v>
      </c>
    </row>
    <row r="1206" spans="1:3">
      <c r="A1206" s="608" t="s">
        <v>1069</v>
      </c>
      <c r="B1206" s="608" t="s">
        <v>3055</v>
      </c>
      <c r="C1206" s="608">
        <v>0</v>
      </c>
    </row>
    <row r="1207" spans="1:3">
      <c r="A1207" s="608" t="s">
        <v>1372</v>
      </c>
      <c r="B1207" s="608" t="s">
        <v>3056</v>
      </c>
      <c r="C1207" s="608" t="e">
        <v>#N/A</v>
      </c>
    </row>
    <row r="1208" spans="1:3">
      <c r="A1208" s="608" t="s">
        <v>1080</v>
      </c>
      <c r="B1208" s="608" t="s">
        <v>3057</v>
      </c>
      <c r="C1208" s="608">
        <v>20.49</v>
      </c>
    </row>
    <row r="1209" spans="1:3">
      <c r="A1209" s="608" t="s">
        <v>1307</v>
      </c>
      <c r="B1209" s="608" t="s">
        <v>3058</v>
      </c>
      <c r="C1209" s="608">
        <v>18.15</v>
      </c>
    </row>
    <row r="1210" spans="1:3">
      <c r="A1210" s="608" t="s">
        <v>1460</v>
      </c>
      <c r="B1210" s="608" t="s">
        <v>3059</v>
      </c>
      <c r="C1210" s="608">
        <v>18.02</v>
      </c>
    </row>
    <row r="1211" spans="1:3">
      <c r="A1211" s="608" t="s">
        <v>259</v>
      </c>
      <c r="B1211" s="608" t="s">
        <v>3060</v>
      </c>
      <c r="C1211" s="608">
        <v>27.79</v>
      </c>
    </row>
    <row r="1212" spans="1:3">
      <c r="A1212" s="608" t="s">
        <v>483</v>
      </c>
      <c r="B1212" s="608" t="s">
        <v>3060</v>
      </c>
      <c r="C1212" s="608">
        <v>27.79</v>
      </c>
    </row>
    <row r="1213" spans="1:3">
      <c r="A1213" s="608" t="s">
        <v>1414</v>
      </c>
      <c r="B1213" s="608" t="s">
        <v>3061</v>
      </c>
      <c r="C1213" s="608">
        <v>3.26</v>
      </c>
    </row>
    <row r="1214" spans="1:3">
      <c r="A1214" s="608" t="s">
        <v>1665</v>
      </c>
      <c r="B1214" s="608" t="s">
        <v>3061</v>
      </c>
      <c r="C1214" s="608">
        <v>3.26</v>
      </c>
    </row>
    <row r="1215" spans="1:3">
      <c r="A1215" s="608" t="s">
        <v>1178</v>
      </c>
      <c r="B1215" s="608" t="s">
        <v>3062</v>
      </c>
      <c r="C1215" s="608">
        <v>18.88</v>
      </c>
    </row>
    <row r="1216" spans="1:3">
      <c r="A1216" s="608" t="s">
        <v>1989</v>
      </c>
      <c r="B1216" s="608" t="s">
        <v>3063</v>
      </c>
      <c r="C1216" s="608">
        <v>22.62</v>
      </c>
    </row>
    <row r="1217" spans="1:3">
      <c r="A1217" s="608" t="s">
        <v>263</v>
      </c>
      <c r="B1217" s="608" t="s">
        <v>3064</v>
      </c>
      <c r="C1217" s="608">
        <v>20.76</v>
      </c>
    </row>
    <row r="1218" spans="1:3">
      <c r="A1218" s="608" t="s">
        <v>1684</v>
      </c>
      <c r="B1218" s="608" t="s">
        <v>3065</v>
      </c>
      <c r="C1218" s="608" t="e">
        <v>#N/A</v>
      </c>
    </row>
    <row r="1219" spans="1:3">
      <c r="A1219" s="608" t="s">
        <v>1304</v>
      </c>
      <c r="B1219" s="608" t="s">
        <v>3065</v>
      </c>
      <c r="C1219" s="608" t="e">
        <v>#N/A</v>
      </c>
    </row>
    <row r="1220" spans="1:3">
      <c r="A1220" s="608" t="s">
        <v>1986</v>
      </c>
      <c r="B1220" s="608" t="s">
        <v>3065</v>
      </c>
      <c r="C1220" s="608" t="e">
        <v>#N/A</v>
      </c>
    </row>
    <row r="1221" spans="1:3">
      <c r="A1221" s="608" t="s">
        <v>1393</v>
      </c>
      <c r="B1221" s="608" t="s">
        <v>3065</v>
      </c>
      <c r="C1221" s="608" t="e">
        <v>#N/A</v>
      </c>
    </row>
    <row r="1222" spans="1:3">
      <c r="A1222" s="608" t="s">
        <v>1092</v>
      </c>
      <c r="B1222" s="608" t="s">
        <v>3065</v>
      </c>
      <c r="C1222" s="608" t="e">
        <v>#N/A</v>
      </c>
    </row>
    <row r="1223" spans="1:3">
      <c r="A1223" s="608" t="s">
        <v>1175</v>
      </c>
      <c r="B1223" s="608" t="s">
        <v>3065</v>
      </c>
      <c r="C1223" s="608" t="e">
        <v>#N/A</v>
      </c>
    </row>
    <row r="1224" spans="1:3">
      <c r="A1224" s="608" t="s">
        <v>1862</v>
      </c>
      <c r="B1224" s="608" t="s">
        <v>3065</v>
      </c>
      <c r="C1224" s="608" t="e">
        <v>#N/A</v>
      </c>
    </row>
    <row r="1225" spans="1:3">
      <c r="A1225" s="608" t="s">
        <v>1565</v>
      </c>
      <c r="B1225" s="608" t="s">
        <v>3065</v>
      </c>
      <c r="C1225" s="608" t="e">
        <v>#N/A</v>
      </c>
    </row>
    <row r="1226" spans="1:3">
      <c r="A1226" s="608" t="s">
        <v>1453</v>
      </c>
      <c r="B1226" s="608" t="s">
        <v>3065</v>
      </c>
      <c r="C1226" s="608" t="e">
        <v>#N/A</v>
      </c>
    </row>
    <row r="1227" spans="1:3">
      <c r="A1227" s="608" t="s">
        <v>1148</v>
      </c>
      <c r="B1227" s="608" t="s">
        <v>3065</v>
      </c>
      <c r="C1227" s="608" t="e">
        <v>#N/A</v>
      </c>
    </row>
    <row r="1228" spans="1:3">
      <c r="A1228" s="608" t="s">
        <v>1835</v>
      </c>
      <c r="B1228" s="608" t="s">
        <v>3065</v>
      </c>
      <c r="C1228" s="608" t="e">
        <v>#N/A</v>
      </c>
    </row>
    <row r="1229" spans="1:3">
      <c r="A1229" s="608" t="s">
        <v>1545</v>
      </c>
      <c r="B1229" s="608" t="s">
        <v>3065</v>
      </c>
      <c r="C1229" s="608" t="e">
        <v>#N/A</v>
      </c>
    </row>
    <row r="1230" spans="1:3">
      <c r="A1230" s="608" t="s">
        <v>1249</v>
      </c>
      <c r="B1230" s="608" t="s">
        <v>3065</v>
      </c>
      <c r="C1230" s="608" t="e">
        <v>#N/A</v>
      </c>
    </row>
    <row r="1231" spans="1:3">
      <c r="A1231" s="608" t="s">
        <v>1874</v>
      </c>
      <c r="B1231" s="608" t="s">
        <v>3065</v>
      </c>
      <c r="C1231" s="608" t="e">
        <v>#N/A</v>
      </c>
    </row>
    <row r="1232" spans="1:3">
      <c r="A1232" s="608" t="s">
        <v>1962</v>
      </c>
      <c r="B1232" s="608" t="s">
        <v>3065</v>
      </c>
      <c r="C1232" s="608" t="e">
        <v>#N/A</v>
      </c>
    </row>
    <row r="1233" spans="1:3">
      <c r="A1233" s="608" t="s">
        <v>1768</v>
      </c>
      <c r="B1233" s="608" t="s">
        <v>3065</v>
      </c>
      <c r="C1233" s="608" t="e">
        <v>#N/A</v>
      </c>
    </row>
    <row r="1234" spans="1:3">
      <c r="A1234" s="608" t="s">
        <v>1481</v>
      </c>
      <c r="B1234" s="608" t="s">
        <v>3065</v>
      </c>
      <c r="C1234" s="608" t="e">
        <v>#N/A</v>
      </c>
    </row>
    <row r="1235" spans="1:3">
      <c r="A1235" s="608" t="s">
        <v>1180</v>
      </c>
      <c r="B1235" s="608" t="s">
        <v>3065</v>
      </c>
      <c r="C1235" s="608" t="e">
        <v>#N/A</v>
      </c>
    </row>
    <row r="1236" spans="1:3">
      <c r="A1236" s="608" t="s">
        <v>1965</v>
      </c>
      <c r="B1236" s="608" t="s">
        <v>3065</v>
      </c>
      <c r="C1236" s="608" t="e">
        <v>#N/A</v>
      </c>
    </row>
    <row r="1237" spans="1:3">
      <c r="A1237" s="608" t="s">
        <v>1364</v>
      </c>
      <c r="B1237" s="608" t="s">
        <v>3065</v>
      </c>
      <c r="C1237" s="608" t="e">
        <v>#N/A</v>
      </c>
    </row>
    <row r="1238" spans="1:3">
      <c r="A1238" s="608" t="s">
        <v>1910</v>
      </c>
      <c r="B1238" s="608" t="s">
        <v>3065</v>
      </c>
      <c r="C1238" s="608" t="e">
        <v>#N/A</v>
      </c>
    </row>
    <row r="1239" spans="1:3">
      <c r="A1239" s="608" t="s">
        <v>1900</v>
      </c>
      <c r="B1239" s="608" t="s">
        <v>3066</v>
      </c>
      <c r="C1239" s="608" t="e">
        <v>#N/A</v>
      </c>
    </row>
    <row r="1240" spans="1:3">
      <c r="A1240" s="608" t="s">
        <v>1882</v>
      </c>
      <c r="B1240" s="608" t="s">
        <v>3067</v>
      </c>
      <c r="C1240" s="608" t="e">
        <v>#N/A</v>
      </c>
    </row>
    <row r="1241" spans="1:3">
      <c r="A1241" s="608" t="s">
        <v>1553</v>
      </c>
      <c r="B1241" s="608" t="s">
        <v>3068</v>
      </c>
      <c r="C1241" s="608">
        <v>18.95</v>
      </c>
    </row>
    <row r="1242" spans="1:3">
      <c r="A1242" s="608" t="s">
        <v>1256</v>
      </c>
      <c r="B1242" s="608" t="s">
        <v>3068</v>
      </c>
      <c r="C1242" s="608">
        <v>18.95</v>
      </c>
    </row>
    <row r="1243" spans="1:3">
      <c r="A1243" s="608" t="s">
        <v>1719</v>
      </c>
      <c r="B1243" s="608" t="s">
        <v>3069</v>
      </c>
      <c r="C1243" s="608">
        <v>16</v>
      </c>
    </row>
    <row r="1244" spans="1:3">
      <c r="A1244" s="608" t="s">
        <v>399</v>
      </c>
      <c r="B1244" s="608" t="s">
        <v>3070</v>
      </c>
      <c r="C1244" s="608" t="e">
        <v>#N/A</v>
      </c>
    </row>
    <row r="1245" spans="1:3">
      <c r="A1245" s="608" t="s">
        <v>1254</v>
      </c>
      <c r="B1245" s="608" t="s">
        <v>3071</v>
      </c>
      <c r="C1245" s="608" t="e">
        <v>#N/A</v>
      </c>
    </row>
    <row r="1246" spans="1:3">
      <c r="A1246" s="608" t="s">
        <v>1766</v>
      </c>
      <c r="B1246" s="608" t="s">
        <v>3072</v>
      </c>
      <c r="C1246" s="608">
        <v>20.18</v>
      </c>
    </row>
    <row r="1247" spans="1:3">
      <c r="A1247" s="608" t="s">
        <v>1928</v>
      </c>
      <c r="B1247" s="608" t="s">
        <v>3073</v>
      </c>
      <c r="C1247" s="608">
        <v>15.2</v>
      </c>
    </row>
    <row r="1248" spans="1:3">
      <c r="A1248" s="608" t="s">
        <v>1625</v>
      </c>
      <c r="B1248" s="608" t="s">
        <v>3074</v>
      </c>
      <c r="C1248" s="608">
        <v>3</v>
      </c>
    </row>
    <row r="1249" spans="1:3">
      <c r="A1249" s="608" t="s">
        <v>239</v>
      </c>
      <c r="B1249" s="608" t="s">
        <v>3075</v>
      </c>
      <c r="C1249" s="608" t="e">
        <v>#N/A</v>
      </c>
    </row>
    <row r="1250" spans="1:3">
      <c r="A1250" s="608" t="s">
        <v>1353</v>
      </c>
      <c r="B1250" s="608" t="s">
        <v>3076</v>
      </c>
      <c r="C1250" s="608">
        <v>22.01</v>
      </c>
    </row>
    <row r="1251" spans="1:3">
      <c r="A1251" s="608" t="s">
        <v>1038</v>
      </c>
      <c r="B1251" s="608" t="s">
        <v>3077</v>
      </c>
      <c r="C1251" s="608">
        <v>20.07</v>
      </c>
    </row>
    <row r="1252" spans="1:3">
      <c r="A1252" s="608" t="s">
        <v>1426</v>
      </c>
      <c r="B1252" s="608" t="s">
        <v>3078</v>
      </c>
      <c r="C1252" s="608">
        <v>20.5</v>
      </c>
    </row>
    <row r="1253" spans="1:3">
      <c r="A1253" s="608" t="s">
        <v>234</v>
      </c>
      <c r="B1253" s="608" t="s">
        <v>3079</v>
      </c>
      <c r="C1253" s="608">
        <v>15.69</v>
      </c>
    </row>
    <row r="1254" spans="1:3">
      <c r="A1254" s="608" t="s">
        <v>1037</v>
      </c>
      <c r="B1254" s="608" t="s">
        <v>3080</v>
      </c>
      <c r="C1254" s="608">
        <v>25.76</v>
      </c>
    </row>
    <row r="1255" spans="1:3">
      <c r="A1255" s="608" t="s">
        <v>591</v>
      </c>
      <c r="B1255" s="608" t="s">
        <v>3081</v>
      </c>
      <c r="C1255" s="608">
        <v>19.8</v>
      </c>
    </row>
    <row r="1256" spans="1:3">
      <c r="A1256" s="608" t="s">
        <v>1652</v>
      </c>
      <c r="B1256" s="608" t="s">
        <v>3082</v>
      </c>
      <c r="C1256" s="608">
        <v>25.49</v>
      </c>
    </row>
    <row r="1257" spans="1:3">
      <c r="A1257" s="608" t="s">
        <v>232</v>
      </c>
      <c r="B1257" s="608" t="s">
        <v>3083</v>
      </c>
      <c r="C1257" s="608">
        <v>22.54</v>
      </c>
    </row>
    <row r="1258" spans="1:3">
      <c r="A1258" s="608" t="s">
        <v>1241</v>
      </c>
      <c r="B1258" s="608" t="s">
        <v>3084</v>
      </c>
      <c r="C1258" s="608">
        <v>15</v>
      </c>
    </row>
    <row r="1259" spans="1:3">
      <c r="A1259" s="608" t="s">
        <v>648</v>
      </c>
      <c r="B1259" s="608" t="s">
        <v>3085</v>
      </c>
      <c r="C1259" s="608" t="e">
        <v>#N/A</v>
      </c>
    </row>
    <row r="1260" spans="1:3">
      <c r="A1260" s="608" t="s">
        <v>1084</v>
      </c>
      <c r="B1260" s="608" t="s">
        <v>3086</v>
      </c>
      <c r="C1260" s="608">
        <v>20.09</v>
      </c>
    </row>
    <row r="1261" spans="1:3">
      <c r="A1261" s="608" t="s">
        <v>1770</v>
      </c>
      <c r="B1261" s="608" t="s">
        <v>3086</v>
      </c>
      <c r="C1261" s="608">
        <v>20.09</v>
      </c>
    </row>
    <row r="1262" spans="1:3">
      <c r="A1262" s="608" t="s">
        <v>1482</v>
      </c>
      <c r="B1262" s="608" t="s">
        <v>3086</v>
      </c>
      <c r="C1262" s="608">
        <v>20.09</v>
      </c>
    </row>
    <row r="1263" spans="1:3">
      <c r="A1263" s="608" t="s">
        <v>1182</v>
      </c>
      <c r="B1263" s="608" t="s">
        <v>3086</v>
      </c>
      <c r="C1263" s="608">
        <v>20.09</v>
      </c>
    </row>
    <row r="1264" spans="1:3">
      <c r="A1264" s="608" t="s">
        <v>1867</v>
      </c>
      <c r="B1264" s="608" t="s">
        <v>3086</v>
      </c>
      <c r="C1264" s="608">
        <v>20.09</v>
      </c>
    </row>
    <row r="1265" spans="1:3">
      <c r="A1265" s="608" t="s">
        <v>1568</v>
      </c>
      <c r="B1265" s="608" t="s">
        <v>3086</v>
      </c>
      <c r="C1265" s="608">
        <v>20.09</v>
      </c>
    </row>
    <row r="1266" spans="1:3">
      <c r="A1266" s="608" t="s">
        <v>1216</v>
      </c>
      <c r="B1266" s="608" t="s">
        <v>3086</v>
      </c>
      <c r="C1266" s="608">
        <v>20.09</v>
      </c>
    </row>
    <row r="1267" spans="1:3">
      <c r="A1267" s="608" t="s">
        <v>1901</v>
      </c>
      <c r="B1267" s="608" t="s">
        <v>3086</v>
      </c>
      <c r="C1267" s="608">
        <v>20.09</v>
      </c>
    </row>
    <row r="1268" spans="1:3">
      <c r="A1268" s="608" t="s">
        <v>1593</v>
      </c>
      <c r="B1268" s="608" t="s">
        <v>3086</v>
      </c>
      <c r="C1268" s="608">
        <v>20.09</v>
      </c>
    </row>
    <row r="1269" spans="1:3">
      <c r="A1269" s="608" t="s">
        <v>1618</v>
      </c>
      <c r="B1269" s="608" t="s">
        <v>3086</v>
      </c>
      <c r="C1269" s="608">
        <v>20.09</v>
      </c>
    </row>
    <row r="1270" spans="1:3">
      <c r="A1270" s="608" t="s">
        <v>1515</v>
      </c>
      <c r="B1270" s="608" t="s">
        <v>3086</v>
      </c>
      <c r="C1270" s="608">
        <v>20.09</v>
      </c>
    </row>
    <row r="1271" spans="1:3">
      <c r="A1271" s="608" t="s">
        <v>987</v>
      </c>
      <c r="B1271" s="608" t="s">
        <v>3087</v>
      </c>
      <c r="C1271" s="608">
        <v>25.02</v>
      </c>
    </row>
    <row r="1272" spans="1:3">
      <c r="A1272" s="608" t="s">
        <v>1905</v>
      </c>
      <c r="B1272" s="608" t="s">
        <v>3087</v>
      </c>
      <c r="C1272" s="608">
        <v>25.02</v>
      </c>
    </row>
    <row r="1273" spans="1:3">
      <c r="A1273" s="608" t="s">
        <v>986</v>
      </c>
      <c r="B1273" s="608" t="s">
        <v>3087</v>
      </c>
      <c r="C1273" s="608">
        <v>25.02</v>
      </c>
    </row>
    <row r="1274" spans="1:3">
      <c r="A1274" s="608" t="s">
        <v>1403</v>
      </c>
      <c r="B1274" s="608" t="s">
        <v>3088</v>
      </c>
      <c r="C1274" s="608">
        <v>20.07</v>
      </c>
    </row>
    <row r="1275" spans="1:3">
      <c r="A1275" s="608" t="s">
        <v>1669</v>
      </c>
      <c r="B1275" s="608" t="s">
        <v>3089</v>
      </c>
      <c r="C1275" s="608">
        <v>7.44</v>
      </c>
    </row>
    <row r="1276" spans="1:3">
      <c r="A1276" s="608" t="s">
        <v>1367</v>
      </c>
      <c r="B1276" s="608" t="s">
        <v>3089</v>
      </c>
      <c r="C1276" s="608">
        <v>7.44</v>
      </c>
    </row>
    <row r="1277" spans="1:3">
      <c r="A1277" s="608" t="s">
        <v>340</v>
      </c>
      <c r="B1277" s="608" t="s">
        <v>3090</v>
      </c>
      <c r="C1277" s="608">
        <v>22.83</v>
      </c>
    </row>
    <row r="1278" spans="1:3">
      <c r="A1278" s="608" t="s">
        <v>1720</v>
      </c>
      <c r="B1278" s="608" t="s">
        <v>3091</v>
      </c>
      <c r="C1278" s="608">
        <v>22.65</v>
      </c>
    </row>
    <row r="1279" spans="1:3">
      <c r="A1279" s="608" t="s">
        <v>174</v>
      </c>
      <c r="B1279" s="608" t="s">
        <v>3092</v>
      </c>
      <c r="C1279" s="608">
        <v>11.67</v>
      </c>
    </row>
    <row r="1280" spans="1:3">
      <c r="A1280" s="608" t="s">
        <v>176</v>
      </c>
      <c r="B1280" s="608" t="s">
        <v>3092</v>
      </c>
      <c r="C1280" s="608">
        <v>11.67</v>
      </c>
    </row>
    <row r="1281" spans="1:3">
      <c r="A1281" s="608" t="s">
        <v>178</v>
      </c>
      <c r="B1281" s="608" t="s">
        <v>3092</v>
      </c>
      <c r="C1281" s="608">
        <v>11.67</v>
      </c>
    </row>
    <row r="1282" spans="1:3">
      <c r="A1282" s="608" t="s">
        <v>180</v>
      </c>
      <c r="B1282" s="608" t="s">
        <v>3092</v>
      </c>
      <c r="C1282" s="608">
        <v>11.67</v>
      </c>
    </row>
    <row r="1283" spans="1:3">
      <c r="A1283" s="608" t="s">
        <v>182</v>
      </c>
      <c r="B1283" s="608" t="s">
        <v>3092</v>
      </c>
      <c r="C1283" s="608">
        <v>11.67</v>
      </c>
    </row>
    <row r="1284" spans="1:3">
      <c r="A1284" s="608" t="s">
        <v>184</v>
      </c>
      <c r="B1284" s="608" t="s">
        <v>3092</v>
      </c>
      <c r="C1284" s="608">
        <v>11.67</v>
      </c>
    </row>
    <row r="1285" spans="1:3">
      <c r="A1285" s="608" t="s">
        <v>186</v>
      </c>
      <c r="B1285" s="608" t="s">
        <v>3092</v>
      </c>
      <c r="C1285" s="608">
        <v>11.67</v>
      </c>
    </row>
    <row r="1286" spans="1:3">
      <c r="A1286" s="608" t="s">
        <v>188</v>
      </c>
      <c r="B1286" s="608" t="s">
        <v>3092</v>
      </c>
      <c r="C1286" s="608">
        <v>11.67</v>
      </c>
    </row>
    <row r="1287" spans="1:3">
      <c r="A1287" s="608" t="s">
        <v>190</v>
      </c>
      <c r="B1287" s="608" t="s">
        <v>3092</v>
      </c>
      <c r="C1287" s="608">
        <v>11.67</v>
      </c>
    </row>
    <row r="1288" spans="1:3">
      <c r="A1288" s="608" t="s">
        <v>1413</v>
      </c>
      <c r="B1288" s="608" t="s">
        <v>3092</v>
      </c>
      <c r="C1288" s="608">
        <v>11.67</v>
      </c>
    </row>
    <row r="1289" spans="1:3">
      <c r="A1289" s="608" t="s">
        <v>122</v>
      </c>
      <c r="B1289" s="608" t="s">
        <v>3093</v>
      </c>
      <c r="C1289" s="608">
        <v>14.29</v>
      </c>
    </row>
    <row r="1290" spans="1:3">
      <c r="A1290" s="608" t="s">
        <v>124</v>
      </c>
      <c r="B1290" s="608" t="s">
        <v>3093</v>
      </c>
      <c r="C1290" s="608">
        <v>14.29</v>
      </c>
    </row>
    <row r="1291" spans="1:3">
      <c r="A1291" s="608" t="s">
        <v>1588</v>
      </c>
      <c r="B1291" s="608" t="s">
        <v>3093</v>
      </c>
      <c r="C1291" s="608">
        <v>14.29</v>
      </c>
    </row>
    <row r="1292" spans="1:3">
      <c r="A1292" s="608" t="s">
        <v>1209</v>
      </c>
      <c r="B1292" s="608" t="s">
        <v>3093</v>
      </c>
      <c r="C1292" s="608">
        <v>14.29</v>
      </c>
    </row>
    <row r="1293" spans="1:3">
      <c r="A1293" s="608" t="s">
        <v>1405</v>
      </c>
      <c r="B1293" s="608" t="s">
        <v>3093</v>
      </c>
      <c r="C1293" s="608">
        <v>14.29</v>
      </c>
    </row>
    <row r="1294" spans="1:3">
      <c r="A1294" s="608" t="s">
        <v>1904</v>
      </c>
      <c r="B1294" s="608" t="s">
        <v>3093</v>
      </c>
      <c r="C1294" s="608">
        <v>14.29</v>
      </c>
    </row>
    <row r="1295" spans="1:3">
      <c r="A1295" s="608" t="s">
        <v>1115</v>
      </c>
      <c r="B1295" s="608" t="s">
        <v>3093</v>
      </c>
      <c r="C1295" s="608">
        <v>14.29</v>
      </c>
    </row>
    <row r="1296" spans="1:3">
      <c r="A1296" s="608" t="s">
        <v>1816</v>
      </c>
      <c r="B1296" s="608" t="s">
        <v>3094</v>
      </c>
      <c r="C1296" s="608">
        <v>20</v>
      </c>
    </row>
    <row r="1297" spans="1:3">
      <c r="A1297" s="608" t="s">
        <v>1468</v>
      </c>
      <c r="B1297" s="608" t="s">
        <v>3094</v>
      </c>
      <c r="C1297" s="608">
        <v>20</v>
      </c>
    </row>
    <row r="1298" spans="1:3">
      <c r="A1298" s="608" t="s">
        <v>1384</v>
      </c>
      <c r="B1298" s="608" t="s">
        <v>3095</v>
      </c>
      <c r="C1298" s="608">
        <v>25.72</v>
      </c>
    </row>
    <row r="1299" spans="1:3">
      <c r="A1299" s="608" t="s">
        <v>1277</v>
      </c>
      <c r="B1299" s="608" t="s">
        <v>3095</v>
      </c>
      <c r="C1299" s="608">
        <v>25.72</v>
      </c>
    </row>
    <row r="1300" spans="1:3">
      <c r="A1300" s="608" t="s">
        <v>1963</v>
      </c>
      <c r="B1300" s="608" t="s">
        <v>3095</v>
      </c>
      <c r="C1300" s="608">
        <v>25.72</v>
      </c>
    </row>
    <row r="1301" spans="1:3">
      <c r="A1301" s="608" t="s">
        <v>1163</v>
      </c>
      <c r="B1301" s="608" t="s">
        <v>3096</v>
      </c>
      <c r="C1301" s="608">
        <v>22.5</v>
      </c>
    </row>
    <row r="1302" spans="1:3">
      <c r="A1302" s="608" t="s">
        <v>1171</v>
      </c>
      <c r="B1302" s="608" t="s">
        <v>3097</v>
      </c>
      <c r="C1302" s="608" t="e">
        <v>#N/A</v>
      </c>
    </row>
    <row r="1303" spans="1:3">
      <c r="A1303" s="608" t="s">
        <v>1686</v>
      </c>
      <c r="B1303" s="608" t="s">
        <v>3098</v>
      </c>
      <c r="C1303" s="608" t="e">
        <v>#N/A</v>
      </c>
    </row>
    <row r="1304" spans="1:3">
      <c r="A1304" s="608" t="s">
        <v>1350</v>
      </c>
      <c r="B1304" s="608" t="s">
        <v>3099</v>
      </c>
      <c r="C1304" s="608">
        <v>24.73</v>
      </c>
    </row>
    <row r="1305" spans="1:3">
      <c r="A1305" s="608" t="s">
        <v>936</v>
      </c>
      <c r="B1305" s="608" t="s">
        <v>3100</v>
      </c>
      <c r="C1305" s="608">
        <v>10</v>
      </c>
    </row>
    <row r="1306" spans="1:3">
      <c r="A1306" s="608" t="s">
        <v>1943</v>
      </c>
      <c r="B1306" s="608" t="s">
        <v>3101</v>
      </c>
      <c r="C1306" s="608">
        <v>25.29</v>
      </c>
    </row>
    <row r="1307" spans="1:3">
      <c r="A1307" s="608" t="s">
        <v>1925</v>
      </c>
      <c r="B1307" s="608" t="s">
        <v>3102</v>
      </c>
      <c r="C1307" s="608" t="e">
        <v>#N/A</v>
      </c>
    </row>
    <row r="1308" spans="1:3">
      <c r="A1308" s="608" t="s">
        <v>1513</v>
      </c>
      <c r="B1308" s="608" t="s">
        <v>3103</v>
      </c>
      <c r="C1308" s="608">
        <v>16.37</v>
      </c>
    </row>
    <row r="1309" spans="1:3">
      <c r="A1309" s="608" t="s">
        <v>1111</v>
      </c>
      <c r="B1309" s="608" t="s">
        <v>3104</v>
      </c>
      <c r="C1309" s="608" t="e">
        <v>#N/A</v>
      </c>
    </row>
    <row r="1310" spans="1:3">
      <c r="A1310" s="608" t="s">
        <v>774</v>
      </c>
      <c r="B1310" s="608" t="s">
        <v>3105</v>
      </c>
      <c r="C1310" s="608">
        <v>22.36</v>
      </c>
    </row>
    <row r="1311" spans="1:3">
      <c r="A1311" s="608" t="s">
        <v>1310</v>
      </c>
      <c r="B1311" s="608" t="s">
        <v>3106</v>
      </c>
      <c r="C1311" s="608">
        <v>19.08</v>
      </c>
    </row>
    <row r="1312" spans="1:3">
      <c r="A1312" s="608" t="s">
        <v>1583</v>
      </c>
      <c r="B1312" s="608" t="s">
        <v>3107</v>
      </c>
      <c r="C1312" s="608">
        <v>34.96</v>
      </c>
    </row>
    <row r="1313" spans="1:3">
      <c r="A1313" s="608" t="s">
        <v>1891</v>
      </c>
      <c r="B1313" s="608" t="s">
        <v>3108</v>
      </c>
      <c r="C1313" s="608" t="e">
        <v>#N/A</v>
      </c>
    </row>
    <row r="1314" spans="1:3">
      <c r="A1314" s="608" t="s">
        <v>1787</v>
      </c>
      <c r="B1314" s="608" t="s">
        <v>3109</v>
      </c>
      <c r="C1314" s="608">
        <v>24.62</v>
      </c>
    </row>
    <row r="1315" spans="1:3">
      <c r="A1315" s="608" t="s">
        <v>1505</v>
      </c>
      <c r="B1315" s="608" t="s">
        <v>3109</v>
      </c>
      <c r="C1315" s="608">
        <v>24.62</v>
      </c>
    </row>
    <row r="1316" spans="1:3">
      <c r="A1316" s="608" t="s">
        <v>1745</v>
      </c>
      <c r="B1316" s="608" t="s">
        <v>3110</v>
      </c>
      <c r="C1316" s="608" t="e">
        <v>#N/A</v>
      </c>
    </row>
    <row r="1317" spans="1:3">
      <c r="A1317" s="608" t="s">
        <v>1165</v>
      </c>
      <c r="B1317" s="608" t="s">
        <v>3111</v>
      </c>
      <c r="C1317" s="608">
        <v>11.99</v>
      </c>
    </row>
    <row r="1318" spans="1:3">
      <c r="A1318" s="608" t="s">
        <v>1345</v>
      </c>
      <c r="B1318" s="608" t="s">
        <v>3112</v>
      </c>
      <c r="C1318" s="608">
        <v>26.47</v>
      </c>
    </row>
    <row r="1319" spans="1:3">
      <c r="A1319" s="608" t="s">
        <v>1045</v>
      </c>
      <c r="B1319" s="608" t="s">
        <v>3112</v>
      </c>
      <c r="C1319" s="608">
        <v>26.47</v>
      </c>
    </row>
    <row r="1320" spans="1:3">
      <c r="A1320" s="608" t="s">
        <v>1314</v>
      </c>
      <c r="B1320" s="608" t="s">
        <v>3113</v>
      </c>
      <c r="C1320" s="608">
        <v>25.64</v>
      </c>
    </row>
    <row r="1321" spans="1:3">
      <c r="A1321" s="608" t="s">
        <v>1532</v>
      </c>
      <c r="B1321" s="608" t="s">
        <v>3114</v>
      </c>
      <c r="C1321" s="608">
        <v>25.47</v>
      </c>
    </row>
    <row r="1322" spans="1:3">
      <c r="A1322" s="608" t="s">
        <v>1238</v>
      </c>
      <c r="B1322" s="608" t="s">
        <v>3114</v>
      </c>
      <c r="C1322" s="608">
        <v>25.47</v>
      </c>
    </row>
    <row r="1323" spans="1:3">
      <c r="A1323" s="608" t="s">
        <v>948</v>
      </c>
      <c r="B1323" s="608" t="s">
        <v>3115</v>
      </c>
      <c r="C1323" s="608">
        <v>3.02</v>
      </c>
    </row>
    <row r="1324" spans="1:3">
      <c r="A1324" s="608" t="s">
        <v>1311</v>
      </c>
      <c r="B1324" s="608" t="s">
        <v>3116</v>
      </c>
      <c r="C1324" s="608">
        <v>13.93</v>
      </c>
    </row>
    <row r="1325" spans="1:3">
      <c r="A1325" s="608" t="s">
        <v>1671</v>
      </c>
      <c r="B1325" s="608" t="s">
        <v>3117</v>
      </c>
      <c r="C1325" s="608">
        <v>20.38</v>
      </c>
    </row>
    <row r="1326" spans="1:3">
      <c r="A1326" s="608" t="s">
        <v>1504</v>
      </c>
      <c r="B1326" s="608" t="s">
        <v>3118</v>
      </c>
      <c r="C1326" s="608">
        <v>21.57</v>
      </c>
    </row>
    <row r="1327" spans="1:3">
      <c r="A1327" s="608" t="s">
        <v>1388</v>
      </c>
      <c r="B1327" s="608" t="s">
        <v>3118</v>
      </c>
      <c r="C1327" s="608">
        <v>21.57</v>
      </c>
    </row>
    <row r="1328" spans="1:3">
      <c r="A1328" s="608" t="s">
        <v>1408</v>
      </c>
      <c r="B1328" s="608" t="s">
        <v>3119</v>
      </c>
      <c r="C1328" s="608">
        <v>21.6</v>
      </c>
    </row>
    <row r="1329" spans="1:3">
      <c r="A1329" s="608" t="s">
        <v>1210</v>
      </c>
      <c r="B1329" s="608" t="s">
        <v>3120</v>
      </c>
      <c r="C1329" s="608">
        <v>15.2</v>
      </c>
    </row>
    <row r="1330" spans="1:3">
      <c r="A1330" s="608" t="s">
        <v>1215</v>
      </c>
      <c r="B1330" s="608" t="s">
        <v>3121</v>
      </c>
      <c r="C1330" s="608">
        <v>17.05</v>
      </c>
    </row>
    <row r="1331" spans="1:3">
      <c r="A1331" s="608" t="s">
        <v>1899</v>
      </c>
      <c r="B1331" s="608" t="s">
        <v>3121</v>
      </c>
      <c r="C1331" s="608">
        <v>17.05</v>
      </c>
    </row>
    <row r="1332" spans="1:3">
      <c r="A1332" s="608" t="s">
        <v>1592</v>
      </c>
      <c r="B1332" s="608" t="s">
        <v>3121</v>
      </c>
      <c r="C1332" s="608">
        <v>17.05</v>
      </c>
    </row>
    <row r="1333" spans="1:3">
      <c r="A1333" s="608" t="s">
        <v>1298</v>
      </c>
      <c r="B1333" s="608" t="s">
        <v>3121</v>
      </c>
      <c r="C1333" s="608">
        <v>17.05</v>
      </c>
    </row>
    <row r="1334" spans="1:3">
      <c r="A1334" s="608" t="s">
        <v>1068</v>
      </c>
      <c r="B1334" s="608" t="s">
        <v>3121</v>
      </c>
      <c r="C1334" s="608">
        <v>17.05</v>
      </c>
    </row>
    <row r="1335" spans="1:3">
      <c r="A1335" s="608" t="s">
        <v>1700</v>
      </c>
      <c r="B1335" s="608" t="s">
        <v>3121</v>
      </c>
      <c r="C1335" s="608">
        <v>17.05</v>
      </c>
    </row>
    <row r="1336" spans="1:3">
      <c r="A1336" s="608" t="s">
        <v>1117</v>
      </c>
      <c r="B1336" s="608" t="s">
        <v>3122</v>
      </c>
      <c r="C1336" s="608">
        <v>8.79</v>
      </c>
    </row>
    <row r="1337" spans="1:3">
      <c r="A1337" s="608" t="s">
        <v>1822</v>
      </c>
      <c r="B1337" s="608" t="s">
        <v>3123</v>
      </c>
      <c r="C1337" s="608">
        <v>22.09</v>
      </c>
    </row>
    <row r="1338" spans="1:3">
      <c r="A1338" s="608" t="s">
        <v>162</v>
      </c>
      <c r="B1338" s="608" t="s">
        <v>3124</v>
      </c>
      <c r="C1338" s="608">
        <v>20.94</v>
      </c>
    </row>
    <row r="1339" spans="1:3">
      <c r="A1339" s="608" t="s">
        <v>953</v>
      </c>
      <c r="B1339" s="608" t="s">
        <v>3125</v>
      </c>
      <c r="C1339" s="608">
        <v>21.01</v>
      </c>
    </row>
    <row r="1340" spans="1:3">
      <c r="A1340" s="608" t="s">
        <v>1160</v>
      </c>
      <c r="B1340" s="608" t="s">
        <v>3126</v>
      </c>
      <c r="C1340" s="608">
        <v>15.55</v>
      </c>
    </row>
    <row r="1341" spans="1:3">
      <c r="A1341" s="608" t="s">
        <v>215</v>
      </c>
      <c r="B1341" s="608" t="s">
        <v>3127</v>
      </c>
      <c r="C1341" s="608">
        <v>21.25</v>
      </c>
    </row>
    <row r="1342" spans="1:3">
      <c r="A1342" s="608" t="s">
        <v>1027</v>
      </c>
      <c r="B1342" s="608" t="s">
        <v>3127</v>
      </c>
      <c r="C1342" s="608">
        <v>21.25</v>
      </c>
    </row>
    <row r="1343" spans="1:3">
      <c r="A1343" s="608" t="s">
        <v>1176</v>
      </c>
      <c r="B1343" s="608" t="s">
        <v>3128</v>
      </c>
      <c r="C1343" s="608">
        <v>24.21</v>
      </c>
    </row>
    <row r="1344" spans="1:3">
      <c r="A1344" s="608" t="s">
        <v>1952</v>
      </c>
      <c r="B1344" s="608" t="s">
        <v>3129</v>
      </c>
      <c r="C1344" s="608">
        <v>24.96</v>
      </c>
    </row>
    <row r="1345" spans="1:3">
      <c r="A1345" s="608" t="s">
        <v>1651</v>
      </c>
      <c r="B1345" s="608" t="s">
        <v>3129</v>
      </c>
      <c r="C1345" s="608">
        <v>24.96</v>
      </c>
    </row>
    <row r="1346" spans="1:3">
      <c r="A1346" s="608" t="s">
        <v>1570</v>
      </c>
      <c r="B1346" s="608" t="s">
        <v>3130</v>
      </c>
      <c r="C1346" s="608">
        <v>13.77</v>
      </c>
    </row>
    <row r="1347" spans="1:3">
      <c r="A1347" s="608" t="s">
        <v>211</v>
      </c>
      <c r="B1347" s="608" t="s">
        <v>3131</v>
      </c>
      <c r="C1347" s="608">
        <v>20.5</v>
      </c>
    </row>
    <row r="1348" spans="1:3">
      <c r="A1348" s="608" t="s">
        <v>1270</v>
      </c>
      <c r="B1348" s="608" t="s">
        <v>3132</v>
      </c>
      <c r="C1348" s="608">
        <v>20.5</v>
      </c>
    </row>
    <row r="1349" spans="1:3">
      <c r="A1349" s="608" t="s">
        <v>956</v>
      </c>
      <c r="B1349" s="608" t="s">
        <v>3133</v>
      </c>
      <c r="C1349" s="608" t="e">
        <v>#N/A</v>
      </c>
    </row>
    <row r="1350" spans="1:3">
      <c r="A1350" s="608" t="s">
        <v>983</v>
      </c>
      <c r="B1350" s="608" t="s">
        <v>3134</v>
      </c>
      <c r="C1350" s="608">
        <v>20.24</v>
      </c>
    </row>
    <row r="1351" spans="1:3">
      <c r="A1351" s="608" t="s">
        <v>1130</v>
      </c>
      <c r="B1351" s="608" t="s">
        <v>3135</v>
      </c>
      <c r="C1351" s="608" t="e">
        <v>#N/A</v>
      </c>
    </row>
    <row r="1352" spans="1:3">
      <c r="A1352" s="608" t="s">
        <v>1763</v>
      </c>
      <c r="B1352" s="608" t="s">
        <v>3136</v>
      </c>
      <c r="C1352" s="608">
        <v>21.72</v>
      </c>
    </row>
    <row r="1353" spans="1:3">
      <c r="A1353" s="608" t="s">
        <v>1077</v>
      </c>
      <c r="B1353" s="608" t="s">
        <v>3137</v>
      </c>
      <c r="C1353" s="608">
        <v>15.2</v>
      </c>
    </row>
    <row r="1354" spans="1:3">
      <c r="A1354" s="608" t="s">
        <v>1645</v>
      </c>
      <c r="B1354" s="608" t="s">
        <v>3138</v>
      </c>
      <c r="C1354" s="608">
        <v>18.08</v>
      </c>
    </row>
    <row r="1355" spans="1:3">
      <c r="A1355" s="608" t="s">
        <v>929</v>
      </c>
      <c r="B1355" s="608" t="s">
        <v>3139</v>
      </c>
      <c r="C1355" s="608" t="e">
        <v>#N/A</v>
      </c>
    </row>
    <row r="1356" spans="1:3">
      <c r="A1356" s="608" t="s">
        <v>1658</v>
      </c>
      <c r="B1356" s="608" t="s">
        <v>3139</v>
      </c>
      <c r="C1356" s="608" t="e">
        <v>#N/A</v>
      </c>
    </row>
    <row r="1357" spans="1:3">
      <c r="A1357" s="608" t="s">
        <v>769</v>
      </c>
      <c r="B1357" s="608" t="s">
        <v>3140</v>
      </c>
      <c r="C1357" s="608" t="e">
        <v>#N/A</v>
      </c>
    </row>
    <row r="1358" spans="1:3">
      <c r="A1358" s="608" t="s">
        <v>768</v>
      </c>
      <c r="B1358" s="608" t="s">
        <v>3140</v>
      </c>
      <c r="C1358" s="608" t="e">
        <v>#N/A</v>
      </c>
    </row>
    <row r="1359" spans="1:3">
      <c r="A1359" s="608" t="s">
        <v>1428</v>
      </c>
      <c r="B1359" s="608" t="s">
        <v>3141</v>
      </c>
      <c r="C1359" s="608">
        <v>22.37</v>
      </c>
    </row>
    <row r="1360" spans="1:3">
      <c r="A1360" s="608" t="s">
        <v>1036</v>
      </c>
      <c r="B1360" s="608" t="s">
        <v>3142</v>
      </c>
      <c r="C1360" s="608" t="e">
        <v>#N/A</v>
      </c>
    </row>
    <row r="1361" spans="1:3">
      <c r="A1361" s="608" t="s">
        <v>1696</v>
      </c>
      <c r="B1361" s="608" t="s">
        <v>3143</v>
      </c>
      <c r="C1361" s="608">
        <v>19.72</v>
      </c>
    </row>
    <row r="1362" spans="1:3">
      <c r="A1362" s="608" t="s">
        <v>1985</v>
      </c>
      <c r="B1362" s="608" t="s">
        <v>3144</v>
      </c>
      <c r="C1362" s="608">
        <v>21.4</v>
      </c>
    </row>
    <row r="1363" spans="1:3">
      <c r="A1363" s="608" t="s">
        <v>1303</v>
      </c>
      <c r="B1363" s="608" t="s">
        <v>3145</v>
      </c>
      <c r="C1363" s="608">
        <v>18</v>
      </c>
    </row>
    <row r="1364" spans="1:3">
      <c r="A1364" s="608" t="s">
        <v>1600</v>
      </c>
      <c r="B1364" s="608" t="s">
        <v>3146</v>
      </c>
      <c r="C1364" s="608">
        <v>21.56</v>
      </c>
    </row>
    <row r="1365" spans="1:3">
      <c r="A1365" s="608" t="s">
        <v>1136</v>
      </c>
      <c r="B1365" s="608" t="s">
        <v>3147</v>
      </c>
      <c r="C1365" s="608">
        <v>20.79</v>
      </c>
    </row>
    <row r="1366" spans="1:3">
      <c r="A1366" s="608" t="s">
        <v>1396</v>
      </c>
      <c r="B1366" s="608" t="s">
        <v>3148</v>
      </c>
      <c r="C1366" s="608">
        <v>23.68</v>
      </c>
    </row>
    <row r="1367" spans="1:3">
      <c r="A1367" s="608" t="s">
        <v>1422</v>
      </c>
      <c r="B1367" s="608" t="s">
        <v>3149</v>
      </c>
      <c r="C1367" s="608">
        <v>20.74</v>
      </c>
    </row>
    <row r="1368" spans="1:3">
      <c r="A1368" s="608" t="s">
        <v>1366</v>
      </c>
      <c r="B1368" s="608" t="s">
        <v>3150</v>
      </c>
      <c r="C1368" s="608"/>
    </row>
    <row r="1369" spans="1:3">
      <c r="A1369" s="608" t="s">
        <v>1938</v>
      </c>
      <c r="B1369" s="608" t="s">
        <v>3150</v>
      </c>
      <c r="C1369" s="608"/>
    </row>
    <row r="1370" spans="1:3">
      <c r="A1370" s="608" t="s">
        <v>1664</v>
      </c>
      <c r="B1370" s="608" t="s">
        <v>3151</v>
      </c>
      <c r="C1370" s="608">
        <v>25.32</v>
      </c>
    </row>
    <row r="1371" spans="1:3">
      <c r="A1371" s="608" t="s">
        <v>1293</v>
      </c>
      <c r="B1371" s="608" t="s">
        <v>3152</v>
      </c>
      <c r="C1371" s="608">
        <v>25.59</v>
      </c>
    </row>
    <row r="1372" spans="1:3">
      <c r="A1372" s="608" t="s">
        <v>1776</v>
      </c>
      <c r="B1372" s="608" t="s">
        <v>3153</v>
      </c>
      <c r="C1372" s="608" t="e">
        <v>#N/A</v>
      </c>
    </row>
    <row r="1373" spans="1:3">
      <c r="A1373" s="608" t="s">
        <v>1207</v>
      </c>
      <c r="B1373" s="608" t="s">
        <v>3154</v>
      </c>
      <c r="C1373" s="608">
        <v>15.27</v>
      </c>
    </row>
    <row r="1374" spans="1:3">
      <c r="A1374" s="608" t="s">
        <v>1831</v>
      </c>
      <c r="B1374" s="608" t="s">
        <v>3155</v>
      </c>
      <c r="C1374" s="608">
        <v>27.27</v>
      </c>
    </row>
    <row r="1375" spans="1:3">
      <c r="A1375" s="608" t="s">
        <v>1447</v>
      </c>
      <c r="B1375" s="608" t="s">
        <v>3156</v>
      </c>
      <c r="C1375" s="608" t="e">
        <v>#N/A</v>
      </c>
    </row>
    <row r="1376" spans="1:3">
      <c r="A1376" s="608" t="s">
        <v>1893</v>
      </c>
      <c r="B1376" s="608" t="s">
        <v>3157</v>
      </c>
      <c r="C1376" s="608">
        <v>12.01</v>
      </c>
    </row>
    <row r="1377" spans="1:3">
      <c r="A1377" s="608" t="s">
        <v>1110</v>
      </c>
      <c r="B1377" s="608" t="s">
        <v>3158</v>
      </c>
      <c r="C1377" s="608">
        <v>27.36</v>
      </c>
    </row>
    <row r="1378" spans="1:3">
      <c r="A1378" s="608" t="s">
        <v>1490</v>
      </c>
      <c r="B1378" s="608" t="s">
        <v>3159</v>
      </c>
      <c r="C1378" s="608">
        <v>21.55</v>
      </c>
    </row>
    <row r="1379" spans="1:3">
      <c r="A1379" s="608" t="s">
        <v>1720</v>
      </c>
      <c r="B1379" s="608" t="s">
        <v>3160</v>
      </c>
      <c r="C1379" s="608">
        <v>10.52</v>
      </c>
    </row>
    <row r="1380" spans="1:3">
      <c r="A1380" s="608" t="s">
        <v>1119</v>
      </c>
      <c r="B1380" s="608" t="s">
        <v>3161</v>
      </c>
      <c r="C1380" s="608">
        <v>10.35</v>
      </c>
    </row>
    <row r="1381" spans="1:3">
      <c r="A1381" s="608" t="s">
        <v>1059</v>
      </c>
      <c r="B1381" s="608" t="s">
        <v>3162</v>
      </c>
      <c r="C1381" s="608">
        <v>20.4</v>
      </c>
    </row>
    <row r="1382" spans="1:3">
      <c r="A1382" s="608" t="s">
        <v>1967</v>
      </c>
      <c r="B1382" s="608" t="s">
        <v>3163</v>
      </c>
      <c r="C1382" s="608">
        <v>22</v>
      </c>
    </row>
    <row r="1383" spans="1:3">
      <c r="A1383" s="608" t="s">
        <v>1713</v>
      </c>
      <c r="B1383" s="608" t="s">
        <v>3164</v>
      </c>
      <c r="C1383" s="608">
        <v>21.21</v>
      </c>
    </row>
    <row r="1384" spans="1:3">
      <c r="A1384" s="608" t="s">
        <v>1281</v>
      </c>
      <c r="B1384" s="608" t="s">
        <v>3165</v>
      </c>
      <c r="C1384" s="608">
        <v>15.46</v>
      </c>
    </row>
    <row r="1385" spans="1:3">
      <c r="A1385" s="608" t="s">
        <v>1939</v>
      </c>
      <c r="B1385" s="608" t="s">
        <v>3166</v>
      </c>
      <c r="C1385" s="608">
        <v>17</v>
      </c>
    </row>
    <row r="1386" spans="1:3">
      <c r="A1386" s="608" t="s">
        <v>1573</v>
      </c>
      <c r="B1386" s="608" t="s">
        <v>3166</v>
      </c>
      <c r="C1386" s="608">
        <v>17</v>
      </c>
    </row>
    <row r="1387" spans="1:3">
      <c r="A1387" s="608" t="s">
        <v>1127</v>
      </c>
      <c r="B1387" s="608" t="s">
        <v>3167</v>
      </c>
      <c r="C1387" s="608">
        <v>18.03</v>
      </c>
    </row>
    <row r="1388" spans="1:3">
      <c r="A1388" s="608" t="s">
        <v>1873</v>
      </c>
      <c r="B1388" s="608" t="s">
        <v>3168</v>
      </c>
      <c r="C1388" s="608">
        <v>19.01</v>
      </c>
    </row>
    <row r="1389" spans="1:3">
      <c r="A1389" s="608" t="s">
        <v>1605</v>
      </c>
      <c r="B1389" s="608" t="s">
        <v>3169</v>
      </c>
      <c r="C1389" s="608">
        <v>26.26</v>
      </c>
    </row>
    <row r="1390" spans="1:3">
      <c r="A1390" s="608" t="s">
        <v>1309</v>
      </c>
      <c r="B1390" s="608" t="s">
        <v>3169</v>
      </c>
      <c r="C1390" s="608">
        <v>26.26</v>
      </c>
    </row>
    <row r="1391" spans="1:3">
      <c r="A1391" s="608" t="s">
        <v>1571</v>
      </c>
      <c r="B1391" s="608" t="s">
        <v>3169</v>
      </c>
      <c r="C1391" s="608">
        <v>26.26</v>
      </c>
    </row>
    <row r="1392" spans="1:3">
      <c r="A1392" s="608" t="s">
        <v>1188</v>
      </c>
      <c r="B1392" s="608" t="s">
        <v>3169</v>
      </c>
      <c r="C1392" s="608">
        <v>26.26</v>
      </c>
    </row>
    <row r="1393" spans="1:3">
      <c r="A1393" s="608" t="s">
        <v>1054</v>
      </c>
      <c r="B1393" s="608" t="s">
        <v>3170</v>
      </c>
      <c r="C1393" s="608" t="e">
        <v>#N/A</v>
      </c>
    </row>
    <row r="1394" spans="1:3">
      <c r="A1394" s="608" t="s">
        <v>1764</v>
      </c>
      <c r="B1394" s="608" t="s">
        <v>3171</v>
      </c>
      <c r="C1394" s="608" t="e">
        <v>#N/A</v>
      </c>
    </row>
    <row r="1395" spans="1:3">
      <c r="A1395" s="608" t="s">
        <v>1980</v>
      </c>
      <c r="B1395" s="608" t="s">
        <v>3172</v>
      </c>
      <c r="C1395" s="608" t="e">
        <v>#N/A</v>
      </c>
    </row>
    <row r="1396" spans="1:3">
      <c r="A1396" s="608" t="s">
        <v>1297</v>
      </c>
      <c r="B1396" s="608" t="s">
        <v>3173</v>
      </c>
      <c r="C1396" s="608" t="e">
        <v>#N/A</v>
      </c>
    </row>
    <row r="1397" spans="1:3">
      <c r="A1397" s="608" t="s">
        <v>1591</v>
      </c>
      <c r="B1397" s="608" t="s">
        <v>3174</v>
      </c>
      <c r="C1397" s="608" t="e">
        <v>#N/A</v>
      </c>
    </row>
    <row r="1398" spans="1:3">
      <c r="A1398" s="608" t="s">
        <v>1898</v>
      </c>
      <c r="B1398" s="608" t="s">
        <v>3175</v>
      </c>
      <c r="C1398" s="608" t="e">
        <v>#N/A</v>
      </c>
    </row>
    <row r="1399" spans="1:3">
      <c r="A1399" s="608" t="s">
        <v>1214</v>
      </c>
      <c r="B1399" s="608" t="s">
        <v>3176</v>
      </c>
      <c r="C1399" s="608" t="e">
        <v>#N/A</v>
      </c>
    </row>
    <row r="1400" spans="1:3">
      <c r="A1400" s="608" t="s">
        <v>1385</v>
      </c>
      <c r="B1400" s="608" t="s">
        <v>3177</v>
      </c>
      <c r="C1400" s="608" t="e">
        <v>#N/A</v>
      </c>
    </row>
    <row r="1401" spans="1:3">
      <c r="A1401" s="608" t="s">
        <v>1623</v>
      </c>
      <c r="B1401" s="608" t="s">
        <v>3178</v>
      </c>
      <c r="C1401" s="608" t="e">
        <v>#N/A</v>
      </c>
    </row>
    <row r="1402" spans="1:3">
      <c r="A1402" s="608" t="s">
        <v>1478</v>
      </c>
      <c r="B1402" s="608" t="s">
        <v>3179</v>
      </c>
      <c r="C1402" s="608" t="e">
        <v>#N/A</v>
      </c>
    </row>
    <row r="1403" spans="1:3">
      <c r="A1403" s="608" t="s">
        <v>1164</v>
      </c>
      <c r="B1403" s="608" t="s">
        <v>3180</v>
      </c>
      <c r="C1403" s="608" t="e">
        <v>#N/A</v>
      </c>
    </row>
    <row r="1404" spans="1:3">
      <c r="A1404" s="608" t="s">
        <v>1276</v>
      </c>
      <c r="B1404" s="608" t="s">
        <v>3181</v>
      </c>
      <c r="C1404" s="608">
        <v>8</v>
      </c>
    </row>
    <row r="1405" spans="1:3">
      <c r="A1405" s="608" t="s">
        <v>1090</v>
      </c>
      <c r="B1405" s="608" t="s">
        <v>3182</v>
      </c>
      <c r="C1405" s="608">
        <v>15.31</v>
      </c>
    </row>
    <row r="1406" spans="1:3">
      <c r="A1406" s="608" t="s">
        <v>1662</v>
      </c>
      <c r="B1406" s="608" t="s">
        <v>3183</v>
      </c>
      <c r="C1406" s="608" t="e">
        <v>#N/A</v>
      </c>
    </row>
    <row r="1407" spans="1:3">
      <c r="A1407" s="608" t="s">
        <v>1357</v>
      </c>
      <c r="B1407" s="608" t="s">
        <v>3183</v>
      </c>
      <c r="C1407" s="608" t="e">
        <v>#N/A</v>
      </c>
    </row>
    <row r="1408" spans="1:3">
      <c r="A1408" s="608" t="s">
        <v>1630</v>
      </c>
      <c r="B1408" s="608" t="s">
        <v>3184</v>
      </c>
      <c r="C1408" s="608"/>
    </row>
    <row r="1409" spans="1:3">
      <c r="A1409" s="608" t="s">
        <v>1933</v>
      </c>
      <c r="B1409" s="608" t="s">
        <v>3185</v>
      </c>
      <c r="C1409" s="608"/>
    </row>
    <row r="1410" spans="1:3">
      <c r="A1410" s="608" t="s">
        <v>1392</v>
      </c>
      <c r="B1410" s="608" t="s">
        <v>3186</v>
      </c>
      <c r="C1410" s="608" t="e">
        <v>#N/A</v>
      </c>
    </row>
    <row r="1411" spans="1:3">
      <c r="A1411" s="608" t="s">
        <v>646</v>
      </c>
      <c r="B1411" s="608" t="s">
        <v>3187</v>
      </c>
      <c r="C1411" s="608">
        <v>20.49</v>
      </c>
    </row>
    <row r="1412" spans="1:3">
      <c r="A1412" s="608" t="s">
        <v>647</v>
      </c>
      <c r="B1412" s="608" t="s">
        <v>3187</v>
      </c>
      <c r="C1412" s="608">
        <v>20.49</v>
      </c>
    </row>
    <row r="1413" spans="1:3">
      <c r="A1413" s="608" t="s">
        <v>1358</v>
      </c>
      <c r="B1413" s="608" t="s">
        <v>3188</v>
      </c>
      <c r="C1413" s="608">
        <v>18.22</v>
      </c>
    </row>
    <row r="1414" spans="1:3">
      <c r="A1414" s="608" t="s">
        <v>1194</v>
      </c>
      <c r="B1414" s="608" t="s">
        <v>3189</v>
      </c>
      <c r="C1414" s="608">
        <v>20</v>
      </c>
    </row>
    <row r="1415" spans="1:3">
      <c r="A1415" s="608" t="s">
        <v>1261</v>
      </c>
      <c r="B1415" s="608" t="s">
        <v>3190</v>
      </c>
      <c r="C1415" s="608">
        <v>18.06</v>
      </c>
    </row>
    <row r="1416" spans="1:3">
      <c r="A1416" s="608" t="s">
        <v>1558</v>
      </c>
      <c r="B1416" s="608" t="s">
        <v>3191</v>
      </c>
      <c r="C1416" s="608">
        <v>2.35</v>
      </c>
    </row>
    <row r="1417" spans="1:3">
      <c r="A1417" s="608" t="s">
        <v>1161</v>
      </c>
      <c r="B1417" s="608" t="s">
        <v>3192</v>
      </c>
      <c r="C1417" s="608">
        <v>21.4</v>
      </c>
    </row>
    <row r="1418" spans="1:3">
      <c r="A1418" s="608" t="s">
        <v>157</v>
      </c>
      <c r="B1418" s="608" t="s">
        <v>3193</v>
      </c>
      <c r="C1418" s="608" t="e">
        <v>#N/A</v>
      </c>
    </row>
    <row r="1419" spans="1:3">
      <c r="A1419" s="608" t="s">
        <v>1383</v>
      </c>
      <c r="B1419" s="608" t="s">
        <v>3194</v>
      </c>
      <c r="C1419" s="608">
        <v>20.36</v>
      </c>
    </row>
    <row r="1420" spans="1:3">
      <c r="A1420" s="608" t="s">
        <v>1753</v>
      </c>
      <c r="B1420" s="608" t="s">
        <v>3195</v>
      </c>
      <c r="C1420" s="608">
        <v>20.66</v>
      </c>
    </row>
    <row r="1421" spans="1:3">
      <c r="A1421" s="608" t="s">
        <v>1043</v>
      </c>
      <c r="B1421" s="608" t="s">
        <v>3196</v>
      </c>
      <c r="C1421" s="608">
        <v>18.37</v>
      </c>
    </row>
    <row r="1422" spans="1:3">
      <c r="A1422" s="608" t="s">
        <v>1518</v>
      </c>
      <c r="B1422" s="608" t="s">
        <v>3197</v>
      </c>
      <c r="C1422" s="608">
        <v>12</v>
      </c>
    </row>
    <row r="1423" spans="1:3">
      <c r="A1423" s="608" t="s">
        <v>1133</v>
      </c>
      <c r="B1423" s="608" t="s">
        <v>3198</v>
      </c>
      <c r="C1423" s="608">
        <v>23.72</v>
      </c>
    </row>
    <row r="1424" spans="1:3">
      <c r="A1424" s="608" t="s">
        <v>1166</v>
      </c>
      <c r="B1424" s="608" t="s">
        <v>3199</v>
      </c>
      <c r="C1424" s="608">
        <v>19.02</v>
      </c>
    </row>
    <row r="1425" spans="1:3">
      <c r="A1425" s="608" t="s">
        <v>1341</v>
      </c>
      <c r="B1425" s="608" t="s">
        <v>3200</v>
      </c>
      <c r="C1425" s="608">
        <v>16.45</v>
      </c>
    </row>
    <row r="1426" spans="1:3">
      <c r="A1426" s="608" t="s">
        <v>1646</v>
      </c>
      <c r="B1426" s="608" t="s">
        <v>3201</v>
      </c>
      <c r="C1426" s="608">
        <v>12.17</v>
      </c>
    </row>
    <row r="1427" spans="1:3">
      <c r="A1427" s="608" t="s">
        <v>1287</v>
      </c>
      <c r="B1427" s="608" t="s">
        <v>3202</v>
      </c>
      <c r="C1427" s="608">
        <v>20.49</v>
      </c>
    </row>
    <row r="1428" spans="1:3">
      <c r="A1428" s="608" t="s">
        <v>1689</v>
      </c>
      <c r="B1428" s="608" t="s">
        <v>3203</v>
      </c>
      <c r="C1428" s="608">
        <v>20.82</v>
      </c>
    </row>
    <row r="1429" spans="1:3">
      <c r="A1429" s="608" t="s">
        <v>1322</v>
      </c>
      <c r="B1429" s="608" t="s">
        <v>3203</v>
      </c>
      <c r="C1429" s="608">
        <v>20.82</v>
      </c>
    </row>
    <row r="1430" spans="1:3">
      <c r="A1430" s="608" t="s">
        <v>1994</v>
      </c>
      <c r="B1430" s="608" t="s">
        <v>3204</v>
      </c>
      <c r="C1430" s="608">
        <v>20.49</v>
      </c>
    </row>
    <row r="1431" spans="1:3">
      <c r="A1431" s="608" t="s">
        <v>1919</v>
      </c>
      <c r="B1431" s="608" t="s">
        <v>3205</v>
      </c>
      <c r="C1431" s="608">
        <v>25.86</v>
      </c>
    </row>
    <row r="1432" spans="1:3">
      <c r="A1432" s="608" t="s">
        <v>1866</v>
      </c>
      <c r="B1432" s="608" t="s">
        <v>3206</v>
      </c>
      <c r="C1432" s="608">
        <v>4</v>
      </c>
    </row>
    <row r="1433" spans="1:3">
      <c r="A1433" s="608" t="s">
        <v>159</v>
      </c>
      <c r="B1433" s="608" t="s">
        <v>3206</v>
      </c>
      <c r="C1433" s="608">
        <v>4</v>
      </c>
    </row>
    <row r="1434" spans="1:3">
      <c r="A1434" s="608" t="s">
        <v>1203</v>
      </c>
      <c r="B1434" s="608" t="s">
        <v>3207</v>
      </c>
      <c r="C1434" s="608">
        <v>21.48</v>
      </c>
    </row>
    <row r="1435" spans="1:3">
      <c r="A1435" s="608" t="s">
        <v>1082</v>
      </c>
      <c r="B1435" s="608" t="s">
        <v>3208</v>
      </c>
      <c r="C1435" s="608">
        <v>22.99</v>
      </c>
    </row>
    <row r="1436" spans="1:3">
      <c r="A1436" s="608" t="s">
        <v>1821</v>
      </c>
      <c r="B1436" s="608" t="s">
        <v>3209</v>
      </c>
      <c r="C1436" s="608">
        <v>20.15</v>
      </c>
    </row>
    <row r="1437" spans="1:3">
      <c r="A1437" s="608" t="s">
        <v>1663</v>
      </c>
      <c r="B1437" s="608" t="s">
        <v>3210</v>
      </c>
      <c r="C1437" s="608" t="e">
        <v>#N/A</v>
      </c>
    </row>
    <row r="1438" spans="1:3">
      <c r="A1438" s="608" t="s">
        <v>892</v>
      </c>
      <c r="B1438" s="608" t="s">
        <v>3211</v>
      </c>
      <c r="C1438" s="608">
        <v>27.31</v>
      </c>
    </row>
    <row r="1439" spans="1:3">
      <c r="A1439" s="608" t="s">
        <v>1845</v>
      </c>
      <c r="B1439" s="608" t="s">
        <v>3212</v>
      </c>
      <c r="C1439" s="608">
        <v>22.24</v>
      </c>
    </row>
    <row r="1440" spans="1:3">
      <c r="A1440" s="608" t="s">
        <v>154</v>
      </c>
      <c r="B1440" s="608" t="s">
        <v>3213</v>
      </c>
      <c r="C1440" s="608">
        <v>20.02</v>
      </c>
    </row>
    <row r="1441" spans="1:3">
      <c r="A1441" s="608" t="s">
        <v>152</v>
      </c>
      <c r="B1441" s="608" t="s">
        <v>3214</v>
      </c>
      <c r="C1441" s="608">
        <v>30</v>
      </c>
    </row>
    <row r="1442" spans="1:3">
      <c r="A1442" s="608" t="s">
        <v>1598</v>
      </c>
      <c r="B1442" s="608" t="s">
        <v>3215</v>
      </c>
      <c r="C1442" s="608" t="e">
        <v>#N/A</v>
      </c>
    </row>
    <row r="1443" spans="1:3">
      <c r="A1443" s="608" t="s">
        <v>1246</v>
      </c>
      <c r="B1443" s="608" t="s">
        <v>3216</v>
      </c>
      <c r="C1443" s="608">
        <v>25.05</v>
      </c>
    </row>
    <row r="1444" spans="1:3">
      <c r="A1444" s="608" t="s">
        <v>1542</v>
      </c>
      <c r="B1444" s="608" t="s">
        <v>3217</v>
      </c>
      <c r="C1444" s="608">
        <v>21.55</v>
      </c>
    </row>
    <row r="1445" spans="1:3">
      <c r="A1445" s="608" t="s">
        <v>1569</v>
      </c>
      <c r="B1445" s="608" t="s">
        <v>3218</v>
      </c>
      <c r="C1445" s="608">
        <v>6.08</v>
      </c>
    </row>
    <row r="1446" spans="1:3">
      <c r="A1446" s="608" t="s">
        <v>1217</v>
      </c>
      <c r="B1446" s="608" t="s">
        <v>3218</v>
      </c>
      <c r="C1446" s="608">
        <v>6.08</v>
      </c>
    </row>
    <row r="1447" spans="1:3">
      <c r="A1447" s="608" t="s">
        <v>1818</v>
      </c>
      <c r="B1447" s="608" t="s">
        <v>3219</v>
      </c>
      <c r="C1447" s="608">
        <v>25.43</v>
      </c>
    </row>
    <row r="1448" spans="1:3">
      <c r="A1448" s="608" t="s">
        <v>1626</v>
      </c>
      <c r="B1448" s="608" t="s">
        <v>3220</v>
      </c>
      <c r="C1448" s="608">
        <v>25.79</v>
      </c>
    </row>
    <row r="1449" spans="1:3">
      <c r="A1449" s="608" t="s">
        <v>1959</v>
      </c>
      <c r="B1449" s="608" t="s">
        <v>3220</v>
      </c>
      <c r="C1449" s="608">
        <v>25.79</v>
      </c>
    </row>
    <row r="1450" spans="1:3">
      <c r="A1450" s="608" t="s">
        <v>1661</v>
      </c>
      <c r="B1450" s="608" t="s">
        <v>3220</v>
      </c>
      <c r="C1450" s="608">
        <v>25.79</v>
      </c>
    </row>
    <row r="1451" spans="1:3">
      <c r="A1451" s="608" t="s">
        <v>1356</v>
      </c>
      <c r="B1451" s="608" t="s">
        <v>3220</v>
      </c>
      <c r="C1451" s="608">
        <v>25.79</v>
      </c>
    </row>
    <row r="1452" spans="1:3">
      <c r="A1452" s="608" t="s">
        <v>1450</v>
      </c>
      <c r="B1452" s="608" t="s">
        <v>3220</v>
      </c>
      <c r="C1452" s="608">
        <v>25.79</v>
      </c>
    </row>
    <row r="1453" spans="1:3">
      <c r="A1453" s="608" t="s">
        <v>1767</v>
      </c>
      <c r="B1453" s="608" t="s">
        <v>3220</v>
      </c>
      <c r="C1453" s="608">
        <v>25.79</v>
      </c>
    </row>
    <row r="1454" spans="1:3">
      <c r="A1454" s="608" t="s">
        <v>1349</v>
      </c>
      <c r="B1454" s="608" t="s">
        <v>3221</v>
      </c>
      <c r="C1454" s="608">
        <v>25.03</v>
      </c>
    </row>
    <row r="1455" spans="1:3">
      <c r="A1455" s="608" t="s">
        <v>1981</v>
      </c>
      <c r="B1455" s="608" t="s">
        <v>3222</v>
      </c>
      <c r="C1455" s="608" t="e">
        <v>#N/A</v>
      </c>
    </row>
    <row r="1456" spans="1:3">
      <c r="A1456" s="608" t="s">
        <v>1258</v>
      </c>
      <c r="B1456" s="608" t="s">
        <v>3223</v>
      </c>
      <c r="C1456" s="608">
        <v>25.22</v>
      </c>
    </row>
    <row r="1457" spans="1:3">
      <c r="A1457" s="608" t="s">
        <v>1145</v>
      </c>
      <c r="B1457" s="608" t="s">
        <v>3224</v>
      </c>
      <c r="C1457" s="608">
        <v>8</v>
      </c>
    </row>
    <row r="1458" spans="1:3">
      <c r="A1458" s="608" t="s">
        <v>1832</v>
      </c>
      <c r="B1458" s="608" t="s">
        <v>3225</v>
      </c>
      <c r="C1458" s="608">
        <v>8</v>
      </c>
    </row>
    <row r="1459" spans="1:3">
      <c r="A1459" s="608" t="s">
        <v>1156</v>
      </c>
      <c r="B1459" s="608" t="s">
        <v>3226</v>
      </c>
      <c r="C1459" s="608">
        <v>25.99</v>
      </c>
    </row>
    <row r="1460" spans="1:3">
      <c r="A1460" s="608" t="s">
        <v>1982</v>
      </c>
      <c r="B1460" s="608" t="s">
        <v>3227</v>
      </c>
      <c r="C1460" s="608">
        <v>25.14</v>
      </c>
    </row>
    <row r="1461" spans="1:3">
      <c r="A1461" s="608" t="s">
        <v>1264</v>
      </c>
      <c r="B1461" s="608" t="s">
        <v>3228</v>
      </c>
      <c r="C1461" s="608">
        <v>19.8</v>
      </c>
    </row>
    <row r="1462" spans="1:3">
      <c r="A1462" s="608" t="s">
        <v>900</v>
      </c>
      <c r="B1462" s="608" t="s">
        <v>3229</v>
      </c>
      <c r="C1462" s="608" t="e">
        <v>#N/A</v>
      </c>
    </row>
    <row r="1463" spans="1:3">
      <c r="A1463" s="608" t="s">
        <v>1677</v>
      </c>
      <c r="B1463" s="608" t="s">
        <v>3230</v>
      </c>
      <c r="C1463" s="608">
        <v>20.47</v>
      </c>
    </row>
    <row r="1464" spans="1:3">
      <c r="A1464" s="608" t="s">
        <v>1418</v>
      </c>
      <c r="B1464" s="608" t="s">
        <v>3231</v>
      </c>
      <c r="C1464" s="608" t="e">
        <v>#N/A</v>
      </c>
    </row>
    <row r="1465" spans="1:3">
      <c r="A1465" s="608" t="s">
        <v>1406</v>
      </c>
      <c r="B1465" s="608" t="s">
        <v>3232</v>
      </c>
      <c r="C1465" s="608">
        <v>18.05</v>
      </c>
    </row>
    <row r="1466" spans="1:3">
      <c r="A1466" s="608" t="s">
        <v>1705</v>
      </c>
      <c r="B1466" s="608" t="s">
        <v>3233</v>
      </c>
      <c r="C1466" s="608">
        <v>19.59</v>
      </c>
    </row>
    <row r="1467" spans="1:3">
      <c r="A1467" s="608" t="s">
        <v>2011</v>
      </c>
      <c r="B1467" s="608" t="s">
        <v>3234</v>
      </c>
      <c r="C1467" s="608">
        <v>1.63</v>
      </c>
    </row>
    <row r="1468" spans="1:3">
      <c r="A1468" s="608" t="s">
        <v>1541</v>
      </c>
      <c r="B1468" s="608" t="s">
        <v>3235</v>
      </c>
      <c r="C1468" s="608">
        <v>20.96</v>
      </c>
    </row>
    <row r="1469" spans="1:3">
      <c r="A1469" s="608" t="s">
        <v>1691</v>
      </c>
      <c r="B1469" s="608" t="s">
        <v>3236</v>
      </c>
      <c r="C1469" s="608">
        <v>20.94</v>
      </c>
    </row>
    <row r="1470" spans="1:3">
      <c r="A1470" s="608" t="s">
        <v>1909</v>
      </c>
      <c r="B1470" s="608" t="s">
        <v>3237</v>
      </c>
      <c r="C1470" s="608" t="e">
        <v>#N/A</v>
      </c>
    </row>
    <row r="1471" spans="1:3">
      <c r="A1471" s="608" t="s">
        <v>1603</v>
      </c>
      <c r="B1471" s="608" t="s">
        <v>3237</v>
      </c>
      <c r="C1471" s="608" t="e">
        <v>#N/A</v>
      </c>
    </row>
    <row r="1472" spans="1:3">
      <c r="A1472" s="608" t="s">
        <v>1306</v>
      </c>
      <c r="B1472" s="608" t="s">
        <v>3237</v>
      </c>
      <c r="C1472" s="608" t="e">
        <v>#N/A</v>
      </c>
    </row>
    <row r="1473" spans="1:3">
      <c r="A1473" s="608" t="s">
        <v>1883</v>
      </c>
      <c r="B1473" s="608" t="s">
        <v>3238</v>
      </c>
      <c r="C1473" s="608">
        <v>17.26</v>
      </c>
    </row>
    <row r="1474" spans="1:3">
      <c r="A1474" s="608" t="s">
        <v>1331</v>
      </c>
      <c r="B1474" s="608" t="s">
        <v>3238</v>
      </c>
      <c r="C1474" s="608">
        <v>17.26</v>
      </c>
    </row>
    <row r="1475" spans="1:3">
      <c r="A1475" s="608" t="s">
        <v>1903</v>
      </c>
      <c r="B1475" s="608" t="s">
        <v>3239</v>
      </c>
      <c r="C1475" s="608" t="e">
        <v>#N/A</v>
      </c>
    </row>
    <row r="1476" spans="1:3">
      <c r="A1476" s="608" t="s">
        <v>1086</v>
      </c>
      <c r="B1476" s="608" t="s">
        <v>3240</v>
      </c>
      <c r="C1476" s="608" t="e">
        <v>#N/A</v>
      </c>
    </row>
    <row r="1477" spans="1:3">
      <c r="A1477" s="608" t="s">
        <v>1772</v>
      </c>
      <c r="B1477" s="608" t="s">
        <v>3240</v>
      </c>
      <c r="C1477" s="608" t="e">
        <v>#N/A</v>
      </c>
    </row>
    <row r="1478" spans="1:3">
      <c r="A1478" s="608" t="s">
        <v>1484</v>
      </c>
      <c r="B1478" s="608" t="s">
        <v>3240</v>
      </c>
      <c r="C1478" s="608" t="e">
        <v>#N/A</v>
      </c>
    </row>
    <row r="1479" spans="1:3">
      <c r="A1479" s="608" t="s">
        <v>1507</v>
      </c>
      <c r="B1479" s="608" t="s">
        <v>3241</v>
      </c>
      <c r="C1479" s="608" t="e">
        <v>#N/A</v>
      </c>
    </row>
    <row r="1480" spans="1:3">
      <c r="A1480" s="608" t="s">
        <v>1650</v>
      </c>
      <c r="B1480" s="608" t="s">
        <v>3242</v>
      </c>
      <c r="C1480" s="608">
        <v>28.38</v>
      </c>
    </row>
    <row r="1481" spans="1:3">
      <c r="A1481" s="608" t="s">
        <v>1361</v>
      </c>
      <c r="B1481" s="608" t="s">
        <v>3243</v>
      </c>
      <c r="C1481" s="608">
        <v>19.44</v>
      </c>
    </row>
    <row r="1482" spans="1:3">
      <c r="A1482" s="608" t="s">
        <v>1044</v>
      </c>
      <c r="B1482" s="608" t="s">
        <v>3244</v>
      </c>
      <c r="C1482" s="608" t="e">
        <v>#N/A</v>
      </c>
    </row>
    <row r="1483" spans="1:3">
      <c r="A1483" s="608" t="s">
        <v>1729</v>
      </c>
      <c r="B1483" s="608" t="s">
        <v>3244</v>
      </c>
      <c r="C1483" s="608" t="e">
        <v>#N/A</v>
      </c>
    </row>
    <row r="1484" spans="1:3">
      <c r="A1484" s="608" t="s">
        <v>1531</v>
      </c>
      <c r="B1484" s="608" t="s">
        <v>3245</v>
      </c>
      <c r="C1484" s="608">
        <v>15.62</v>
      </c>
    </row>
    <row r="1485" spans="1:3">
      <c r="A1485" s="608" t="s">
        <v>990</v>
      </c>
      <c r="B1485" s="608" t="s">
        <v>3246</v>
      </c>
      <c r="C1485" s="608">
        <v>20.35</v>
      </c>
    </row>
    <row r="1486" spans="1:3">
      <c r="A1486" s="608" t="s">
        <v>1727</v>
      </c>
      <c r="B1486" s="608" t="s">
        <v>3246</v>
      </c>
      <c r="C1486" s="608">
        <v>20.35</v>
      </c>
    </row>
    <row r="1487" spans="1:3">
      <c r="A1487" s="608" t="s">
        <v>146</v>
      </c>
      <c r="B1487" s="608" t="s">
        <v>3247</v>
      </c>
      <c r="C1487" s="608">
        <v>24.7</v>
      </c>
    </row>
    <row r="1488" spans="1:3">
      <c r="A1488" s="608" t="s">
        <v>1653</v>
      </c>
      <c r="B1488" s="608" t="s">
        <v>3248</v>
      </c>
      <c r="C1488" s="608">
        <v>25.06</v>
      </c>
    </row>
    <row r="1489" spans="1:3">
      <c r="A1489" s="608" t="s">
        <v>2004</v>
      </c>
      <c r="B1489" s="608" t="s">
        <v>3249</v>
      </c>
      <c r="C1489" s="608">
        <v>12.72</v>
      </c>
    </row>
    <row r="1490" spans="1:3">
      <c r="A1490" s="608" t="s">
        <v>1715</v>
      </c>
      <c r="B1490" s="608" t="s">
        <v>3250</v>
      </c>
      <c r="C1490" s="608">
        <v>22.68</v>
      </c>
    </row>
    <row r="1491" spans="1:3">
      <c r="A1491" s="608" t="s">
        <v>1813</v>
      </c>
      <c r="B1491" s="608" t="s">
        <v>3250</v>
      </c>
      <c r="C1491" s="608">
        <v>22.68</v>
      </c>
    </row>
    <row r="1492" spans="1:3">
      <c r="A1492" s="608" t="s">
        <v>1425</v>
      </c>
      <c r="B1492" s="608" t="s">
        <v>3251</v>
      </c>
      <c r="C1492" s="608">
        <v>0.1</v>
      </c>
    </row>
    <row r="1493" spans="1:3">
      <c r="A1493" s="608" t="s">
        <v>1319</v>
      </c>
      <c r="B1493" s="608" t="s">
        <v>3252</v>
      </c>
      <c r="C1493" s="608">
        <v>19.56</v>
      </c>
    </row>
    <row r="1494" spans="1:3">
      <c r="A1494" s="608" t="s">
        <v>1955</v>
      </c>
      <c r="B1494" s="608" t="s">
        <v>3252</v>
      </c>
      <c r="C1494" s="608">
        <v>19.56</v>
      </c>
    </row>
    <row r="1495" spans="1:3">
      <c r="A1495" s="608" t="s">
        <v>1655</v>
      </c>
      <c r="B1495" s="608" t="s">
        <v>3252</v>
      </c>
      <c r="C1495" s="608">
        <v>19.56</v>
      </c>
    </row>
    <row r="1496" spans="1:3">
      <c r="A1496" s="608" t="s">
        <v>1351</v>
      </c>
      <c r="B1496" s="608" t="s">
        <v>3252</v>
      </c>
      <c r="C1496" s="608">
        <v>19.56</v>
      </c>
    </row>
    <row r="1497" spans="1:3">
      <c r="A1497" s="608" t="s">
        <v>1299</v>
      </c>
      <c r="B1497" s="608" t="s">
        <v>3253</v>
      </c>
      <c r="C1497" s="608">
        <v>25.07</v>
      </c>
    </row>
    <row r="1498" spans="1:3">
      <c r="A1498" s="608" t="s">
        <v>1113</v>
      </c>
      <c r="B1498" s="608" t="s">
        <v>3254</v>
      </c>
      <c r="C1498" s="608">
        <v>20.37</v>
      </c>
    </row>
    <row r="1499" spans="1:3">
      <c r="A1499" s="608" t="s">
        <v>1091</v>
      </c>
      <c r="B1499" s="608" t="s">
        <v>3255</v>
      </c>
      <c r="C1499" s="608">
        <v>23.29</v>
      </c>
    </row>
    <row r="1500" spans="1:3">
      <c r="A1500" s="608" t="s">
        <v>1750</v>
      </c>
      <c r="B1500" s="608" t="s">
        <v>3256</v>
      </c>
      <c r="C1500" s="608">
        <v>20.07</v>
      </c>
    </row>
    <row r="1501" spans="1:3">
      <c r="A1501" s="608" t="s">
        <v>1365</v>
      </c>
      <c r="B1501" s="608" t="s">
        <v>3257</v>
      </c>
      <c r="C1501" s="608">
        <v>28.44</v>
      </c>
    </row>
    <row r="1502" spans="1:3">
      <c r="A1502" s="608" t="s">
        <v>923</v>
      </c>
      <c r="B1502" s="608" t="s">
        <v>3258</v>
      </c>
      <c r="C1502" s="608" t="e">
        <v>#N/A</v>
      </c>
    </row>
    <row r="1503" spans="1:3">
      <c r="A1503" s="608" t="s">
        <v>911</v>
      </c>
      <c r="B1503" s="608" t="s">
        <v>3259</v>
      </c>
      <c r="C1503" s="608" t="e">
        <v>#N/A</v>
      </c>
    </row>
    <row r="1504" spans="1:3">
      <c r="A1504" s="608" t="s">
        <v>1252</v>
      </c>
      <c r="B1504" s="608" t="s">
        <v>3260</v>
      </c>
      <c r="C1504" s="608" t="e">
        <v>#N/A</v>
      </c>
    </row>
    <row r="1505" spans="1:3">
      <c r="A1505" s="608" t="s">
        <v>1838</v>
      </c>
      <c r="B1505" s="608" t="s">
        <v>3261</v>
      </c>
      <c r="C1505" s="608">
        <v>25.12</v>
      </c>
    </row>
    <row r="1506" spans="1:3">
      <c r="A1506" s="608" t="s">
        <v>1548</v>
      </c>
      <c r="B1506" s="608" t="s">
        <v>3261</v>
      </c>
      <c r="C1506" s="608">
        <v>25.12</v>
      </c>
    </row>
    <row r="1507" spans="1:3">
      <c r="A1507" s="608" t="s">
        <v>1028</v>
      </c>
      <c r="B1507" s="608" t="s">
        <v>3262</v>
      </c>
      <c r="C1507" s="608">
        <v>25.1</v>
      </c>
    </row>
    <row r="1508" spans="1:3">
      <c r="A1508" s="608" t="s">
        <v>1152</v>
      </c>
      <c r="B1508" s="608" t="s">
        <v>3262</v>
      </c>
      <c r="C1508" s="608">
        <v>25.1</v>
      </c>
    </row>
    <row r="1509" spans="1:3">
      <c r="A1509" s="608" t="s">
        <v>767</v>
      </c>
      <c r="B1509" s="608" t="s">
        <v>3263</v>
      </c>
      <c r="C1509" s="608">
        <v>23.15</v>
      </c>
    </row>
    <row r="1510" spans="1:3">
      <c r="A1510" s="608" t="s">
        <v>1219</v>
      </c>
      <c r="B1510" s="608" t="s">
        <v>3264</v>
      </c>
      <c r="C1510" s="608">
        <v>3</v>
      </c>
    </row>
    <row r="1511" spans="1:3">
      <c r="A1511" s="608" t="s">
        <v>920</v>
      </c>
      <c r="B1511" s="608" t="s">
        <v>3265</v>
      </c>
      <c r="C1511" s="608">
        <v>19.23</v>
      </c>
    </row>
    <row r="1512" spans="1:3">
      <c r="A1512" s="608" t="s">
        <v>1087</v>
      </c>
      <c r="B1512" s="608" t="s">
        <v>3266</v>
      </c>
      <c r="C1512" s="608">
        <v>25.17</v>
      </c>
    </row>
    <row r="1513" spans="1:3">
      <c r="A1513" s="608" t="s">
        <v>1389</v>
      </c>
      <c r="B1513" s="608" t="s">
        <v>3267</v>
      </c>
      <c r="C1513" s="608">
        <v>25.51</v>
      </c>
    </row>
    <row r="1514" spans="1:3">
      <c r="A1514" s="608" t="s">
        <v>1747</v>
      </c>
      <c r="B1514" s="608" t="s">
        <v>3268</v>
      </c>
      <c r="C1514" s="608" t="e">
        <v>#N/A</v>
      </c>
    </row>
    <row r="1515" spans="1:3">
      <c r="A1515" s="608" t="s">
        <v>1801</v>
      </c>
      <c r="B1515" s="608" t="s">
        <v>3269</v>
      </c>
      <c r="C1515" s="608">
        <v>25.2</v>
      </c>
    </row>
    <row r="1516" spans="1:3">
      <c r="A1516" s="608" t="s">
        <v>1793</v>
      </c>
      <c r="B1516" s="608" t="s">
        <v>3270</v>
      </c>
      <c r="C1516" s="608">
        <v>25.06</v>
      </c>
    </row>
    <row r="1517" spans="1:3">
      <c r="A1517" s="608" t="s">
        <v>1953</v>
      </c>
      <c r="B1517" s="608" t="s">
        <v>3270</v>
      </c>
      <c r="C1517" s="608">
        <v>25.06</v>
      </c>
    </row>
    <row r="1518" spans="1:3">
      <c r="A1518" s="608" t="s">
        <v>1317</v>
      </c>
      <c r="B1518" s="608" t="s">
        <v>3271</v>
      </c>
      <c r="C1518" s="608">
        <v>19.39</v>
      </c>
    </row>
    <row r="1519" spans="1:3">
      <c r="A1519" s="608" t="s">
        <v>1780</v>
      </c>
      <c r="B1519" s="608" t="s">
        <v>3272</v>
      </c>
      <c r="C1519" s="608"/>
    </row>
    <row r="1520" spans="1:3">
      <c r="A1520" s="608" t="s">
        <v>1497</v>
      </c>
      <c r="B1520" s="608" t="s">
        <v>3273</v>
      </c>
      <c r="C1520" s="608"/>
    </row>
    <row r="1521" spans="1:3">
      <c r="A1521" s="608" t="s">
        <v>1522</v>
      </c>
      <c r="B1521" s="608" t="s">
        <v>3274</v>
      </c>
      <c r="C1521" s="608"/>
    </row>
    <row r="1522" spans="1:3">
      <c r="A1522" s="608" t="s">
        <v>1226</v>
      </c>
      <c r="B1522" s="608" t="s">
        <v>3275</v>
      </c>
      <c r="C1522" s="608"/>
    </row>
    <row r="1523" spans="1:3">
      <c r="A1523" s="608" t="s">
        <v>1785</v>
      </c>
      <c r="B1523" s="608" t="s">
        <v>3276</v>
      </c>
      <c r="C1523" s="608" t="e">
        <v>#N/A</v>
      </c>
    </row>
    <row r="1524" spans="1:3">
      <c r="A1524" s="608" t="s">
        <v>1233</v>
      </c>
      <c r="B1524" s="608" t="s">
        <v>3277</v>
      </c>
      <c r="C1524" s="608"/>
    </row>
    <row r="1525" spans="1:3">
      <c r="A1525" s="608" t="s">
        <v>1528</v>
      </c>
      <c r="B1525" s="608" t="s">
        <v>3278</v>
      </c>
      <c r="C1525" s="608"/>
    </row>
    <row r="1526" spans="1:3">
      <c r="A1526" s="608" t="s">
        <v>1811</v>
      </c>
      <c r="B1526" s="608" t="s">
        <v>3279</v>
      </c>
      <c r="C1526" s="608"/>
    </row>
    <row r="1527" spans="1:3">
      <c r="A1527" s="608" t="s">
        <v>1202</v>
      </c>
      <c r="B1527" s="608" t="s">
        <v>3280</v>
      </c>
      <c r="C1527" s="608"/>
    </row>
    <row r="1528" spans="1:3">
      <c r="A1528" s="608" t="s">
        <v>1502</v>
      </c>
      <c r="B1528" s="608" t="s">
        <v>3281</v>
      </c>
      <c r="C1528" s="608"/>
    </row>
    <row r="1529" spans="1:3">
      <c r="A1529" s="608" t="s">
        <v>1535</v>
      </c>
      <c r="B1529" s="608" t="s">
        <v>3282</v>
      </c>
      <c r="C1529" s="608">
        <v>20.63</v>
      </c>
    </row>
    <row r="1530" spans="1:3">
      <c r="A1530" s="608" t="s">
        <v>1823</v>
      </c>
      <c r="B1530" s="608" t="s">
        <v>3283</v>
      </c>
      <c r="C1530" s="608">
        <v>25.51</v>
      </c>
    </row>
    <row r="1531" spans="1:3">
      <c r="A1531" s="608" t="s">
        <v>1211</v>
      </c>
      <c r="B1531" s="608" t="s">
        <v>3284</v>
      </c>
      <c r="C1531" s="608">
        <v>25.06</v>
      </c>
    </row>
    <row r="1532" spans="1:3">
      <c r="A1532" s="608" t="s">
        <v>1512</v>
      </c>
      <c r="B1532" s="608" t="s">
        <v>3285</v>
      </c>
      <c r="C1532" s="608">
        <v>25.25</v>
      </c>
    </row>
    <row r="1533" spans="1:3">
      <c r="A1533" s="608" t="s">
        <v>938</v>
      </c>
      <c r="B1533" s="608" t="s">
        <v>3286</v>
      </c>
      <c r="C1533" s="608">
        <v>25.28</v>
      </c>
    </row>
    <row r="1534" spans="1:3">
      <c r="A1534" s="608" t="s">
        <v>905</v>
      </c>
      <c r="B1534" s="608" t="s">
        <v>3287</v>
      </c>
      <c r="C1534" s="608">
        <v>20.12</v>
      </c>
    </row>
    <row r="1535" spans="1:3">
      <c r="A1535" s="608" t="s">
        <v>914</v>
      </c>
      <c r="B1535" s="608" t="s">
        <v>3287</v>
      </c>
      <c r="C1535" s="608">
        <v>20.12</v>
      </c>
    </row>
    <row r="1536" spans="1:3">
      <c r="A1536" s="608" t="s">
        <v>950</v>
      </c>
      <c r="B1536" s="608" t="s">
        <v>3287</v>
      </c>
      <c r="C1536" s="608">
        <v>20.12</v>
      </c>
    </row>
    <row r="1537" spans="1:3">
      <c r="A1537" s="608" t="s">
        <v>921</v>
      </c>
      <c r="B1537" s="608" t="s">
        <v>3287</v>
      </c>
      <c r="C1537" s="608">
        <v>20.12</v>
      </c>
    </row>
    <row r="1538" spans="1:3">
      <c r="A1538" s="608" t="s">
        <v>1710</v>
      </c>
      <c r="B1538" s="608" t="s">
        <v>3288</v>
      </c>
      <c r="C1538" s="608">
        <v>25.1</v>
      </c>
    </row>
    <row r="1539" spans="1:3">
      <c r="A1539" s="608" t="s">
        <v>1590</v>
      </c>
      <c r="B1539" s="608" t="s">
        <v>3289</v>
      </c>
      <c r="C1539" s="608">
        <v>20.07</v>
      </c>
    </row>
    <row r="1540" spans="1:3">
      <c r="A1540" s="608" t="s">
        <v>1897</v>
      </c>
      <c r="B1540" s="608" t="s">
        <v>3290</v>
      </c>
      <c r="C1540" s="608">
        <v>20.04</v>
      </c>
    </row>
    <row r="1541" spans="1:3">
      <c r="A1541" s="608" t="s">
        <v>912</v>
      </c>
      <c r="B1541" s="608" t="s">
        <v>3291</v>
      </c>
      <c r="C1541" s="608">
        <v>23.63</v>
      </c>
    </row>
    <row r="1542" spans="1:3">
      <c r="A1542" s="608" t="s">
        <v>891</v>
      </c>
      <c r="B1542" s="608" t="s">
        <v>3292</v>
      </c>
      <c r="C1542" s="608">
        <v>9.36</v>
      </c>
    </row>
    <row r="1543" spans="1:3">
      <c r="A1543" s="608" t="s">
        <v>1695</v>
      </c>
      <c r="B1543" s="608" t="s">
        <v>3293</v>
      </c>
      <c r="C1543" s="608">
        <v>26.16</v>
      </c>
    </row>
    <row r="1544" spans="1:3">
      <c r="A1544" s="608" t="s">
        <v>1328</v>
      </c>
      <c r="B1544" s="608" t="s">
        <v>3293</v>
      </c>
      <c r="C1544" s="608">
        <v>26.16</v>
      </c>
    </row>
    <row r="1545" spans="1:3">
      <c r="A1545" s="608" t="s">
        <v>944</v>
      </c>
      <c r="B1545" s="608" t="s">
        <v>3294</v>
      </c>
      <c r="C1545" s="608" t="e">
        <v>#N/A</v>
      </c>
    </row>
    <row r="1546" spans="1:3">
      <c r="A1546" s="608" t="s">
        <v>951</v>
      </c>
      <c r="B1546" s="608" t="s">
        <v>3294</v>
      </c>
      <c r="C1546" s="608" t="e">
        <v>#N/A</v>
      </c>
    </row>
    <row r="1547" spans="1:3">
      <c r="A1547" s="608" t="s">
        <v>117</v>
      </c>
      <c r="B1547" s="608" t="s">
        <v>3294</v>
      </c>
      <c r="C1547" s="608" t="e">
        <v>#N/A</v>
      </c>
    </row>
    <row r="1548" spans="1:3">
      <c r="A1548" s="608" t="s">
        <v>937</v>
      </c>
      <c r="B1548" s="608" t="s">
        <v>3294</v>
      </c>
      <c r="C1548" s="608" t="e">
        <v>#N/A</v>
      </c>
    </row>
    <row r="1549" spans="1:3">
      <c r="A1549" s="608" t="s">
        <v>903</v>
      </c>
      <c r="B1549" s="608" t="s">
        <v>3295</v>
      </c>
      <c r="C1549" s="608">
        <v>19.69</v>
      </c>
    </row>
    <row r="1550" spans="1:3">
      <c r="A1550" s="608" t="s">
        <v>890</v>
      </c>
      <c r="B1550" s="608" t="s">
        <v>3296</v>
      </c>
      <c r="C1550" s="608" t="e">
        <v>#N/A</v>
      </c>
    </row>
    <row r="1551" spans="1:3">
      <c r="A1551" s="608" t="s">
        <v>943</v>
      </c>
      <c r="B1551" s="608" t="s">
        <v>3297</v>
      </c>
      <c r="C1551" s="608" t="e">
        <v>#N/A</v>
      </c>
    </row>
    <row r="1552" spans="1:3">
      <c r="A1552" s="608" t="s">
        <v>908</v>
      </c>
      <c r="B1552" s="608" t="s">
        <v>3298</v>
      </c>
      <c r="C1552" s="608" t="e">
        <v>#N/A</v>
      </c>
    </row>
    <row r="1553" spans="1:3">
      <c r="A1553" s="608" t="s">
        <v>945</v>
      </c>
      <c r="B1553" s="608" t="s">
        <v>3299</v>
      </c>
      <c r="C1553" s="608" t="e">
        <v>#N/A</v>
      </c>
    </row>
    <row r="1554" spans="1:3">
      <c r="A1554" s="608" t="s">
        <v>1839</v>
      </c>
      <c r="B1554" s="608" t="s">
        <v>3300</v>
      </c>
      <c r="C1554" s="608">
        <v>18.49</v>
      </c>
    </row>
    <row r="1555" spans="1:3">
      <c r="A1555" s="608" t="s">
        <v>1154</v>
      </c>
      <c r="B1555" s="608" t="s">
        <v>3301</v>
      </c>
      <c r="C1555" s="608">
        <v>6.08</v>
      </c>
    </row>
    <row r="1556" spans="1:3">
      <c r="A1556" s="608" t="s">
        <v>1458</v>
      </c>
      <c r="B1556" s="608" t="s">
        <v>3302</v>
      </c>
      <c r="C1556" s="608">
        <v>5.51</v>
      </c>
    </row>
    <row r="1557" spans="1:3">
      <c r="A1557" s="608" t="s">
        <v>1340</v>
      </c>
      <c r="B1557" s="608" t="s">
        <v>3303</v>
      </c>
      <c r="C1557" s="608">
        <v>19.83</v>
      </c>
    </row>
    <row r="1558" spans="1:3">
      <c r="A1558" s="608" t="s">
        <v>1635</v>
      </c>
      <c r="B1558" s="608" t="s">
        <v>3304</v>
      </c>
      <c r="C1558" s="608">
        <v>17.41</v>
      </c>
    </row>
    <row r="1559" spans="1:3">
      <c r="A1559" s="608" t="s">
        <v>1040</v>
      </c>
      <c r="B1559" s="608" t="s">
        <v>3305</v>
      </c>
      <c r="C1559" s="608">
        <v>20.49</v>
      </c>
    </row>
    <row r="1560" spans="1:3">
      <c r="A1560" s="608" t="s">
        <v>928</v>
      </c>
      <c r="B1560" s="608" t="s">
        <v>3306</v>
      </c>
      <c r="C1560" s="608">
        <v>8</v>
      </c>
    </row>
    <row r="1561" spans="1:3">
      <c r="A1561" s="608" t="s">
        <v>1577</v>
      </c>
      <c r="B1561" s="608" t="s">
        <v>3307</v>
      </c>
      <c r="C1561" s="608">
        <v>15.06</v>
      </c>
    </row>
    <row r="1562" spans="1:3">
      <c r="A1562" s="608" t="s">
        <v>1935</v>
      </c>
      <c r="B1562" s="608" t="s">
        <v>3308</v>
      </c>
      <c r="C1562" s="608"/>
    </row>
    <row r="1563" spans="1:3">
      <c r="A1563" s="608" t="s">
        <v>1642</v>
      </c>
      <c r="B1563" s="608" t="s">
        <v>3309</v>
      </c>
      <c r="C1563" s="608">
        <v>20.5</v>
      </c>
    </row>
    <row r="1564" spans="1:3">
      <c r="A1564" s="608" t="s">
        <v>952</v>
      </c>
      <c r="B1564" s="608" t="s">
        <v>3310</v>
      </c>
      <c r="C1564" s="608" t="e">
        <v>#N/A</v>
      </c>
    </row>
    <row r="1565" spans="1:3">
      <c r="A1565" s="608" t="s">
        <v>1976</v>
      </c>
      <c r="B1565" s="608" t="s">
        <v>3311</v>
      </c>
      <c r="C1565" s="608">
        <v>17.04</v>
      </c>
    </row>
    <row r="1566" spans="1:3">
      <c r="A1566" s="608" t="s">
        <v>1516</v>
      </c>
      <c r="B1566" s="608" t="s">
        <v>3312</v>
      </c>
      <c r="C1566" s="608">
        <v>18.38</v>
      </c>
    </row>
    <row r="1567" spans="1:3">
      <c r="A1567" s="608" t="s">
        <v>1743</v>
      </c>
      <c r="B1567" s="608" t="s">
        <v>3312</v>
      </c>
      <c r="C1567" s="608">
        <v>18.38</v>
      </c>
    </row>
    <row r="1568" spans="1:3">
      <c r="A1568" s="608" t="s">
        <v>1681</v>
      </c>
      <c r="B1568" s="608" t="s">
        <v>3313</v>
      </c>
      <c r="C1568" s="608">
        <v>97.17</v>
      </c>
    </row>
    <row r="1569" spans="1:3">
      <c r="A1569" s="608" t="s">
        <v>906</v>
      </c>
      <c r="B1569" s="608" t="s">
        <v>3314</v>
      </c>
      <c r="C1569" s="608">
        <v>20.14</v>
      </c>
    </row>
    <row r="1570" spans="1:3">
      <c r="A1570" s="608" t="s">
        <v>926</v>
      </c>
      <c r="B1570" s="608" t="s">
        <v>3315</v>
      </c>
      <c r="C1570" s="608">
        <v>19.82</v>
      </c>
    </row>
    <row r="1571" spans="1:3">
      <c r="A1571" s="608" t="s">
        <v>1260</v>
      </c>
      <c r="B1571" s="608" t="s">
        <v>3316</v>
      </c>
      <c r="C1571" s="608">
        <v>19.57</v>
      </c>
    </row>
    <row r="1572" spans="1:3">
      <c r="A1572" s="608" t="s">
        <v>1557</v>
      </c>
      <c r="B1572" s="608" t="s">
        <v>3317</v>
      </c>
      <c r="C1572" s="608">
        <v>8</v>
      </c>
    </row>
    <row r="1573" spans="1:3">
      <c r="A1573" s="608" t="s">
        <v>1932</v>
      </c>
      <c r="B1573" s="608" t="s">
        <v>3318</v>
      </c>
      <c r="C1573" s="608">
        <v>17.55</v>
      </c>
    </row>
    <row r="1574" spans="1:3">
      <c r="A1574" s="608" t="s">
        <v>1946</v>
      </c>
      <c r="B1574" s="608" t="s">
        <v>3318</v>
      </c>
      <c r="C1574" s="608">
        <v>17.55</v>
      </c>
    </row>
    <row r="1575" spans="1:3">
      <c r="A1575" s="608" t="s">
        <v>1132</v>
      </c>
      <c r="B1575" s="608" t="s">
        <v>3319</v>
      </c>
      <c r="C1575" s="608">
        <v>19.97</v>
      </c>
    </row>
    <row r="1576" spans="1:3">
      <c r="A1576" s="608" t="s">
        <v>1435</v>
      </c>
      <c r="B1576" s="608" t="s">
        <v>3320</v>
      </c>
      <c r="C1576" s="608">
        <v>15.19</v>
      </c>
    </row>
    <row r="1577" spans="1:3">
      <c r="A1577" s="608" t="s">
        <v>1042</v>
      </c>
      <c r="B1577" s="608" t="s">
        <v>3321</v>
      </c>
      <c r="C1577" s="608">
        <v>15.2</v>
      </c>
    </row>
    <row r="1578" spans="1:3">
      <c r="A1578" s="608" t="s">
        <v>1911</v>
      </c>
      <c r="B1578" s="608" t="s">
        <v>3322</v>
      </c>
      <c r="C1578" s="608">
        <v>16.57</v>
      </c>
    </row>
    <row r="1579" spans="1:3">
      <c r="A1579" s="608" t="s">
        <v>1612</v>
      </c>
      <c r="B1579" s="608" t="s">
        <v>3323</v>
      </c>
      <c r="C1579" s="608">
        <v>16</v>
      </c>
    </row>
    <row r="1580" spans="1:3">
      <c r="A1580" s="608" t="s">
        <v>1918</v>
      </c>
      <c r="B1580" s="608" t="s">
        <v>3324</v>
      </c>
      <c r="C1580" s="608">
        <v>20.85</v>
      </c>
    </row>
    <row r="1581" spans="1:3">
      <c r="A1581" s="608" t="s">
        <v>1102</v>
      </c>
      <c r="B1581" s="608" t="s">
        <v>3325</v>
      </c>
      <c r="C1581" s="608">
        <v>26.32</v>
      </c>
    </row>
    <row r="1582" spans="1:3">
      <c r="A1582" s="608" t="s">
        <v>1960</v>
      </c>
      <c r="B1582" s="608" t="s">
        <v>3326</v>
      </c>
      <c r="C1582" s="608">
        <v>20.58</v>
      </c>
    </row>
    <row r="1583" spans="1:3">
      <c r="A1583" s="608" t="s">
        <v>1239</v>
      </c>
      <c r="B1583" s="608" t="s">
        <v>3327</v>
      </c>
      <c r="C1583" s="608">
        <v>23.24</v>
      </c>
    </row>
    <row r="1584" spans="1:3">
      <c r="A1584" s="608" t="s">
        <v>1709</v>
      </c>
      <c r="B1584" s="608" t="s">
        <v>3328</v>
      </c>
      <c r="C1584" s="608" t="e">
        <v>#N/A</v>
      </c>
    </row>
    <row r="1585" spans="1:3">
      <c r="A1585" s="608" t="s">
        <v>1412</v>
      </c>
      <c r="B1585" s="608" t="s">
        <v>3328</v>
      </c>
      <c r="C1585" s="608" t="e">
        <v>#N/A</v>
      </c>
    </row>
    <row r="1586" spans="1:3">
      <c r="A1586" s="608" t="s">
        <v>1627</v>
      </c>
      <c r="B1586" s="608" t="s">
        <v>3329</v>
      </c>
      <c r="C1586" s="608" t="e">
        <v>#N/A</v>
      </c>
    </row>
    <row r="1587" spans="1:3">
      <c r="A1587" s="608" t="s">
        <v>1296</v>
      </c>
      <c r="B1587" s="608" t="s">
        <v>3329</v>
      </c>
      <c r="C1587" s="608" t="e">
        <v>#N/A</v>
      </c>
    </row>
    <row r="1588" spans="1:3">
      <c r="A1588" s="608" t="s">
        <v>1892</v>
      </c>
      <c r="B1588" s="608" t="s">
        <v>3330</v>
      </c>
      <c r="C1588" s="608" t="e">
        <v>#N/A</v>
      </c>
    </row>
    <row r="1589" spans="1:3">
      <c r="A1589" s="608" t="s">
        <v>1483</v>
      </c>
      <c r="B1589" s="608" t="s">
        <v>3331</v>
      </c>
      <c r="C1589" s="608">
        <v>22.09</v>
      </c>
    </row>
    <row r="1590" spans="1:3">
      <c r="A1590" s="608" t="s">
        <v>1380</v>
      </c>
      <c r="B1590" s="608" t="s">
        <v>3332</v>
      </c>
      <c r="C1590" s="608">
        <v>20.5</v>
      </c>
    </row>
    <row r="1591" spans="1:3">
      <c r="A1591" s="608" t="s">
        <v>1334</v>
      </c>
      <c r="B1591" s="608" t="s">
        <v>3333</v>
      </c>
      <c r="C1591" s="608" t="e">
        <v>#N/A</v>
      </c>
    </row>
    <row r="1592" spans="1:3">
      <c r="A1592" s="608" t="s">
        <v>1594</v>
      </c>
      <c r="B1592" s="608" t="s">
        <v>3334</v>
      </c>
      <c r="C1592" s="608" t="e">
        <v>#N/A</v>
      </c>
    </row>
    <row r="1593" spans="1:3">
      <c r="A1593" s="608" t="s">
        <v>1183</v>
      </c>
      <c r="B1593" s="608" t="s">
        <v>3335</v>
      </c>
      <c r="C1593" s="608" t="e">
        <v>#N/A</v>
      </c>
    </row>
  </sheetData>
  <autoFilter xmlns:etc="http://www.wps.cn/officeDocument/2017/etCustomData" ref="A1:C1593"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1"/>
  <sheetViews>
    <sheetView zoomScale="90" zoomScaleNormal="90" workbookViewId="0">
      <pane xSplit="55" ySplit="5" topLeftCell="AT6" activePane="bottomRight" state="frozen"/>
      <selection/>
      <selection pane="topRight"/>
      <selection pane="bottomLeft"/>
      <selection pane="bottomRight" activeCell="AS21" sqref="AS21"/>
    </sheetView>
  </sheetViews>
  <sheetFormatPr defaultColWidth="8.89380530973451" defaultRowHeight="13.85"/>
  <cols>
    <col min="1" max="1" width="14.7787610619469" style="166" customWidth="1"/>
    <col min="2" max="2" width="9.88495575221239" customWidth="1"/>
    <col min="3" max="3" width="11" customWidth="1"/>
    <col min="4" max="4" width="12.2212389380531" customWidth="1"/>
    <col min="5" max="5" width="21.5575221238938" customWidth="1"/>
    <col min="6" max="6" width="8.89380530973451" customWidth="1"/>
    <col min="8" max="9" width="8.89380530973451" customWidth="1"/>
    <col min="10" max="19" width="8.89380530973451" hidden="1" customWidth="1"/>
    <col min="20" max="21" width="8.89380530973451" customWidth="1"/>
    <col min="22" max="31" width="8.89380530973451" hidden="1" customWidth="1"/>
    <col min="32" max="33" width="8.89380530973451" customWidth="1"/>
    <col min="34" max="43" width="8.89380530973451" hidden="1" customWidth="1"/>
    <col min="44" max="45" width="8.89380530973451" customWidth="1"/>
    <col min="46" max="52" width="8.89380530973451" hidden="1" customWidth="1"/>
    <col min="53" max="53" width="12" hidden="1" customWidth="1"/>
    <col min="54" max="55" width="8.89380530973451" hidden="1" customWidth="1"/>
    <col min="56" max="58" width="8.89380530973451" customWidth="1"/>
    <col min="59" max="59" width="5.06194690265487" customWidth="1"/>
    <col min="60" max="60" width="10.9823008849558" customWidth="1"/>
    <col min="61" max="61" width="8.89380530973451" customWidth="1"/>
    <col min="62" max="63" width="10.2212389380531" hidden="1" customWidth="1"/>
    <col min="64" max="64" width="10.2212389380531" customWidth="1"/>
    <col min="65" max="73" width="10.2212389380531" hidden="1" customWidth="1"/>
  </cols>
  <sheetData>
    <row r="1" s="564" customFormat="1" ht="16.05" customHeight="1" spans="1:64">
      <c r="A1" s="565"/>
      <c r="B1" s="566"/>
      <c r="C1" s="566"/>
      <c r="D1" s="567"/>
      <c r="E1" s="567"/>
      <c r="F1" s="567"/>
      <c r="G1" s="566"/>
      <c r="H1" s="566"/>
      <c r="I1" s="566"/>
      <c r="J1" s="566"/>
      <c r="K1" s="566"/>
      <c r="L1" s="566"/>
      <c r="M1" s="566"/>
      <c r="N1" s="566"/>
      <c r="O1" s="566"/>
      <c r="P1" s="566"/>
      <c r="Q1" s="566"/>
      <c r="R1" s="566"/>
      <c r="S1" s="566"/>
      <c r="T1" s="566"/>
      <c r="U1" s="566"/>
      <c r="V1" s="566"/>
      <c r="W1" s="566"/>
      <c r="X1" s="566"/>
      <c r="Y1" s="566"/>
      <c r="Z1" s="566"/>
      <c r="AA1" s="566"/>
      <c r="AB1" s="566"/>
      <c r="AC1" s="566"/>
      <c r="AD1" s="566"/>
      <c r="AE1" s="566"/>
      <c r="AF1" s="566"/>
      <c r="AG1" s="566"/>
      <c r="AH1" s="566"/>
      <c r="AI1" s="566"/>
      <c r="AJ1" s="566"/>
      <c r="AK1" s="566"/>
      <c r="AL1" s="566"/>
      <c r="AM1" s="566"/>
      <c r="AN1" s="566"/>
      <c r="AO1" s="566"/>
      <c r="AP1" s="566"/>
      <c r="AQ1" s="566"/>
      <c r="AR1" s="566"/>
      <c r="AS1" s="566"/>
      <c r="AT1" s="588"/>
      <c r="AU1" s="588"/>
      <c r="AV1" s="588"/>
      <c r="AW1" s="566"/>
      <c r="AX1" s="566"/>
      <c r="AY1" s="565"/>
      <c r="AZ1" s="591"/>
      <c r="BA1" s="591"/>
      <c r="BB1" s="566"/>
      <c r="BC1" s="565"/>
      <c r="BD1" s="565"/>
      <c r="BE1" s="565"/>
      <c r="BF1" s="565"/>
      <c r="BG1" s="565"/>
      <c r="BH1" s="565"/>
      <c r="BI1" s="565"/>
      <c r="BJ1" s="565"/>
      <c r="BK1" s="565"/>
      <c r="BL1" s="565"/>
    </row>
    <row r="2" s="3" customFormat="1" ht="16.5" customHeight="1" spans="1:74">
      <c r="A2" s="568" t="s">
        <v>3336</v>
      </c>
      <c r="B2" s="551"/>
      <c r="C2" s="551"/>
      <c r="D2" s="551"/>
      <c r="E2" s="551"/>
      <c r="F2" s="551"/>
      <c r="G2" s="551"/>
      <c r="H2" s="551"/>
      <c r="I2" s="551"/>
      <c r="J2" s="551"/>
      <c r="K2" s="551"/>
      <c r="L2" s="551"/>
      <c r="M2" s="551"/>
      <c r="N2" s="551"/>
      <c r="O2" s="551"/>
      <c r="P2" s="551"/>
      <c r="Q2" s="551"/>
      <c r="R2" s="551"/>
      <c r="S2" s="551"/>
      <c r="T2" s="551"/>
      <c r="U2" s="551"/>
      <c r="V2" s="551"/>
      <c r="W2" s="551"/>
      <c r="X2" s="551"/>
      <c r="Y2" s="551"/>
      <c r="Z2" s="551"/>
      <c r="AA2" s="551"/>
      <c r="AB2" s="551"/>
      <c r="AC2" s="551"/>
      <c r="AD2" s="551"/>
      <c r="AE2" s="551"/>
      <c r="AF2" s="551"/>
      <c r="AG2" s="551"/>
      <c r="AH2" s="551"/>
      <c r="AI2" s="551"/>
      <c r="AJ2" s="551"/>
      <c r="AK2" s="551"/>
      <c r="AL2" s="551"/>
      <c r="AM2" s="551"/>
      <c r="AN2" s="551"/>
      <c r="AO2" s="551"/>
      <c r="AP2" s="551"/>
      <c r="AQ2" s="551"/>
      <c r="AR2" s="551"/>
      <c r="AS2" s="551"/>
      <c r="AT2" s="551"/>
      <c r="AU2" s="551"/>
      <c r="AV2" s="551"/>
      <c r="AW2" s="551"/>
      <c r="AX2" s="551"/>
      <c r="AY2" s="551"/>
      <c r="AZ2" s="551"/>
      <c r="BA2" s="551"/>
      <c r="BB2" s="551"/>
      <c r="BC2" s="551"/>
      <c r="BD2" s="551"/>
      <c r="BE2" s="551"/>
      <c r="BF2" s="551"/>
      <c r="BG2" s="551"/>
      <c r="BH2" s="551"/>
      <c r="BI2" s="551"/>
      <c r="BJ2" s="551"/>
      <c r="BK2" s="551"/>
      <c r="BL2" s="551"/>
      <c r="BM2" s="551"/>
      <c r="BN2" s="551"/>
      <c r="BO2" s="551"/>
      <c r="BP2" s="551"/>
      <c r="BQ2" s="551"/>
      <c r="BR2" s="551"/>
      <c r="BS2" s="551"/>
      <c r="BT2" s="551"/>
      <c r="BU2" s="551"/>
      <c r="BV2" s="563"/>
    </row>
    <row r="3" s="3" customFormat="1" ht="16.5" customHeight="1" spans="1:74">
      <c r="A3" s="569" t="s">
        <v>97</v>
      </c>
      <c r="B3" s="569" t="s">
        <v>101</v>
      </c>
      <c r="C3" s="569" t="s">
        <v>102</v>
      </c>
      <c r="D3" s="569" t="s">
        <v>488</v>
      </c>
      <c r="E3" s="569" t="s">
        <v>100</v>
      </c>
      <c r="F3" s="569" t="s">
        <v>489</v>
      </c>
      <c r="G3" s="569" t="s">
        <v>490</v>
      </c>
      <c r="H3" s="570" t="s">
        <v>491</v>
      </c>
      <c r="S3" s="235"/>
      <c r="T3" s="582" t="s">
        <v>492</v>
      </c>
      <c r="AE3" s="35"/>
      <c r="AF3" s="584" t="s">
        <v>493</v>
      </c>
      <c r="AQ3" s="35"/>
      <c r="AR3" s="589" t="s">
        <v>494</v>
      </c>
      <c r="BC3" s="235"/>
      <c r="BD3" s="592" t="s">
        <v>495</v>
      </c>
      <c r="BE3" s="592" t="s">
        <v>496</v>
      </c>
      <c r="BF3" s="569" t="s">
        <v>497</v>
      </c>
      <c r="BG3" s="569" t="s">
        <v>498</v>
      </c>
      <c r="BH3" s="592" t="s">
        <v>499</v>
      </c>
      <c r="BI3" s="569" t="s">
        <v>500</v>
      </c>
      <c r="BJ3" s="569" t="s">
        <v>501</v>
      </c>
      <c r="BK3" s="569" t="s">
        <v>502</v>
      </c>
      <c r="BL3" s="592" t="s">
        <v>503</v>
      </c>
      <c r="BM3" s="569" t="s">
        <v>504</v>
      </c>
      <c r="BN3" s="569" t="s">
        <v>505</v>
      </c>
      <c r="BO3" s="569" t="s">
        <v>506</v>
      </c>
      <c r="BP3" s="569" t="s">
        <v>507</v>
      </c>
      <c r="BQ3" s="569" t="s">
        <v>508</v>
      </c>
      <c r="BR3" s="569" t="s">
        <v>509</v>
      </c>
      <c r="BS3" s="569" t="s">
        <v>510</v>
      </c>
      <c r="BT3" s="569" t="s">
        <v>511</v>
      </c>
      <c r="BU3" s="569" t="s">
        <v>512</v>
      </c>
      <c r="BV3" s="569" t="s">
        <v>513</v>
      </c>
    </row>
    <row r="4" s="3" customFormat="1" ht="16.5" customHeight="1" spans="1:74">
      <c r="A4" s="13"/>
      <c r="B4" s="13"/>
      <c r="C4" s="13"/>
      <c r="D4" s="13"/>
      <c r="E4" s="13"/>
      <c r="F4" s="13"/>
      <c r="G4" s="13"/>
      <c r="H4" s="84"/>
      <c r="I4" s="580"/>
      <c r="J4" s="580"/>
      <c r="K4" s="580"/>
      <c r="L4" s="580"/>
      <c r="M4" s="580"/>
      <c r="N4" s="580"/>
      <c r="O4" s="580"/>
      <c r="P4" s="580"/>
      <c r="Q4" s="580"/>
      <c r="R4" s="580"/>
      <c r="S4" s="236"/>
      <c r="T4" s="84"/>
      <c r="U4" s="580"/>
      <c r="V4" s="580"/>
      <c r="W4" s="580"/>
      <c r="X4" s="580"/>
      <c r="Y4" s="580"/>
      <c r="Z4" s="580"/>
      <c r="AA4" s="580"/>
      <c r="AB4" s="580"/>
      <c r="AC4" s="580"/>
      <c r="AD4" s="580"/>
      <c r="AE4" s="518"/>
      <c r="AF4" s="83"/>
      <c r="AG4" s="586"/>
      <c r="AH4" s="586"/>
      <c r="AI4" s="586"/>
      <c r="AJ4" s="586"/>
      <c r="AK4" s="586"/>
      <c r="AL4" s="586"/>
      <c r="AM4" s="586"/>
      <c r="AN4" s="586"/>
      <c r="AO4" s="586"/>
      <c r="AP4" s="586"/>
      <c r="AQ4" s="156"/>
      <c r="AR4" s="84"/>
      <c r="AS4" s="580"/>
      <c r="AT4" s="580"/>
      <c r="AU4" s="580"/>
      <c r="AV4" s="580"/>
      <c r="AW4" s="580"/>
      <c r="AX4" s="580"/>
      <c r="AY4" s="580"/>
      <c r="AZ4" s="580"/>
      <c r="BA4" s="580"/>
      <c r="BB4" s="580"/>
      <c r="BC4" s="236"/>
      <c r="BD4" s="13"/>
      <c r="BE4" s="13"/>
      <c r="BF4" s="13"/>
      <c r="BG4" s="13"/>
      <c r="BH4" s="13"/>
      <c r="BI4" s="13"/>
      <c r="BJ4" s="13"/>
      <c r="BK4" s="13"/>
      <c r="BL4" s="13"/>
      <c r="BM4" s="13"/>
      <c r="BN4" s="13"/>
      <c r="BO4" s="13"/>
      <c r="BP4" s="13"/>
      <c r="BQ4" s="13"/>
      <c r="BR4" s="13"/>
      <c r="BS4" s="13"/>
      <c r="BT4" s="13"/>
      <c r="BU4" s="13"/>
      <c r="BV4" s="13"/>
    </row>
    <row r="5" s="3" customFormat="1" ht="16.5" customHeight="1" spans="1:74">
      <c r="A5" s="14"/>
      <c r="B5" s="14"/>
      <c r="C5" s="14"/>
      <c r="D5" s="14"/>
      <c r="E5" s="14"/>
      <c r="F5" s="14"/>
      <c r="G5" s="14"/>
      <c r="H5" s="571" t="s">
        <v>514</v>
      </c>
      <c r="I5" s="581" t="s">
        <v>515</v>
      </c>
      <c r="J5" s="571" t="s">
        <v>516</v>
      </c>
      <c r="K5" s="571" t="s">
        <v>517</v>
      </c>
      <c r="L5" s="571" t="s">
        <v>518</v>
      </c>
      <c r="M5" s="571" t="s">
        <v>519</v>
      </c>
      <c r="N5" s="571" t="s">
        <v>520</v>
      </c>
      <c r="O5" s="571" t="s">
        <v>521</v>
      </c>
      <c r="P5" s="571" t="s">
        <v>522</v>
      </c>
      <c r="Q5" s="571" t="s">
        <v>523</v>
      </c>
      <c r="R5" s="571" t="s">
        <v>524</v>
      </c>
      <c r="S5" s="571" t="s">
        <v>525</v>
      </c>
      <c r="T5" s="571" t="s">
        <v>514</v>
      </c>
      <c r="U5" s="581" t="s">
        <v>515</v>
      </c>
      <c r="V5" s="571" t="s">
        <v>516</v>
      </c>
      <c r="W5" s="571" t="s">
        <v>517</v>
      </c>
      <c r="X5" s="571" t="s">
        <v>518</v>
      </c>
      <c r="Y5" s="571" t="s">
        <v>519</v>
      </c>
      <c r="Z5" s="571" t="s">
        <v>520</v>
      </c>
      <c r="AA5" s="571" t="s">
        <v>521</v>
      </c>
      <c r="AB5" s="571" t="s">
        <v>522</v>
      </c>
      <c r="AC5" s="571" t="s">
        <v>523</v>
      </c>
      <c r="AD5" s="571" t="s">
        <v>524</v>
      </c>
      <c r="AE5" s="571" t="s">
        <v>525</v>
      </c>
      <c r="AF5" s="585" t="s">
        <v>514</v>
      </c>
      <c r="AG5" s="587" t="s">
        <v>515</v>
      </c>
      <c r="AH5" s="585" t="s">
        <v>516</v>
      </c>
      <c r="AI5" s="585" t="s">
        <v>517</v>
      </c>
      <c r="AJ5" s="585" t="s">
        <v>518</v>
      </c>
      <c r="AK5" s="585" t="s">
        <v>519</v>
      </c>
      <c r="AL5" s="585" t="s">
        <v>520</v>
      </c>
      <c r="AM5" s="585" t="s">
        <v>521</v>
      </c>
      <c r="AN5" s="585" t="s">
        <v>522</v>
      </c>
      <c r="AO5" s="585" t="s">
        <v>523</v>
      </c>
      <c r="AP5" s="585" t="s">
        <v>524</v>
      </c>
      <c r="AQ5" s="585" t="s">
        <v>525</v>
      </c>
      <c r="AR5" s="585" t="s">
        <v>514</v>
      </c>
      <c r="AS5" s="587" t="s">
        <v>515</v>
      </c>
      <c r="AT5" s="585" t="s">
        <v>516</v>
      </c>
      <c r="AU5" s="585" t="s">
        <v>517</v>
      </c>
      <c r="AV5" s="585" t="s">
        <v>518</v>
      </c>
      <c r="AW5" s="585" t="s">
        <v>519</v>
      </c>
      <c r="AX5" s="585" t="s">
        <v>520</v>
      </c>
      <c r="AY5" s="585" t="s">
        <v>521</v>
      </c>
      <c r="AZ5" s="585" t="s">
        <v>522</v>
      </c>
      <c r="BA5" s="585" t="s">
        <v>523</v>
      </c>
      <c r="BB5" s="585" t="s">
        <v>524</v>
      </c>
      <c r="BC5" s="585" t="s">
        <v>525</v>
      </c>
      <c r="BD5" s="14"/>
      <c r="BE5" s="14"/>
      <c r="BF5" s="14"/>
      <c r="BG5" s="14"/>
      <c r="BH5" s="14"/>
      <c r="BI5" s="14"/>
      <c r="BJ5" s="14"/>
      <c r="BK5" s="14"/>
      <c r="BL5" s="14"/>
      <c r="BM5" s="14"/>
      <c r="BN5" s="14"/>
      <c r="BO5" s="14"/>
      <c r="BP5" s="14"/>
      <c r="BQ5" s="14"/>
      <c r="BR5" s="14"/>
      <c r="BS5" s="14"/>
      <c r="BT5" s="14"/>
      <c r="BU5" s="14"/>
      <c r="BV5" s="14"/>
    </row>
    <row r="6" s="3" customFormat="1" ht="27" customHeight="1" spans="1:73">
      <c r="A6" s="539" t="s">
        <v>108</v>
      </c>
      <c r="B6" s="572">
        <v>45931</v>
      </c>
      <c r="C6" s="572">
        <v>46326</v>
      </c>
      <c r="D6" s="573" t="s">
        <v>2459</v>
      </c>
      <c r="E6" s="574" t="s">
        <v>3337</v>
      </c>
      <c r="F6" s="575"/>
      <c r="G6" s="576">
        <v>0.0881</v>
      </c>
      <c r="H6" s="559">
        <v>-0.8837</v>
      </c>
      <c r="I6" s="559">
        <v>0.0594487404008766</v>
      </c>
      <c r="J6" s="559"/>
      <c r="K6" s="559"/>
      <c r="L6" s="559"/>
      <c r="M6" s="559"/>
      <c r="N6" s="559"/>
      <c r="O6" s="559"/>
      <c r="P6" s="559"/>
      <c r="Q6" s="559"/>
      <c r="R6" s="559"/>
      <c r="S6" s="559"/>
      <c r="T6" s="559">
        <v>-0.0418</v>
      </c>
      <c r="U6" s="559">
        <v>-0.0192807265329883</v>
      </c>
      <c r="V6" s="583"/>
      <c r="W6" s="559"/>
      <c r="X6" s="583"/>
      <c r="Y6" s="559"/>
      <c r="Z6" s="559"/>
      <c r="AA6" s="559"/>
      <c r="AB6" s="559"/>
      <c r="AC6" s="559"/>
      <c r="AD6" s="559"/>
      <c r="AE6" s="559"/>
      <c r="AF6" s="559">
        <v>-0.8912</v>
      </c>
      <c r="AG6" s="559">
        <v>0.0546425902840498</v>
      </c>
      <c r="AH6" s="559"/>
      <c r="AI6" s="559"/>
      <c r="AJ6" s="559"/>
      <c r="AK6" s="559"/>
      <c r="AL6" s="559"/>
      <c r="AM6" s="559"/>
      <c r="AN6" s="559"/>
      <c r="AO6" s="559"/>
      <c r="AP6" s="559"/>
      <c r="AQ6" s="590"/>
      <c r="AR6" s="590">
        <v>-0.0447</v>
      </c>
      <c r="AS6" s="590">
        <v>-0.0226096125097066</v>
      </c>
      <c r="AT6" s="559"/>
      <c r="AU6" s="559"/>
      <c r="AV6" s="559"/>
      <c r="AW6" s="559"/>
      <c r="AX6" s="559"/>
      <c r="AY6" s="559"/>
      <c r="AZ6" s="559"/>
      <c r="BA6" s="559"/>
      <c r="BB6" s="559"/>
      <c r="BC6" s="559"/>
      <c r="BD6" s="559">
        <f t="shared" ref="BD6:BD21" si="0">U6-F6</f>
        <v>-0.0192807265329883</v>
      </c>
      <c r="BE6" s="559">
        <f t="shared" ref="BE6:BE21" si="1">AS6-G6</f>
        <v>-0.110709612509707</v>
      </c>
      <c r="BF6" s="545" t="str">
        <f t="shared" ref="BF6:BF14" si="2">_xlfn.IFS(BD6&lt;-3%,"不达标",BD6&lt;0%,"基本达标",TRUE,"达标")</f>
        <v>基本达标</v>
      </c>
      <c r="BG6" s="547" t="s">
        <v>528</v>
      </c>
      <c r="BH6" s="593"/>
      <c r="BI6" s="593"/>
      <c r="BJ6" s="593"/>
      <c r="BK6" s="594"/>
      <c r="BL6" s="595"/>
      <c r="BM6" s="603"/>
      <c r="BN6" s="603"/>
      <c r="BO6" s="603"/>
      <c r="BP6" s="603"/>
      <c r="BQ6" s="603"/>
      <c r="BR6" s="603"/>
      <c r="BS6" s="603"/>
      <c r="BT6" s="603"/>
      <c r="BU6" s="603"/>
    </row>
    <row r="7" s="3" customFormat="1" ht="40.5" customHeight="1" spans="1:73">
      <c r="A7" s="539" t="s">
        <v>526</v>
      </c>
      <c r="B7" s="572">
        <v>45931</v>
      </c>
      <c r="C7" s="572">
        <v>46022</v>
      </c>
      <c r="D7" s="573" t="s">
        <v>2202</v>
      </c>
      <c r="E7" s="539" t="s">
        <v>3338</v>
      </c>
      <c r="F7" s="575">
        <v>0.1852</v>
      </c>
      <c r="G7" s="576">
        <v>0.1852</v>
      </c>
      <c r="H7" s="559"/>
      <c r="I7" s="559"/>
      <c r="J7" s="559"/>
      <c r="K7" s="559"/>
      <c r="L7" s="559"/>
      <c r="M7" s="559"/>
      <c r="N7" s="559"/>
      <c r="O7" s="559"/>
      <c r="P7" s="559"/>
      <c r="Q7" s="559"/>
      <c r="R7" s="559"/>
      <c r="S7" s="559"/>
      <c r="T7" s="583"/>
      <c r="U7" s="583"/>
      <c r="V7" s="583"/>
      <c r="W7" s="559"/>
      <c r="X7" s="583"/>
      <c r="Y7" s="559"/>
      <c r="Z7" s="559"/>
      <c r="AA7" s="559"/>
      <c r="AB7" s="559"/>
      <c r="AC7" s="559"/>
      <c r="AD7" s="559"/>
      <c r="AE7" s="559"/>
      <c r="AF7" s="559"/>
      <c r="AG7" s="559"/>
      <c r="AH7" s="559"/>
      <c r="AI7" s="559"/>
      <c r="AJ7" s="559"/>
      <c r="AK7" s="559"/>
      <c r="AL7" s="559"/>
      <c r="AM7" s="559"/>
      <c r="AN7" s="559"/>
      <c r="AO7" s="559"/>
      <c r="AP7" s="559"/>
      <c r="AQ7" s="559"/>
      <c r="AR7" s="559"/>
      <c r="AS7" s="559"/>
      <c r="AT7" s="559"/>
      <c r="AU7" s="559"/>
      <c r="AV7" s="559"/>
      <c r="AW7" s="559"/>
      <c r="AX7" s="559"/>
      <c r="AY7" s="559"/>
      <c r="AZ7" s="559"/>
      <c r="BA7" s="559"/>
      <c r="BB7" s="559"/>
      <c r="BC7" s="559"/>
      <c r="BD7" s="559">
        <f t="shared" si="0"/>
        <v>-0.1852</v>
      </c>
      <c r="BE7" s="559">
        <f t="shared" si="1"/>
        <v>-0.1852</v>
      </c>
      <c r="BF7" s="545" t="str">
        <f t="shared" si="2"/>
        <v>不达标</v>
      </c>
      <c r="BG7" s="547" t="s">
        <v>528</v>
      </c>
      <c r="BH7" s="593"/>
      <c r="BI7" s="593"/>
      <c r="BJ7" s="593"/>
      <c r="BK7" s="596"/>
      <c r="BL7" s="597"/>
      <c r="BM7" s="604"/>
      <c r="BN7" s="604"/>
      <c r="BO7" s="604"/>
      <c r="BP7" s="604"/>
      <c r="BQ7" s="604"/>
      <c r="BR7" s="604"/>
      <c r="BS7" s="604"/>
      <c r="BT7" s="604"/>
      <c r="BU7" s="604"/>
    </row>
    <row r="8" s="3" customFormat="1" ht="27" customHeight="1" spans="1:73">
      <c r="A8" s="539" t="s">
        <v>526</v>
      </c>
      <c r="B8" s="572">
        <v>45931</v>
      </c>
      <c r="C8" s="572">
        <v>46022</v>
      </c>
      <c r="D8" s="573" t="s">
        <v>2203</v>
      </c>
      <c r="E8" s="539" t="s">
        <v>3339</v>
      </c>
      <c r="F8" s="575">
        <v>0.2265</v>
      </c>
      <c r="G8" s="577">
        <v>0.2265</v>
      </c>
      <c r="H8" s="559"/>
      <c r="I8" s="559"/>
      <c r="J8" s="559"/>
      <c r="K8" s="559"/>
      <c r="L8" s="559"/>
      <c r="M8" s="559"/>
      <c r="N8" s="559"/>
      <c r="O8" s="559"/>
      <c r="P8" s="559"/>
      <c r="Q8" s="559"/>
      <c r="R8" s="559"/>
      <c r="S8" s="559"/>
      <c r="T8" s="583"/>
      <c r="U8" s="583"/>
      <c r="V8" s="583"/>
      <c r="W8" s="559"/>
      <c r="X8" s="583"/>
      <c r="Y8" s="559"/>
      <c r="Z8" s="559"/>
      <c r="AA8" s="559"/>
      <c r="AB8" s="559"/>
      <c r="AC8" s="559"/>
      <c r="AD8" s="559"/>
      <c r="AE8" s="559"/>
      <c r="AF8" s="559"/>
      <c r="AG8" s="559"/>
      <c r="AH8" s="559"/>
      <c r="AI8" s="559"/>
      <c r="AJ8" s="559"/>
      <c r="AK8" s="559"/>
      <c r="AL8" s="559"/>
      <c r="AM8" s="559"/>
      <c r="AN8" s="559"/>
      <c r="AO8" s="559"/>
      <c r="AP8" s="559"/>
      <c r="AQ8" s="559"/>
      <c r="AR8" s="559"/>
      <c r="AS8" s="559"/>
      <c r="AT8" s="559"/>
      <c r="AU8" s="559"/>
      <c r="AV8" s="559"/>
      <c r="AW8" s="559"/>
      <c r="AX8" s="559"/>
      <c r="AY8" s="559"/>
      <c r="AZ8" s="559"/>
      <c r="BA8" s="559"/>
      <c r="BB8" s="559"/>
      <c r="BC8" s="559"/>
      <c r="BD8" s="559">
        <f t="shared" si="0"/>
        <v>-0.2265</v>
      </c>
      <c r="BE8" s="559">
        <f t="shared" si="1"/>
        <v>-0.2265</v>
      </c>
      <c r="BF8" s="545" t="str">
        <f t="shared" si="2"/>
        <v>不达标</v>
      </c>
      <c r="BG8" s="547" t="s">
        <v>528</v>
      </c>
      <c r="BH8" s="593"/>
      <c r="BI8" s="593"/>
      <c r="BJ8" s="593"/>
      <c r="BK8" s="596"/>
      <c r="BL8" s="597"/>
      <c r="BM8" s="604"/>
      <c r="BN8" s="604"/>
      <c r="BO8" s="604"/>
      <c r="BP8" s="604"/>
      <c r="BQ8" s="604"/>
      <c r="BR8" s="604"/>
      <c r="BS8" s="604"/>
      <c r="BT8" s="604"/>
      <c r="BU8" s="604"/>
    </row>
    <row r="9" s="3" customFormat="1" ht="40.5" customHeight="1" spans="1:73">
      <c r="A9" s="539" t="s">
        <v>526</v>
      </c>
      <c r="B9" s="572">
        <v>45962</v>
      </c>
      <c r="C9" s="572">
        <v>46022</v>
      </c>
      <c r="D9" s="573" t="s">
        <v>2204</v>
      </c>
      <c r="E9" s="539" t="s">
        <v>3340</v>
      </c>
      <c r="F9" s="575">
        <v>0.185</v>
      </c>
      <c r="G9" s="576">
        <v>0.185</v>
      </c>
      <c r="H9" s="559"/>
      <c r="I9" s="559"/>
      <c r="J9" s="559"/>
      <c r="K9" s="559"/>
      <c r="L9" s="559"/>
      <c r="M9" s="559"/>
      <c r="N9" s="559"/>
      <c r="O9" s="559"/>
      <c r="P9" s="559"/>
      <c r="Q9" s="559"/>
      <c r="R9" s="559"/>
      <c r="S9" s="559"/>
      <c r="T9" s="583"/>
      <c r="U9" s="583"/>
      <c r="V9" s="583"/>
      <c r="W9" s="559"/>
      <c r="X9" s="583"/>
      <c r="Y9" s="559"/>
      <c r="Z9" s="559"/>
      <c r="AA9" s="559"/>
      <c r="AB9" s="559"/>
      <c r="AC9" s="559"/>
      <c r="AD9" s="559"/>
      <c r="AE9" s="559"/>
      <c r="AF9" s="559"/>
      <c r="AG9" s="559"/>
      <c r="AH9" s="559"/>
      <c r="AI9" s="559"/>
      <c r="AJ9" s="559"/>
      <c r="AK9" s="559"/>
      <c r="AL9" s="559"/>
      <c r="AM9" s="559"/>
      <c r="AN9" s="559"/>
      <c r="AO9" s="559"/>
      <c r="AP9" s="559"/>
      <c r="AQ9" s="559"/>
      <c r="AR9" s="559"/>
      <c r="AS9" s="559"/>
      <c r="AT9" s="559"/>
      <c r="AU9" s="559"/>
      <c r="AV9" s="559"/>
      <c r="AW9" s="559"/>
      <c r="AX9" s="559"/>
      <c r="AY9" s="559"/>
      <c r="AZ9" s="559"/>
      <c r="BA9" s="559"/>
      <c r="BB9" s="559"/>
      <c r="BC9" s="559"/>
      <c r="BD9" s="559">
        <f t="shared" si="0"/>
        <v>-0.185</v>
      </c>
      <c r="BE9" s="559">
        <f t="shared" si="1"/>
        <v>-0.185</v>
      </c>
      <c r="BF9" s="545" t="str">
        <f t="shared" si="2"/>
        <v>不达标</v>
      </c>
      <c r="BG9" s="547" t="s">
        <v>528</v>
      </c>
      <c r="BH9" s="593"/>
      <c r="BI9" s="593"/>
      <c r="BJ9" s="593"/>
      <c r="BK9" s="596"/>
      <c r="BL9" s="597"/>
      <c r="BM9" s="604"/>
      <c r="BN9" s="604"/>
      <c r="BO9" s="604"/>
      <c r="BP9" s="604"/>
      <c r="BQ9" s="604"/>
      <c r="BR9" s="604"/>
      <c r="BS9" s="604"/>
      <c r="BT9" s="604"/>
      <c r="BU9" s="604"/>
    </row>
    <row r="10" s="3" customFormat="1" ht="27" customHeight="1" spans="1:73">
      <c r="A10" s="539" t="s">
        <v>526</v>
      </c>
      <c r="B10" s="572">
        <v>45962</v>
      </c>
      <c r="C10" s="572">
        <v>46142</v>
      </c>
      <c r="D10" s="573" t="s">
        <v>2205</v>
      </c>
      <c r="E10" s="539" t="s">
        <v>3341</v>
      </c>
      <c r="F10" s="575">
        <v>0.2398</v>
      </c>
      <c r="G10" s="576">
        <v>0.154</v>
      </c>
      <c r="H10" s="559"/>
      <c r="I10" s="559"/>
      <c r="J10" s="559"/>
      <c r="K10" s="559"/>
      <c r="L10" s="559"/>
      <c r="M10" s="559"/>
      <c r="N10" s="559"/>
      <c r="O10" s="559"/>
      <c r="P10" s="559"/>
      <c r="Q10" s="559"/>
      <c r="R10" s="559"/>
      <c r="S10" s="559"/>
      <c r="T10" s="583"/>
      <c r="U10" s="583"/>
      <c r="V10" s="583"/>
      <c r="W10" s="559"/>
      <c r="X10" s="583"/>
      <c r="Y10" s="559"/>
      <c r="Z10" s="559"/>
      <c r="AA10" s="559"/>
      <c r="AB10" s="559"/>
      <c r="AC10" s="559"/>
      <c r="AD10" s="559"/>
      <c r="AE10" s="559"/>
      <c r="AF10" s="559"/>
      <c r="AG10" s="559"/>
      <c r="AH10" s="559"/>
      <c r="AI10" s="559"/>
      <c r="AJ10" s="559"/>
      <c r="AK10" s="559"/>
      <c r="AL10" s="559"/>
      <c r="AM10" s="559"/>
      <c r="AN10" s="559"/>
      <c r="AO10" s="559"/>
      <c r="AP10" s="559"/>
      <c r="AQ10" s="559"/>
      <c r="AR10" s="559"/>
      <c r="AS10" s="559"/>
      <c r="AT10" s="559"/>
      <c r="AU10" s="559"/>
      <c r="AV10" s="559"/>
      <c r="AW10" s="559"/>
      <c r="AX10" s="559"/>
      <c r="AY10" s="559"/>
      <c r="AZ10" s="559"/>
      <c r="BA10" s="559"/>
      <c r="BB10" s="559"/>
      <c r="BC10" s="559"/>
      <c r="BD10" s="559">
        <f t="shared" si="0"/>
        <v>-0.2398</v>
      </c>
      <c r="BE10" s="559">
        <f t="shared" si="1"/>
        <v>-0.154</v>
      </c>
      <c r="BF10" s="545" t="str">
        <f t="shared" si="2"/>
        <v>不达标</v>
      </c>
      <c r="BG10" s="547" t="s">
        <v>528</v>
      </c>
      <c r="BH10" s="593"/>
      <c r="BI10" s="593"/>
      <c r="BJ10" s="593"/>
      <c r="BK10" s="596"/>
      <c r="BL10" s="597"/>
      <c r="BM10" s="604"/>
      <c r="BN10" s="604"/>
      <c r="BO10" s="604"/>
      <c r="BP10" s="604"/>
      <c r="BQ10" s="604"/>
      <c r="BR10" s="604"/>
      <c r="BS10" s="604"/>
      <c r="BT10" s="604"/>
      <c r="BU10" s="604"/>
    </row>
    <row r="11" s="3" customFormat="1" ht="40.5" customHeight="1" spans="1:73">
      <c r="A11" s="539" t="s">
        <v>526</v>
      </c>
      <c r="B11" s="572">
        <v>45992</v>
      </c>
      <c r="C11" s="572">
        <v>46081</v>
      </c>
      <c r="D11" s="573" t="s">
        <v>2206</v>
      </c>
      <c r="E11" s="539" t="s">
        <v>3342</v>
      </c>
      <c r="F11" s="575">
        <v>0.1871</v>
      </c>
      <c r="G11" s="576">
        <v>0.1871</v>
      </c>
      <c r="H11" s="559"/>
      <c r="I11" s="559"/>
      <c r="J11" s="559"/>
      <c r="K11" s="559"/>
      <c r="L11" s="559"/>
      <c r="M11" s="559"/>
      <c r="N11" s="559"/>
      <c r="O11" s="559"/>
      <c r="P11" s="559"/>
      <c r="Q11" s="559"/>
      <c r="R11" s="559"/>
      <c r="S11" s="559"/>
      <c r="T11" s="583"/>
      <c r="U11" s="583"/>
      <c r="V11" s="583"/>
      <c r="W11" s="559"/>
      <c r="X11" s="583"/>
      <c r="Y11" s="559"/>
      <c r="Z11" s="559"/>
      <c r="AA11" s="559"/>
      <c r="AB11" s="559"/>
      <c r="AC11" s="559"/>
      <c r="AD11" s="559"/>
      <c r="AE11" s="559"/>
      <c r="AF11" s="559"/>
      <c r="AG11" s="559"/>
      <c r="AH11" s="559"/>
      <c r="AI11" s="559"/>
      <c r="AJ11" s="559"/>
      <c r="AK11" s="559"/>
      <c r="AL11" s="559"/>
      <c r="AM11" s="559"/>
      <c r="AN11" s="559"/>
      <c r="AO11" s="559"/>
      <c r="AP11" s="559"/>
      <c r="AQ11" s="559"/>
      <c r="AR11" s="559"/>
      <c r="AS11" s="559"/>
      <c r="AT11" s="559"/>
      <c r="AU11" s="559"/>
      <c r="AV11" s="559"/>
      <c r="AW11" s="559"/>
      <c r="AX11" s="559"/>
      <c r="AY11" s="559"/>
      <c r="AZ11" s="559"/>
      <c r="BA11" s="559"/>
      <c r="BB11" s="559"/>
      <c r="BC11" s="559"/>
      <c r="BD11" s="559">
        <f t="shared" si="0"/>
        <v>-0.1871</v>
      </c>
      <c r="BE11" s="559">
        <f t="shared" si="1"/>
        <v>-0.1871</v>
      </c>
      <c r="BF11" s="545" t="str">
        <f t="shared" si="2"/>
        <v>不达标</v>
      </c>
      <c r="BG11" s="547" t="s">
        <v>528</v>
      </c>
      <c r="BH11" s="593"/>
      <c r="BI11" s="593"/>
      <c r="BJ11" s="593"/>
      <c r="BK11" s="596"/>
      <c r="BL11" s="597"/>
      <c r="BM11" s="604"/>
      <c r="BN11" s="604"/>
      <c r="BO11" s="604"/>
      <c r="BP11" s="604"/>
      <c r="BQ11" s="604"/>
      <c r="BR11" s="604"/>
      <c r="BS11" s="604"/>
      <c r="BT11" s="604"/>
      <c r="BU11" s="604"/>
    </row>
    <row r="12" s="3" customFormat="1" ht="40.5" customHeight="1" spans="1:73">
      <c r="A12" s="539" t="s">
        <v>526</v>
      </c>
      <c r="B12" s="572">
        <v>45992</v>
      </c>
      <c r="C12" s="572">
        <v>46173</v>
      </c>
      <c r="D12" s="573" t="s">
        <v>2207</v>
      </c>
      <c r="E12" s="539" t="s">
        <v>3343</v>
      </c>
      <c r="F12" s="575">
        <v>0.2515</v>
      </c>
      <c r="G12" s="576">
        <v>0.154</v>
      </c>
      <c r="H12" s="559"/>
      <c r="I12" s="559"/>
      <c r="J12" s="559"/>
      <c r="K12" s="559"/>
      <c r="L12" s="559"/>
      <c r="M12" s="559"/>
      <c r="N12" s="559"/>
      <c r="O12" s="559"/>
      <c r="P12" s="559"/>
      <c r="Q12" s="559"/>
      <c r="R12" s="559"/>
      <c r="S12" s="559"/>
      <c r="T12" s="583"/>
      <c r="U12" s="583"/>
      <c r="V12" s="583"/>
      <c r="W12" s="559"/>
      <c r="X12" s="583"/>
      <c r="Y12" s="559"/>
      <c r="Z12" s="559"/>
      <c r="AA12" s="559"/>
      <c r="AB12" s="559"/>
      <c r="AC12" s="559"/>
      <c r="AD12" s="559"/>
      <c r="AE12" s="559"/>
      <c r="AF12" s="559"/>
      <c r="AG12" s="559"/>
      <c r="AH12" s="559"/>
      <c r="AI12" s="559"/>
      <c r="AJ12" s="559"/>
      <c r="AK12" s="559"/>
      <c r="AL12" s="559"/>
      <c r="AM12" s="559"/>
      <c r="AN12" s="559"/>
      <c r="AO12" s="559"/>
      <c r="AP12" s="559"/>
      <c r="AQ12" s="559"/>
      <c r="AR12" s="559"/>
      <c r="AS12" s="559"/>
      <c r="AT12" s="559"/>
      <c r="AU12" s="559"/>
      <c r="AV12" s="559"/>
      <c r="AW12" s="559"/>
      <c r="AX12" s="559"/>
      <c r="AY12" s="559"/>
      <c r="AZ12" s="559"/>
      <c r="BA12" s="559"/>
      <c r="BB12" s="559"/>
      <c r="BC12" s="559"/>
      <c r="BD12" s="559">
        <f t="shared" si="0"/>
        <v>-0.2515</v>
      </c>
      <c r="BE12" s="559">
        <f t="shared" si="1"/>
        <v>-0.154</v>
      </c>
      <c r="BF12" s="545" t="str">
        <f t="shared" si="2"/>
        <v>不达标</v>
      </c>
      <c r="BG12" s="547" t="s">
        <v>528</v>
      </c>
      <c r="BH12" s="593"/>
      <c r="BI12" s="593"/>
      <c r="BJ12" s="593"/>
      <c r="BK12" s="596"/>
      <c r="BL12" s="597"/>
      <c r="BM12" s="604"/>
      <c r="BN12" s="604"/>
      <c r="BO12" s="604"/>
      <c r="BP12" s="604"/>
      <c r="BQ12" s="604"/>
      <c r="BR12" s="604"/>
      <c r="BS12" s="604"/>
      <c r="BT12" s="604"/>
      <c r="BU12" s="604"/>
    </row>
    <row r="13" s="3" customFormat="1" ht="27" customHeight="1" spans="1:73">
      <c r="A13" s="539" t="s">
        <v>108</v>
      </c>
      <c r="B13" s="572">
        <v>45658</v>
      </c>
      <c r="C13" s="572">
        <v>46022</v>
      </c>
      <c r="D13" s="573" t="s">
        <v>460</v>
      </c>
      <c r="E13" s="539" t="s">
        <v>461</v>
      </c>
      <c r="F13" s="578">
        <v>0.2368</v>
      </c>
      <c r="G13" s="559">
        <v>0.2477</v>
      </c>
      <c r="H13" s="559">
        <v>1</v>
      </c>
      <c r="I13" s="559"/>
      <c r="J13" s="559"/>
      <c r="K13" s="559"/>
      <c r="L13" s="559"/>
      <c r="M13" s="559"/>
      <c r="N13" s="559"/>
      <c r="O13" s="559"/>
      <c r="P13" s="559"/>
      <c r="Q13" s="559"/>
      <c r="R13" s="559"/>
      <c r="S13" s="559"/>
      <c r="T13" s="559">
        <v>0.2897</v>
      </c>
      <c r="U13" s="583"/>
      <c r="V13" s="583"/>
      <c r="W13" s="583"/>
      <c r="X13" s="583"/>
      <c r="Y13" s="559"/>
      <c r="Z13" s="559"/>
      <c r="AA13" s="559"/>
      <c r="AB13" s="559"/>
      <c r="AC13" s="559"/>
      <c r="AD13" s="583"/>
      <c r="AE13" s="583"/>
      <c r="AF13" s="559">
        <v>2.9111</v>
      </c>
      <c r="AG13" s="583"/>
      <c r="AH13" s="559"/>
      <c r="AI13" s="559"/>
      <c r="AJ13" s="559"/>
      <c r="AK13" s="559"/>
      <c r="AL13" s="559"/>
      <c r="AM13" s="559"/>
      <c r="AN13" s="559"/>
      <c r="AO13" s="559"/>
      <c r="AP13" s="559"/>
      <c r="AQ13" s="559"/>
      <c r="AR13" s="559">
        <v>0.2828</v>
      </c>
      <c r="AS13" s="559"/>
      <c r="AT13" s="559"/>
      <c r="AU13" s="559"/>
      <c r="AV13" s="559"/>
      <c r="AW13" s="559"/>
      <c r="AX13" s="559"/>
      <c r="AY13" s="559"/>
      <c r="AZ13" s="559"/>
      <c r="BA13" s="559"/>
      <c r="BB13" s="559"/>
      <c r="BC13" s="559"/>
      <c r="BD13" s="559">
        <f t="shared" si="0"/>
        <v>-0.2368</v>
      </c>
      <c r="BE13" s="559">
        <f t="shared" si="1"/>
        <v>-0.2477</v>
      </c>
      <c r="BF13" s="545" t="str">
        <f t="shared" si="2"/>
        <v>不达标</v>
      </c>
      <c r="BG13" s="541" t="s">
        <v>528</v>
      </c>
      <c r="BH13" s="544" t="s">
        <v>3344</v>
      </c>
      <c r="BI13" s="598"/>
      <c r="BJ13" s="593"/>
      <c r="BK13" s="596"/>
      <c r="BL13" s="597"/>
      <c r="BM13" s="604"/>
      <c r="BN13" s="604"/>
      <c r="BO13" s="604"/>
      <c r="BP13" s="604"/>
      <c r="BQ13" s="604"/>
      <c r="BR13" s="604"/>
      <c r="BS13" s="604"/>
      <c r="BT13" s="604"/>
      <c r="BU13" s="604"/>
    </row>
    <row r="14" s="3" customFormat="1" ht="85.5" customHeight="1" spans="1:73">
      <c r="A14" s="539" t="s">
        <v>108</v>
      </c>
      <c r="B14" s="572">
        <v>45658</v>
      </c>
      <c r="C14" s="572">
        <v>46022</v>
      </c>
      <c r="D14" s="573" t="s">
        <v>462</v>
      </c>
      <c r="E14" s="539" t="s">
        <v>463</v>
      </c>
      <c r="F14" s="578">
        <v>0.2368</v>
      </c>
      <c r="G14" s="559">
        <v>0.2477</v>
      </c>
      <c r="H14" s="559">
        <v>0</v>
      </c>
      <c r="I14" s="559"/>
      <c r="J14" s="559"/>
      <c r="K14" s="559"/>
      <c r="L14" s="559"/>
      <c r="M14" s="559"/>
      <c r="N14" s="559"/>
      <c r="O14" s="559"/>
      <c r="P14" s="559"/>
      <c r="Q14" s="559"/>
      <c r="R14" s="559"/>
      <c r="S14" s="559"/>
      <c r="T14" s="559">
        <v>0.4408</v>
      </c>
      <c r="U14" s="583"/>
      <c r="V14" s="583"/>
      <c r="W14" s="583"/>
      <c r="X14" s="583"/>
      <c r="Y14" s="559"/>
      <c r="Z14" s="559"/>
      <c r="AA14" s="559"/>
      <c r="AB14" s="559"/>
      <c r="AC14" s="583"/>
      <c r="AD14" s="583"/>
      <c r="AE14" s="583"/>
      <c r="AF14" s="559">
        <v>0</v>
      </c>
      <c r="AG14" s="583"/>
      <c r="AH14" s="559"/>
      <c r="AI14" s="559"/>
      <c r="AJ14" s="559"/>
      <c r="AK14" s="559"/>
      <c r="AL14" s="559"/>
      <c r="AM14" s="559"/>
      <c r="AN14" s="559"/>
      <c r="AO14" s="583"/>
      <c r="AP14" s="583"/>
      <c r="AQ14" s="583"/>
      <c r="AR14" s="559">
        <v>0.4343</v>
      </c>
      <c r="AS14" s="583"/>
      <c r="AT14" s="559"/>
      <c r="AU14" s="559"/>
      <c r="AV14" s="559"/>
      <c r="AW14" s="559"/>
      <c r="AX14" s="559"/>
      <c r="AY14" s="559"/>
      <c r="AZ14" s="559"/>
      <c r="BA14" s="559"/>
      <c r="BB14" s="559"/>
      <c r="BC14" s="559"/>
      <c r="BD14" s="559">
        <f t="shared" si="0"/>
        <v>-0.2368</v>
      </c>
      <c r="BE14" s="559">
        <f t="shared" si="1"/>
        <v>-0.2477</v>
      </c>
      <c r="BF14" s="545" t="str">
        <f t="shared" si="2"/>
        <v>不达标</v>
      </c>
      <c r="BG14" s="599" t="s">
        <v>528</v>
      </c>
      <c r="BH14" s="600" t="s">
        <v>3345</v>
      </c>
      <c r="BI14" s="600" t="s">
        <v>3346</v>
      </c>
      <c r="BJ14" s="601"/>
      <c r="BK14" s="602"/>
      <c r="BL14" s="597"/>
      <c r="BM14" s="604"/>
      <c r="BN14" s="604"/>
      <c r="BO14" s="604"/>
      <c r="BP14" s="604"/>
      <c r="BQ14" s="604"/>
      <c r="BR14" s="604"/>
      <c r="BS14" s="604"/>
      <c r="BT14" s="604"/>
      <c r="BU14" s="604"/>
    </row>
    <row r="15" ht="27" customHeight="1" spans="1:63">
      <c r="A15" s="539" t="s">
        <v>108</v>
      </c>
      <c r="B15" s="572">
        <v>46023</v>
      </c>
      <c r="C15" s="572">
        <v>46081</v>
      </c>
      <c r="D15" s="573" t="s">
        <v>2133</v>
      </c>
      <c r="E15" s="539" t="s">
        <v>3347</v>
      </c>
      <c r="F15" s="578"/>
      <c r="G15" s="559">
        <v>0.187802996321246</v>
      </c>
      <c r="H15" s="559">
        <v>0.104157661241266</v>
      </c>
      <c r="I15" s="559">
        <v>0.0883060805377048</v>
      </c>
      <c r="J15" s="559"/>
      <c r="K15" s="559"/>
      <c r="L15" s="559"/>
      <c r="M15" s="559"/>
      <c r="N15" s="559"/>
      <c r="O15" s="559"/>
      <c r="P15" s="559"/>
      <c r="Q15" s="559"/>
      <c r="R15" s="559"/>
      <c r="S15" s="559"/>
      <c r="T15" s="559">
        <v>0.104157661241266</v>
      </c>
      <c r="U15" s="559">
        <v>0.0983718321823166</v>
      </c>
      <c r="V15" s="583"/>
      <c r="W15" s="583"/>
      <c r="X15" s="583"/>
      <c r="Y15" s="559"/>
      <c r="Z15" s="559"/>
      <c r="AA15" s="559"/>
      <c r="AB15" s="559"/>
      <c r="AC15" s="583"/>
      <c r="AD15" s="583"/>
      <c r="AE15" s="583"/>
      <c r="AF15" s="559">
        <v>0.103089624796835</v>
      </c>
      <c r="AG15" s="583">
        <v>0.0853799549669274</v>
      </c>
      <c r="AH15" s="559"/>
      <c r="AI15" s="559"/>
      <c r="AJ15" s="559"/>
      <c r="AK15" s="559"/>
      <c r="AL15" s="559"/>
      <c r="AM15" s="559"/>
      <c r="AN15" s="559"/>
      <c r="AO15" s="583"/>
      <c r="AP15" s="583"/>
      <c r="AQ15" s="583"/>
      <c r="AR15" s="559">
        <v>0.103089624796835</v>
      </c>
      <c r="AS15" s="559">
        <v>0.0966255929603596</v>
      </c>
      <c r="AT15" s="559"/>
      <c r="AU15" s="559"/>
      <c r="AV15" s="559"/>
      <c r="AW15" s="559"/>
      <c r="AX15" s="559"/>
      <c r="AY15" s="559"/>
      <c r="AZ15" s="559"/>
      <c r="BA15" s="559"/>
      <c r="BB15" s="559"/>
      <c r="BC15" s="559"/>
      <c r="BD15" s="559">
        <f t="shared" si="0"/>
        <v>0.0983718321823166</v>
      </c>
      <c r="BE15" s="559">
        <f t="shared" si="1"/>
        <v>-0.0911774033608864</v>
      </c>
      <c r="BF15" s="545" t="s">
        <v>588</v>
      </c>
      <c r="BG15" s="190"/>
      <c r="BH15" s="190"/>
      <c r="BI15" s="190"/>
      <c r="BJ15" s="190"/>
      <c r="BK15" s="190"/>
    </row>
    <row r="16" ht="27" customHeight="1" spans="1:63">
      <c r="A16" s="539" t="s">
        <v>108</v>
      </c>
      <c r="B16" s="572">
        <v>46023</v>
      </c>
      <c r="C16" s="572">
        <v>46203</v>
      </c>
      <c r="D16" s="573" t="s">
        <v>2290</v>
      </c>
      <c r="E16" s="574" t="s">
        <v>3348</v>
      </c>
      <c r="F16" s="578"/>
      <c r="G16" s="559">
        <v>0.185944424372654</v>
      </c>
      <c r="H16" s="559">
        <v>0.15846417246522</v>
      </c>
      <c r="I16" s="559">
        <v>0.0142220975078298</v>
      </c>
      <c r="J16" s="559"/>
      <c r="K16" s="559"/>
      <c r="L16" s="559"/>
      <c r="M16" s="559"/>
      <c r="N16" s="559"/>
      <c r="O16" s="559"/>
      <c r="P16" s="559"/>
      <c r="Q16" s="559"/>
      <c r="R16" s="559"/>
      <c r="S16" s="559"/>
      <c r="T16" s="559">
        <v>0.15846417246522</v>
      </c>
      <c r="U16" s="559">
        <v>0.092324646927877</v>
      </c>
      <c r="V16" s="583"/>
      <c r="W16" s="583"/>
      <c r="X16" s="583"/>
      <c r="Y16" s="559"/>
      <c r="Z16" s="559"/>
      <c r="AA16" s="559"/>
      <c r="AB16" s="559"/>
      <c r="AC16" s="583"/>
      <c r="AD16" s="583"/>
      <c r="AE16" s="583"/>
      <c r="AF16" s="559">
        <v>0.157396116448428</v>
      </c>
      <c r="AG16" s="559">
        <v>0.0906782793604252</v>
      </c>
      <c r="AH16" s="559"/>
      <c r="AI16" s="559"/>
      <c r="AJ16" s="559"/>
      <c r="AK16" s="559"/>
      <c r="AL16" s="559"/>
      <c r="AM16" s="559"/>
      <c r="AN16" s="559"/>
      <c r="AO16" s="583"/>
      <c r="AP16" s="583"/>
      <c r="AQ16" s="583"/>
      <c r="AR16" s="559">
        <v>0.157396116448428</v>
      </c>
      <c r="AS16" s="559">
        <v>0.011892815962712</v>
      </c>
      <c r="AT16" s="559"/>
      <c r="AU16" s="559"/>
      <c r="AV16" s="559"/>
      <c r="AW16" s="559"/>
      <c r="AX16" s="559"/>
      <c r="AY16" s="559"/>
      <c r="AZ16" s="559"/>
      <c r="BA16" s="559"/>
      <c r="BB16" s="559"/>
      <c r="BC16" s="559"/>
      <c r="BD16" s="559">
        <f t="shared" si="0"/>
        <v>0.092324646927877</v>
      </c>
      <c r="BE16" s="559">
        <f t="shared" si="1"/>
        <v>-0.174051608409942</v>
      </c>
      <c r="BF16" s="545" t="s">
        <v>588</v>
      </c>
      <c r="BG16" s="541" t="s">
        <v>528</v>
      </c>
      <c r="BH16" s="190"/>
      <c r="BI16" s="190"/>
      <c r="BJ16" s="190"/>
      <c r="BK16" s="190"/>
    </row>
    <row r="17" ht="27" customHeight="1" spans="1:63">
      <c r="A17" s="539" t="s">
        <v>108</v>
      </c>
      <c r="B17" s="572">
        <v>46023</v>
      </c>
      <c r="C17" s="572">
        <v>46387</v>
      </c>
      <c r="D17" s="573" t="s">
        <v>2148</v>
      </c>
      <c r="E17" s="539" t="s">
        <v>3349</v>
      </c>
      <c r="F17" s="578"/>
      <c r="G17" s="559">
        <v>0.208217836843865</v>
      </c>
      <c r="H17" s="559">
        <v>0.288563118670787</v>
      </c>
      <c r="I17" s="559">
        <v>0.201953143958566</v>
      </c>
      <c r="J17" s="559"/>
      <c r="K17" s="559"/>
      <c r="L17" s="559"/>
      <c r="M17" s="559"/>
      <c r="N17" s="559"/>
      <c r="O17" s="559"/>
      <c r="P17" s="559"/>
      <c r="Q17" s="559"/>
      <c r="R17" s="559"/>
      <c r="S17" s="559"/>
      <c r="T17" s="559">
        <v>0.288563118670787</v>
      </c>
      <c r="U17" s="559">
        <v>0.264015684900588</v>
      </c>
      <c r="V17" s="583"/>
      <c r="W17" s="583"/>
      <c r="X17" s="583"/>
      <c r="Y17" s="559"/>
      <c r="Z17" s="559"/>
      <c r="AA17" s="559"/>
      <c r="AB17" s="559"/>
      <c r="AC17" s="583"/>
      <c r="AD17" s="583"/>
      <c r="AE17" s="583"/>
      <c r="AF17" s="559">
        <v>0.287495166596214</v>
      </c>
      <c r="AG17" s="559">
        <v>0.198184831067261</v>
      </c>
      <c r="AH17" s="559"/>
      <c r="AI17" s="559"/>
      <c r="AJ17" s="559"/>
      <c r="AK17" s="559"/>
      <c r="AL17" s="559"/>
      <c r="AM17" s="559"/>
      <c r="AN17" s="559"/>
      <c r="AO17" s="583"/>
      <c r="AP17" s="583"/>
      <c r="AQ17" s="583"/>
      <c r="AR17" s="559">
        <v>0.287495166596214</v>
      </c>
      <c r="AS17" s="559">
        <v>0.262182383008923</v>
      </c>
      <c r="AT17" s="559"/>
      <c r="AU17" s="559"/>
      <c r="AV17" s="559"/>
      <c r="AW17" s="559"/>
      <c r="AX17" s="559"/>
      <c r="AY17" s="559"/>
      <c r="AZ17" s="559"/>
      <c r="BA17" s="559"/>
      <c r="BB17" s="559"/>
      <c r="BC17" s="559"/>
      <c r="BD17" s="559">
        <f t="shared" si="0"/>
        <v>0.264015684900588</v>
      </c>
      <c r="BE17" s="559">
        <f t="shared" si="1"/>
        <v>0.053964546165058</v>
      </c>
      <c r="BF17" s="545" t="s">
        <v>3350</v>
      </c>
      <c r="BG17" s="541" t="s">
        <v>3351</v>
      </c>
      <c r="BH17" s="190"/>
      <c r="BI17" s="190"/>
      <c r="BJ17" s="190"/>
      <c r="BK17" s="190"/>
    </row>
    <row r="18" ht="27" customHeight="1" spans="1:63">
      <c r="A18" s="539" t="s">
        <v>108</v>
      </c>
      <c r="B18" s="572">
        <v>45855</v>
      </c>
      <c r="C18" s="572">
        <v>46387</v>
      </c>
      <c r="D18" s="573" t="s">
        <v>2610</v>
      </c>
      <c r="E18" s="539" t="s">
        <v>3352</v>
      </c>
      <c r="F18" s="578"/>
      <c r="G18" s="559">
        <v>0.176796467391304</v>
      </c>
      <c r="H18" s="559">
        <v>1</v>
      </c>
      <c r="I18" s="559" t="s">
        <v>3353</v>
      </c>
      <c r="J18" s="559"/>
      <c r="K18" s="559"/>
      <c r="L18" s="559"/>
      <c r="M18" s="559"/>
      <c r="N18" s="559"/>
      <c r="O18" s="559"/>
      <c r="P18" s="559"/>
      <c r="Q18" s="559"/>
      <c r="R18" s="559"/>
      <c r="S18" s="559"/>
      <c r="T18" s="559">
        <v>0.523646049053737</v>
      </c>
      <c r="U18" s="559">
        <v>0.523646049053737</v>
      </c>
      <c r="V18" s="583"/>
      <c r="W18" s="583"/>
      <c r="X18" s="583"/>
      <c r="Y18" s="559"/>
      <c r="Z18" s="559"/>
      <c r="AA18" s="559"/>
      <c r="AB18" s="559"/>
      <c r="AC18" s="583"/>
      <c r="AD18" s="583"/>
      <c r="AE18" s="583"/>
      <c r="AF18" s="559">
        <v>0.990678906074566</v>
      </c>
      <c r="AG18" s="559" t="s">
        <v>3353</v>
      </c>
      <c r="AH18" s="559"/>
      <c r="AI18" s="559"/>
      <c r="AJ18" s="559"/>
      <c r="AK18" s="559"/>
      <c r="AL18" s="559"/>
      <c r="AM18" s="559"/>
      <c r="AN18" s="559"/>
      <c r="AO18" s="583"/>
      <c r="AP18" s="583"/>
      <c r="AQ18" s="583"/>
      <c r="AR18" s="559">
        <v>0.520470603468681</v>
      </c>
      <c r="AS18" s="559">
        <v>0.519764525070783</v>
      </c>
      <c r="AT18" s="559"/>
      <c r="AU18" s="559"/>
      <c r="AV18" s="559"/>
      <c r="AW18" s="559"/>
      <c r="AX18" s="559"/>
      <c r="AY18" s="559"/>
      <c r="AZ18" s="559"/>
      <c r="BA18" s="559"/>
      <c r="BB18" s="559"/>
      <c r="BC18" s="559"/>
      <c r="BD18" s="559">
        <f t="shared" si="0"/>
        <v>0.523646049053737</v>
      </c>
      <c r="BE18" s="559">
        <f t="shared" si="1"/>
        <v>0.342968057679479</v>
      </c>
      <c r="BF18" s="545" t="s">
        <v>3350</v>
      </c>
      <c r="BG18" s="541" t="s">
        <v>3351</v>
      </c>
      <c r="BH18" s="190"/>
      <c r="BI18" s="190"/>
      <c r="BJ18" s="190"/>
      <c r="BK18" s="190"/>
    </row>
    <row r="19" ht="27" customHeight="1" spans="1:63">
      <c r="A19" s="539" t="s">
        <v>108</v>
      </c>
      <c r="B19" s="572">
        <v>45855</v>
      </c>
      <c r="C19" s="572">
        <v>46387</v>
      </c>
      <c r="D19" s="573" t="s">
        <v>2608</v>
      </c>
      <c r="E19" s="539" t="s">
        <v>3354</v>
      </c>
      <c r="F19" s="578"/>
      <c r="G19" s="559">
        <v>0.184235246573529</v>
      </c>
      <c r="H19" s="559">
        <v>1</v>
      </c>
      <c r="I19" s="559" t="s">
        <v>3353</v>
      </c>
      <c r="J19" s="559"/>
      <c r="K19" s="559"/>
      <c r="L19" s="559"/>
      <c r="M19" s="559"/>
      <c r="N19" s="559"/>
      <c r="O19" s="559"/>
      <c r="P19" s="559"/>
      <c r="Q19" s="559"/>
      <c r="R19" s="559"/>
      <c r="S19" s="559"/>
      <c r="T19" s="559">
        <v>0.371982470283729</v>
      </c>
      <c r="U19" s="559">
        <v>0.371982470283729</v>
      </c>
      <c r="V19" s="583"/>
      <c r="W19" s="583"/>
      <c r="X19" s="583"/>
      <c r="Y19" s="559"/>
      <c r="Z19" s="559"/>
      <c r="AA19" s="559"/>
      <c r="AB19" s="559"/>
      <c r="AC19" s="583"/>
      <c r="AD19" s="583"/>
      <c r="AE19" s="583"/>
      <c r="AF19" s="559">
        <v>0.996455146014502</v>
      </c>
      <c r="AG19" s="559" t="s">
        <v>3353</v>
      </c>
      <c r="AH19" s="559"/>
      <c r="AI19" s="559"/>
      <c r="AJ19" s="559"/>
      <c r="AK19" s="559"/>
      <c r="AL19" s="559"/>
      <c r="AM19" s="559"/>
      <c r="AN19" s="559"/>
      <c r="AO19" s="583"/>
      <c r="AP19" s="583"/>
      <c r="AQ19" s="583"/>
      <c r="AR19" s="559">
        <v>0.369680388526726</v>
      </c>
      <c r="AS19" s="559">
        <v>0.368971258869865</v>
      </c>
      <c r="AT19" s="559"/>
      <c r="AU19" s="559"/>
      <c r="AV19" s="559"/>
      <c r="AW19" s="559"/>
      <c r="AX19" s="559"/>
      <c r="AY19" s="559"/>
      <c r="AZ19" s="559"/>
      <c r="BA19" s="559"/>
      <c r="BB19" s="559"/>
      <c r="BC19" s="559"/>
      <c r="BD19" s="559">
        <f t="shared" si="0"/>
        <v>0.371982470283729</v>
      </c>
      <c r="BE19" s="559">
        <f t="shared" si="1"/>
        <v>0.184736012296336</v>
      </c>
      <c r="BF19" s="545" t="s">
        <v>3350</v>
      </c>
      <c r="BG19" s="541" t="s">
        <v>3351</v>
      </c>
      <c r="BH19" s="190"/>
      <c r="BI19" s="190"/>
      <c r="BJ19" s="190"/>
      <c r="BK19" s="190"/>
    </row>
    <row r="20" ht="27" customHeight="1" spans="1:63">
      <c r="A20" s="539" t="s">
        <v>108</v>
      </c>
      <c r="B20" s="572">
        <v>45855</v>
      </c>
      <c r="C20" s="572">
        <v>46219</v>
      </c>
      <c r="D20" s="573" t="s">
        <v>2626</v>
      </c>
      <c r="E20" s="539" t="s">
        <v>3355</v>
      </c>
      <c r="F20" s="578"/>
      <c r="G20" s="559">
        <v>0.180561524054788</v>
      </c>
      <c r="H20" s="559">
        <v>1</v>
      </c>
      <c r="I20" s="559" t="s">
        <v>3353</v>
      </c>
      <c r="J20" s="559"/>
      <c r="K20" s="559"/>
      <c r="L20" s="559"/>
      <c r="M20" s="559"/>
      <c r="N20" s="559"/>
      <c r="O20" s="559"/>
      <c r="P20" s="559"/>
      <c r="Q20" s="559"/>
      <c r="R20" s="559"/>
      <c r="S20" s="559"/>
      <c r="T20" s="559">
        <v>0.321682156585904</v>
      </c>
      <c r="U20" s="559">
        <v>0.373606012425433</v>
      </c>
      <c r="V20" s="559"/>
      <c r="W20" s="559"/>
      <c r="X20" s="559"/>
      <c r="Y20" s="559"/>
      <c r="Z20" s="559"/>
      <c r="AA20" s="559"/>
      <c r="AB20" s="559"/>
      <c r="AC20" s="559"/>
      <c r="AD20" s="559"/>
      <c r="AE20" s="559"/>
      <c r="AF20" s="559">
        <v>0.993382099846513</v>
      </c>
      <c r="AG20" s="559" t="s">
        <v>3353</v>
      </c>
      <c r="AH20" s="559"/>
      <c r="AI20" s="559"/>
      <c r="AJ20" s="559"/>
      <c r="AK20" s="559"/>
      <c r="AL20" s="559"/>
      <c r="AM20" s="559"/>
      <c r="AN20" s="559"/>
      <c r="AO20" s="559"/>
      <c r="AP20" s="559"/>
      <c r="AQ20" s="559"/>
      <c r="AR20" s="559">
        <v>0.319904212695659</v>
      </c>
      <c r="AS20" s="559">
        <v>0.37144787352527</v>
      </c>
      <c r="AT20" s="559"/>
      <c r="AU20" s="559"/>
      <c r="AV20" s="559"/>
      <c r="AW20" s="559"/>
      <c r="AX20" s="559"/>
      <c r="AY20" s="559"/>
      <c r="AZ20" s="559"/>
      <c r="BA20" s="559"/>
      <c r="BB20" s="559"/>
      <c r="BC20" s="559"/>
      <c r="BD20" s="559">
        <f t="shared" si="0"/>
        <v>0.373606012425433</v>
      </c>
      <c r="BE20" s="559">
        <f t="shared" si="1"/>
        <v>0.190886349470482</v>
      </c>
      <c r="BF20" s="545" t="s">
        <v>3350</v>
      </c>
      <c r="BG20" s="541" t="s">
        <v>3351</v>
      </c>
      <c r="BH20" s="190"/>
      <c r="BI20" s="190"/>
      <c r="BJ20" s="190"/>
      <c r="BK20" s="190"/>
    </row>
    <row r="21" ht="28.5" customHeight="1" spans="1:58">
      <c r="A21" s="539" t="s">
        <v>108</v>
      </c>
      <c r="B21" s="188">
        <v>46054</v>
      </c>
      <c r="C21" s="188">
        <v>46234</v>
      </c>
      <c r="D21" s="579" t="s">
        <v>3356</v>
      </c>
      <c r="E21" s="194" t="s">
        <v>3357</v>
      </c>
      <c r="G21" s="559">
        <v>0.15885571109319</v>
      </c>
      <c r="H21" s="559" t="s">
        <v>377</v>
      </c>
      <c r="I21" s="559">
        <v>-0.134181872212724</v>
      </c>
      <c r="T21" s="559" t="s">
        <v>377</v>
      </c>
      <c r="U21" s="559">
        <v>-0.134181872212724</v>
      </c>
      <c r="AF21" s="559" t="s">
        <v>377</v>
      </c>
      <c r="AG21" s="559">
        <v>-0.135250009940545</v>
      </c>
      <c r="AR21" s="559" t="s">
        <v>377</v>
      </c>
      <c r="AS21" s="559">
        <v>-0.135250009940545</v>
      </c>
      <c r="BD21" s="559">
        <f t="shared" si="0"/>
        <v>-0.134181872212724</v>
      </c>
      <c r="BE21" s="559">
        <f t="shared" si="1"/>
        <v>-0.294105721033735</v>
      </c>
      <c r="BF21" s="545" t="s">
        <v>3350</v>
      </c>
    </row>
  </sheetData>
  <autoFilter xmlns:etc="http://www.wps.cn/officeDocument/2017/etCustomData" ref="A5:BV21" etc:filterBottomFollowUsedRange="0">
    <extLst/>
  </autoFilter>
  <mergeCells count="31">
    <mergeCell ref="A2:BV2"/>
    <mergeCell ref="A3:A5"/>
    <mergeCell ref="B3:B5"/>
    <mergeCell ref="C3:C5"/>
    <mergeCell ref="D3:D5"/>
    <mergeCell ref="E3:E5"/>
    <mergeCell ref="F3:F5"/>
    <mergeCell ref="G3:G5"/>
    <mergeCell ref="BD3:BD5"/>
    <mergeCell ref="BE3:BE5"/>
    <mergeCell ref="BF3:BF5"/>
    <mergeCell ref="BG3:BG5"/>
    <mergeCell ref="BH3:BH5"/>
    <mergeCell ref="BI3:BI5"/>
    <mergeCell ref="BJ3:BJ5"/>
    <mergeCell ref="BK3:BK5"/>
    <mergeCell ref="BL3:BL5"/>
    <mergeCell ref="BM3:BM5"/>
    <mergeCell ref="BN3:BN5"/>
    <mergeCell ref="BO3:BO5"/>
    <mergeCell ref="BP3:BP5"/>
    <mergeCell ref="BQ3:BQ5"/>
    <mergeCell ref="BR3:BR5"/>
    <mergeCell ref="BS3:BS5"/>
    <mergeCell ref="BT3:BT5"/>
    <mergeCell ref="BU3:BU5"/>
    <mergeCell ref="BV3:BV5"/>
    <mergeCell ref="H3:S4"/>
    <mergeCell ref="T3:AE4"/>
    <mergeCell ref="AF3:AQ4"/>
    <mergeCell ref="AR3:BC4"/>
  </mergeCells>
  <conditionalFormatting sqref="BF15">
    <cfRule type="containsText" dxfId="3" priority="6" operator="between" text="不达标">
      <formula>NOT(ISERROR(SEARCH("不达标",BF15)))</formula>
    </cfRule>
  </conditionalFormatting>
  <conditionalFormatting sqref="BF18">
    <cfRule type="containsText" dxfId="3" priority="3" operator="between" text="不达标">
      <formula>NOT(ISERROR(SEARCH("不达标",BF18)))</formula>
    </cfRule>
  </conditionalFormatting>
  <conditionalFormatting sqref="BF19">
    <cfRule type="containsText" dxfId="3" priority="2" operator="between" text="不达标">
      <formula>NOT(ISERROR(SEARCH("不达标",BF19)))</formula>
    </cfRule>
  </conditionalFormatting>
  <conditionalFormatting sqref="BF6:BF14">
    <cfRule type="containsText" dxfId="3" priority="7" operator="between" text="不达标">
      <formula>NOT(ISERROR(SEARCH("不达标",BF6)))</formula>
    </cfRule>
  </conditionalFormatting>
  <conditionalFormatting sqref="BF16:BF17">
    <cfRule type="containsText" dxfId="3" priority="4" operator="between" text="不达标">
      <formula>NOT(ISERROR(SEARCH("不达标",BF16)))</formula>
    </cfRule>
  </conditionalFormatting>
  <conditionalFormatting sqref="BF20:BF21">
    <cfRule type="containsText" dxfId="3" priority="1" operator="between" text="不达标">
      <formula>NOT(ISERROR(SEARCH("不达标",BF20)))</formula>
    </cfRule>
  </conditionalFormatting>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J11"/>
  <sheetViews>
    <sheetView zoomScale="85" zoomScaleNormal="85" workbookViewId="0">
      <pane xSplit="1" ySplit="3" topLeftCell="B4" activePane="bottomRight" state="frozen"/>
      <selection/>
      <selection pane="topRight"/>
      <selection pane="bottomLeft"/>
      <selection pane="bottomRight" activeCell="A9" sqref="$A9:$XFD11"/>
    </sheetView>
  </sheetViews>
  <sheetFormatPr defaultColWidth="9" defaultRowHeight="15"/>
  <cols>
    <col min="1" max="1" width="9" style="3" customWidth="1"/>
    <col min="2" max="3" width="9.89380530973451" style="3" customWidth="1"/>
    <col min="4" max="4" width="16.070796460177" style="549" customWidth="1"/>
    <col min="5" max="5" width="24.6017699115044" style="3" customWidth="1"/>
    <col min="6" max="8" width="12.3805309734513" style="3" customWidth="1"/>
    <col min="9" max="9" width="54.9203539823009" style="3" customWidth="1"/>
    <col min="10" max="10" width="46.9823008849558" style="3" customWidth="1"/>
    <col min="11" max="16384" width="9" style="3" customWidth="1"/>
  </cols>
  <sheetData>
    <row r="2" spans="1:10">
      <c r="A2" s="550" t="s">
        <v>3358</v>
      </c>
      <c r="B2" s="551"/>
      <c r="C2" s="551"/>
      <c r="D2" s="551"/>
      <c r="E2" s="551"/>
      <c r="F2" s="551"/>
      <c r="G2" s="551"/>
      <c r="H2" s="551"/>
      <c r="I2" s="551"/>
      <c r="J2" s="563"/>
    </row>
    <row r="3" spans="1:10">
      <c r="A3" s="552" t="s">
        <v>97</v>
      </c>
      <c r="B3" s="553" t="s">
        <v>101</v>
      </c>
      <c r="C3" s="554" t="s">
        <v>102</v>
      </c>
      <c r="D3" s="554" t="s">
        <v>488</v>
      </c>
      <c r="E3" s="554" t="s">
        <v>100</v>
      </c>
      <c r="F3" s="554" t="s">
        <v>490</v>
      </c>
      <c r="G3" s="555" t="s">
        <v>3359</v>
      </c>
      <c r="H3" s="554" t="s">
        <v>3360</v>
      </c>
      <c r="I3" s="553" t="s">
        <v>3361</v>
      </c>
      <c r="J3" s="554" t="s">
        <v>3362</v>
      </c>
    </row>
    <row r="4" ht="54" customHeight="1" spans="1:10">
      <c r="A4" s="556" t="s">
        <v>526</v>
      </c>
      <c r="B4" s="557">
        <v>45566</v>
      </c>
      <c r="C4" s="540">
        <v>46054</v>
      </c>
      <c r="D4" s="558" t="s">
        <v>688</v>
      </c>
      <c r="E4" s="539" t="s">
        <v>3363</v>
      </c>
      <c r="F4" s="559">
        <v>0.1516</v>
      </c>
      <c r="G4" s="560">
        <v>-1.8891</v>
      </c>
      <c r="H4" s="561" t="s">
        <v>588</v>
      </c>
      <c r="I4" s="544" t="s">
        <v>3364</v>
      </c>
      <c r="J4" s="544" t="s">
        <v>3365</v>
      </c>
    </row>
    <row r="5" ht="27" customHeight="1" spans="1:10">
      <c r="A5" s="556" t="s">
        <v>108</v>
      </c>
      <c r="B5" s="557"/>
      <c r="C5" s="540"/>
      <c r="D5" s="558"/>
      <c r="E5" s="539"/>
      <c r="F5" s="559"/>
      <c r="G5" s="560"/>
      <c r="H5" s="561"/>
      <c r="I5" s="544"/>
      <c r="J5" s="544"/>
    </row>
    <row r="6" ht="27" customHeight="1" spans="1:10">
      <c r="A6" s="556" t="s">
        <v>132</v>
      </c>
      <c r="B6" s="557"/>
      <c r="C6" s="540"/>
      <c r="D6" s="558"/>
      <c r="E6" s="539"/>
      <c r="F6" s="559"/>
      <c r="G6" s="560"/>
      <c r="H6" s="561"/>
      <c r="I6" s="544"/>
      <c r="J6" s="544"/>
    </row>
    <row r="7" ht="54" customHeight="1" spans="1:10">
      <c r="A7" s="556" t="str">
        <f>VLOOKUP(D7,Sheet10!A:B,2,0)</f>
        <v>泛AIoT与设备商事业部</v>
      </c>
      <c r="B7" s="557">
        <v>45689</v>
      </c>
      <c r="C7" s="540">
        <v>46022</v>
      </c>
      <c r="D7" s="558" t="s">
        <v>810</v>
      </c>
      <c r="E7" s="539" t="s">
        <v>3366</v>
      </c>
      <c r="F7" s="559">
        <v>0.229</v>
      </c>
      <c r="G7" s="562">
        <v>0.204260825021982</v>
      </c>
      <c r="H7" s="561" t="str">
        <f>_xlfn.IFS(F7&lt;-3%,"不达标",F7&lt;0%,"基本达标",TRUE,"达标")</f>
        <v>达标</v>
      </c>
      <c r="I7" s="544" t="s">
        <v>3367</v>
      </c>
      <c r="J7" s="544"/>
    </row>
    <row r="8" ht="40.5" customHeight="1" spans="1:10">
      <c r="A8" s="556" t="s">
        <v>108</v>
      </c>
      <c r="B8" s="557">
        <v>45931</v>
      </c>
      <c r="C8" s="540">
        <v>46022</v>
      </c>
      <c r="D8" s="558" t="s">
        <v>822</v>
      </c>
      <c r="E8" s="539" t="s">
        <v>3368</v>
      </c>
      <c r="F8" s="559">
        <v>0.1808</v>
      </c>
      <c r="G8" s="562">
        <v>0.136928746273963</v>
      </c>
      <c r="H8" s="561" t="str">
        <f>_xlfn.IFS(F8&lt;-3%,"不达标",F8&lt;0%,"基本达标",TRUE,"达标")</f>
        <v>达标</v>
      </c>
      <c r="I8" s="544" t="s">
        <v>3369</v>
      </c>
      <c r="J8" s="544"/>
    </row>
    <row r="9" ht="27" customHeight="1" spans="1:10">
      <c r="A9" s="556" t="str">
        <f>VLOOKUP(D9,Sheet10!A:B,2,0)</f>
        <v>电信联通综合事业部</v>
      </c>
      <c r="B9" s="557">
        <v>45313</v>
      </c>
      <c r="C9" s="540">
        <v>46071</v>
      </c>
      <c r="D9" s="558" t="s">
        <v>303</v>
      </c>
      <c r="E9" s="539" t="s">
        <v>304</v>
      </c>
      <c r="F9" s="559"/>
      <c r="G9" s="562"/>
      <c r="H9" s="561"/>
      <c r="I9" s="544"/>
      <c r="J9" s="544"/>
    </row>
    <row r="10" ht="27" customHeight="1" spans="1:10">
      <c r="A10" s="556" t="s">
        <v>132</v>
      </c>
      <c r="B10" s="557">
        <v>45852</v>
      </c>
      <c r="C10" s="540">
        <v>46081</v>
      </c>
      <c r="D10" s="558" t="s">
        <v>2654</v>
      </c>
      <c r="E10" s="539" t="s">
        <v>3370</v>
      </c>
      <c r="F10" s="559">
        <v>0.2004</v>
      </c>
      <c r="G10" s="562">
        <v>0.0629</v>
      </c>
      <c r="H10" s="561" t="s">
        <v>588</v>
      </c>
      <c r="I10" s="544" t="s">
        <v>3371</v>
      </c>
      <c r="J10" s="544" t="s">
        <v>3372</v>
      </c>
    </row>
    <row r="11" ht="27" customHeight="1" spans="1:10">
      <c r="A11" s="556" t="s">
        <v>526</v>
      </c>
      <c r="B11" s="557">
        <v>45931</v>
      </c>
      <c r="C11" s="540">
        <v>46081</v>
      </c>
      <c r="D11" s="558" t="s">
        <v>2042</v>
      </c>
      <c r="E11" s="539" t="s">
        <v>3373</v>
      </c>
      <c r="F11" s="559">
        <v>0.1967</v>
      </c>
      <c r="G11" s="562">
        <v>0.1343</v>
      </c>
      <c r="H11" s="561" t="s">
        <v>588</v>
      </c>
      <c r="I11" s="544" t="s">
        <v>3374</v>
      </c>
      <c r="J11" s="544"/>
    </row>
  </sheetData>
  <autoFilter xmlns:etc="http://www.wps.cn/officeDocument/2017/etCustomData" ref="A3:K11" etc:filterBottomFollowUsedRange="0">
    <extLst/>
  </autoFilter>
  <mergeCells count="1">
    <mergeCell ref="A2:J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rgb="FFDAE3F3"/>
  </sheetPr>
  <dimension ref="A1:J16"/>
  <sheetViews>
    <sheetView zoomScale="90" zoomScaleNormal="90" topLeftCell="A9" workbookViewId="0">
      <selection activeCell="I15" sqref="I15"/>
    </sheetView>
  </sheetViews>
  <sheetFormatPr defaultColWidth="9" defaultRowHeight="13.85"/>
  <cols>
    <col min="1" max="1" width="13.6637168141593" customWidth="1"/>
    <col min="2" max="2" width="24.8938053097345" customWidth="1"/>
    <col min="3" max="3" width="34.2212389380531" customWidth="1"/>
    <col min="4" max="4" width="40.8938053097345" customWidth="1"/>
    <col min="5" max="5" width="9.89380530973451" customWidth="1"/>
    <col min="6" max="6" width="13.3362831858407" style="5" customWidth="1"/>
    <col min="7" max="7" width="10.6637168141593" customWidth="1"/>
    <col min="8" max="8" width="14.2212389380531" hidden="1" customWidth="1"/>
    <col min="9" max="9" width="8.10619469026549" customWidth="1"/>
    <col min="10" max="10" width="45" customWidth="1"/>
  </cols>
  <sheetData>
    <row r="1" ht="15" customHeight="1" spans="1:10">
      <c r="A1" s="534" t="s">
        <v>3375</v>
      </c>
      <c r="B1" s="535"/>
      <c r="C1" s="535"/>
      <c r="D1" s="535"/>
      <c r="E1" s="535"/>
      <c r="F1" s="535"/>
      <c r="G1" s="535"/>
      <c r="H1" s="535"/>
      <c r="I1" s="535"/>
      <c r="J1" s="548"/>
    </row>
    <row r="2" spans="1:10">
      <c r="A2" s="536" t="s">
        <v>97</v>
      </c>
      <c r="B2" s="536" t="s">
        <v>100</v>
      </c>
      <c r="C2" s="536" t="s">
        <v>3376</v>
      </c>
      <c r="D2" s="536" t="s">
        <v>3377</v>
      </c>
      <c r="E2" s="536" t="s">
        <v>3378</v>
      </c>
      <c r="F2" s="536" t="s">
        <v>3379</v>
      </c>
      <c r="G2" s="537" t="s">
        <v>3380</v>
      </c>
      <c r="H2" s="538" t="s">
        <v>3381</v>
      </c>
      <c r="I2" s="537" t="s">
        <v>3382</v>
      </c>
      <c r="J2" s="537" t="s">
        <v>3383</v>
      </c>
    </row>
    <row r="3" ht="94.5" hidden="1" customHeight="1" spans="1:10">
      <c r="A3" s="539" t="s">
        <v>526</v>
      </c>
      <c r="B3" s="539" t="s">
        <v>3384</v>
      </c>
      <c r="C3" s="539" t="s">
        <v>3385</v>
      </c>
      <c r="D3" s="539" t="s">
        <v>3386</v>
      </c>
      <c r="E3" s="540">
        <v>45735</v>
      </c>
      <c r="F3" s="541" t="s">
        <v>3387</v>
      </c>
      <c r="G3" s="540">
        <v>45899</v>
      </c>
      <c r="H3" s="540"/>
      <c r="I3" s="547" t="s">
        <v>3388</v>
      </c>
      <c r="J3" s="545" t="s">
        <v>3389</v>
      </c>
    </row>
    <row r="4" ht="40.5" hidden="1" customHeight="1" spans="1:10">
      <c r="A4" s="539" t="s">
        <v>526</v>
      </c>
      <c r="B4" s="539" t="s">
        <v>426</v>
      </c>
      <c r="C4" s="539" t="s">
        <v>3390</v>
      </c>
      <c r="D4" s="539" t="s">
        <v>3391</v>
      </c>
      <c r="E4" s="540">
        <v>45735</v>
      </c>
      <c r="F4" s="541" t="s">
        <v>3392</v>
      </c>
      <c r="G4" s="540">
        <v>45777</v>
      </c>
      <c r="H4" s="540"/>
      <c r="I4" s="547" t="s">
        <v>3388</v>
      </c>
      <c r="J4" s="545" t="s">
        <v>3393</v>
      </c>
    </row>
    <row r="5" ht="81" customHeight="1" spans="1:10">
      <c r="A5" s="539" t="s">
        <v>526</v>
      </c>
      <c r="B5" s="539" t="s">
        <v>372</v>
      </c>
      <c r="C5" s="539" t="s">
        <v>3394</v>
      </c>
      <c r="D5" s="539" t="s">
        <v>3395</v>
      </c>
      <c r="E5" s="540">
        <v>45735</v>
      </c>
      <c r="F5" s="541" t="s">
        <v>3396</v>
      </c>
      <c r="G5" s="540">
        <v>45807</v>
      </c>
      <c r="H5" s="540"/>
      <c r="I5" s="547" t="s">
        <v>3388</v>
      </c>
      <c r="J5" s="545" t="s">
        <v>3397</v>
      </c>
    </row>
    <row r="6" ht="67.5" customHeight="1" spans="1:10">
      <c r="A6" s="539" t="s">
        <v>132</v>
      </c>
      <c r="B6" s="539" t="s">
        <v>3398</v>
      </c>
      <c r="C6" s="542" t="s">
        <v>3399</v>
      </c>
      <c r="D6" s="542" t="s">
        <v>3400</v>
      </c>
      <c r="E6" s="540">
        <v>45763</v>
      </c>
      <c r="F6" s="541" t="s">
        <v>3401</v>
      </c>
      <c r="G6" s="540">
        <v>45763</v>
      </c>
      <c r="H6" s="540"/>
      <c r="I6" s="547" t="s">
        <v>3402</v>
      </c>
      <c r="J6" s="545" t="s">
        <v>3403</v>
      </c>
    </row>
    <row r="7" ht="94.5" hidden="1" customHeight="1" spans="1:10">
      <c r="A7" s="539" t="s">
        <v>108</v>
      </c>
      <c r="B7" s="539" t="s">
        <v>479</v>
      </c>
      <c r="C7" s="542" t="s">
        <v>3404</v>
      </c>
      <c r="D7" s="542" t="s">
        <v>3405</v>
      </c>
      <c r="E7" s="540">
        <v>45763</v>
      </c>
      <c r="F7" s="541" t="s">
        <v>3406</v>
      </c>
      <c r="G7" s="540">
        <v>45838</v>
      </c>
      <c r="H7" s="543"/>
      <c r="I7" s="547" t="s">
        <v>3388</v>
      </c>
      <c r="J7" s="545" t="s">
        <v>3407</v>
      </c>
    </row>
    <row r="8" ht="94.5" hidden="1" customHeight="1" spans="1:10">
      <c r="A8" s="539" t="s">
        <v>526</v>
      </c>
      <c r="B8" s="539" t="s">
        <v>304</v>
      </c>
      <c r="C8" s="542" t="s">
        <v>3408</v>
      </c>
      <c r="D8" s="542" t="s">
        <v>3409</v>
      </c>
      <c r="E8" s="540">
        <v>45763</v>
      </c>
      <c r="F8" s="541" t="s">
        <v>3410</v>
      </c>
      <c r="G8" s="540">
        <v>45838</v>
      </c>
      <c r="H8" s="540"/>
      <c r="I8" s="547" t="s">
        <v>3388</v>
      </c>
      <c r="J8" s="545" t="s">
        <v>3411</v>
      </c>
    </row>
    <row r="9" ht="162" customHeight="1" spans="1:10">
      <c r="A9" s="539" t="s">
        <v>526</v>
      </c>
      <c r="B9" s="544" t="s">
        <v>3412</v>
      </c>
      <c r="C9" s="545" t="s">
        <v>3413</v>
      </c>
      <c r="D9" s="545" t="s">
        <v>3414</v>
      </c>
      <c r="E9" s="546">
        <v>45826</v>
      </c>
      <c r="F9" s="541" t="s">
        <v>3415</v>
      </c>
      <c r="G9" s="546">
        <v>45856</v>
      </c>
      <c r="I9" s="547" t="s">
        <v>3388</v>
      </c>
      <c r="J9" s="545" t="s">
        <v>3416</v>
      </c>
    </row>
    <row r="10" ht="40.5" hidden="1" customHeight="1" spans="1:10">
      <c r="A10" s="539" t="s">
        <v>526</v>
      </c>
      <c r="B10" s="544" t="s">
        <v>3417</v>
      </c>
      <c r="C10" s="545" t="s">
        <v>3418</v>
      </c>
      <c r="D10" s="545" t="s">
        <v>3419</v>
      </c>
      <c r="E10" s="546">
        <v>45826</v>
      </c>
      <c r="F10" s="541" t="s">
        <v>3420</v>
      </c>
      <c r="G10" s="546">
        <v>45838</v>
      </c>
      <c r="I10" s="547" t="s">
        <v>3388</v>
      </c>
      <c r="J10" s="545" t="s">
        <v>3421</v>
      </c>
    </row>
    <row r="11" ht="40.5" hidden="1" customHeight="1" spans="1:10">
      <c r="A11" s="539" t="s">
        <v>526</v>
      </c>
      <c r="B11" s="544" t="s">
        <v>3422</v>
      </c>
      <c r="C11" s="544" t="s">
        <v>3423</v>
      </c>
      <c r="D11" s="545"/>
      <c r="E11" s="546">
        <v>45888</v>
      </c>
      <c r="F11" s="541" t="s">
        <v>3424</v>
      </c>
      <c r="G11" s="546">
        <v>45894</v>
      </c>
      <c r="H11" s="547"/>
      <c r="I11" s="547" t="s">
        <v>3388</v>
      </c>
      <c r="J11" s="545" t="s">
        <v>3425</v>
      </c>
    </row>
    <row r="12" ht="27" hidden="1" customHeight="1" spans="1:10">
      <c r="A12" s="539" t="s">
        <v>108</v>
      </c>
      <c r="B12" s="544" t="s">
        <v>3426</v>
      </c>
      <c r="C12" s="544" t="s">
        <v>3427</v>
      </c>
      <c r="D12" s="545"/>
      <c r="E12" s="546">
        <v>45888</v>
      </c>
      <c r="F12" s="541" t="s">
        <v>3428</v>
      </c>
      <c r="G12" s="546">
        <v>45894</v>
      </c>
      <c r="H12" s="547"/>
      <c r="I12" s="547" t="s">
        <v>3388</v>
      </c>
      <c r="J12" s="545" t="s">
        <v>3429</v>
      </c>
    </row>
    <row r="13" ht="121.5" customHeight="1" spans="1:10">
      <c r="A13" s="539" t="s">
        <v>108</v>
      </c>
      <c r="B13" s="544" t="s">
        <v>3430</v>
      </c>
      <c r="C13" s="544" t="s">
        <v>3431</v>
      </c>
      <c r="D13" s="545" t="s">
        <v>3432</v>
      </c>
      <c r="E13" s="546">
        <v>45888</v>
      </c>
      <c r="F13" s="541" t="s">
        <v>3433</v>
      </c>
      <c r="G13" s="546">
        <v>45910</v>
      </c>
      <c r="H13" s="547"/>
      <c r="I13" s="547" t="s">
        <v>3388</v>
      </c>
      <c r="J13" s="545" t="s">
        <v>3434</v>
      </c>
    </row>
    <row r="14" ht="67.5" customHeight="1" spans="1:10">
      <c r="A14" s="539" t="s">
        <v>108</v>
      </c>
      <c r="B14" s="544" t="s">
        <v>479</v>
      </c>
      <c r="C14" s="544" t="s">
        <v>3435</v>
      </c>
      <c r="D14" s="545" t="s">
        <v>3436</v>
      </c>
      <c r="E14" s="546">
        <v>45888</v>
      </c>
      <c r="F14" s="541" t="s">
        <v>3433</v>
      </c>
      <c r="G14" s="546">
        <v>45910</v>
      </c>
      <c r="H14" s="547"/>
      <c r="I14" s="547" t="s">
        <v>3388</v>
      </c>
      <c r="J14" s="545" t="s">
        <v>3437</v>
      </c>
    </row>
    <row r="15" ht="27" customHeight="1" spans="1:10">
      <c r="A15" s="539" t="s">
        <v>526</v>
      </c>
      <c r="B15" s="544" t="s">
        <v>3438</v>
      </c>
      <c r="C15" s="544" t="s">
        <v>3439</v>
      </c>
      <c r="D15" s="545" t="s">
        <v>3440</v>
      </c>
      <c r="E15" s="546">
        <v>45919</v>
      </c>
      <c r="F15" s="541" t="s">
        <v>3420</v>
      </c>
      <c r="G15" s="546">
        <v>45930</v>
      </c>
      <c r="H15" s="547"/>
      <c r="I15" s="547" t="s">
        <v>3402</v>
      </c>
      <c r="J15" s="545" t="s">
        <v>3441</v>
      </c>
    </row>
    <row r="16" ht="27" customHeight="1" spans="1:10">
      <c r="A16" s="539" t="s">
        <v>526</v>
      </c>
      <c r="B16" s="544" t="s">
        <v>3442</v>
      </c>
      <c r="C16" s="544" t="s">
        <v>3443</v>
      </c>
      <c r="D16" s="545" t="s">
        <v>3444</v>
      </c>
      <c r="E16" s="546">
        <v>45919</v>
      </c>
      <c r="F16" s="541" t="s">
        <v>3420</v>
      </c>
      <c r="G16" s="546">
        <v>45930</v>
      </c>
      <c r="H16" s="547"/>
      <c r="I16" s="547" t="s">
        <v>3388</v>
      </c>
      <c r="J16" s="545" t="s">
        <v>3445</v>
      </c>
    </row>
  </sheetData>
  <autoFilter xmlns:etc="http://www.wps.cn/officeDocument/2017/etCustomData" ref="A2:J16" etc:filterBottomFollowUsedRange="0">
    <filterColumn colId="8">
      <customFilters>
        <customFilter operator="equal" val="打开"/>
      </customFilters>
    </filterColumn>
    <sortState ref="A2:J16">
      <sortCondition ref="E2"/>
    </sortState>
    <extLst/>
  </autoFilter>
  <mergeCells count="1">
    <mergeCell ref="A1:J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BE182"/>
  <sheetViews>
    <sheetView zoomScale="80" zoomScaleNormal="80" workbookViewId="0">
      <pane xSplit="18" ySplit="1" topLeftCell="AP2" activePane="bottomRight" state="frozen"/>
      <selection/>
      <selection pane="topRight"/>
      <selection pane="bottomLeft"/>
      <selection pane="bottomRight" activeCell="AZ5" sqref="AZ5"/>
    </sheetView>
  </sheetViews>
  <sheetFormatPr defaultColWidth="8.66371681415929" defaultRowHeight="15"/>
  <cols>
    <col min="1" max="1" width="13.5575221238938" customWidth="1"/>
    <col min="2" max="2" width="13.7787610619469" customWidth="1"/>
    <col min="3" max="3" width="10.4424778761062" customWidth="1"/>
    <col min="4" max="4" width="11.6637168141593" customWidth="1"/>
    <col min="5" max="7" width="9.33628318584071" style="427" hidden="1" customWidth="1"/>
    <col min="8" max="16" width="15.5575221238938" hidden="1" customWidth="1"/>
    <col min="17" max="17" width="10.4424778761062" style="3" hidden="1" customWidth="1"/>
    <col min="18" max="18" width="15.4424778761062" customWidth="1"/>
    <col min="19" max="19" width="17.8938053097345" style="3" customWidth="1"/>
    <col min="20" max="21" width="17.8938053097345" customWidth="1"/>
    <col min="22" max="29" width="24.2212389380531" hidden="1" customWidth="1"/>
    <col min="30" max="30" width="17.8938053097345" hidden="1" customWidth="1"/>
    <col min="31" max="31" width="20.1061946902655" hidden="1" customWidth="1"/>
    <col min="32" max="32" width="21.8938053097345" hidden="1" customWidth="1"/>
    <col min="33" max="33" width="18.5575221238938" hidden="1" customWidth="1"/>
    <col min="34" max="34" width="17.4424778761062" style="5" customWidth="1"/>
    <col min="35" max="35" width="14.2212389380531" style="5" customWidth="1"/>
    <col min="36" max="36" width="24.5575221238938" style="5" customWidth="1"/>
    <col min="37" max="37" width="17" customWidth="1"/>
    <col min="38" max="40" width="12.1061946902655" customWidth="1"/>
    <col min="41" max="52" width="14.8938053097345" customWidth="1"/>
    <col min="53" max="54" width="18.1061946902655" customWidth="1"/>
    <col min="55" max="55" width="12.8938053097345" customWidth="1"/>
  </cols>
  <sheetData>
    <row r="1" ht="34.2" customHeight="1" spans="1:56">
      <c r="A1" s="168" t="s">
        <v>488</v>
      </c>
      <c r="B1" s="168" t="s">
        <v>100</v>
      </c>
      <c r="C1" s="168" t="s">
        <v>101</v>
      </c>
      <c r="D1" s="168" t="s">
        <v>102</v>
      </c>
      <c r="E1" s="168" t="s">
        <v>3446</v>
      </c>
      <c r="F1" s="72" t="s">
        <v>3447</v>
      </c>
      <c r="G1" s="168" t="s">
        <v>3448</v>
      </c>
      <c r="H1" s="168" t="s">
        <v>3449</v>
      </c>
      <c r="I1" s="168" t="s">
        <v>3450</v>
      </c>
      <c r="J1" s="168" t="s">
        <v>3451</v>
      </c>
      <c r="K1" s="168" t="s">
        <v>3452</v>
      </c>
      <c r="L1" s="168" t="s">
        <v>3453</v>
      </c>
      <c r="M1" s="168" t="s">
        <v>3454</v>
      </c>
      <c r="N1" s="168" t="s">
        <v>3455</v>
      </c>
      <c r="O1" s="168" t="s">
        <v>3456</v>
      </c>
      <c r="P1" s="168" t="s">
        <v>3457</v>
      </c>
      <c r="Q1" s="168" t="s">
        <v>3458</v>
      </c>
      <c r="R1" s="168" t="s">
        <v>3459</v>
      </c>
      <c r="S1" s="37" t="s">
        <v>3460</v>
      </c>
      <c r="T1" s="38" t="s">
        <v>3461</v>
      </c>
      <c r="U1" s="39" t="s">
        <v>3462</v>
      </c>
      <c r="V1" s="65" t="s">
        <v>3463</v>
      </c>
      <c r="W1" s="65" t="s">
        <v>3464</v>
      </c>
      <c r="X1" s="65" t="s">
        <v>3465</v>
      </c>
      <c r="Y1" s="65" t="s">
        <v>3466</v>
      </c>
      <c r="Z1" s="65" t="s">
        <v>3467</v>
      </c>
      <c r="AA1" s="65" t="s">
        <v>3468</v>
      </c>
      <c r="AB1" s="65" t="s">
        <v>3469</v>
      </c>
      <c r="AC1" s="65" t="s">
        <v>3470</v>
      </c>
      <c r="AD1" s="65" t="s">
        <v>3471</v>
      </c>
      <c r="AE1" s="65" t="s">
        <v>3472</v>
      </c>
      <c r="AF1" s="72" t="s">
        <v>3473</v>
      </c>
      <c r="AG1" s="65" t="s">
        <v>3474</v>
      </c>
      <c r="AH1" s="167" t="s">
        <v>3475</v>
      </c>
      <c r="AI1" s="167" t="s">
        <v>3476</v>
      </c>
      <c r="AJ1" s="71" t="s">
        <v>3477</v>
      </c>
      <c r="AK1" s="72" t="s">
        <v>3478</v>
      </c>
      <c r="AL1" s="72" t="s">
        <v>3479</v>
      </c>
      <c r="AM1" s="72" t="s">
        <v>3383</v>
      </c>
      <c r="AN1" s="74" t="s">
        <v>3480</v>
      </c>
      <c r="AO1" s="65">
        <v>202612</v>
      </c>
      <c r="AP1" s="65">
        <v>202611</v>
      </c>
      <c r="AQ1" s="65">
        <v>202610</v>
      </c>
      <c r="AR1" s="65">
        <v>202609</v>
      </c>
      <c r="AS1" s="65">
        <v>202608</v>
      </c>
      <c r="AT1" s="65">
        <v>202607</v>
      </c>
      <c r="AU1" s="65">
        <v>202606</v>
      </c>
      <c r="AV1" s="65">
        <v>202605</v>
      </c>
      <c r="AW1" s="65">
        <v>202604</v>
      </c>
      <c r="AX1" s="65">
        <v>202603</v>
      </c>
      <c r="AY1" s="72">
        <v>202602</v>
      </c>
      <c r="AZ1" s="442">
        <v>202601</v>
      </c>
      <c r="BA1" s="443" t="s">
        <v>3481</v>
      </c>
      <c r="BB1" s="443" t="s">
        <v>3482</v>
      </c>
      <c r="BC1" s="443" t="s">
        <v>3483</v>
      </c>
      <c r="BD1" s="444" t="s">
        <v>107</v>
      </c>
    </row>
    <row r="2" ht="14.25" customHeight="1" spans="1:56">
      <c r="A2" s="8" t="s">
        <v>688</v>
      </c>
      <c r="B2" s="179" t="s">
        <v>3363</v>
      </c>
      <c r="C2" s="17">
        <v>45689</v>
      </c>
      <c r="D2" s="172">
        <v>46054</v>
      </c>
      <c r="E2" s="19" t="s">
        <v>3484</v>
      </c>
      <c r="F2" s="19" t="s">
        <v>3484</v>
      </c>
      <c r="G2" s="19"/>
      <c r="H2" s="19"/>
      <c r="I2" s="19"/>
      <c r="J2" s="19"/>
      <c r="K2" s="19"/>
      <c r="L2" s="19"/>
      <c r="M2" s="197"/>
      <c r="N2" s="197"/>
      <c r="O2" s="197"/>
      <c r="P2" s="197"/>
      <c r="Q2" s="432" t="s">
        <v>3485</v>
      </c>
      <c r="R2" s="41" t="s">
        <v>3486</v>
      </c>
      <c r="S2" s="204">
        <v>3773584.91</v>
      </c>
      <c r="T2" s="44">
        <f>SUM(AO2:BC2)</f>
        <v>1123771.37</v>
      </c>
      <c r="U2" s="44">
        <f>SUM(BA2:BC2)</f>
        <v>1123771.37</v>
      </c>
      <c r="V2" s="44">
        <f>SUM(AO2:AZ2)</f>
        <v>0</v>
      </c>
      <c r="W2" s="44">
        <f>SUM(AP2:AZ2)</f>
        <v>0</v>
      </c>
      <c r="X2" s="44">
        <f>SUM(AQ2:AZ2)</f>
        <v>0</v>
      </c>
      <c r="Y2" s="44">
        <f>SUM(AR2:AZ2)</f>
        <v>0</v>
      </c>
      <c r="Z2" s="44">
        <f>SUM(AS2:AZ2)</f>
        <v>0</v>
      </c>
      <c r="AA2" s="44">
        <f>SUM(AT2:AZ2)</f>
        <v>0</v>
      </c>
      <c r="AB2" s="44">
        <f>SUM(AU2:AZ2)</f>
        <v>0</v>
      </c>
      <c r="AC2" s="44">
        <f>SUM(AV2:AZ2)</f>
        <v>0</v>
      </c>
      <c r="AD2" s="44">
        <f>SUM(AW2:AZ2)</f>
        <v>0</v>
      </c>
      <c r="AE2" s="44">
        <f>SUM(AX2:AZ2)</f>
        <v>0</v>
      </c>
      <c r="AF2" s="44">
        <f>SUM(AY2:AZ2)</f>
        <v>0</v>
      </c>
      <c r="AG2" s="44">
        <f>SUM(AZ2:AZ2)</f>
        <v>0</v>
      </c>
      <c r="AH2" s="220"/>
      <c r="AI2" s="220"/>
      <c r="AJ2" s="229" t="s">
        <v>3487</v>
      </c>
      <c r="AK2" s="87" t="s">
        <v>3488</v>
      </c>
      <c r="AL2" s="225" t="s">
        <v>3489</v>
      </c>
      <c r="AM2" s="437" t="s">
        <v>377</v>
      </c>
      <c r="AN2" s="438"/>
      <c r="AO2" s="44"/>
      <c r="AP2" s="44"/>
      <c r="AQ2" s="44"/>
      <c r="AR2" s="44"/>
      <c r="AS2" s="44"/>
      <c r="AT2" s="44"/>
      <c r="AU2" s="44"/>
      <c r="AV2" s="44"/>
      <c r="AW2" s="44"/>
      <c r="AX2" s="44"/>
      <c r="AY2" s="44">
        <v>0</v>
      </c>
      <c r="AZ2" s="445">
        <v>0</v>
      </c>
      <c r="BA2" s="43">
        <v>1123771.37</v>
      </c>
      <c r="BB2" s="43"/>
      <c r="BC2" s="446"/>
      <c r="BD2" s="196"/>
    </row>
    <row r="3" ht="14.25" customHeight="1" spans="1:56">
      <c r="A3" s="13"/>
      <c r="B3" s="13"/>
      <c r="C3" s="13"/>
      <c r="D3" s="81"/>
      <c r="E3" s="22"/>
      <c r="F3" s="22"/>
      <c r="G3" s="22"/>
      <c r="H3" s="22"/>
      <c r="I3" s="22"/>
      <c r="J3" s="22"/>
      <c r="K3" s="22"/>
      <c r="L3" s="22"/>
      <c r="M3" s="22"/>
      <c r="N3" s="22"/>
      <c r="O3" s="22"/>
      <c r="P3" s="22"/>
      <c r="Q3" s="235"/>
      <c r="R3" s="41" t="s">
        <v>3490</v>
      </c>
      <c r="S3" s="433">
        <v>3399851.23</v>
      </c>
      <c r="T3" s="44">
        <f>SUM(AO3:BC3)</f>
        <v>3360415.46</v>
      </c>
      <c r="U3" s="44">
        <f>SUM(BA3:BC3)</f>
        <v>3296069.46</v>
      </c>
      <c r="V3" s="44">
        <f>SUM(AO3:AZ3)</f>
        <v>64346</v>
      </c>
      <c r="W3" s="44">
        <f>SUM(AP3:AZ3)</f>
        <v>64346</v>
      </c>
      <c r="X3" s="44">
        <f>SUM(AQ3:AZ3)</f>
        <v>64346</v>
      </c>
      <c r="Y3" s="44">
        <f>SUM(AR3:AZ3)</f>
        <v>64346</v>
      </c>
      <c r="Z3" s="44">
        <f>SUM(AS3:AZ3)</f>
        <v>64346</v>
      </c>
      <c r="AA3" s="44">
        <f>SUM(AT3:AZ3)</f>
        <v>64346</v>
      </c>
      <c r="AB3" s="44">
        <f>SUM(AU3:AZ3)</f>
        <v>64346</v>
      </c>
      <c r="AC3" s="44">
        <f>SUM(AV3:AZ3)</f>
        <v>64346</v>
      </c>
      <c r="AD3" s="44">
        <f>SUM(AW3:AZ3)</f>
        <v>64346</v>
      </c>
      <c r="AE3" s="44">
        <f>SUM(AX3:AZ3)</f>
        <v>64346</v>
      </c>
      <c r="AF3" s="44">
        <f>SUM(AY3:AZ3)</f>
        <v>64346</v>
      </c>
      <c r="AG3" s="44">
        <f>SUM(AZ3:AZ3)</f>
        <v>64346</v>
      </c>
      <c r="AH3" s="220"/>
      <c r="AI3" s="220"/>
      <c r="AJ3" s="13"/>
      <c r="AK3" s="13"/>
      <c r="AL3" s="13"/>
      <c r="AM3" s="13"/>
      <c r="AN3" s="13"/>
      <c r="AO3" s="44"/>
      <c r="AP3" s="44"/>
      <c r="AQ3" s="44"/>
      <c r="AR3" s="44"/>
      <c r="AS3" s="44"/>
      <c r="AT3" s="44"/>
      <c r="AU3" s="44"/>
      <c r="AV3" s="44"/>
      <c r="AW3" s="44"/>
      <c r="AX3" s="44"/>
      <c r="AY3" s="44">
        <v>0</v>
      </c>
      <c r="AZ3" s="445">
        <v>64346</v>
      </c>
      <c r="BA3" s="43">
        <v>3296069.46</v>
      </c>
      <c r="BB3" s="43"/>
      <c r="BC3" s="446"/>
      <c r="BD3" s="196"/>
    </row>
    <row r="4" ht="14.25" customHeight="1" spans="1:56">
      <c r="A4" s="13"/>
      <c r="B4" s="13"/>
      <c r="C4" s="13"/>
      <c r="D4" s="81"/>
      <c r="E4" s="22"/>
      <c r="F4" s="22"/>
      <c r="G4" s="22"/>
      <c r="H4" s="22"/>
      <c r="I4" s="22"/>
      <c r="J4" s="22"/>
      <c r="K4" s="22"/>
      <c r="L4" s="22"/>
      <c r="M4" s="22"/>
      <c r="N4" s="22"/>
      <c r="O4" s="22"/>
      <c r="P4" s="22"/>
      <c r="Q4" s="235"/>
      <c r="R4" s="41" t="s">
        <v>3491</v>
      </c>
      <c r="S4" s="433"/>
      <c r="T4" s="44"/>
      <c r="U4" s="44"/>
      <c r="V4" s="44"/>
      <c r="W4" s="44"/>
      <c r="X4" s="44"/>
      <c r="Y4" s="44"/>
      <c r="Z4" s="44"/>
      <c r="AA4" s="44"/>
      <c r="AB4" s="44"/>
      <c r="AC4" s="44"/>
      <c r="AD4" s="44"/>
      <c r="AE4" s="44"/>
      <c r="AF4" s="44"/>
      <c r="AG4" s="44"/>
      <c r="AH4" s="220"/>
      <c r="AI4" s="220"/>
      <c r="AJ4" s="13"/>
      <c r="AK4" s="13"/>
      <c r="AL4" s="13"/>
      <c r="AM4" s="13"/>
      <c r="AN4" s="13"/>
      <c r="AO4" s="44"/>
      <c r="AP4" s="44"/>
      <c r="AQ4" s="44"/>
      <c r="AR4" s="44"/>
      <c r="AS4" s="44"/>
      <c r="AT4" s="44"/>
      <c r="AU4" s="44"/>
      <c r="AV4" s="44"/>
      <c r="AW4" s="44"/>
      <c r="AX4" s="44"/>
      <c r="AY4" s="44">
        <v>-17.28</v>
      </c>
      <c r="AZ4" s="445"/>
      <c r="BA4" s="43"/>
      <c r="BB4" s="43"/>
      <c r="BC4" s="446"/>
      <c r="BD4" s="196"/>
    </row>
    <row r="5" ht="14.25" customHeight="1" spans="1:56">
      <c r="A5" s="13"/>
      <c r="B5" s="13"/>
      <c r="C5" s="13"/>
      <c r="D5" s="81"/>
      <c r="E5" s="22"/>
      <c r="F5" s="22"/>
      <c r="G5" s="22"/>
      <c r="H5" s="22"/>
      <c r="I5" s="22"/>
      <c r="J5" s="22"/>
      <c r="K5" s="22"/>
      <c r="L5" s="22"/>
      <c r="M5" s="22"/>
      <c r="N5" s="22"/>
      <c r="O5" s="22"/>
      <c r="P5" s="22"/>
      <c r="Q5" s="235"/>
      <c r="R5" s="41" t="s">
        <v>3492</v>
      </c>
      <c r="S5" s="204">
        <v>30000</v>
      </c>
      <c r="T5" s="44">
        <f>SUM(AO5:BC5)</f>
        <v>0</v>
      </c>
      <c r="U5" s="44">
        <f>SUM(BA5:BC5)</f>
        <v>0</v>
      </c>
      <c r="V5" s="44">
        <f>SUM(AO5:AZ5)</f>
        <v>0</v>
      </c>
      <c r="W5" s="44">
        <f>SUM(AP5:AZ5)</f>
        <v>0</v>
      </c>
      <c r="X5" s="44">
        <f>SUM(AQ5:AZ5)</f>
        <v>0</v>
      </c>
      <c r="Y5" s="44">
        <f>SUM(AR5:AZ5)</f>
        <v>0</v>
      </c>
      <c r="Z5" s="44">
        <f>SUM(AS5:AZ5)</f>
        <v>0</v>
      </c>
      <c r="AA5" s="44">
        <f>SUM(AT5:AZ5)</f>
        <v>0</v>
      </c>
      <c r="AB5" s="44">
        <f>SUM(AU5:AZ5)</f>
        <v>0</v>
      </c>
      <c r="AC5" s="44">
        <f>SUM(AV5:AZ5)</f>
        <v>0</v>
      </c>
      <c r="AD5" s="44">
        <f>SUM(AW5:AZ5)</f>
        <v>0</v>
      </c>
      <c r="AE5" s="44">
        <f>SUM(AX5:AZ5)</f>
        <v>0</v>
      </c>
      <c r="AF5" s="44">
        <f>SUM(AY5:AZ5)</f>
        <v>0</v>
      </c>
      <c r="AG5" s="44">
        <f>SUM(AZ5:AZ5)</f>
        <v>0</v>
      </c>
      <c r="AH5" s="220"/>
      <c r="AI5" s="220"/>
      <c r="AJ5" s="13"/>
      <c r="AK5" s="13"/>
      <c r="AL5" s="13"/>
      <c r="AM5" s="13"/>
      <c r="AN5" s="13"/>
      <c r="AO5" s="44"/>
      <c r="AP5" s="44"/>
      <c r="AQ5" s="44"/>
      <c r="AR5" s="44"/>
      <c r="AS5" s="44"/>
      <c r="AT5" s="44"/>
      <c r="AU5" s="44"/>
      <c r="AV5" s="44"/>
      <c r="AW5" s="44"/>
      <c r="AX5" s="44"/>
      <c r="AY5" s="44">
        <v>0</v>
      </c>
      <c r="AZ5" s="445">
        <v>0</v>
      </c>
      <c r="BA5" s="43">
        <v>0</v>
      </c>
      <c r="BB5" s="43"/>
      <c r="BC5" s="446"/>
      <c r="BD5" s="196"/>
    </row>
    <row r="6" ht="14.25" customHeight="1" spans="1:56">
      <c r="A6" s="13"/>
      <c r="B6" s="13"/>
      <c r="C6" s="13"/>
      <c r="D6" s="81"/>
      <c r="E6" s="22"/>
      <c r="F6" s="22"/>
      <c r="G6" s="22"/>
      <c r="H6" s="22"/>
      <c r="I6" s="22"/>
      <c r="J6" s="22"/>
      <c r="K6" s="22"/>
      <c r="L6" s="22"/>
      <c r="M6" s="22"/>
      <c r="N6" s="22"/>
      <c r="O6" s="22"/>
      <c r="P6" s="22"/>
      <c r="Q6" s="235"/>
      <c r="R6" s="41" t="s">
        <v>3493</v>
      </c>
      <c r="S6" s="204">
        <v>0</v>
      </c>
      <c r="T6" s="44">
        <f>SUM(AO6:BC6)</f>
        <v>51415.11</v>
      </c>
      <c r="U6" s="44">
        <f>SUM(BA6:BC6)</f>
        <v>50651.07</v>
      </c>
      <c r="V6" s="44">
        <f>SUM(AO6:AZ6)</f>
        <v>764.04</v>
      </c>
      <c r="W6" s="44">
        <f>SUM(AP6:AZ6)</f>
        <v>764.04</v>
      </c>
      <c r="X6" s="44">
        <f>SUM(AQ6:AZ6)</f>
        <v>764.04</v>
      </c>
      <c r="Y6" s="44">
        <f>SUM(AR6:AZ6)</f>
        <v>764.04</v>
      </c>
      <c r="Z6" s="44">
        <f>SUM(AS6:AZ6)</f>
        <v>764.04</v>
      </c>
      <c r="AA6" s="44">
        <f>SUM(AT6:AZ6)</f>
        <v>764.04</v>
      </c>
      <c r="AB6" s="44">
        <f>SUM(AU6:AZ6)</f>
        <v>764.04</v>
      </c>
      <c r="AC6" s="44">
        <f>SUM(AV6:AZ6)</f>
        <v>764.04</v>
      </c>
      <c r="AD6" s="44">
        <f>SUM(AW6:AZ6)</f>
        <v>764.04</v>
      </c>
      <c r="AE6" s="44">
        <f>SUM(AX6:AZ6)</f>
        <v>764.04</v>
      </c>
      <c r="AF6" s="44">
        <f>SUM(AY6:AZ6)</f>
        <v>764.04</v>
      </c>
      <c r="AG6" s="44">
        <f>SUM(AZ6:AZ6)</f>
        <v>382.02</v>
      </c>
      <c r="AH6" s="220"/>
      <c r="AI6" s="220"/>
      <c r="AJ6" s="13"/>
      <c r="AK6" s="13"/>
      <c r="AL6" s="13"/>
      <c r="AM6" s="13"/>
      <c r="AN6" s="13"/>
      <c r="AO6" s="44"/>
      <c r="AP6" s="44"/>
      <c r="AQ6" s="44"/>
      <c r="AR6" s="44"/>
      <c r="AS6" s="44"/>
      <c r="AT6" s="44"/>
      <c r="AU6" s="44"/>
      <c r="AV6" s="44"/>
      <c r="AW6" s="44"/>
      <c r="AX6" s="44"/>
      <c r="AY6" s="44">
        <v>382.02</v>
      </c>
      <c r="AZ6" s="445">
        <v>382.02</v>
      </c>
      <c r="BA6" s="43">
        <v>50651.07</v>
      </c>
      <c r="BB6" s="43"/>
      <c r="BC6" s="446"/>
      <c r="BD6" s="196"/>
    </row>
    <row r="7" ht="14.25" customHeight="1" spans="1:56">
      <c r="A7" s="13"/>
      <c r="B7" s="13"/>
      <c r="C7" s="13"/>
      <c r="D7" s="81"/>
      <c r="E7" s="22"/>
      <c r="F7" s="22"/>
      <c r="G7" s="22"/>
      <c r="H7" s="22"/>
      <c r="I7" s="22"/>
      <c r="J7" s="22"/>
      <c r="K7" s="22"/>
      <c r="L7" s="22"/>
      <c r="M7" s="22"/>
      <c r="N7" s="22"/>
      <c r="O7" s="22"/>
      <c r="P7" s="22"/>
      <c r="Q7" s="235"/>
      <c r="R7" s="41" t="s">
        <v>3494</v>
      </c>
      <c r="S7" s="204">
        <f t="shared" ref="S7:AI7" si="0">SUM(S3:S6)</f>
        <v>3429851.23</v>
      </c>
      <c r="T7" s="204">
        <f t="shared" si="0"/>
        <v>3411830.57</v>
      </c>
      <c r="U7" s="204">
        <f t="shared" si="0"/>
        <v>3346720.53</v>
      </c>
      <c r="V7" s="204">
        <f t="shared" si="0"/>
        <v>65110.04</v>
      </c>
      <c r="W7" s="204">
        <f t="shared" si="0"/>
        <v>65110.04</v>
      </c>
      <c r="X7" s="204">
        <f t="shared" si="0"/>
        <v>65110.04</v>
      </c>
      <c r="Y7" s="204">
        <f t="shared" si="0"/>
        <v>65110.04</v>
      </c>
      <c r="Z7" s="204">
        <f t="shared" si="0"/>
        <v>65110.04</v>
      </c>
      <c r="AA7" s="204">
        <f t="shared" si="0"/>
        <v>65110.04</v>
      </c>
      <c r="AB7" s="204">
        <f t="shared" si="0"/>
        <v>65110.04</v>
      </c>
      <c r="AC7" s="204">
        <f t="shared" si="0"/>
        <v>65110.04</v>
      </c>
      <c r="AD7" s="204">
        <f t="shared" si="0"/>
        <v>65110.04</v>
      </c>
      <c r="AE7" s="204">
        <f t="shared" si="0"/>
        <v>65110.04</v>
      </c>
      <c r="AF7" s="204">
        <f t="shared" si="0"/>
        <v>65110.04</v>
      </c>
      <c r="AG7" s="204">
        <f t="shared" si="0"/>
        <v>64728.02</v>
      </c>
      <c r="AH7" s="204">
        <f t="shared" si="0"/>
        <v>0</v>
      </c>
      <c r="AI7" s="204">
        <f t="shared" si="0"/>
        <v>0</v>
      </c>
      <c r="AJ7" s="13"/>
      <c r="AK7" s="13"/>
      <c r="AL7" s="13"/>
      <c r="AM7" s="13"/>
      <c r="AN7" s="13"/>
      <c r="AO7" s="204">
        <f t="shared" ref="AO7:BA7" si="1">SUM(AO3:AO6)</f>
        <v>0</v>
      </c>
      <c r="AP7" s="204">
        <f t="shared" si="1"/>
        <v>0</v>
      </c>
      <c r="AQ7" s="204">
        <f t="shared" si="1"/>
        <v>0</v>
      </c>
      <c r="AR7" s="204">
        <f t="shared" si="1"/>
        <v>0</v>
      </c>
      <c r="AS7" s="204">
        <f t="shared" si="1"/>
        <v>0</v>
      </c>
      <c r="AT7" s="204">
        <f t="shared" si="1"/>
        <v>0</v>
      </c>
      <c r="AU7" s="204">
        <f t="shared" si="1"/>
        <v>0</v>
      </c>
      <c r="AV7" s="204">
        <f t="shared" si="1"/>
        <v>0</v>
      </c>
      <c r="AW7" s="204">
        <f t="shared" si="1"/>
        <v>0</v>
      </c>
      <c r="AX7" s="204">
        <f t="shared" si="1"/>
        <v>0</v>
      </c>
      <c r="AY7" s="204">
        <f t="shared" si="1"/>
        <v>364.74</v>
      </c>
      <c r="AZ7" s="447">
        <f t="shared" si="1"/>
        <v>64728.02</v>
      </c>
      <c r="BA7" s="448">
        <f t="shared" si="1"/>
        <v>3346720.53</v>
      </c>
      <c r="BB7" s="43"/>
      <c r="BC7" s="446"/>
      <c r="BD7" s="196"/>
    </row>
    <row r="8" ht="14.25" customHeight="1" spans="1:56">
      <c r="A8" s="13"/>
      <c r="B8" s="13"/>
      <c r="C8" s="13"/>
      <c r="D8" s="81"/>
      <c r="E8" s="22"/>
      <c r="F8" s="22"/>
      <c r="G8" s="22"/>
      <c r="H8" s="22"/>
      <c r="I8" s="22"/>
      <c r="J8" s="22"/>
      <c r="K8" s="22"/>
      <c r="L8" s="22"/>
      <c r="M8" s="22"/>
      <c r="N8" s="22"/>
      <c r="O8" s="22"/>
      <c r="P8" s="22"/>
      <c r="Q8" s="235"/>
      <c r="R8" s="41" t="s">
        <v>3495</v>
      </c>
      <c r="S8" s="44">
        <f t="shared" ref="S8:AG8" si="2">S2-S3</f>
        <v>373733.68</v>
      </c>
      <c r="T8" s="44">
        <f t="shared" si="2"/>
        <v>-2236644.09</v>
      </c>
      <c r="U8" s="44">
        <f t="shared" si="2"/>
        <v>-2172298.09</v>
      </c>
      <c r="V8" s="44">
        <f t="shared" si="2"/>
        <v>-64346</v>
      </c>
      <c r="W8" s="44">
        <f t="shared" si="2"/>
        <v>-64346</v>
      </c>
      <c r="X8" s="44">
        <f t="shared" si="2"/>
        <v>-64346</v>
      </c>
      <c r="Y8" s="44">
        <f t="shared" si="2"/>
        <v>-64346</v>
      </c>
      <c r="Z8" s="44">
        <f t="shared" si="2"/>
        <v>-64346</v>
      </c>
      <c r="AA8" s="44">
        <f t="shared" si="2"/>
        <v>-64346</v>
      </c>
      <c r="AB8" s="44">
        <f t="shared" si="2"/>
        <v>-64346</v>
      </c>
      <c r="AC8" s="44">
        <f t="shared" si="2"/>
        <v>-64346</v>
      </c>
      <c r="AD8" s="44">
        <f t="shared" si="2"/>
        <v>-64346</v>
      </c>
      <c r="AE8" s="44">
        <f t="shared" si="2"/>
        <v>-64346</v>
      </c>
      <c r="AF8" s="44">
        <f t="shared" si="2"/>
        <v>-64346</v>
      </c>
      <c r="AG8" s="44">
        <f t="shared" si="2"/>
        <v>-64346</v>
      </c>
      <c r="AH8" s="220"/>
      <c r="AI8" s="220"/>
      <c r="AJ8" s="13"/>
      <c r="AK8" s="13"/>
      <c r="AL8" s="13"/>
      <c r="AM8" s="13"/>
      <c r="AN8" s="13"/>
      <c r="AO8" s="44">
        <f t="shared" ref="AO8:AZ8" si="3">AO2-AO3</f>
        <v>0</v>
      </c>
      <c r="AP8" s="44">
        <f t="shared" si="3"/>
        <v>0</v>
      </c>
      <c r="AQ8" s="44">
        <f t="shared" si="3"/>
        <v>0</v>
      </c>
      <c r="AR8" s="44">
        <f t="shared" si="3"/>
        <v>0</v>
      </c>
      <c r="AS8" s="44">
        <f t="shared" si="3"/>
        <v>0</v>
      </c>
      <c r="AT8" s="44">
        <f t="shared" si="3"/>
        <v>0</v>
      </c>
      <c r="AU8" s="44">
        <f t="shared" si="3"/>
        <v>0</v>
      </c>
      <c r="AV8" s="44">
        <f t="shared" si="3"/>
        <v>0</v>
      </c>
      <c r="AW8" s="44">
        <f t="shared" si="3"/>
        <v>0</v>
      </c>
      <c r="AX8" s="44">
        <f t="shared" si="3"/>
        <v>0</v>
      </c>
      <c r="AY8" s="44">
        <f t="shared" si="3"/>
        <v>0</v>
      </c>
      <c r="AZ8" s="445">
        <f t="shared" si="3"/>
        <v>-64346</v>
      </c>
      <c r="BA8" s="43">
        <v>-2110301.95</v>
      </c>
      <c r="BB8" s="43"/>
      <c r="BC8" s="446"/>
      <c r="BD8" s="196"/>
    </row>
    <row r="9" ht="14.25" customHeight="1" spans="1:56">
      <c r="A9" s="13"/>
      <c r="B9" s="13"/>
      <c r="C9" s="13"/>
      <c r="D9" s="81"/>
      <c r="E9" s="22"/>
      <c r="F9" s="22"/>
      <c r="G9" s="22"/>
      <c r="H9" s="22"/>
      <c r="I9" s="22"/>
      <c r="J9" s="22"/>
      <c r="K9" s="22"/>
      <c r="L9" s="22"/>
      <c r="M9" s="22"/>
      <c r="N9" s="22"/>
      <c r="O9" s="22"/>
      <c r="P9" s="22"/>
      <c r="Q9" s="235"/>
      <c r="R9" s="47" t="s">
        <v>3496</v>
      </c>
      <c r="S9" s="48">
        <f t="shared" ref="S9:AG9" si="4">S8/S2</f>
        <v>0.0990394250861047</v>
      </c>
      <c r="T9" s="48">
        <f t="shared" si="4"/>
        <v>-1.99030171946808</v>
      </c>
      <c r="U9" s="48">
        <f t="shared" si="4"/>
        <v>-1.93304274160321</v>
      </c>
      <c r="V9" s="48" t="e">
        <f t="shared" si="4"/>
        <v>#DIV/0!</v>
      </c>
      <c r="W9" s="48" t="e">
        <f t="shared" si="4"/>
        <v>#DIV/0!</v>
      </c>
      <c r="X9" s="48" t="e">
        <f t="shared" si="4"/>
        <v>#DIV/0!</v>
      </c>
      <c r="Y9" s="48" t="e">
        <f t="shared" si="4"/>
        <v>#DIV/0!</v>
      </c>
      <c r="Z9" s="48" t="e">
        <f t="shared" si="4"/>
        <v>#DIV/0!</v>
      </c>
      <c r="AA9" s="48" t="e">
        <f t="shared" si="4"/>
        <v>#DIV/0!</v>
      </c>
      <c r="AB9" s="48" t="e">
        <f t="shared" si="4"/>
        <v>#DIV/0!</v>
      </c>
      <c r="AC9" s="48" t="e">
        <f t="shared" si="4"/>
        <v>#DIV/0!</v>
      </c>
      <c r="AD9" s="48" t="e">
        <f t="shared" si="4"/>
        <v>#DIV/0!</v>
      </c>
      <c r="AE9" s="48" t="e">
        <f t="shared" si="4"/>
        <v>#DIV/0!</v>
      </c>
      <c r="AF9" s="48" t="e">
        <f t="shared" si="4"/>
        <v>#DIV/0!</v>
      </c>
      <c r="AG9" s="48" t="e">
        <f t="shared" si="4"/>
        <v>#DIV/0!</v>
      </c>
      <c r="AH9" s="224">
        <f>T9-S9</f>
        <v>-2.08934114455418</v>
      </c>
      <c r="AI9" s="224" t="e">
        <f>AF9-S9</f>
        <v>#DIV/0!</v>
      </c>
      <c r="AJ9" s="13"/>
      <c r="AK9" s="13"/>
      <c r="AL9" s="13"/>
      <c r="AM9" s="13"/>
      <c r="AN9" s="13"/>
      <c r="AO9" s="48" t="e">
        <f t="shared" ref="AO9:AZ9" si="5">AO8/AO2</f>
        <v>#DIV/0!</v>
      </c>
      <c r="AP9" s="48" t="e">
        <f t="shared" si="5"/>
        <v>#DIV/0!</v>
      </c>
      <c r="AQ9" s="48" t="e">
        <f t="shared" si="5"/>
        <v>#DIV/0!</v>
      </c>
      <c r="AR9" s="48" t="e">
        <f t="shared" si="5"/>
        <v>#DIV/0!</v>
      </c>
      <c r="AS9" s="48" t="e">
        <f t="shared" si="5"/>
        <v>#DIV/0!</v>
      </c>
      <c r="AT9" s="48" t="e">
        <f t="shared" si="5"/>
        <v>#DIV/0!</v>
      </c>
      <c r="AU9" s="48" t="e">
        <f t="shared" si="5"/>
        <v>#DIV/0!</v>
      </c>
      <c r="AV9" s="48" t="e">
        <f t="shared" si="5"/>
        <v>#DIV/0!</v>
      </c>
      <c r="AW9" s="48" t="e">
        <f t="shared" si="5"/>
        <v>#DIV/0!</v>
      </c>
      <c r="AX9" s="48" t="e">
        <f t="shared" si="5"/>
        <v>#DIV/0!</v>
      </c>
      <c r="AY9" s="48" t="e">
        <f t="shared" si="5"/>
        <v>#DIV/0!</v>
      </c>
      <c r="AZ9" s="449" t="e">
        <f t="shared" si="5"/>
        <v>#DIV/0!</v>
      </c>
      <c r="BA9" s="49">
        <v>-1.87770770530699</v>
      </c>
      <c r="BB9" s="49"/>
      <c r="BC9" s="446"/>
      <c r="BD9" s="196"/>
    </row>
    <row r="10" ht="14.25" customHeight="1" spans="1:56">
      <c r="A10" s="13"/>
      <c r="B10" s="13"/>
      <c r="C10" s="13"/>
      <c r="D10" s="81"/>
      <c r="E10" s="22"/>
      <c r="F10" s="22"/>
      <c r="G10" s="22"/>
      <c r="H10" s="22"/>
      <c r="I10" s="22"/>
      <c r="J10" s="22"/>
      <c r="K10" s="22"/>
      <c r="L10" s="22"/>
      <c r="M10" s="22"/>
      <c r="N10" s="22"/>
      <c r="O10" s="22"/>
      <c r="P10" s="22"/>
      <c r="Q10" s="235"/>
      <c r="R10" s="41" t="s">
        <v>3497</v>
      </c>
      <c r="S10" s="43">
        <f t="shared" ref="S10:AG10" si="6">S2-S3-S5-S6</f>
        <v>343733.68</v>
      </c>
      <c r="T10" s="44">
        <f t="shared" si="6"/>
        <v>-2288059.2</v>
      </c>
      <c r="U10" s="44">
        <f t="shared" si="6"/>
        <v>-2222949.16</v>
      </c>
      <c r="V10" s="44">
        <f t="shared" si="6"/>
        <v>-65110.04</v>
      </c>
      <c r="W10" s="44">
        <f t="shared" si="6"/>
        <v>-65110.04</v>
      </c>
      <c r="X10" s="44">
        <f t="shared" si="6"/>
        <v>-65110.04</v>
      </c>
      <c r="Y10" s="44">
        <f t="shared" si="6"/>
        <v>-65110.04</v>
      </c>
      <c r="Z10" s="44">
        <f t="shared" si="6"/>
        <v>-65110.04</v>
      </c>
      <c r="AA10" s="44">
        <f t="shared" si="6"/>
        <v>-65110.04</v>
      </c>
      <c r="AB10" s="44">
        <f t="shared" si="6"/>
        <v>-65110.04</v>
      </c>
      <c r="AC10" s="44">
        <f t="shared" si="6"/>
        <v>-65110.04</v>
      </c>
      <c r="AD10" s="44">
        <f t="shared" si="6"/>
        <v>-65110.04</v>
      </c>
      <c r="AE10" s="44">
        <f t="shared" si="6"/>
        <v>-65110.04</v>
      </c>
      <c r="AF10" s="44">
        <f t="shared" si="6"/>
        <v>-65110.04</v>
      </c>
      <c r="AG10" s="44">
        <f t="shared" si="6"/>
        <v>-64728.02</v>
      </c>
      <c r="AH10" s="224"/>
      <c r="AI10" s="224"/>
      <c r="AJ10" s="13"/>
      <c r="AK10" s="13"/>
      <c r="AL10" s="13"/>
      <c r="AM10" s="13"/>
      <c r="AN10" s="13"/>
      <c r="AO10" s="44">
        <f t="shared" ref="AO10:AZ10" si="7">AO2-AO3-AO5-AO6</f>
        <v>0</v>
      </c>
      <c r="AP10" s="44">
        <f t="shared" si="7"/>
        <v>0</v>
      </c>
      <c r="AQ10" s="44">
        <f t="shared" si="7"/>
        <v>0</v>
      </c>
      <c r="AR10" s="44">
        <f t="shared" si="7"/>
        <v>0</v>
      </c>
      <c r="AS10" s="44">
        <f t="shared" si="7"/>
        <v>0</v>
      </c>
      <c r="AT10" s="44">
        <f t="shared" si="7"/>
        <v>0</v>
      </c>
      <c r="AU10" s="44">
        <f t="shared" si="7"/>
        <v>0</v>
      </c>
      <c r="AV10" s="44">
        <f t="shared" si="7"/>
        <v>0</v>
      </c>
      <c r="AW10" s="44">
        <f t="shared" si="7"/>
        <v>0</v>
      </c>
      <c r="AX10" s="44">
        <f t="shared" si="7"/>
        <v>0</v>
      </c>
      <c r="AY10" s="44">
        <f t="shared" si="7"/>
        <v>-382.02</v>
      </c>
      <c r="AZ10" s="445">
        <f t="shared" si="7"/>
        <v>-64728.02</v>
      </c>
      <c r="BA10" s="43">
        <v>-2162053.71</v>
      </c>
      <c r="BB10" s="43"/>
      <c r="BC10" s="446"/>
      <c r="BD10" s="196"/>
    </row>
    <row r="11" ht="14.25" customHeight="1" spans="1:56">
      <c r="A11" s="14"/>
      <c r="B11" s="14"/>
      <c r="C11" s="14"/>
      <c r="D11" s="84"/>
      <c r="E11" s="24"/>
      <c r="F11" s="24"/>
      <c r="G11" s="24"/>
      <c r="H11" s="24"/>
      <c r="I11" s="24"/>
      <c r="J11" s="24"/>
      <c r="K11" s="24"/>
      <c r="L11" s="24"/>
      <c r="M11" s="24"/>
      <c r="N11" s="24"/>
      <c r="O11" s="24"/>
      <c r="P11" s="24"/>
      <c r="Q11" s="236"/>
      <c r="R11" s="47" t="s">
        <v>3498</v>
      </c>
      <c r="S11" s="48">
        <f t="shared" ref="S11:AG11" si="8">S10/S2</f>
        <v>0.0910894250952472</v>
      </c>
      <c r="T11" s="48">
        <f t="shared" si="8"/>
        <v>-2.03605400625218</v>
      </c>
      <c r="U11" s="48">
        <f t="shared" si="8"/>
        <v>-1.97811513920309</v>
      </c>
      <c r="V11" s="48" t="e">
        <f t="shared" si="8"/>
        <v>#DIV/0!</v>
      </c>
      <c r="W11" s="48" t="e">
        <f t="shared" si="8"/>
        <v>#DIV/0!</v>
      </c>
      <c r="X11" s="48" t="e">
        <f t="shared" si="8"/>
        <v>#DIV/0!</v>
      </c>
      <c r="Y11" s="48" t="e">
        <f t="shared" si="8"/>
        <v>#DIV/0!</v>
      </c>
      <c r="Z11" s="48" t="e">
        <f t="shared" si="8"/>
        <v>#DIV/0!</v>
      </c>
      <c r="AA11" s="48" t="e">
        <f t="shared" si="8"/>
        <v>#DIV/0!</v>
      </c>
      <c r="AB11" s="48" t="e">
        <f t="shared" si="8"/>
        <v>#DIV/0!</v>
      </c>
      <c r="AC11" s="48" t="e">
        <f t="shared" si="8"/>
        <v>#DIV/0!</v>
      </c>
      <c r="AD11" s="48" t="e">
        <f t="shared" si="8"/>
        <v>#DIV/0!</v>
      </c>
      <c r="AE11" s="48" t="e">
        <f t="shared" si="8"/>
        <v>#DIV/0!</v>
      </c>
      <c r="AF11" s="48" t="e">
        <f t="shared" si="8"/>
        <v>#DIV/0!</v>
      </c>
      <c r="AG11" s="48" t="e">
        <f t="shared" si="8"/>
        <v>#DIV/0!</v>
      </c>
      <c r="AH11" s="224">
        <f>T11-S11</f>
        <v>-2.12714343134743</v>
      </c>
      <c r="AI11" s="224" t="e">
        <f>AF11-S11</f>
        <v>#DIV/0!</v>
      </c>
      <c r="AJ11" s="14"/>
      <c r="AK11" s="14"/>
      <c r="AL11" s="14"/>
      <c r="AM11" s="14"/>
      <c r="AN11" s="14"/>
      <c r="AO11" s="48" t="e">
        <f t="shared" ref="AO11:AZ11" si="9">AO10/AO2</f>
        <v>#DIV/0!</v>
      </c>
      <c r="AP11" s="48" t="e">
        <f t="shared" si="9"/>
        <v>#DIV/0!</v>
      </c>
      <c r="AQ11" s="48" t="e">
        <f t="shared" si="9"/>
        <v>#DIV/0!</v>
      </c>
      <c r="AR11" s="48" t="e">
        <f t="shared" si="9"/>
        <v>#DIV/0!</v>
      </c>
      <c r="AS11" s="48" t="e">
        <f t="shared" si="9"/>
        <v>#DIV/0!</v>
      </c>
      <c r="AT11" s="48" t="e">
        <f t="shared" si="9"/>
        <v>#DIV/0!</v>
      </c>
      <c r="AU11" s="48" t="e">
        <f t="shared" si="9"/>
        <v>#DIV/0!</v>
      </c>
      <c r="AV11" s="48" t="e">
        <f t="shared" si="9"/>
        <v>#DIV/0!</v>
      </c>
      <c r="AW11" s="48" t="e">
        <f t="shared" si="9"/>
        <v>#DIV/0!</v>
      </c>
      <c r="AX11" s="48" t="e">
        <f t="shared" si="9"/>
        <v>#DIV/0!</v>
      </c>
      <c r="AY11" s="48" t="e">
        <f t="shared" si="9"/>
        <v>#DIV/0!</v>
      </c>
      <c r="AZ11" s="449" t="e">
        <f t="shared" si="9"/>
        <v>#DIV/0!</v>
      </c>
      <c r="BA11" s="49">
        <v>-1.92375546568327</v>
      </c>
      <c r="BB11" s="49"/>
      <c r="BC11" s="446"/>
      <c r="BD11" s="196"/>
    </row>
    <row r="12" ht="14.25" hidden="1" customHeight="1" spans="1:56">
      <c r="A12" s="8" t="s">
        <v>458</v>
      </c>
      <c r="B12" s="428" t="s">
        <v>459</v>
      </c>
      <c r="C12" s="17">
        <v>45658</v>
      </c>
      <c r="D12" s="172">
        <v>46022</v>
      </c>
      <c r="E12" s="19" t="s">
        <v>3484</v>
      </c>
      <c r="F12" s="19" t="s">
        <v>3484</v>
      </c>
      <c r="G12" s="19"/>
      <c r="H12" s="19"/>
      <c r="I12" s="19"/>
      <c r="J12" s="19"/>
      <c r="K12" s="19"/>
      <c r="L12" s="19"/>
      <c r="M12" s="19"/>
      <c r="N12" s="19"/>
      <c r="O12" s="19"/>
      <c r="P12" s="19"/>
      <c r="Q12" s="434" t="s">
        <v>3499</v>
      </c>
      <c r="R12" s="41" t="s">
        <v>3486</v>
      </c>
      <c r="S12" s="204">
        <v>773774.3</v>
      </c>
      <c r="T12" s="44">
        <f>SUM(AO12:BC12)</f>
        <v>748845.73</v>
      </c>
      <c r="U12" s="44">
        <f>SUM(BA12:BC12)</f>
        <v>748845.73</v>
      </c>
      <c r="V12" s="44">
        <f>SUM(AO12:AZ12)</f>
        <v>0</v>
      </c>
      <c r="W12" s="44">
        <f>SUM(AP12:AZ12)</f>
        <v>0</v>
      </c>
      <c r="X12" s="44">
        <f>SUM(AQ12:AZ12)</f>
        <v>0</v>
      </c>
      <c r="Y12" s="44">
        <f>SUM(AR12:AZ12)</f>
        <v>0</v>
      </c>
      <c r="Z12" s="44">
        <f>SUM(AS12:AZ12)</f>
        <v>0</v>
      </c>
      <c r="AA12" s="44">
        <f>SUM(AT12:AZ12)</f>
        <v>0</v>
      </c>
      <c r="AB12" s="44">
        <f>SUM(AU12:AZ12)</f>
        <v>0</v>
      </c>
      <c r="AC12" s="44">
        <f>SUM(AV12:AZ12)</f>
        <v>0</v>
      </c>
      <c r="AD12" s="44">
        <f>SUM(AW12:AZ12)</f>
        <v>0</v>
      </c>
      <c r="AE12" s="44">
        <f>SUM(AX12:AZ12)</f>
        <v>0</v>
      </c>
      <c r="AF12" s="44">
        <f>SUM(AY12:AZ12)</f>
        <v>0</v>
      </c>
      <c r="AG12" s="44">
        <f>SUM(AZ12:AZ12)</f>
        <v>0</v>
      </c>
      <c r="AH12" s="220"/>
      <c r="AI12" s="220"/>
      <c r="AJ12" s="437" t="s">
        <v>377</v>
      </c>
      <c r="AK12" s="15" t="s">
        <v>3500</v>
      </c>
      <c r="AL12" s="87" t="s">
        <v>3501</v>
      </c>
      <c r="AM12" s="87" t="s">
        <v>3502</v>
      </c>
      <c r="AN12" s="87" t="s">
        <v>3503</v>
      </c>
      <c r="AO12" s="44"/>
      <c r="AP12" s="44"/>
      <c r="AQ12" s="44"/>
      <c r="AR12" s="44"/>
      <c r="AS12" s="44"/>
      <c r="AT12" s="44"/>
      <c r="AU12" s="44"/>
      <c r="AV12" s="44"/>
      <c r="AW12" s="44"/>
      <c r="AX12" s="44"/>
      <c r="AY12" s="44">
        <v>0</v>
      </c>
      <c r="AZ12" s="445">
        <v>0</v>
      </c>
      <c r="BA12" s="43">
        <v>748845.73</v>
      </c>
      <c r="BB12" s="43"/>
      <c r="BC12" s="446"/>
      <c r="BD12" s="196"/>
    </row>
    <row r="13" ht="14.25" hidden="1" customHeight="1" spans="1:56">
      <c r="A13" s="13"/>
      <c r="B13" s="13"/>
      <c r="C13" s="13"/>
      <c r="D13" s="81"/>
      <c r="E13" s="22"/>
      <c r="F13" s="22"/>
      <c r="G13" s="22"/>
      <c r="H13" s="22"/>
      <c r="I13" s="22"/>
      <c r="J13" s="22"/>
      <c r="K13" s="22"/>
      <c r="L13" s="22"/>
      <c r="M13" s="22"/>
      <c r="N13" s="22"/>
      <c r="O13" s="22"/>
      <c r="P13" s="22"/>
      <c r="Q13" s="35"/>
      <c r="R13" s="41" t="s">
        <v>3490</v>
      </c>
      <c r="S13" s="433">
        <v>681148.69</v>
      </c>
      <c r="T13" s="44">
        <f>SUM(AO13:BC13)</f>
        <v>786458.31</v>
      </c>
      <c r="U13" s="44">
        <f>SUM(BA13:BC13)</f>
        <v>786258.31</v>
      </c>
      <c r="V13" s="44">
        <f>SUM(AO13:AZ13)</f>
        <v>200</v>
      </c>
      <c r="W13" s="44">
        <f>SUM(AP13:AZ13)</f>
        <v>200</v>
      </c>
      <c r="X13" s="44">
        <f>SUM(AQ13:AZ13)</f>
        <v>200</v>
      </c>
      <c r="Y13" s="44">
        <f>SUM(AR13:AZ13)</f>
        <v>200</v>
      </c>
      <c r="Z13" s="44">
        <f>SUM(AS13:AZ13)</f>
        <v>200</v>
      </c>
      <c r="AA13" s="44">
        <f>SUM(AT13:AZ13)</f>
        <v>200</v>
      </c>
      <c r="AB13" s="44">
        <f>SUM(AU13:AZ13)</f>
        <v>200</v>
      </c>
      <c r="AC13" s="44">
        <f>SUM(AV13:AZ13)</f>
        <v>200</v>
      </c>
      <c r="AD13" s="44">
        <f>SUM(AW13:AZ13)</f>
        <v>200</v>
      </c>
      <c r="AE13" s="44">
        <f>SUM(AX13:AZ13)</f>
        <v>200</v>
      </c>
      <c r="AF13" s="44">
        <f>SUM(AY13:AZ13)</f>
        <v>200</v>
      </c>
      <c r="AG13" s="44">
        <f>SUM(AZ13:AZ13)</f>
        <v>200</v>
      </c>
      <c r="AH13" s="220"/>
      <c r="AI13" s="220"/>
      <c r="AJ13" s="13"/>
      <c r="AK13" s="13"/>
      <c r="AL13" s="13"/>
      <c r="AM13" s="13"/>
      <c r="AN13" s="13"/>
      <c r="AO13" s="44"/>
      <c r="AP13" s="44"/>
      <c r="AQ13" s="44"/>
      <c r="AR13" s="44"/>
      <c r="AS13" s="44"/>
      <c r="AT13" s="44"/>
      <c r="AU13" s="44"/>
      <c r="AV13" s="44"/>
      <c r="AW13" s="44"/>
      <c r="AX13" s="44"/>
      <c r="AY13" s="44">
        <v>0</v>
      </c>
      <c r="AZ13" s="445">
        <v>200</v>
      </c>
      <c r="BA13" s="43">
        <v>786258.31</v>
      </c>
      <c r="BB13" s="43"/>
      <c r="BC13" s="446"/>
      <c r="BD13" s="196"/>
    </row>
    <row r="14" ht="14.25" hidden="1" customHeight="1" spans="1:56">
      <c r="A14" s="13"/>
      <c r="B14" s="13"/>
      <c r="C14" s="13"/>
      <c r="D14" s="81"/>
      <c r="E14" s="22"/>
      <c r="F14" s="22"/>
      <c r="G14" s="22"/>
      <c r="H14" s="22"/>
      <c r="I14" s="22"/>
      <c r="J14" s="22"/>
      <c r="K14" s="22"/>
      <c r="L14" s="22"/>
      <c r="M14" s="22"/>
      <c r="N14" s="22"/>
      <c r="O14" s="22"/>
      <c r="P14" s="22"/>
      <c r="Q14" s="35"/>
      <c r="R14" s="41" t="s">
        <v>3492</v>
      </c>
      <c r="S14" s="204">
        <v>0</v>
      </c>
      <c r="T14" s="44">
        <f>SUM(AO14:BC14)</f>
        <v>37279.88</v>
      </c>
      <c r="U14" s="44">
        <f>SUM(BA14:BC14)</f>
        <v>37279.88</v>
      </c>
      <c r="V14" s="44">
        <f>SUM(AO14:AZ14)</f>
        <v>0</v>
      </c>
      <c r="W14" s="44">
        <f>SUM(AP14:AZ14)</f>
        <v>0</v>
      </c>
      <c r="X14" s="44">
        <f>SUM(AQ14:AZ14)</f>
        <v>0</v>
      </c>
      <c r="Y14" s="44">
        <f>SUM(AR14:AZ14)</f>
        <v>0</v>
      </c>
      <c r="Z14" s="44">
        <f>SUM(AS14:AZ14)</f>
        <v>0</v>
      </c>
      <c r="AA14" s="44">
        <f>SUM(AT14:AZ14)</f>
        <v>0</v>
      </c>
      <c r="AB14" s="44">
        <f>SUM(AU14:AZ14)</f>
        <v>0</v>
      </c>
      <c r="AC14" s="44">
        <f>SUM(AV14:AZ14)</f>
        <v>0</v>
      </c>
      <c r="AD14" s="44">
        <f>SUM(AW14:AZ14)</f>
        <v>0</v>
      </c>
      <c r="AE14" s="44">
        <f>SUM(AX14:AZ14)</f>
        <v>0</v>
      </c>
      <c r="AF14" s="44">
        <f>SUM(AY14:AZ14)</f>
        <v>0</v>
      </c>
      <c r="AG14" s="44">
        <f>SUM(AZ14:AZ14)</f>
        <v>0</v>
      </c>
      <c r="AH14" s="220"/>
      <c r="AI14" s="220"/>
      <c r="AJ14" s="13"/>
      <c r="AK14" s="13"/>
      <c r="AL14" s="13"/>
      <c r="AM14" s="13"/>
      <c r="AN14" s="13"/>
      <c r="AO14" s="44"/>
      <c r="AP14" s="44"/>
      <c r="AQ14" s="44"/>
      <c r="AR14" s="44"/>
      <c r="AS14" s="44"/>
      <c r="AT14" s="44"/>
      <c r="AU14" s="44"/>
      <c r="AV14" s="44"/>
      <c r="AW14" s="44"/>
      <c r="AX14" s="44"/>
      <c r="AY14" s="44">
        <v>0</v>
      </c>
      <c r="AZ14" s="445">
        <v>0</v>
      </c>
      <c r="BA14" s="43">
        <v>37279.88</v>
      </c>
      <c r="BB14" s="43"/>
      <c r="BC14" s="446"/>
      <c r="BD14" s="196"/>
    </row>
    <row r="15" ht="14.25" hidden="1" customHeight="1" spans="1:56">
      <c r="A15" s="13"/>
      <c r="B15" s="13"/>
      <c r="C15" s="13"/>
      <c r="D15" s="81"/>
      <c r="E15" s="22"/>
      <c r="F15" s="22"/>
      <c r="G15" s="22"/>
      <c r="H15" s="22"/>
      <c r="I15" s="22"/>
      <c r="J15" s="22"/>
      <c r="K15" s="22"/>
      <c r="L15" s="22"/>
      <c r="M15" s="22"/>
      <c r="N15" s="22"/>
      <c r="O15" s="22"/>
      <c r="P15" s="22"/>
      <c r="Q15" s="35"/>
      <c r="R15" s="41" t="s">
        <v>3493</v>
      </c>
      <c r="S15" s="204">
        <v>0</v>
      </c>
      <c r="T15" s="44">
        <f>SUM(AO15:BC15)</f>
        <v>4713.69</v>
      </c>
      <c r="U15" s="44">
        <f>SUM(BA15:BC15)</f>
        <v>4014.49</v>
      </c>
      <c r="V15" s="44">
        <f>SUM(AO15:AZ15)</f>
        <v>699.2</v>
      </c>
      <c r="W15" s="44">
        <f>SUM(AP15:AZ15)</f>
        <v>699.2</v>
      </c>
      <c r="X15" s="44">
        <f>SUM(AQ15:AZ15)</f>
        <v>699.2</v>
      </c>
      <c r="Y15" s="44">
        <f>SUM(AR15:AZ15)</f>
        <v>699.2</v>
      </c>
      <c r="Z15" s="44">
        <f>SUM(AS15:AZ15)</f>
        <v>699.2</v>
      </c>
      <c r="AA15" s="44">
        <f>SUM(AT15:AZ15)</f>
        <v>699.2</v>
      </c>
      <c r="AB15" s="44">
        <f>SUM(AU15:AZ15)</f>
        <v>699.2</v>
      </c>
      <c r="AC15" s="44">
        <f>SUM(AV15:AZ15)</f>
        <v>699.2</v>
      </c>
      <c r="AD15" s="44">
        <f>SUM(AW15:AZ15)</f>
        <v>699.2</v>
      </c>
      <c r="AE15" s="44">
        <f>SUM(AX15:AZ15)</f>
        <v>699.2</v>
      </c>
      <c r="AF15" s="44">
        <f>SUM(AY15:AZ15)</f>
        <v>699.2</v>
      </c>
      <c r="AG15" s="44">
        <f>SUM(AZ15:AZ15)</f>
        <v>349.6</v>
      </c>
      <c r="AH15" s="220"/>
      <c r="AI15" s="220"/>
      <c r="AJ15" s="13"/>
      <c r="AK15" s="13"/>
      <c r="AL15" s="13"/>
      <c r="AM15" s="13"/>
      <c r="AN15" s="13"/>
      <c r="AO15" s="44"/>
      <c r="AP15" s="44"/>
      <c r="AQ15" s="44"/>
      <c r="AR15" s="44"/>
      <c r="AS15" s="44"/>
      <c r="AT15" s="44"/>
      <c r="AU15" s="44"/>
      <c r="AV15" s="44"/>
      <c r="AW15" s="44"/>
      <c r="AX15" s="44"/>
      <c r="AY15" s="44">
        <v>349.6</v>
      </c>
      <c r="AZ15" s="445">
        <v>349.6</v>
      </c>
      <c r="BA15" s="43">
        <v>4014.49</v>
      </c>
      <c r="BB15" s="43"/>
      <c r="BC15" s="446"/>
      <c r="BD15" s="196"/>
    </row>
    <row r="16" ht="14.25" hidden="1" customHeight="1" spans="1:56">
      <c r="A16" s="13"/>
      <c r="B16" s="13"/>
      <c r="C16" s="13"/>
      <c r="D16" s="81"/>
      <c r="E16" s="22"/>
      <c r="F16" s="22"/>
      <c r="G16" s="22"/>
      <c r="H16" s="22"/>
      <c r="I16" s="22"/>
      <c r="J16" s="22"/>
      <c r="K16" s="22"/>
      <c r="L16" s="22"/>
      <c r="M16" s="22"/>
      <c r="N16" s="22"/>
      <c r="O16" s="22"/>
      <c r="P16" s="22"/>
      <c r="Q16" s="35"/>
      <c r="R16" s="41" t="s">
        <v>3494</v>
      </c>
      <c r="S16" s="204">
        <f t="shared" ref="S16:AI16" si="10">SUM(S13:S15)</f>
        <v>681148.69</v>
      </c>
      <c r="T16" s="204">
        <f t="shared" si="10"/>
        <v>828451.88</v>
      </c>
      <c r="U16" s="204">
        <f t="shared" si="10"/>
        <v>827552.68</v>
      </c>
      <c r="V16" s="204">
        <f t="shared" si="10"/>
        <v>899.2</v>
      </c>
      <c r="W16" s="204">
        <f t="shared" si="10"/>
        <v>899.2</v>
      </c>
      <c r="X16" s="204">
        <f t="shared" si="10"/>
        <v>899.2</v>
      </c>
      <c r="Y16" s="204">
        <f t="shared" si="10"/>
        <v>899.2</v>
      </c>
      <c r="Z16" s="204">
        <f t="shared" si="10"/>
        <v>899.2</v>
      </c>
      <c r="AA16" s="204">
        <f t="shared" si="10"/>
        <v>899.2</v>
      </c>
      <c r="AB16" s="204">
        <f t="shared" si="10"/>
        <v>899.2</v>
      </c>
      <c r="AC16" s="204">
        <f t="shared" si="10"/>
        <v>899.2</v>
      </c>
      <c r="AD16" s="204">
        <f t="shared" si="10"/>
        <v>899.2</v>
      </c>
      <c r="AE16" s="204">
        <f t="shared" si="10"/>
        <v>899.2</v>
      </c>
      <c r="AF16" s="204">
        <f t="shared" si="10"/>
        <v>899.2</v>
      </c>
      <c r="AG16" s="204">
        <f t="shared" si="10"/>
        <v>549.6</v>
      </c>
      <c r="AH16" s="204">
        <f t="shared" si="10"/>
        <v>0</v>
      </c>
      <c r="AI16" s="204">
        <f t="shared" si="10"/>
        <v>0</v>
      </c>
      <c r="AJ16" s="13"/>
      <c r="AK16" s="13"/>
      <c r="AL16" s="13"/>
      <c r="AM16" s="13"/>
      <c r="AN16" s="13"/>
      <c r="AO16" s="204">
        <f t="shared" ref="AO16:BA16" si="11">SUM(AO13:AO15)</f>
        <v>0</v>
      </c>
      <c r="AP16" s="204">
        <f t="shared" si="11"/>
        <v>0</v>
      </c>
      <c r="AQ16" s="204">
        <f t="shared" si="11"/>
        <v>0</v>
      </c>
      <c r="AR16" s="204">
        <f t="shared" si="11"/>
        <v>0</v>
      </c>
      <c r="AS16" s="204">
        <f t="shared" si="11"/>
        <v>0</v>
      </c>
      <c r="AT16" s="204">
        <f t="shared" si="11"/>
        <v>0</v>
      </c>
      <c r="AU16" s="204">
        <f t="shared" si="11"/>
        <v>0</v>
      </c>
      <c r="AV16" s="204">
        <f t="shared" si="11"/>
        <v>0</v>
      </c>
      <c r="AW16" s="204">
        <f t="shared" si="11"/>
        <v>0</v>
      </c>
      <c r="AX16" s="204">
        <f t="shared" si="11"/>
        <v>0</v>
      </c>
      <c r="AY16" s="204">
        <f t="shared" si="11"/>
        <v>349.6</v>
      </c>
      <c r="AZ16" s="447">
        <f t="shared" si="11"/>
        <v>549.6</v>
      </c>
      <c r="BA16" s="448">
        <f t="shared" si="11"/>
        <v>827552.68</v>
      </c>
      <c r="BB16" s="43"/>
      <c r="BC16" s="446"/>
      <c r="BD16" s="196"/>
    </row>
    <row r="17" ht="14.25" hidden="1" customHeight="1" spans="1:56">
      <c r="A17" s="13"/>
      <c r="B17" s="13"/>
      <c r="C17" s="13"/>
      <c r="D17" s="81"/>
      <c r="E17" s="22"/>
      <c r="F17" s="22"/>
      <c r="G17" s="22"/>
      <c r="H17" s="22"/>
      <c r="I17" s="22"/>
      <c r="J17" s="22"/>
      <c r="K17" s="22"/>
      <c r="L17" s="22"/>
      <c r="M17" s="22"/>
      <c r="N17" s="22"/>
      <c r="O17" s="22"/>
      <c r="P17" s="22"/>
      <c r="Q17" s="35"/>
      <c r="R17" s="41" t="s">
        <v>3495</v>
      </c>
      <c r="S17" s="44">
        <f t="shared" ref="S17:AG17" si="12">S12-S13</f>
        <v>92625.6100000001</v>
      </c>
      <c r="T17" s="44">
        <f t="shared" si="12"/>
        <v>-37612.5800000001</v>
      </c>
      <c r="U17" s="44">
        <f t="shared" si="12"/>
        <v>-37412.5800000001</v>
      </c>
      <c r="V17" s="44">
        <f t="shared" si="12"/>
        <v>-200</v>
      </c>
      <c r="W17" s="44">
        <f t="shared" si="12"/>
        <v>-200</v>
      </c>
      <c r="X17" s="44">
        <f t="shared" si="12"/>
        <v>-200</v>
      </c>
      <c r="Y17" s="44">
        <f t="shared" si="12"/>
        <v>-200</v>
      </c>
      <c r="Z17" s="44">
        <f t="shared" si="12"/>
        <v>-200</v>
      </c>
      <c r="AA17" s="44">
        <f t="shared" si="12"/>
        <v>-200</v>
      </c>
      <c r="AB17" s="44">
        <f t="shared" si="12"/>
        <v>-200</v>
      </c>
      <c r="AC17" s="44">
        <f t="shared" si="12"/>
        <v>-200</v>
      </c>
      <c r="AD17" s="44">
        <f t="shared" si="12"/>
        <v>-200</v>
      </c>
      <c r="AE17" s="44">
        <f t="shared" si="12"/>
        <v>-200</v>
      </c>
      <c r="AF17" s="44">
        <f t="shared" si="12"/>
        <v>-200</v>
      </c>
      <c r="AG17" s="44">
        <f t="shared" si="12"/>
        <v>-200</v>
      </c>
      <c r="AH17" s="220"/>
      <c r="AI17" s="220"/>
      <c r="AJ17" s="13"/>
      <c r="AK17" s="13"/>
      <c r="AL17" s="13"/>
      <c r="AM17" s="13"/>
      <c r="AN17" s="13"/>
      <c r="AO17" s="44">
        <f t="shared" ref="AO17:AZ17" si="13">AO12-AO13</f>
        <v>0</v>
      </c>
      <c r="AP17" s="44">
        <f t="shared" si="13"/>
        <v>0</v>
      </c>
      <c r="AQ17" s="44">
        <f t="shared" si="13"/>
        <v>0</v>
      </c>
      <c r="AR17" s="44">
        <f t="shared" si="13"/>
        <v>0</v>
      </c>
      <c r="AS17" s="44">
        <f t="shared" si="13"/>
        <v>0</v>
      </c>
      <c r="AT17" s="44">
        <f t="shared" si="13"/>
        <v>0</v>
      </c>
      <c r="AU17" s="44">
        <f t="shared" si="13"/>
        <v>0</v>
      </c>
      <c r="AV17" s="44">
        <f t="shared" si="13"/>
        <v>0</v>
      </c>
      <c r="AW17" s="44">
        <f t="shared" si="13"/>
        <v>0</v>
      </c>
      <c r="AX17" s="44">
        <f t="shared" si="13"/>
        <v>0</v>
      </c>
      <c r="AY17" s="44">
        <f t="shared" si="13"/>
        <v>0</v>
      </c>
      <c r="AZ17" s="445">
        <f t="shared" si="13"/>
        <v>-200</v>
      </c>
      <c r="BA17" s="43">
        <v>-37412.58</v>
      </c>
      <c r="BB17" s="43"/>
      <c r="BC17" s="446"/>
      <c r="BD17" s="196"/>
    </row>
    <row r="18" ht="14.25" hidden="1" customHeight="1" spans="1:56">
      <c r="A18" s="13"/>
      <c r="B18" s="13"/>
      <c r="C18" s="13"/>
      <c r="D18" s="81"/>
      <c r="E18" s="22"/>
      <c r="F18" s="22"/>
      <c r="G18" s="22"/>
      <c r="H18" s="22"/>
      <c r="I18" s="22"/>
      <c r="J18" s="22"/>
      <c r="K18" s="22"/>
      <c r="L18" s="22"/>
      <c r="M18" s="22"/>
      <c r="N18" s="22"/>
      <c r="O18" s="22"/>
      <c r="P18" s="22"/>
      <c r="Q18" s="35"/>
      <c r="R18" s="47" t="s">
        <v>3496</v>
      </c>
      <c r="S18" s="48">
        <f t="shared" ref="S18:AG18" si="14">S17/S12</f>
        <v>0.119706237335616</v>
      </c>
      <c r="T18" s="48">
        <f t="shared" si="14"/>
        <v>-0.0502274079869562</v>
      </c>
      <c r="U18" s="48">
        <f t="shared" si="14"/>
        <v>-0.0499603302805774</v>
      </c>
      <c r="V18" s="48" t="e">
        <f t="shared" si="14"/>
        <v>#DIV/0!</v>
      </c>
      <c r="W18" s="48" t="e">
        <f t="shared" si="14"/>
        <v>#DIV/0!</v>
      </c>
      <c r="X18" s="48" t="e">
        <f t="shared" si="14"/>
        <v>#DIV/0!</v>
      </c>
      <c r="Y18" s="48" t="e">
        <f t="shared" si="14"/>
        <v>#DIV/0!</v>
      </c>
      <c r="Z18" s="48" t="e">
        <f t="shared" si="14"/>
        <v>#DIV/0!</v>
      </c>
      <c r="AA18" s="48" t="e">
        <f t="shared" si="14"/>
        <v>#DIV/0!</v>
      </c>
      <c r="AB18" s="48" t="e">
        <f t="shared" si="14"/>
        <v>#DIV/0!</v>
      </c>
      <c r="AC18" s="48" t="e">
        <f t="shared" si="14"/>
        <v>#DIV/0!</v>
      </c>
      <c r="AD18" s="48" t="e">
        <f t="shared" si="14"/>
        <v>#DIV/0!</v>
      </c>
      <c r="AE18" s="48" t="e">
        <f t="shared" si="14"/>
        <v>#DIV/0!</v>
      </c>
      <c r="AF18" s="48" t="e">
        <f t="shared" si="14"/>
        <v>#DIV/0!</v>
      </c>
      <c r="AG18" s="48" t="e">
        <f t="shared" si="14"/>
        <v>#DIV/0!</v>
      </c>
      <c r="AH18" s="224">
        <f>T18-S18</f>
        <v>-0.169933645322572</v>
      </c>
      <c r="AI18" s="224" t="e">
        <f>AF18-S18</f>
        <v>#DIV/0!</v>
      </c>
      <c r="AJ18" s="13"/>
      <c r="AK18" s="13"/>
      <c r="AL18" s="13"/>
      <c r="AM18" s="13"/>
      <c r="AN18" s="13"/>
      <c r="AO18" s="48" t="e">
        <f t="shared" ref="AO18:AZ18" si="15">AO17/AO12</f>
        <v>#DIV/0!</v>
      </c>
      <c r="AP18" s="48" t="e">
        <f t="shared" si="15"/>
        <v>#DIV/0!</v>
      </c>
      <c r="AQ18" s="48" t="e">
        <f t="shared" si="15"/>
        <v>#DIV/0!</v>
      </c>
      <c r="AR18" s="48" t="e">
        <f t="shared" si="15"/>
        <v>#DIV/0!</v>
      </c>
      <c r="AS18" s="48" t="e">
        <f t="shared" si="15"/>
        <v>#DIV/0!</v>
      </c>
      <c r="AT18" s="48" t="e">
        <f t="shared" si="15"/>
        <v>#DIV/0!</v>
      </c>
      <c r="AU18" s="48" t="e">
        <f t="shared" si="15"/>
        <v>#DIV/0!</v>
      </c>
      <c r="AV18" s="48" t="e">
        <f t="shared" si="15"/>
        <v>#DIV/0!</v>
      </c>
      <c r="AW18" s="48" t="e">
        <f t="shared" si="15"/>
        <v>#DIV/0!</v>
      </c>
      <c r="AX18" s="48" t="e">
        <f t="shared" si="15"/>
        <v>#DIV/0!</v>
      </c>
      <c r="AY18" s="48" t="e">
        <f t="shared" si="15"/>
        <v>#DIV/0!</v>
      </c>
      <c r="AZ18" s="449" t="e">
        <f t="shared" si="15"/>
        <v>#DIV/0!</v>
      </c>
      <c r="BA18" s="49">
        <v>-0.0499603302805772</v>
      </c>
      <c r="BB18" s="49"/>
      <c r="BC18" s="446"/>
      <c r="BD18" s="196"/>
    </row>
    <row r="19" ht="14.25" hidden="1" customHeight="1" spans="1:56">
      <c r="A19" s="13"/>
      <c r="B19" s="13"/>
      <c r="C19" s="13"/>
      <c r="D19" s="81"/>
      <c r="E19" s="22"/>
      <c r="F19" s="22"/>
      <c r="G19" s="22"/>
      <c r="H19" s="22"/>
      <c r="I19" s="22"/>
      <c r="J19" s="22"/>
      <c r="K19" s="22"/>
      <c r="L19" s="22"/>
      <c r="M19" s="22"/>
      <c r="N19" s="22"/>
      <c r="O19" s="22"/>
      <c r="P19" s="22"/>
      <c r="Q19" s="35"/>
      <c r="R19" s="41" t="s">
        <v>3497</v>
      </c>
      <c r="S19" s="44">
        <f t="shared" ref="S19:AG19" si="16">S12-S13-S14-S15</f>
        <v>92625.6100000001</v>
      </c>
      <c r="T19" s="44">
        <f t="shared" si="16"/>
        <v>-79606.1500000001</v>
      </c>
      <c r="U19" s="44">
        <f t="shared" si="16"/>
        <v>-78706.9500000001</v>
      </c>
      <c r="V19" s="44">
        <f t="shared" si="16"/>
        <v>-899.2</v>
      </c>
      <c r="W19" s="44">
        <f t="shared" si="16"/>
        <v>-899.2</v>
      </c>
      <c r="X19" s="44">
        <f t="shared" si="16"/>
        <v>-899.2</v>
      </c>
      <c r="Y19" s="44">
        <f t="shared" si="16"/>
        <v>-899.2</v>
      </c>
      <c r="Z19" s="44">
        <f t="shared" si="16"/>
        <v>-899.2</v>
      </c>
      <c r="AA19" s="44">
        <f t="shared" si="16"/>
        <v>-899.2</v>
      </c>
      <c r="AB19" s="44">
        <f t="shared" si="16"/>
        <v>-899.2</v>
      </c>
      <c r="AC19" s="44">
        <f t="shared" si="16"/>
        <v>-899.2</v>
      </c>
      <c r="AD19" s="44">
        <f t="shared" si="16"/>
        <v>-899.2</v>
      </c>
      <c r="AE19" s="44">
        <f t="shared" si="16"/>
        <v>-899.2</v>
      </c>
      <c r="AF19" s="44">
        <f t="shared" si="16"/>
        <v>-899.2</v>
      </c>
      <c r="AG19" s="44">
        <f t="shared" si="16"/>
        <v>-549.6</v>
      </c>
      <c r="AH19" s="224"/>
      <c r="AI19" s="224"/>
      <c r="AJ19" s="13"/>
      <c r="AK19" s="13"/>
      <c r="AL19" s="13"/>
      <c r="AM19" s="13"/>
      <c r="AN19" s="13"/>
      <c r="AO19" s="44">
        <f t="shared" ref="AO19:AZ19" si="17">AO12-AO13-AO14-AO15</f>
        <v>0</v>
      </c>
      <c r="AP19" s="44">
        <f t="shared" si="17"/>
        <v>0</v>
      </c>
      <c r="AQ19" s="44">
        <f t="shared" si="17"/>
        <v>0</v>
      </c>
      <c r="AR19" s="44">
        <f t="shared" si="17"/>
        <v>0</v>
      </c>
      <c r="AS19" s="44">
        <f t="shared" si="17"/>
        <v>0</v>
      </c>
      <c r="AT19" s="44">
        <f t="shared" si="17"/>
        <v>0</v>
      </c>
      <c r="AU19" s="44">
        <f t="shared" si="17"/>
        <v>0</v>
      </c>
      <c r="AV19" s="44">
        <f t="shared" si="17"/>
        <v>0</v>
      </c>
      <c r="AW19" s="44">
        <f t="shared" si="17"/>
        <v>0</v>
      </c>
      <c r="AX19" s="44">
        <f t="shared" si="17"/>
        <v>0</v>
      </c>
      <c r="AY19" s="44">
        <f t="shared" si="17"/>
        <v>-349.6</v>
      </c>
      <c r="AZ19" s="445">
        <f t="shared" si="17"/>
        <v>-549.6</v>
      </c>
      <c r="BA19" s="43">
        <v>-78706.95</v>
      </c>
      <c r="BB19" s="43"/>
      <c r="BC19" s="446"/>
      <c r="BD19" s="196"/>
    </row>
    <row r="20" ht="14.25" hidden="1" customHeight="1" spans="1:56">
      <c r="A20" s="14"/>
      <c r="B20" s="14"/>
      <c r="C20" s="14"/>
      <c r="D20" s="84"/>
      <c r="E20" s="24"/>
      <c r="F20" s="24"/>
      <c r="G20" s="24"/>
      <c r="H20" s="24"/>
      <c r="I20" s="24"/>
      <c r="J20" s="24"/>
      <c r="K20" s="24"/>
      <c r="L20" s="24"/>
      <c r="M20" s="24"/>
      <c r="N20" s="24"/>
      <c r="O20" s="24"/>
      <c r="P20" s="24"/>
      <c r="Q20" s="156"/>
      <c r="R20" s="47" t="s">
        <v>3498</v>
      </c>
      <c r="S20" s="48">
        <f t="shared" ref="S20:AG20" si="18">S19/S12</f>
        <v>0.119706237335616</v>
      </c>
      <c r="T20" s="48">
        <f t="shared" si="18"/>
        <v>-0.106305139778256</v>
      </c>
      <c r="U20" s="48">
        <f t="shared" si="18"/>
        <v>-0.105104358410377</v>
      </c>
      <c r="V20" s="48" t="e">
        <f t="shared" si="18"/>
        <v>#DIV/0!</v>
      </c>
      <c r="W20" s="48" t="e">
        <f t="shared" si="18"/>
        <v>#DIV/0!</v>
      </c>
      <c r="X20" s="48" t="e">
        <f t="shared" si="18"/>
        <v>#DIV/0!</v>
      </c>
      <c r="Y20" s="48" t="e">
        <f t="shared" si="18"/>
        <v>#DIV/0!</v>
      </c>
      <c r="Z20" s="48" t="e">
        <f t="shared" si="18"/>
        <v>#DIV/0!</v>
      </c>
      <c r="AA20" s="48" t="e">
        <f t="shared" si="18"/>
        <v>#DIV/0!</v>
      </c>
      <c r="AB20" s="48" t="e">
        <f t="shared" si="18"/>
        <v>#DIV/0!</v>
      </c>
      <c r="AC20" s="48" t="e">
        <f t="shared" si="18"/>
        <v>#DIV/0!</v>
      </c>
      <c r="AD20" s="48" t="e">
        <f t="shared" si="18"/>
        <v>#DIV/0!</v>
      </c>
      <c r="AE20" s="48" t="e">
        <f t="shared" si="18"/>
        <v>#DIV/0!</v>
      </c>
      <c r="AF20" s="48" t="e">
        <f t="shared" si="18"/>
        <v>#DIV/0!</v>
      </c>
      <c r="AG20" s="48" t="e">
        <f t="shared" si="18"/>
        <v>#DIV/0!</v>
      </c>
      <c r="AH20" s="224">
        <f>T20-S20</f>
        <v>-0.226011377113872</v>
      </c>
      <c r="AI20" s="224" t="e">
        <f>AF20-S20</f>
        <v>#DIV/0!</v>
      </c>
      <c r="AJ20" s="14"/>
      <c r="AK20" s="14"/>
      <c r="AL20" s="14"/>
      <c r="AM20" s="14"/>
      <c r="AN20" s="14"/>
      <c r="AO20" s="48" t="e">
        <f t="shared" ref="AO20:AZ20" si="19">AO19/AO12</f>
        <v>#DIV/0!</v>
      </c>
      <c r="AP20" s="48" t="e">
        <f t="shared" si="19"/>
        <v>#DIV/0!</v>
      </c>
      <c r="AQ20" s="48" t="e">
        <f t="shared" si="19"/>
        <v>#DIV/0!</v>
      </c>
      <c r="AR20" s="48" t="e">
        <f t="shared" si="19"/>
        <v>#DIV/0!</v>
      </c>
      <c r="AS20" s="48" t="e">
        <f t="shared" si="19"/>
        <v>#DIV/0!</v>
      </c>
      <c r="AT20" s="48" t="e">
        <f t="shared" si="19"/>
        <v>#DIV/0!</v>
      </c>
      <c r="AU20" s="48" t="e">
        <f t="shared" si="19"/>
        <v>#DIV/0!</v>
      </c>
      <c r="AV20" s="48" t="e">
        <f t="shared" si="19"/>
        <v>#DIV/0!</v>
      </c>
      <c r="AW20" s="48" t="e">
        <f t="shared" si="19"/>
        <v>#DIV/0!</v>
      </c>
      <c r="AX20" s="48" t="e">
        <f t="shared" si="19"/>
        <v>#DIV/0!</v>
      </c>
      <c r="AY20" s="48" t="e">
        <f t="shared" si="19"/>
        <v>#DIV/0!</v>
      </c>
      <c r="AZ20" s="449" t="e">
        <f t="shared" si="19"/>
        <v>#DIV/0!</v>
      </c>
      <c r="BA20" s="49">
        <v>-0.105104358410376</v>
      </c>
      <c r="BB20" s="49"/>
      <c r="BC20" s="446"/>
      <c r="BD20" s="196"/>
    </row>
    <row r="21" ht="14.25" hidden="1" customHeight="1" spans="1:56">
      <c r="A21" s="384" t="s">
        <v>553</v>
      </c>
      <c r="B21" s="429" t="s">
        <v>554</v>
      </c>
      <c r="C21" s="188">
        <v>45774</v>
      </c>
      <c r="D21" s="264">
        <v>46387</v>
      </c>
      <c r="E21" s="26" t="s">
        <v>3504</v>
      </c>
      <c r="F21" s="26" t="s">
        <v>3505</v>
      </c>
      <c r="G21" s="26"/>
      <c r="H21" s="26"/>
      <c r="I21" s="26"/>
      <c r="J21" s="26"/>
      <c r="K21" s="26"/>
      <c r="L21" s="26"/>
      <c r="M21" s="26"/>
      <c r="N21" s="26"/>
      <c r="O21" s="26"/>
      <c r="P21" s="26"/>
      <c r="Q21" s="435" t="s">
        <v>3499</v>
      </c>
      <c r="R21" s="213" t="s">
        <v>3486</v>
      </c>
      <c r="S21" s="214">
        <v>2641509.43</v>
      </c>
      <c r="T21" s="58">
        <f>SUM(AO21:BC21)</f>
        <v>1572990.34</v>
      </c>
      <c r="U21" s="58">
        <f>SUM(BA21:BC21)</f>
        <v>1048660.21</v>
      </c>
      <c r="V21" s="58">
        <f>SUM(AO21:AZ21)</f>
        <v>524330.13</v>
      </c>
      <c r="W21" s="58">
        <f>SUM(AP21:AZ21)</f>
        <v>524330.13</v>
      </c>
      <c r="X21" s="58">
        <f>SUM(AQ21:AZ21)</f>
        <v>524330.13</v>
      </c>
      <c r="Y21" s="58">
        <f>SUM(AR21:AZ21)</f>
        <v>524330.13</v>
      </c>
      <c r="Z21" s="58">
        <f>SUM(AS21:AZ21)</f>
        <v>524330.13</v>
      </c>
      <c r="AA21" s="58">
        <f>SUM(AT21:AZ21)</f>
        <v>524330.13</v>
      </c>
      <c r="AB21" s="58">
        <f>SUM(AU21:AZ21)</f>
        <v>524330.13</v>
      </c>
      <c r="AC21" s="58">
        <f>SUM(AV21:AZ21)</f>
        <v>524330.13</v>
      </c>
      <c r="AD21" s="58">
        <f>SUM(AW21:AZ21)</f>
        <v>524330.13</v>
      </c>
      <c r="AE21" s="58">
        <f>SUM(AX21:AZ21)</f>
        <v>524330.13</v>
      </c>
      <c r="AF21" s="58">
        <f>SUM(AY21:AZ21)</f>
        <v>524330.13</v>
      </c>
      <c r="AG21" s="58">
        <f>SUM(AZ21:AZ21)</f>
        <v>194002.16</v>
      </c>
      <c r="AH21" s="75"/>
      <c r="AI21" s="75"/>
      <c r="AJ21" s="439" t="s">
        <v>377</v>
      </c>
      <c r="AK21" s="333" t="s">
        <v>3506</v>
      </c>
      <c r="AL21" s="333" t="s">
        <v>3507</v>
      </c>
      <c r="AM21" s="333" t="s">
        <v>3508</v>
      </c>
      <c r="AN21" s="440"/>
      <c r="AO21" s="58"/>
      <c r="AP21" s="58"/>
      <c r="AQ21" s="58"/>
      <c r="AR21" s="58"/>
      <c r="AS21" s="58"/>
      <c r="AT21" s="58"/>
      <c r="AU21" s="58"/>
      <c r="AV21" s="58"/>
      <c r="AW21" s="58"/>
      <c r="AX21" s="58"/>
      <c r="AY21" s="58">
        <v>330327.97</v>
      </c>
      <c r="AZ21" s="369">
        <v>194002.16</v>
      </c>
      <c r="BA21" s="57">
        <v>1048660.21</v>
      </c>
      <c r="BB21" s="57"/>
      <c r="BC21" s="196"/>
      <c r="BD21" s="196"/>
    </row>
    <row r="22" ht="14.25" hidden="1" customHeight="1" spans="1:56">
      <c r="A22" s="13"/>
      <c r="B22" s="13"/>
      <c r="C22" s="13"/>
      <c r="D22" s="81"/>
      <c r="E22" s="22"/>
      <c r="F22" s="22"/>
      <c r="G22" s="22"/>
      <c r="H22" s="22"/>
      <c r="I22" s="22"/>
      <c r="J22" s="22"/>
      <c r="K22" s="22"/>
      <c r="L22" s="22"/>
      <c r="M22" s="22"/>
      <c r="N22" s="22"/>
      <c r="O22" s="22"/>
      <c r="P22" s="22"/>
      <c r="Q22" s="35"/>
      <c r="R22" s="213" t="s">
        <v>3490</v>
      </c>
      <c r="S22" s="436">
        <v>2234139.02</v>
      </c>
      <c r="T22" s="58">
        <f>SUM(AO22:BC22)</f>
        <v>1338773.75</v>
      </c>
      <c r="U22" s="58">
        <f>SUM(BA22:BC22)</f>
        <v>956409.4</v>
      </c>
      <c r="V22" s="58">
        <f>SUM(AO22:AZ22)</f>
        <v>382364.35</v>
      </c>
      <c r="W22" s="58">
        <f>SUM(AP22:AZ22)</f>
        <v>382364.35</v>
      </c>
      <c r="X22" s="58">
        <f>SUM(AQ22:AZ22)</f>
        <v>382364.35</v>
      </c>
      <c r="Y22" s="58">
        <f>SUM(AR22:AZ22)</f>
        <v>382364.35</v>
      </c>
      <c r="Z22" s="58">
        <f>SUM(AS22:AZ22)</f>
        <v>382364.35</v>
      </c>
      <c r="AA22" s="58">
        <f>SUM(AT22:AZ22)</f>
        <v>382364.35</v>
      </c>
      <c r="AB22" s="58">
        <f>SUM(AU22:AZ22)</f>
        <v>382364.35</v>
      </c>
      <c r="AC22" s="58">
        <f>SUM(AV22:AZ22)</f>
        <v>382364.35</v>
      </c>
      <c r="AD22" s="58">
        <f>SUM(AW22:AZ22)</f>
        <v>382364.35</v>
      </c>
      <c r="AE22" s="58">
        <f>SUM(AX22:AZ22)</f>
        <v>382364.35</v>
      </c>
      <c r="AF22" s="58">
        <f>SUM(AY22:AZ22)</f>
        <v>382364.35</v>
      </c>
      <c r="AG22" s="58">
        <f>SUM(AZ22:AZ22)</f>
        <v>199405.64</v>
      </c>
      <c r="AH22" s="75"/>
      <c r="AI22" s="75"/>
      <c r="AJ22" s="13"/>
      <c r="AK22" s="13"/>
      <c r="AL22" s="13"/>
      <c r="AM22" s="13"/>
      <c r="AN22" s="13"/>
      <c r="AO22" s="58"/>
      <c r="AP22" s="58"/>
      <c r="AQ22" s="58"/>
      <c r="AR22" s="58"/>
      <c r="AS22" s="58"/>
      <c r="AT22" s="58"/>
      <c r="AU22" s="58"/>
      <c r="AV22" s="58"/>
      <c r="AW22" s="58"/>
      <c r="AX22" s="58"/>
      <c r="AY22" s="58">
        <v>182958.71</v>
      </c>
      <c r="AZ22" s="369">
        <v>199405.64</v>
      </c>
      <c r="BA22" s="57">
        <v>956409.4</v>
      </c>
      <c r="BB22" s="57"/>
      <c r="BC22" s="196"/>
      <c r="BD22" s="196"/>
    </row>
    <row r="23" ht="14.25" hidden="1" customHeight="1" spans="1:56">
      <c r="A23" s="13"/>
      <c r="B23" s="13"/>
      <c r="C23" s="13"/>
      <c r="D23" s="81"/>
      <c r="E23" s="22"/>
      <c r="F23" s="22"/>
      <c r="G23" s="22"/>
      <c r="H23" s="22"/>
      <c r="I23" s="22"/>
      <c r="J23" s="22"/>
      <c r="K23" s="22"/>
      <c r="L23" s="22"/>
      <c r="M23" s="22"/>
      <c r="N23" s="22"/>
      <c r="O23" s="22"/>
      <c r="P23" s="22"/>
      <c r="Q23" s="35"/>
      <c r="R23" s="213" t="s">
        <v>3492</v>
      </c>
      <c r="S23" s="214">
        <v>0</v>
      </c>
      <c r="T23" s="58">
        <f>SUM(AO23:BC23)</f>
        <v>0</v>
      </c>
      <c r="U23" s="58">
        <f>SUM(BA23:BC23)</f>
        <v>0</v>
      </c>
      <c r="V23" s="58">
        <f>SUM(AO23:AZ23)</f>
        <v>0</v>
      </c>
      <c r="W23" s="58">
        <f>SUM(AP23:AZ23)</f>
        <v>0</v>
      </c>
      <c r="X23" s="58">
        <f>SUM(AQ23:AZ23)</f>
        <v>0</v>
      </c>
      <c r="Y23" s="58">
        <f>SUM(AR23:AZ23)</f>
        <v>0</v>
      </c>
      <c r="Z23" s="58">
        <f>SUM(AS23:AZ23)</f>
        <v>0</v>
      </c>
      <c r="AA23" s="58">
        <f>SUM(AT23:AZ23)</f>
        <v>0</v>
      </c>
      <c r="AB23" s="58">
        <f>SUM(AU23:AZ23)</f>
        <v>0</v>
      </c>
      <c r="AC23" s="58">
        <f>SUM(AV23:AZ23)</f>
        <v>0</v>
      </c>
      <c r="AD23" s="58">
        <f>SUM(AW23:AZ23)</f>
        <v>0</v>
      </c>
      <c r="AE23" s="58">
        <f>SUM(AX23:AZ23)</f>
        <v>0</v>
      </c>
      <c r="AF23" s="58">
        <f>SUM(AY23:AZ23)</f>
        <v>0</v>
      </c>
      <c r="AG23" s="58">
        <f>SUM(AZ23:AZ23)</f>
        <v>0</v>
      </c>
      <c r="AH23" s="75"/>
      <c r="AI23" s="75"/>
      <c r="AJ23" s="13"/>
      <c r="AK23" s="13"/>
      <c r="AL23" s="13"/>
      <c r="AM23" s="13"/>
      <c r="AN23" s="13"/>
      <c r="AO23" s="58"/>
      <c r="AP23" s="58"/>
      <c r="AQ23" s="58"/>
      <c r="AR23" s="58"/>
      <c r="AS23" s="58"/>
      <c r="AT23" s="58"/>
      <c r="AU23" s="58"/>
      <c r="AV23" s="58"/>
      <c r="AW23" s="58"/>
      <c r="AX23" s="58"/>
      <c r="AY23" s="58">
        <v>0</v>
      </c>
      <c r="AZ23" s="369">
        <v>0</v>
      </c>
      <c r="BA23" s="57">
        <v>0</v>
      </c>
      <c r="BB23" s="57"/>
      <c r="BC23" s="196"/>
      <c r="BD23" s="196"/>
    </row>
    <row r="24" ht="14.25" hidden="1" customHeight="1" spans="1:56">
      <c r="A24" s="13"/>
      <c r="B24" s="13"/>
      <c r="C24" s="13"/>
      <c r="D24" s="81"/>
      <c r="E24" s="22"/>
      <c r="F24" s="22"/>
      <c r="G24" s="22"/>
      <c r="H24" s="22"/>
      <c r="I24" s="22"/>
      <c r="J24" s="22"/>
      <c r="K24" s="22"/>
      <c r="L24" s="22"/>
      <c r="M24" s="22"/>
      <c r="N24" s="22"/>
      <c r="O24" s="22"/>
      <c r="P24" s="22"/>
      <c r="Q24" s="35"/>
      <c r="R24" s="213" t="s">
        <v>3493</v>
      </c>
      <c r="S24" s="214">
        <v>0</v>
      </c>
      <c r="T24" s="58">
        <f>SUM(AO24:BC24)</f>
        <v>4022</v>
      </c>
      <c r="U24" s="58">
        <f>SUM(BA24:BC24)</f>
        <v>2454.8</v>
      </c>
      <c r="V24" s="58">
        <f>SUM(AO24:AZ24)</f>
        <v>1567.2</v>
      </c>
      <c r="W24" s="58">
        <f>SUM(AP24:AZ24)</f>
        <v>1567.2</v>
      </c>
      <c r="X24" s="58">
        <f>SUM(AQ24:AZ24)</f>
        <v>1567.2</v>
      </c>
      <c r="Y24" s="58">
        <f>SUM(AR24:AZ24)</f>
        <v>1567.2</v>
      </c>
      <c r="Z24" s="58">
        <f>SUM(AS24:AZ24)</f>
        <v>1567.2</v>
      </c>
      <c r="AA24" s="58">
        <f>SUM(AT24:AZ24)</f>
        <v>1567.2</v>
      </c>
      <c r="AB24" s="58">
        <f>SUM(AU24:AZ24)</f>
        <v>1567.2</v>
      </c>
      <c r="AC24" s="58">
        <f>SUM(AV24:AZ24)</f>
        <v>1567.2</v>
      </c>
      <c r="AD24" s="58">
        <f>SUM(AW24:AZ24)</f>
        <v>1567.2</v>
      </c>
      <c r="AE24" s="58">
        <f>SUM(AX24:AZ24)</f>
        <v>1567.2</v>
      </c>
      <c r="AF24" s="58">
        <f>SUM(AY24:AZ24)</f>
        <v>1567.2</v>
      </c>
      <c r="AG24" s="58">
        <f>SUM(AZ24:AZ24)</f>
        <v>787.2</v>
      </c>
      <c r="AH24" s="75"/>
      <c r="AI24" s="75"/>
      <c r="AJ24" s="13"/>
      <c r="AK24" s="13"/>
      <c r="AL24" s="13"/>
      <c r="AM24" s="13"/>
      <c r="AN24" s="13"/>
      <c r="AO24" s="58"/>
      <c r="AP24" s="58"/>
      <c r="AQ24" s="58"/>
      <c r="AR24" s="58"/>
      <c r="AS24" s="58"/>
      <c r="AT24" s="58"/>
      <c r="AU24" s="58"/>
      <c r="AV24" s="58"/>
      <c r="AW24" s="58"/>
      <c r="AX24" s="58"/>
      <c r="AY24" s="58">
        <v>780</v>
      </c>
      <c r="AZ24" s="369">
        <v>787.2</v>
      </c>
      <c r="BA24" s="57">
        <v>2454.8</v>
      </c>
      <c r="BB24" s="57"/>
      <c r="BC24" s="196"/>
      <c r="BD24" s="196"/>
    </row>
    <row r="25" ht="14.25" hidden="1" customHeight="1" spans="1:56">
      <c r="A25" s="13"/>
      <c r="B25" s="13"/>
      <c r="C25" s="13"/>
      <c r="D25" s="81"/>
      <c r="E25" s="22"/>
      <c r="F25" s="22"/>
      <c r="G25" s="22"/>
      <c r="H25" s="22"/>
      <c r="I25" s="22"/>
      <c r="J25" s="22"/>
      <c r="K25" s="22"/>
      <c r="L25" s="22"/>
      <c r="M25" s="22"/>
      <c r="N25" s="22"/>
      <c r="O25" s="22"/>
      <c r="P25" s="22"/>
      <c r="Q25" s="35"/>
      <c r="R25" s="213" t="s">
        <v>3494</v>
      </c>
      <c r="S25" s="214">
        <f t="shared" ref="S25:AI25" si="20">SUM(S22:S24)</f>
        <v>2234139.02</v>
      </c>
      <c r="T25" s="214">
        <f t="shared" si="20"/>
        <v>1342795.75</v>
      </c>
      <c r="U25" s="214">
        <f t="shared" si="20"/>
        <v>958864.2</v>
      </c>
      <c r="V25" s="214">
        <f t="shared" si="20"/>
        <v>383931.55</v>
      </c>
      <c r="W25" s="214">
        <f t="shared" si="20"/>
        <v>383931.55</v>
      </c>
      <c r="X25" s="214">
        <f t="shared" si="20"/>
        <v>383931.55</v>
      </c>
      <c r="Y25" s="214">
        <f t="shared" si="20"/>
        <v>383931.55</v>
      </c>
      <c r="Z25" s="214">
        <f t="shared" si="20"/>
        <v>383931.55</v>
      </c>
      <c r="AA25" s="214">
        <f t="shared" si="20"/>
        <v>383931.55</v>
      </c>
      <c r="AB25" s="214">
        <f t="shared" si="20"/>
        <v>383931.55</v>
      </c>
      <c r="AC25" s="214">
        <f t="shared" si="20"/>
        <v>383931.55</v>
      </c>
      <c r="AD25" s="214">
        <f t="shared" si="20"/>
        <v>383931.55</v>
      </c>
      <c r="AE25" s="214">
        <f t="shared" si="20"/>
        <v>383931.55</v>
      </c>
      <c r="AF25" s="214">
        <f t="shared" si="20"/>
        <v>383931.55</v>
      </c>
      <c r="AG25" s="214">
        <f t="shared" si="20"/>
        <v>200192.84</v>
      </c>
      <c r="AH25" s="214">
        <f t="shared" si="20"/>
        <v>0</v>
      </c>
      <c r="AI25" s="214">
        <f t="shared" si="20"/>
        <v>0</v>
      </c>
      <c r="AJ25" s="13"/>
      <c r="AK25" s="13"/>
      <c r="AL25" s="13"/>
      <c r="AM25" s="13"/>
      <c r="AN25" s="13"/>
      <c r="AO25" s="214">
        <f t="shared" ref="AO25:BA25" si="21">SUM(AO22:AO24)</f>
        <v>0</v>
      </c>
      <c r="AP25" s="214">
        <f t="shared" si="21"/>
        <v>0</v>
      </c>
      <c r="AQ25" s="214">
        <f t="shared" si="21"/>
        <v>0</v>
      </c>
      <c r="AR25" s="214">
        <f t="shared" si="21"/>
        <v>0</v>
      </c>
      <c r="AS25" s="214">
        <f t="shared" si="21"/>
        <v>0</v>
      </c>
      <c r="AT25" s="214">
        <f t="shared" si="21"/>
        <v>0</v>
      </c>
      <c r="AU25" s="214">
        <f t="shared" si="21"/>
        <v>0</v>
      </c>
      <c r="AV25" s="214">
        <f t="shared" si="21"/>
        <v>0</v>
      </c>
      <c r="AW25" s="214">
        <f t="shared" si="21"/>
        <v>0</v>
      </c>
      <c r="AX25" s="214">
        <f t="shared" si="21"/>
        <v>0</v>
      </c>
      <c r="AY25" s="214">
        <f t="shared" si="21"/>
        <v>183738.71</v>
      </c>
      <c r="AZ25" s="450">
        <f t="shared" si="21"/>
        <v>200192.84</v>
      </c>
      <c r="BA25" s="451">
        <f t="shared" si="21"/>
        <v>958864.2</v>
      </c>
      <c r="BB25" s="57"/>
      <c r="BC25" s="196"/>
      <c r="BD25" s="196"/>
    </row>
    <row r="26" ht="14.25" hidden="1" customHeight="1" spans="1:56">
      <c r="A26" s="13"/>
      <c r="B26" s="13"/>
      <c r="C26" s="13"/>
      <c r="D26" s="81"/>
      <c r="E26" s="22"/>
      <c r="F26" s="22"/>
      <c r="G26" s="22"/>
      <c r="H26" s="22"/>
      <c r="I26" s="22"/>
      <c r="J26" s="22"/>
      <c r="K26" s="22"/>
      <c r="L26" s="22"/>
      <c r="M26" s="22"/>
      <c r="N26" s="22"/>
      <c r="O26" s="22"/>
      <c r="P26" s="22"/>
      <c r="Q26" s="35"/>
      <c r="R26" s="213" t="s">
        <v>3495</v>
      </c>
      <c r="S26" s="58">
        <f t="shared" ref="S26:AG26" si="22">S21-S22</f>
        <v>407370.41</v>
      </c>
      <c r="T26" s="58">
        <f t="shared" si="22"/>
        <v>234216.59</v>
      </c>
      <c r="U26" s="58">
        <f t="shared" si="22"/>
        <v>92250.8099999999</v>
      </c>
      <c r="V26" s="58">
        <f t="shared" si="22"/>
        <v>141965.78</v>
      </c>
      <c r="W26" s="58">
        <f t="shared" si="22"/>
        <v>141965.78</v>
      </c>
      <c r="X26" s="58">
        <f t="shared" si="22"/>
        <v>141965.78</v>
      </c>
      <c r="Y26" s="58">
        <f t="shared" si="22"/>
        <v>141965.78</v>
      </c>
      <c r="Z26" s="58">
        <f t="shared" si="22"/>
        <v>141965.78</v>
      </c>
      <c r="AA26" s="58">
        <f t="shared" si="22"/>
        <v>141965.78</v>
      </c>
      <c r="AB26" s="58">
        <f t="shared" si="22"/>
        <v>141965.78</v>
      </c>
      <c r="AC26" s="58">
        <f t="shared" si="22"/>
        <v>141965.78</v>
      </c>
      <c r="AD26" s="58">
        <f t="shared" si="22"/>
        <v>141965.78</v>
      </c>
      <c r="AE26" s="58">
        <f t="shared" si="22"/>
        <v>141965.78</v>
      </c>
      <c r="AF26" s="58">
        <f t="shared" si="22"/>
        <v>141965.78</v>
      </c>
      <c r="AG26" s="58">
        <f t="shared" si="22"/>
        <v>-5403.48000000001</v>
      </c>
      <c r="AH26" s="75"/>
      <c r="AI26" s="75"/>
      <c r="AJ26" s="13"/>
      <c r="AK26" s="13"/>
      <c r="AL26" s="13"/>
      <c r="AM26" s="13"/>
      <c r="AN26" s="13"/>
      <c r="AO26" s="58">
        <f t="shared" ref="AO26:AZ26" si="23">AO21-AO22</f>
        <v>0</v>
      </c>
      <c r="AP26" s="58">
        <f t="shared" si="23"/>
        <v>0</v>
      </c>
      <c r="AQ26" s="58">
        <f t="shared" si="23"/>
        <v>0</v>
      </c>
      <c r="AR26" s="58">
        <f t="shared" si="23"/>
        <v>0</v>
      </c>
      <c r="AS26" s="58">
        <f t="shared" si="23"/>
        <v>0</v>
      </c>
      <c r="AT26" s="58">
        <f t="shared" si="23"/>
        <v>0</v>
      </c>
      <c r="AU26" s="58">
        <f t="shared" si="23"/>
        <v>0</v>
      </c>
      <c r="AV26" s="58">
        <f t="shared" si="23"/>
        <v>0</v>
      </c>
      <c r="AW26" s="58">
        <f t="shared" si="23"/>
        <v>0</v>
      </c>
      <c r="AX26" s="58">
        <f t="shared" si="23"/>
        <v>0</v>
      </c>
      <c r="AY26" s="58">
        <f t="shared" si="23"/>
        <v>147369.26</v>
      </c>
      <c r="AZ26" s="369">
        <f t="shared" si="23"/>
        <v>-5403.48000000001</v>
      </c>
      <c r="BA26" s="57">
        <v>92250.8100000001</v>
      </c>
      <c r="BB26" s="57"/>
      <c r="BC26" s="196"/>
      <c r="BD26" s="196"/>
    </row>
    <row r="27" ht="14.25" hidden="1" customHeight="1" spans="1:56">
      <c r="A27" s="13"/>
      <c r="B27" s="13"/>
      <c r="C27" s="13"/>
      <c r="D27" s="81"/>
      <c r="E27" s="22"/>
      <c r="F27" s="22"/>
      <c r="G27" s="22"/>
      <c r="H27" s="22"/>
      <c r="I27" s="22"/>
      <c r="J27" s="22"/>
      <c r="K27" s="22"/>
      <c r="L27" s="22"/>
      <c r="M27" s="22"/>
      <c r="N27" s="22"/>
      <c r="O27" s="22"/>
      <c r="P27" s="22"/>
      <c r="Q27" s="35"/>
      <c r="R27" s="321" t="s">
        <v>3496</v>
      </c>
      <c r="S27" s="61">
        <f t="shared" ref="S27:AG27" si="24">S26/S21</f>
        <v>0.154218798302757</v>
      </c>
      <c r="T27" s="61">
        <f t="shared" si="24"/>
        <v>0.148898937294173</v>
      </c>
      <c r="U27" s="61">
        <f t="shared" si="24"/>
        <v>0.0879701633763714</v>
      </c>
      <c r="V27" s="61">
        <f t="shared" si="24"/>
        <v>0.270756479319623</v>
      </c>
      <c r="W27" s="61">
        <f t="shared" si="24"/>
        <v>0.270756479319623</v>
      </c>
      <c r="X27" s="61">
        <f t="shared" si="24"/>
        <v>0.270756479319623</v>
      </c>
      <c r="Y27" s="61">
        <f t="shared" si="24"/>
        <v>0.270756479319623</v>
      </c>
      <c r="Z27" s="61">
        <f t="shared" si="24"/>
        <v>0.270756479319623</v>
      </c>
      <c r="AA27" s="61">
        <f t="shared" si="24"/>
        <v>0.270756479319623</v>
      </c>
      <c r="AB27" s="61">
        <f t="shared" si="24"/>
        <v>0.270756479319623</v>
      </c>
      <c r="AC27" s="61">
        <f t="shared" si="24"/>
        <v>0.270756479319623</v>
      </c>
      <c r="AD27" s="61">
        <f t="shared" si="24"/>
        <v>0.270756479319623</v>
      </c>
      <c r="AE27" s="61">
        <f t="shared" si="24"/>
        <v>0.270756479319623</v>
      </c>
      <c r="AF27" s="61">
        <f t="shared" si="24"/>
        <v>0.270756479319623</v>
      </c>
      <c r="AG27" s="61">
        <f t="shared" si="24"/>
        <v>-0.027852679578413</v>
      </c>
      <c r="AH27" s="82">
        <f>T27-S27</f>
        <v>-0.00531986100858381</v>
      </c>
      <c r="AI27" s="82">
        <f>AF27-S27</f>
        <v>0.116537681016866</v>
      </c>
      <c r="AJ27" s="13"/>
      <c r="AK27" s="13"/>
      <c r="AL27" s="13"/>
      <c r="AM27" s="13"/>
      <c r="AN27" s="13"/>
      <c r="AO27" s="61" t="e">
        <f t="shared" ref="AO27:AZ27" si="25">AO26/AO21</f>
        <v>#DIV/0!</v>
      </c>
      <c r="AP27" s="61" t="e">
        <f t="shared" si="25"/>
        <v>#DIV/0!</v>
      </c>
      <c r="AQ27" s="61" t="e">
        <f t="shared" si="25"/>
        <v>#DIV/0!</v>
      </c>
      <c r="AR27" s="61" t="e">
        <f t="shared" si="25"/>
        <v>#DIV/0!</v>
      </c>
      <c r="AS27" s="61" t="e">
        <f t="shared" si="25"/>
        <v>#DIV/0!</v>
      </c>
      <c r="AT27" s="61" t="e">
        <f t="shared" si="25"/>
        <v>#DIV/0!</v>
      </c>
      <c r="AU27" s="61" t="e">
        <f t="shared" si="25"/>
        <v>#DIV/0!</v>
      </c>
      <c r="AV27" s="61" t="e">
        <f t="shared" si="25"/>
        <v>#DIV/0!</v>
      </c>
      <c r="AW27" s="61" t="e">
        <f t="shared" si="25"/>
        <v>#DIV/0!</v>
      </c>
      <c r="AX27" s="61" t="e">
        <f t="shared" si="25"/>
        <v>#DIV/0!</v>
      </c>
      <c r="AY27" s="61">
        <f t="shared" si="25"/>
        <v>0.446130129398367</v>
      </c>
      <c r="AZ27" s="452">
        <f t="shared" si="25"/>
        <v>-0.027852679578413</v>
      </c>
      <c r="BA27" s="62">
        <v>0.0879701633763715</v>
      </c>
      <c r="BB27" s="62"/>
      <c r="BC27" s="196"/>
      <c r="BD27" s="196"/>
    </row>
    <row r="28" ht="14.25" hidden="1" customHeight="1" spans="1:56">
      <c r="A28" s="13"/>
      <c r="B28" s="13"/>
      <c r="C28" s="13"/>
      <c r="D28" s="81"/>
      <c r="E28" s="22"/>
      <c r="F28" s="22"/>
      <c r="G28" s="22"/>
      <c r="H28" s="22"/>
      <c r="I28" s="22"/>
      <c r="J28" s="22"/>
      <c r="K28" s="22"/>
      <c r="L28" s="22"/>
      <c r="M28" s="22"/>
      <c r="N28" s="22"/>
      <c r="O28" s="22"/>
      <c r="P28" s="22"/>
      <c r="Q28" s="35"/>
      <c r="R28" s="213" t="s">
        <v>3497</v>
      </c>
      <c r="S28" s="58">
        <f t="shared" ref="S28:AG28" si="26">S21-S22-S23-S24</f>
        <v>407370.41</v>
      </c>
      <c r="T28" s="58">
        <f t="shared" si="26"/>
        <v>230194.59</v>
      </c>
      <c r="U28" s="58">
        <f t="shared" si="26"/>
        <v>89796.0099999999</v>
      </c>
      <c r="V28" s="58">
        <f t="shared" si="26"/>
        <v>140398.58</v>
      </c>
      <c r="W28" s="58">
        <f t="shared" si="26"/>
        <v>140398.58</v>
      </c>
      <c r="X28" s="58">
        <f t="shared" si="26"/>
        <v>140398.58</v>
      </c>
      <c r="Y28" s="58">
        <f t="shared" si="26"/>
        <v>140398.58</v>
      </c>
      <c r="Z28" s="58">
        <f t="shared" si="26"/>
        <v>140398.58</v>
      </c>
      <c r="AA28" s="58">
        <f t="shared" si="26"/>
        <v>140398.58</v>
      </c>
      <c r="AB28" s="58">
        <f t="shared" si="26"/>
        <v>140398.58</v>
      </c>
      <c r="AC28" s="58">
        <f t="shared" si="26"/>
        <v>140398.58</v>
      </c>
      <c r="AD28" s="58">
        <f t="shared" si="26"/>
        <v>140398.58</v>
      </c>
      <c r="AE28" s="58">
        <f t="shared" si="26"/>
        <v>140398.58</v>
      </c>
      <c r="AF28" s="58">
        <f t="shared" si="26"/>
        <v>140398.58</v>
      </c>
      <c r="AG28" s="58">
        <f t="shared" si="26"/>
        <v>-6190.68000000001</v>
      </c>
      <c r="AH28" s="82"/>
      <c r="AI28" s="82"/>
      <c r="AJ28" s="13"/>
      <c r="AK28" s="13"/>
      <c r="AL28" s="13"/>
      <c r="AM28" s="13"/>
      <c r="AN28" s="13"/>
      <c r="AO28" s="58">
        <f t="shared" ref="AO28:AZ28" si="27">AO21-AO22-AO23-AO24</f>
        <v>0</v>
      </c>
      <c r="AP28" s="58">
        <f t="shared" si="27"/>
        <v>0</v>
      </c>
      <c r="AQ28" s="58">
        <f t="shared" si="27"/>
        <v>0</v>
      </c>
      <c r="AR28" s="58">
        <f t="shared" si="27"/>
        <v>0</v>
      </c>
      <c r="AS28" s="58">
        <f t="shared" si="27"/>
        <v>0</v>
      </c>
      <c r="AT28" s="58">
        <f t="shared" si="27"/>
        <v>0</v>
      </c>
      <c r="AU28" s="58">
        <f t="shared" si="27"/>
        <v>0</v>
      </c>
      <c r="AV28" s="58">
        <f t="shared" si="27"/>
        <v>0</v>
      </c>
      <c r="AW28" s="58">
        <f t="shared" si="27"/>
        <v>0</v>
      </c>
      <c r="AX28" s="58">
        <f t="shared" si="27"/>
        <v>0</v>
      </c>
      <c r="AY28" s="58">
        <f t="shared" si="27"/>
        <v>146589.26</v>
      </c>
      <c r="AZ28" s="369">
        <f t="shared" si="27"/>
        <v>-6190.68000000001</v>
      </c>
      <c r="BA28" s="57">
        <v>89796.0100000001</v>
      </c>
      <c r="BB28" s="57"/>
      <c r="BC28" s="196"/>
      <c r="BD28" s="196"/>
    </row>
    <row r="29" ht="14.25" hidden="1" customHeight="1" spans="1:56">
      <c r="A29" s="14"/>
      <c r="B29" s="14"/>
      <c r="C29" s="14"/>
      <c r="D29" s="84"/>
      <c r="E29" s="24"/>
      <c r="F29" s="24"/>
      <c r="G29" s="24"/>
      <c r="H29" s="24"/>
      <c r="I29" s="24"/>
      <c r="J29" s="24"/>
      <c r="K29" s="24"/>
      <c r="L29" s="24"/>
      <c r="M29" s="24"/>
      <c r="N29" s="24"/>
      <c r="O29" s="24"/>
      <c r="P29" s="24"/>
      <c r="Q29" s="156"/>
      <c r="R29" s="321" t="s">
        <v>3498</v>
      </c>
      <c r="S29" s="61">
        <f t="shared" ref="S29:AG29" si="28">S28/S21</f>
        <v>0.154218798302757</v>
      </c>
      <c r="T29" s="61">
        <f t="shared" si="28"/>
        <v>0.146342023944025</v>
      </c>
      <c r="U29" s="61">
        <f t="shared" si="28"/>
        <v>0.0856292716589294</v>
      </c>
      <c r="V29" s="61">
        <f t="shared" si="28"/>
        <v>0.267767522724662</v>
      </c>
      <c r="W29" s="61">
        <f t="shared" si="28"/>
        <v>0.267767522724662</v>
      </c>
      <c r="X29" s="61">
        <f t="shared" si="28"/>
        <v>0.267767522724662</v>
      </c>
      <c r="Y29" s="61">
        <f t="shared" si="28"/>
        <v>0.267767522724662</v>
      </c>
      <c r="Z29" s="61">
        <f t="shared" si="28"/>
        <v>0.267767522724662</v>
      </c>
      <c r="AA29" s="61">
        <f t="shared" si="28"/>
        <v>0.267767522724662</v>
      </c>
      <c r="AB29" s="61">
        <f t="shared" si="28"/>
        <v>0.267767522724662</v>
      </c>
      <c r="AC29" s="61">
        <f t="shared" si="28"/>
        <v>0.267767522724662</v>
      </c>
      <c r="AD29" s="61">
        <f t="shared" si="28"/>
        <v>0.267767522724662</v>
      </c>
      <c r="AE29" s="61">
        <f t="shared" si="28"/>
        <v>0.267767522724662</v>
      </c>
      <c r="AF29" s="61">
        <f t="shared" si="28"/>
        <v>0.267767522724662</v>
      </c>
      <c r="AG29" s="61">
        <f t="shared" si="28"/>
        <v>-0.0319103663588076</v>
      </c>
      <c r="AH29" s="82">
        <f>T29-S29</f>
        <v>-0.00787677435873191</v>
      </c>
      <c r="AI29" s="82">
        <f>AF29-S29</f>
        <v>0.113548724421905</v>
      </c>
      <c r="AJ29" s="14"/>
      <c r="AK29" s="14"/>
      <c r="AL29" s="14"/>
      <c r="AM29" s="14"/>
      <c r="AN29" s="14"/>
      <c r="AO29" s="61" t="e">
        <f t="shared" ref="AO29:AZ29" si="29">AO28/AO21</f>
        <v>#DIV/0!</v>
      </c>
      <c r="AP29" s="61" t="e">
        <f t="shared" si="29"/>
        <v>#DIV/0!</v>
      </c>
      <c r="AQ29" s="61" t="e">
        <f t="shared" si="29"/>
        <v>#DIV/0!</v>
      </c>
      <c r="AR29" s="61" t="e">
        <f t="shared" si="29"/>
        <v>#DIV/0!</v>
      </c>
      <c r="AS29" s="61" t="e">
        <f t="shared" si="29"/>
        <v>#DIV/0!</v>
      </c>
      <c r="AT29" s="61" t="e">
        <f t="shared" si="29"/>
        <v>#DIV/0!</v>
      </c>
      <c r="AU29" s="61" t="e">
        <f t="shared" si="29"/>
        <v>#DIV/0!</v>
      </c>
      <c r="AV29" s="61" t="e">
        <f t="shared" si="29"/>
        <v>#DIV/0!</v>
      </c>
      <c r="AW29" s="61" t="e">
        <f t="shared" si="29"/>
        <v>#DIV/0!</v>
      </c>
      <c r="AX29" s="61" t="e">
        <f t="shared" si="29"/>
        <v>#DIV/0!</v>
      </c>
      <c r="AY29" s="61">
        <f t="shared" si="29"/>
        <v>0.443768839798822</v>
      </c>
      <c r="AZ29" s="452">
        <f t="shared" si="29"/>
        <v>-0.0319103663588076</v>
      </c>
      <c r="BA29" s="62">
        <v>0.0856292716589295</v>
      </c>
      <c r="BB29" s="62"/>
      <c r="BC29" s="196"/>
      <c r="BD29" s="196"/>
    </row>
    <row r="30" ht="14.25" hidden="1" customHeight="1" spans="1:56">
      <c r="A30" s="8" t="s">
        <v>2654</v>
      </c>
      <c r="B30" s="428" t="s">
        <v>3370</v>
      </c>
      <c r="C30" s="17">
        <v>45852</v>
      </c>
      <c r="D30" s="172">
        <v>46081</v>
      </c>
      <c r="E30" s="19" t="s">
        <v>3509</v>
      </c>
      <c r="F30" s="19" t="s">
        <v>3510</v>
      </c>
      <c r="G30" s="19"/>
      <c r="H30" s="19"/>
      <c r="I30" s="19"/>
      <c r="J30" s="19"/>
      <c r="K30" s="19"/>
      <c r="L30" s="19"/>
      <c r="M30" s="19"/>
      <c r="N30" s="19"/>
      <c r="O30" s="19"/>
      <c r="P30" s="19"/>
      <c r="Q30" s="434" t="s">
        <v>3499</v>
      </c>
      <c r="R30" s="41" t="s">
        <v>3486</v>
      </c>
      <c r="S30" s="204">
        <v>1171698.11</v>
      </c>
      <c r="T30" s="44">
        <f>SUM(AO30:BC30)</f>
        <v>1162988.82</v>
      </c>
      <c r="U30" s="44">
        <f>SUM(BA30:BC30)</f>
        <v>987292.99</v>
      </c>
      <c r="V30" s="44">
        <f>SUM(AO30:AZ30)</f>
        <v>175695.83</v>
      </c>
      <c r="W30" s="44">
        <f>SUM(AP30:AZ30)</f>
        <v>175695.83</v>
      </c>
      <c r="X30" s="44">
        <f>SUM(AQ30:AZ30)</f>
        <v>175695.83</v>
      </c>
      <c r="Y30" s="44">
        <f>SUM(AR30:AZ30)</f>
        <v>175695.83</v>
      </c>
      <c r="Z30" s="44">
        <f>SUM(AS30:AZ30)</f>
        <v>175695.83</v>
      </c>
      <c r="AA30" s="44">
        <f>SUM(AT30:AZ30)</f>
        <v>175695.83</v>
      </c>
      <c r="AB30" s="44">
        <f>SUM(AU30:AZ30)</f>
        <v>175695.83</v>
      </c>
      <c r="AC30" s="44">
        <f>SUM(AV30:AZ30)</f>
        <v>175695.83</v>
      </c>
      <c r="AD30" s="44">
        <f>SUM(AW30:AZ30)</f>
        <v>175695.83</v>
      </c>
      <c r="AE30" s="44">
        <f>SUM(AX30:AZ30)</f>
        <v>175695.83</v>
      </c>
      <c r="AF30" s="44">
        <f>SUM(AY30:AZ30)</f>
        <v>175695.83</v>
      </c>
      <c r="AG30" s="44">
        <f>SUM(AZ30:AZ30)</f>
        <v>112915.39</v>
      </c>
      <c r="AH30" s="220"/>
      <c r="AI30" s="220"/>
      <c r="AJ30" s="437" t="s">
        <v>377</v>
      </c>
      <c r="AK30" s="87" t="s">
        <v>3511</v>
      </c>
      <c r="AL30" s="15"/>
      <c r="AM30" s="87" t="s">
        <v>3512</v>
      </c>
      <c r="AN30" s="441"/>
      <c r="AO30" s="44"/>
      <c r="AP30" s="44"/>
      <c r="AQ30" s="44"/>
      <c r="AR30" s="44"/>
      <c r="AS30" s="44"/>
      <c r="AT30" s="44"/>
      <c r="AU30" s="44"/>
      <c r="AV30" s="44"/>
      <c r="AW30" s="44"/>
      <c r="AX30" s="44"/>
      <c r="AY30" s="44">
        <v>62780.44</v>
      </c>
      <c r="AZ30" s="445">
        <v>112915.39</v>
      </c>
      <c r="BA30" s="43">
        <v>987292.99</v>
      </c>
      <c r="BB30" s="43"/>
      <c r="BC30" s="446"/>
      <c r="BD30" s="196"/>
    </row>
    <row r="31" ht="14.25" hidden="1" customHeight="1" spans="1:56">
      <c r="A31" s="13"/>
      <c r="B31" s="13"/>
      <c r="C31" s="13"/>
      <c r="D31" s="81"/>
      <c r="E31" s="22"/>
      <c r="F31" s="22"/>
      <c r="G31" s="22"/>
      <c r="H31" s="22"/>
      <c r="I31" s="22"/>
      <c r="J31" s="22"/>
      <c r="K31" s="22"/>
      <c r="L31" s="22"/>
      <c r="M31" s="22"/>
      <c r="N31" s="22"/>
      <c r="O31" s="22"/>
      <c r="P31" s="22"/>
      <c r="Q31" s="35"/>
      <c r="R31" s="41" t="s">
        <v>3490</v>
      </c>
      <c r="S31" s="433">
        <v>866909.85</v>
      </c>
      <c r="T31" s="44">
        <f>SUM(AO31:BC31)</f>
        <v>1013204.57</v>
      </c>
      <c r="U31" s="44">
        <f>SUM(BA31:BC31)</f>
        <v>775244.31</v>
      </c>
      <c r="V31" s="44">
        <f>SUM(AO31:AZ31)</f>
        <v>237960.26</v>
      </c>
      <c r="W31" s="44">
        <f>SUM(AP31:AZ31)</f>
        <v>237960.26</v>
      </c>
      <c r="X31" s="44">
        <f>SUM(AQ31:AZ31)</f>
        <v>237960.26</v>
      </c>
      <c r="Y31" s="44">
        <f>SUM(AR31:AZ31)</f>
        <v>237960.26</v>
      </c>
      <c r="Z31" s="44">
        <f>SUM(AS31:AZ31)</f>
        <v>237960.26</v>
      </c>
      <c r="AA31" s="44">
        <f>SUM(AT31:AZ31)</f>
        <v>237960.26</v>
      </c>
      <c r="AB31" s="44">
        <f>SUM(AU31:AZ31)</f>
        <v>237960.26</v>
      </c>
      <c r="AC31" s="44">
        <f>SUM(AV31:AZ31)</f>
        <v>237960.26</v>
      </c>
      <c r="AD31" s="44">
        <f>SUM(AW31:AZ31)</f>
        <v>237960.26</v>
      </c>
      <c r="AE31" s="44">
        <f>SUM(AX31:AZ31)</f>
        <v>237960.26</v>
      </c>
      <c r="AF31" s="44">
        <f>SUM(AY31:AZ31)</f>
        <v>237960.26</v>
      </c>
      <c r="AG31" s="44">
        <f>SUM(AZ31:AZ31)</f>
        <v>183731.89</v>
      </c>
      <c r="AH31" s="220"/>
      <c r="AI31" s="220"/>
      <c r="AJ31" s="13"/>
      <c r="AK31" s="13"/>
      <c r="AL31" s="13"/>
      <c r="AM31" s="13"/>
      <c r="AN31" s="13"/>
      <c r="AO31" s="44"/>
      <c r="AP31" s="44"/>
      <c r="AQ31" s="44"/>
      <c r="AR31" s="44"/>
      <c r="AS31" s="44"/>
      <c r="AT31" s="44"/>
      <c r="AU31" s="44"/>
      <c r="AV31" s="44"/>
      <c r="AW31" s="44"/>
      <c r="AX31" s="44"/>
      <c r="AY31" s="44">
        <v>54228.37</v>
      </c>
      <c r="AZ31" s="445">
        <v>183731.89</v>
      </c>
      <c r="BA31" s="43">
        <v>775244.31</v>
      </c>
      <c r="BB31" s="43"/>
      <c r="BC31" s="446"/>
      <c r="BD31" s="196"/>
    </row>
    <row r="32" ht="14.25" hidden="1" customHeight="1" spans="1:56">
      <c r="A32" s="13"/>
      <c r="B32" s="13"/>
      <c r="C32" s="13"/>
      <c r="D32" s="81"/>
      <c r="E32" s="22"/>
      <c r="F32" s="22"/>
      <c r="G32" s="22"/>
      <c r="H32" s="22"/>
      <c r="I32" s="22"/>
      <c r="J32" s="22"/>
      <c r="K32" s="22"/>
      <c r="L32" s="22"/>
      <c r="M32" s="22"/>
      <c r="N32" s="22"/>
      <c r="O32" s="22"/>
      <c r="P32" s="22"/>
      <c r="Q32" s="35"/>
      <c r="R32" s="41" t="s">
        <v>3492</v>
      </c>
      <c r="S32" s="204">
        <v>40000</v>
      </c>
      <c r="T32" s="44">
        <f>SUM(AO32:BC32)</f>
        <v>71094.51</v>
      </c>
      <c r="U32" s="44">
        <f>SUM(BA32:BC32)</f>
        <v>0</v>
      </c>
      <c r="V32" s="44">
        <f>SUM(AO32:AZ32)</f>
        <v>71094.51</v>
      </c>
      <c r="W32" s="44">
        <f>SUM(AP32:AZ32)</f>
        <v>71094.51</v>
      </c>
      <c r="X32" s="44">
        <f>SUM(AQ32:AZ32)</f>
        <v>71094.51</v>
      </c>
      <c r="Y32" s="44">
        <f>SUM(AR32:AZ32)</f>
        <v>71094.51</v>
      </c>
      <c r="Z32" s="44">
        <f>SUM(AS32:AZ32)</f>
        <v>71094.51</v>
      </c>
      <c r="AA32" s="44">
        <f>SUM(AT32:AZ32)</f>
        <v>71094.51</v>
      </c>
      <c r="AB32" s="44">
        <f>SUM(AU32:AZ32)</f>
        <v>71094.51</v>
      </c>
      <c r="AC32" s="44">
        <f>SUM(AV32:AZ32)</f>
        <v>71094.51</v>
      </c>
      <c r="AD32" s="44">
        <f>SUM(AW32:AZ32)</f>
        <v>71094.51</v>
      </c>
      <c r="AE32" s="44">
        <f>SUM(AX32:AZ32)</f>
        <v>71094.51</v>
      </c>
      <c r="AF32" s="44">
        <f>SUM(AY32:AZ32)</f>
        <v>71094.51</v>
      </c>
      <c r="AG32" s="44">
        <f>SUM(AZ32:AZ32)</f>
        <v>0</v>
      </c>
      <c r="AH32" s="220"/>
      <c r="AI32" s="220"/>
      <c r="AJ32" s="13"/>
      <c r="AK32" s="13"/>
      <c r="AL32" s="13"/>
      <c r="AM32" s="13"/>
      <c r="AN32" s="13"/>
      <c r="AO32" s="44"/>
      <c r="AP32" s="44"/>
      <c r="AQ32" s="44"/>
      <c r="AR32" s="44"/>
      <c r="AS32" s="44"/>
      <c r="AT32" s="44"/>
      <c r="AU32" s="44"/>
      <c r="AV32" s="44"/>
      <c r="AW32" s="44"/>
      <c r="AX32" s="44"/>
      <c r="AY32" s="44">
        <v>71094.51</v>
      </c>
      <c r="AZ32" s="445">
        <v>0</v>
      </c>
      <c r="BA32" s="43">
        <v>0</v>
      </c>
      <c r="BB32" s="43"/>
      <c r="BC32" s="446"/>
      <c r="BD32" s="196"/>
    </row>
    <row r="33" ht="14.25" hidden="1" customHeight="1" spans="1:56">
      <c r="A33" s="13"/>
      <c r="B33" s="13"/>
      <c r="C33" s="13"/>
      <c r="D33" s="81"/>
      <c r="E33" s="22"/>
      <c r="F33" s="22"/>
      <c r="G33" s="22"/>
      <c r="H33" s="22"/>
      <c r="I33" s="22"/>
      <c r="J33" s="22"/>
      <c r="K33" s="22"/>
      <c r="L33" s="22"/>
      <c r="M33" s="22"/>
      <c r="N33" s="22"/>
      <c r="O33" s="22"/>
      <c r="P33" s="22"/>
      <c r="Q33" s="35"/>
      <c r="R33" s="41" t="s">
        <v>3493</v>
      </c>
      <c r="S33" s="204">
        <v>30000</v>
      </c>
      <c r="T33" s="44">
        <f>SUM(AO33:BC33)</f>
        <v>5555.18</v>
      </c>
      <c r="U33" s="44">
        <f>SUM(BA33:BC33)</f>
        <v>1283.33</v>
      </c>
      <c r="V33" s="44">
        <f>SUM(AO33:AZ33)</f>
        <v>4271.85</v>
      </c>
      <c r="W33" s="44">
        <f>SUM(AP33:AZ33)</f>
        <v>4271.85</v>
      </c>
      <c r="X33" s="44">
        <f>SUM(AQ33:AZ33)</f>
        <v>4271.85</v>
      </c>
      <c r="Y33" s="44">
        <f>SUM(AR33:AZ33)</f>
        <v>4271.85</v>
      </c>
      <c r="Z33" s="44">
        <f>SUM(AS33:AZ33)</f>
        <v>4271.85</v>
      </c>
      <c r="AA33" s="44">
        <f>SUM(AT33:AZ33)</f>
        <v>4271.85</v>
      </c>
      <c r="AB33" s="44">
        <f>SUM(AU33:AZ33)</f>
        <v>4271.85</v>
      </c>
      <c r="AC33" s="44">
        <f>SUM(AV33:AZ33)</f>
        <v>4271.85</v>
      </c>
      <c r="AD33" s="44">
        <f>SUM(AW33:AZ33)</f>
        <v>4271.85</v>
      </c>
      <c r="AE33" s="44">
        <f>SUM(AX33:AZ33)</f>
        <v>4271.85</v>
      </c>
      <c r="AF33" s="44">
        <f>SUM(AY33:AZ33)</f>
        <v>4271.85</v>
      </c>
      <c r="AG33" s="44">
        <f>SUM(AZ33:AZ33)</f>
        <v>802.45</v>
      </c>
      <c r="AH33" s="220"/>
      <c r="AI33" s="220"/>
      <c r="AJ33" s="13"/>
      <c r="AK33" s="13"/>
      <c r="AL33" s="13"/>
      <c r="AM33" s="13"/>
      <c r="AN33" s="13"/>
      <c r="AO33" s="44"/>
      <c r="AP33" s="44"/>
      <c r="AQ33" s="44"/>
      <c r="AR33" s="44"/>
      <c r="AS33" s="44"/>
      <c r="AT33" s="44"/>
      <c r="AU33" s="44"/>
      <c r="AV33" s="44"/>
      <c r="AW33" s="44"/>
      <c r="AX33" s="44"/>
      <c r="AY33" s="44">
        <v>3469.4</v>
      </c>
      <c r="AZ33" s="445">
        <v>802.45</v>
      </c>
      <c r="BA33" s="43">
        <v>1283.33</v>
      </c>
      <c r="BB33" s="43"/>
      <c r="BC33" s="446"/>
      <c r="BD33" s="196"/>
    </row>
    <row r="34" ht="14.25" hidden="1" customHeight="1" spans="1:56">
      <c r="A34" s="13"/>
      <c r="B34" s="13"/>
      <c r="C34" s="13"/>
      <c r="D34" s="81"/>
      <c r="E34" s="22"/>
      <c r="F34" s="22"/>
      <c r="G34" s="22"/>
      <c r="H34" s="22"/>
      <c r="I34" s="22"/>
      <c r="J34" s="22"/>
      <c r="K34" s="22"/>
      <c r="L34" s="22"/>
      <c r="M34" s="22"/>
      <c r="N34" s="22"/>
      <c r="O34" s="22"/>
      <c r="P34" s="22"/>
      <c r="Q34" s="35"/>
      <c r="R34" s="41" t="s">
        <v>3494</v>
      </c>
      <c r="S34" s="204">
        <f t="shared" ref="S34:AI34" si="30">SUM(S31:S33)</f>
        <v>936909.85</v>
      </c>
      <c r="T34" s="204">
        <f t="shared" si="30"/>
        <v>1089854.26</v>
      </c>
      <c r="U34" s="204">
        <f t="shared" si="30"/>
        <v>776527.64</v>
      </c>
      <c r="V34" s="204">
        <f t="shared" si="30"/>
        <v>313326.62</v>
      </c>
      <c r="W34" s="204">
        <f t="shared" si="30"/>
        <v>313326.62</v>
      </c>
      <c r="X34" s="204">
        <f t="shared" si="30"/>
        <v>313326.62</v>
      </c>
      <c r="Y34" s="204">
        <f t="shared" si="30"/>
        <v>313326.62</v>
      </c>
      <c r="Z34" s="204">
        <f t="shared" si="30"/>
        <v>313326.62</v>
      </c>
      <c r="AA34" s="204">
        <f t="shared" si="30"/>
        <v>313326.62</v>
      </c>
      <c r="AB34" s="204">
        <f t="shared" si="30"/>
        <v>313326.62</v>
      </c>
      <c r="AC34" s="204">
        <f t="shared" si="30"/>
        <v>313326.62</v>
      </c>
      <c r="AD34" s="204">
        <f t="shared" si="30"/>
        <v>313326.62</v>
      </c>
      <c r="AE34" s="204">
        <f t="shared" si="30"/>
        <v>313326.62</v>
      </c>
      <c r="AF34" s="204">
        <f t="shared" si="30"/>
        <v>313326.62</v>
      </c>
      <c r="AG34" s="204">
        <f t="shared" si="30"/>
        <v>184534.34</v>
      </c>
      <c r="AH34" s="204">
        <f t="shared" si="30"/>
        <v>0</v>
      </c>
      <c r="AI34" s="204">
        <f t="shared" si="30"/>
        <v>0</v>
      </c>
      <c r="AJ34" s="13"/>
      <c r="AK34" s="13"/>
      <c r="AL34" s="13"/>
      <c r="AM34" s="13"/>
      <c r="AN34" s="13"/>
      <c r="AO34" s="204">
        <f t="shared" ref="AO34:BA34" si="31">SUM(AO31:AO33)</f>
        <v>0</v>
      </c>
      <c r="AP34" s="204">
        <f t="shared" si="31"/>
        <v>0</v>
      </c>
      <c r="AQ34" s="204">
        <f t="shared" si="31"/>
        <v>0</v>
      </c>
      <c r="AR34" s="204">
        <f t="shared" si="31"/>
        <v>0</v>
      </c>
      <c r="AS34" s="204">
        <f t="shared" si="31"/>
        <v>0</v>
      </c>
      <c r="AT34" s="204">
        <f t="shared" si="31"/>
        <v>0</v>
      </c>
      <c r="AU34" s="204">
        <f t="shared" si="31"/>
        <v>0</v>
      </c>
      <c r="AV34" s="204">
        <f t="shared" si="31"/>
        <v>0</v>
      </c>
      <c r="AW34" s="204">
        <f t="shared" si="31"/>
        <v>0</v>
      </c>
      <c r="AX34" s="204">
        <f t="shared" si="31"/>
        <v>0</v>
      </c>
      <c r="AY34" s="204">
        <f t="shared" si="31"/>
        <v>128792.28</v>
      </c>
      <c r="AZ34" s="447">
        <f t="shared" si="31"/>
        <v>184534.34</v>
      </c>
      <c r="BA34" s="448">
        <f t="shared" si="31"/>
        <v>776527.64</v>
      </c>
      <c r="BB34" s="43"/>
      <c r="BC34" s="446"/>
      <c r="BD34" s="196"/>
    </row>
    <row r="35" ht="14.25" hidden="1" customHeight="1" spans="1:56">
      <c r="A35" s="13"/>
      <c r="B35" s="13"/>
      <c r="C35" s="13"/>
      <c r="D35" s="81"/>
      <c r="E35" s="22"/>
      <c r="F35" s="22"/>
      <c r="G35" s="22"/>
      <c r="H35" s="22"/>
      <c r="I35" s="22"/>
      <c r="J35" s="22"/>
      <c r="K35" s="22"/>
      <c r="L35" s="22"/>
      <c r="M35" s="22"/>
      <c r="N35" s="22"/>
      <c r="O35" s="22"/>
      <c r="P35" s="22"/>
      <c r="Q35" s="35"/>
      <c r="R35" s="41" t="s">
        <v>3495</v>
      </c>
      <c r="S35" s="44">
        <f t="shared" ref="S35:AG35" si="32">S30-S31</f>
        <v>304788.26</v>
      </c>
      <c r="T35" s="44">
        <f t="shared" si="32"/>
        <v>149784.25</v>
      </c>
      <c r="U35" s="44">
        <f t="shared" si="32"/>
        <v>212048.68</v>
      </c>
      <c r="V35" s="44">
        <f t="shared" si="32"/>
        <v>-62264.43</v>
      </c>
      <c r="W35" s="44">
        <f t="shared" si="32"/>
        <v>-62264.43</v>
      </c>
      <c r="X35" s="44">
        <f t="shared" si="32"/>
        <v>-62264.43</v>
      </c>
      <c r="Y35" s="44">
        <f t="shared" si="32"/>
        <v>-62264.43</v>
      </c>
      <c r="Z35" s="44">
        <f t="shared" si="32"/>
        <v>-62264.43</v>
      </c>
      <c r="AA35" s="44">
        <f t="shared" si="32"/>
        <v>-62264.43</v>
      </c>
      <c r="AB35" s="44">
        <f t="shared" si="32"/>
        <v>-62264.43</v>
      </c>
      <c r="AC35" s="44">
        <f t="shared" si="32"/>
        <v>-62264.43</v>
      </c>
      <c r="AD35" s="44">
        <f t="shared" si="32"/>
        <v>-62264.43</v>
      </c>
      <c r="AE35" s="44">
        <f t="shared" si="32"/>
        <v>-62264.43</v>
      </c>
      <c r="AF35" s="44">
        <f t="shared" si="32"/>
        <v>-62264.43</v>
      </c>
      <c r="AG35" s="44">
        <f t="shared" si="32"/>
        <v>-70816.5</v>
      </c>
      <c r="AH35" s="220"/>
      <c r="AI35" s="220"/>
      <c r="AJ35" s="13"/>
      <c r="AK35" s="13"/>
      <c r="AL35" s="13"/>
      <c r="AM35" s="13"/>
      <c r="AN35" s="13"/>
      <c r="AO35" s="44">
        <f t="shared" ref="AO35:AZ35" si="33">AO30-AO31</f>
        <v>0</v>
      </c>
      <c r="AP35" s="44">
        <f t="shared" si="33"/>
        <v>0</v>
      </c>
      <c r="AQ35" s="44">
        <f t="shared" si="33"/>
        <v>0</v>
      </c>
      <c r="AR35" s="44">
        <f t="shared" si="33"/>
        <v>0</v>
      </c>
      <c r="AS35" s="44">
        <f t="shared" si="33"/>
        <v>0</v>
      </c>
      <c r="AT35" s="44">
        <f t="shared" si="33"/>
        <v>0</v>
      </c>
      <c r="AU35" s="44">
        <f t="shared" si="33"/>
        <v>0</v>
      </c>
      <c r="AV35" s="44">
        <f t="shared" si="33"/>
        <v>0</v>
      </c>
      <c r="AW35" s="44">
        <f t="shared" si="33"/>
        <v>0</v>
      </c>
      <c r="AX35" s="44">
        <f t="shared" si="33"/>
        <v>0</v>
      </c>
      <c r="AY35" s="44">
        <f t="shared" si="33"/>
        <v>8552.07</v>
      </c>
      <c r="AZ35" s="445">
        <f t="shared" si="33"/>
        <v>-70816.5</v>
      </c>
      <c r="BA35" s="43">
        <v>212048.68</v>
      </c>
      <c r="BB35" s="43"/>
      <c r="BC35" s="446"/>
      <c r="BD35" s="196"/>
    </row>
    <row r="36" ht="14.25" hidden="1" customHeight="1" spans="1:56">
      <c r="A36" s="13"/>
      <c r="B36" s="13"/>
      <c r="C36" s="13"/>
      <c r="D36" s="81"/>
      <c r="E36" s="22"/>
      <c r="F36" s="22"/>
      <c r="G36" s="22"/>
      <c r="H36" s="22"/>
      <c r="I36" s="22"/>
      <c r="J36" s="22"/>
      <c r="K36" s="22"/>
      <c r="L36" s="22"/>
      <c r="M36" s="22"/>
      <c r="N36" s="22"/>
      <c r="O36" s="22"/>
      <c r="P36" s="22"/>
      <c r="Q36" s="35"/>
      <c r="R36" s="47" t="s">
        <v>3496</v>
      </c>
      <c r="S36" s="48">
        <f t="shared" ref="S36:AG36" si="34">S35/S30</f>
        <v>0.260125246766849</v>
      </c>
      <c r="T36" s="48">
        <f t="shared" si="34"/>
        <v>0.128792510662312</v>
      </c>
      <c r="U36" s="48">
        <f t="shared" si="34"/>
        <v>0.214777864471619</v>
      </c>
      <c r="V36" s="48">
        <f t="shared" si="34"/>
        <v>-0.354387636860818</v>
      </c>
      <c r="W36" s="48">
        <f t="shared" si="34"/>
        <v>-0.354387636860818</v>
      </c>
      <c r="X36" s="48">
        <f t="shared" si="34"/>
        <v>-0.354387636860818</v>
      </c>
      <c r="Y36" s="48">
        <f t="shared" si="34"/>
        <v>-0.354387636860818</v>
      </c>
      <c r="Z36" s="48">
        <f t="shared" si="34"/>
        <v>-0.354387636860818</v>
      </c>
      <c r="AA36" s="48">
        <f t="shared" si="34"/>
        <v>-0.354387636860818</v>
      </c>
      <c r="AB36" s="48">
        <f t="shared" si="34"/>
        <v>-0.354387636860818</v>
      </c>
      <c r="AC36" s="48">
        <f t="shared" si="34"/>
        <v>-0.354387636860818</v>
      </c>
      <c r="AD36" s="48">
        <f t="shared" si="34"/>
        <v>-0.354387636860818</v>
      </c>
      <c r="AE36" s="48">
        <f t="shared" si="34"/>
        <v>-0.354387636860818</v>
      </c>
      <c r="AF36" s="48">
        <f t="shared" si="34"/>
        <v>-0.354387636860818</v>
      </c>
      <c r="AG36" s="48">
        <f t="shared" si="34"/>
        <v>-0.627164286462634</v>
      </c>
      <c r="AH36" s="224">
        <f>T36-S36</f>
        <v>-0.131332736104536</v>
      </c>
      <c r="AI36" s="224">
        <f>AF36-S36</f>
        <v>-0.614512883627666</v>
      </c>
      <c r="AJ36" s="13"/>
      <c r="AK36" s="13"/>
      <c r="AL36" s="13"/>
      <c r="AM36" s="13"/>
      <c r="AN36" s="13"/>
      <c r="AO36" s="48" t="e">
        <f t="shared" ref="AO36:AZ36" si="35">AO35/AO30</f>
        <v>#DIV/0!</v>
      </c>
      <c r="AP36" s="48" t="e">
        <f t="shared" si="35"/>
        <v>#DIV/0!</v>
      </c>
      <c r="AQ36" s="48" t="e">
        <f t="shared" si="35"/>
        <v>#DIV/0!</v>
      </c>
      <c r="AR36" s="48" t="e">
        <f t="shared" si="35"/>
        <v>#DIV/0!</v>
      </c>
      <c r="AS36" s="48" t="e">
        <f t="shared" si="35"/>
        <v>#DIV/0!</v>
      </c>
      <c r="AT36" s="48" t="e">
        <f t="shared" si="35"/>
        <v>#DIV/0!</v>
      </c>
      <c r="AU36" s="48" t="e">
        <f t="shared" si="35"/>
        <v>#DIV/0!</v>
      </c>
      <c r="AV36" s="48" t="e">
        <f t="shared" si="35"/>
        <v>#DIV/0!</v>
      </c>
      <c r="AW36" s="48" t="e">
        <f t="shared" si="35"/>
        <v>#DIV/0!</v>
      </c>
      <c r="AX36" s="48" t="e">
        <f t="shared" si="35"/>
        <v>#DIV/0!</v>
      </c>
      <c r="AY36" s="48">
        <f t="shared" si="35"/>
        <v>0.136221886944405</v>
      </c>
      <c r="AZ36" s="449">
        <f t="shared" si="35"/>
        <v>-0.627164286462634</v>
      </c>
      <c r="BA36" s="49">
        <v>0.214777864471619</v>
      </c>
      <c r="BB36" s="49"/>
      <c r="BC36" s="446"/>
      <c r="BD36" s="196"/>
    </row>
    <row r="37" ht="14.25" hidden="1" customHeight="1" spans="1:56">
      <c r="A37" s="13"/>
      <c r="B37" s="13"/>
      <c r="C37" s="13"/>
      <c r="D37" s="81"/>
      <c r="E37" s="22"/>
      <c r="F37" s="22"/>
      <c r="G37" s="22"/>
      <c r="H37" s="22"/>
      <c r="I37" s="22"/>
      <c r="J37" s="22"/>
      <c r="K37" s="22"/>
      <c r="L37" s="22"/>
      <c r="M37" s="22"/>
      <c r="N37" s="22"/>
      <c r="O37" s="22"/>
      <c r="P37" s="22"/>
      <c r="Q37" s="35"/>
      <c r="R37" s="41" t="s">
        <v>3497</v>
      </c>
      <c r="S37" s="44">
        <f t="shared" ref="S37:AG37" si="36">S30-S31-S32-S33</f>
        <v>234788.26</v>
      </c>
      <c r="T37" s="44">
        <f t="shared" si="36"/>
        <v>73134.56</v>
      </c>
      <c r="U37" s="44">
        <f t="shared" si="36"/>
        <v>210765.35</v>
      </c>
      <c r="V37" s="44">
        <f t="shared" si="36"/>
        <v>-137630.79</v>
      </c>
      <c r="W37" s="44">
        <f t="shared" si="36"/>
        <v>-137630.79</v>
      </c>
      <c r="X37" s="44">
        <f t="shared" si="36"/>
        <v>-137630.79</v>
      </c>
      <c r="Y37" s="44">
        <f t="shared" si="36"/>
        <v>-137630.79</v>
      </c>
      <c r="Z37" s="44">
        <f t="shared" si="36"/>
        <v>-137630.79</v>
      </c>
      <c r="AA37" s="44">
        <f t="shared" si="36"/>
        <v>-137630.79</v>
      </c>
      <c r="AB37" s="44">
        <f t="shared" si="36"/>
        <v>-137630.79</v>
      </c>
      <c r="AC37" s="44">
        <f t="shared" si="36"/>
        <v>-137630.79</v>
      </c>
      <c r="AD37" s="44">
        <f t="shared" si="36"/>
        <v>-137630.79</v>
      </c>
      <c r="AE37" s="44">
        <f t="shared" si="36"/>
        <v>-137630.79</v>
      </c>
      <c r="AF37" s="44">
        <f t="shared" si="36"/>
        <v>-137630.79</v>
      </c>
      <c r="AG37" s="44">
        <f t="shared" si="36"/>
        <v>-71618.95</v>
      </c>
      <c r="AH37" s="224"/>
      <c r="AI37" s="224"/>
      <c r="AJ37" s="13"/>
      <c r="AK37" s="13"/>
      <c r="AL37" s="13"/>
      <c r="AM37" s="13"/>
      <c r="AN37" s="13"/>
      <c r="AO37" s="44">
        <f t="shared" ref="AO37:AZ37" si="37">AO30-AO31-AO32-AO33</f>
        <v>0</v>
      </c>
      <c r="AP37" s="44">
        <f t="shared" si="37"/>
        <v>0</v>
      </c>
      <c r="AQ37" s="44">
        <f t="shared" si="37"/>
        <v>0</v>
      </c>
      <c r="AR37" s="44">
        <f t="shared" si="37"/>
        <v>0</v>
      </c>
      <c r="AS37" s="44">
        <f t="shared" si="37"/>
        <v>0</v>
      </c>
      <c r="AT37" s="44">
        <f t="shared" si="37"/>
        <v>0</v>
      </c>
      <c r="AU37" s="44">
        <f t="shared" si="37"/>
        <v>0</v>
      </c>
      <c r="AV37" s="44">
        <f t="shared" si="37"/>
        <v>0</v>
      </c>
      <c r="AW37" s="44">
        <f t="shared" si="37"/>
        <v>0</v>
      </c>
      <c r="AX37" s="44">
        <f t="shared" si="37"/>
        <v>0</v>
      </c>
      <c r="AY37" s="44">
        <f t="shared" si="37"/>
        <v>-66011.84</v>
      </c>
      <c r="AZ37" s="445">
        <f t="shared" si="37"/>
        <v>-71618.95</v>
      </c>
      <c r="BA37" s="43">
        <v>210765.35</v>
      </c>
      <c r="BB37" s="43"/>
      <c r="BC37" s="446"/>
      <c r="BD37" s="196"/>
    </row>
    <row r="38" ht="14.25" hidden="1" customHeight="1" spans="1:56">
      <c r="A38" s="14"/>
      <c r="B38" s="14"/>
      <c r="C38" s="14"/>
      <c r="D38" s="84"/>
      <c r="E38" s="24"/>
      <c r="F38" s="24"/>
      <c r="G38" s="24"/>
      <c r="H38" s="24"/>
      <c r="I38" s="24"/>
      <c r="J38" s="24"/>
      <c r="K38" s="24"/>
      <c r="L38" s="24"/>
      <c r="M38" s="24"/>
      <c r="N38" s="24"/>
      <c r="O38" s="24"/>
      <c r="P38" s="24"/>
      <c r="Q38" s="156"/>
      <c r="R38" s="47" t="s">
        <v>3498</v>
      </c>
      <c r="S38" s="48">
        <f t="shared" ref="S38:AG38" si="38">S37/S30</f>
        <v>0.200382895556604</v>
      </c>
      <c r="T38" s="48">
        <f t="shared" si="38"/>
        <v>0.062885006925518</v>
      </c>
      <c r="U38" s="48">
        <f t="shared" si="38"/>
        <v>0.213478017300619</v>
      </c>
      <c r="V38" s="48">
        <f t="shared" si="38"/>
        <v>-0.783346935439504</v>
      </c>
      <c r="W38" s="48">
        <f t="shared" si="38"/>
        <v>-0.783346935439504</v>
      </c>
      <c r="X38" s="48">
        <f t="shared" si="38"/>
        <v>-0.783346935439504</v>
      </c>
      <c r="Y38" s="48">
        <f t="shared" si="38"/>
        <v>-0.783346935439504</v>
      </c>
      <c r="Z38" s="48">
        <f t="shared" si="38"/>
        <v>-0.783346935439504</v>
      </c>
      <c r="AA38" s="48">
        <f t="shared" si="38"/>
        <v>-0.783346935439504</v>
      </c>
      <c r="AB38" s="48">
        <f t="shared" si="38"/>
        <v>-0.783346935439504</v>
      </c>
      <c r="AC38" s="48">
        <f t="shared" si="38"/>
        <v>-0.783346935439504</v>
      </c>
      <c r="AD38" s="48">
        <f t="shared" si="38"/>
        <v>-0.783346935439504</v>
      </c>
      <c r="AE38" s="48">
        <f t="shared" si="38"/>
        <v>-0.783346935439504</v>
      </c>
      <c r="AF38" s="48">
        <f t="shared" si="38"/>
        <v>-0.783346935439504</v>
      </c>
      <c r="AG38" s="48">
        <f t="shared" si="38"/>
        <v>-0.634270935078026</v>
      </c>
      <c r="AH38" s="224">
        <f>T38-S38</f>
        <v>-0.137497888631086</v>
      </c>
      <c r="AI38" s="224">
        <f>AF38-S38</f>
        <v>-0.983729830996107</v>
      </c>
      <c r="AJ38" s="14"/>
      <c r="AK38" s="14"/>
      <c r="AL38" s="14"/>
      <c r="AM38" s="14"/>
      <c r="AN38" s="14"/>
      <c r="AO38" s="48" t="e">
        <f t="shared" ref="AO38:AZ38" si="39">AO37/AO30</f>
        <v>#DIV/0!</v>
      </c>
      <c r="AP38" s="48" t="e">
        <f t="shared" si="39"/>
        <v>#DIV/0!</v>
      </c>
      <c r="AQ38" s="48" t="e">
        <f t="shared" si="39"/>
        <v>#DIV/0!</v>
      </c>
      <c r="AR38" s="48" t="e">
        <f t="shared" si="39"/>
        <v>#DIV/0!</v>
      </c>
      <c r="AS38" s="48" t="e">
        <f t="shared" si="39"/>
        <v>#DIV/0!</v>
      </c>
      <c r="AT38" s="48" t="e">
        <f t="shared" si="39"/>
        <v>#DIV/0!</v>
      </c>
      <c r="AU38" s="48" t="e">
        <f t="shared" si="39"/>
        <v>#DIV/0!</v>
      </c>
      <c r="AV38" s="48" t="e">
        <f t="shared" si="39"/>
        <v>#DIV/0!</v>
      </c>
      <c r="AW38" s="48" t="e">
        <f t="shared" si="39"/>
        <v>#DIV/0!</v>
      </c>
      <c r="AX38" s="48" t="e">
        <f t="shared" si="39"/>
        <v>#DIV/0!</v>
      </c>
      <c r="AY38" s="48">
        <f t="shared" si="39"/>
        <v>-1.05147144556489</v>
      </c>
      <c r="AZ38" s="449">
        <f t="shared" si="39"/>
        <v>-0.634270935078026</v>
      </c>
      <c r="BA38" s="49">
        <v>0.213478017300619</v>
      </c>
      <c r="BB38" s="49"/>
      <c r="BC38" s="446"/>
      <c r="BD38" s="196"/>
    </row>
    <row r="39" s="2" customFormat="1" ht="12.35" hidden="1" spans="1:56">
      <c r="A39" s="32" t="s">
        <v>438</v>
      </c>
      <c r="B39" s="353" t="s">
        <v>439</v>
      </c>
      <c r="C39" s="27">
        <v>45536</v>
      </c>
      <c r="D39" s="354">
        <v>46203</v>
      </c>
      <c r="E39" s="26" t="s">
        <v>3484</v>
      </c>
      <c r="F39" s="26" t="s">
        <v>3484</v>
      </c>
      <c r="G39" s="430"/>
      <c r="H39" s="431"/>
      <c r="I39" s="29"/>
      <c r="J39" s="29"/>
      <c r="K39" s="29"/>
      <c r="L39" s="29"/>
      <c r="M39" s="29"/>
      <c r="N39" s="29"/>
      <c r="O39" s="29"/>
      <c r="P39" s="29"/>
      <c r="Q39" s="435" t="s">
        <v>3485</v>
      </c>
      <c r="R39" s="55" t="s">
        <v>3486</v>
      </c>
      <c r="S39" s="56">
        <v>130000</v>
      </c>
      <c r="T39" s="58">
        <f>SUM(AO39:BC39)</f>
        <v>123872.89</v>
      </c>
      <c r="U39" s="58">
        <f>SUM(BA39:BC39)</f>
        <v>123872.89</v>
      </c>
      <c r="V39" s="58">
        <f>SUM(AO39:AZ39)</f>
        <v>0</v>
      </c>
      <c r="W39" s="58">
        <f>SUM(AP39:AZ39)</f>
        <v>0</v>
      </c>
      <c r="X39" s="58">
        <f>SUM(AQ39:AZ39)</f>
        <v>0</v>
      </c>
      <c r="Y39" s="58">
        <f>SUM(AR39:AZ39)</f>
        <v>0</v>
      </c>
      <c r="Z39" s="70">
        <f>SUM(AS39:AZ39)</f>
        <v>0</v>
      </c>
      <c r="AA39" s="66">
        <f>SUM(AT39:AZ39)</f>
        <v>0</v>
      </c>
      <c r="AB39" s="66">
        <f>SUM(AU39:AZ39)</f>
        <v>0</v>
      </c>
      <c r="AC39" s="70">
        <f>SUM(AV39:AZ39)</f>
        <v>0</v>
      </c>
      <c r="AD39" s="70">
        <f>SUM(AW39:AZ39)</f>
        <v>0</v>
      </c>
      <c r="AE39" s="70">
        <f>SUM(AX39:AZ39)</f>
        <v>0</v>
      </c>
      <c r="AF39" s="70">
        <f>SUM(AY39:AZ39)</f>
        <v>0</v>
      </c>
      <c r="AG39" s="70">
        <f>SUM(AZ39:AZ39)</f>
        <v>0</v>
      </c>
      <c r="AH39" s="75"/>
      <c r="AI39" s="75"/>
      <c r="AJ39" s="96"/>
      <c r="AK39" s="99"/>
      <c r="AL39" s="93"/>
      <c r="AM39" s="96"/>
      <c r="AN39" s="94"/>
      <c r="AO39" s="58"/>
      <c r="AP39" s="58"/>
      <c r="AQ39" s="58"/>
      <c r="AR39" s="58"/>
      <c r="AS39" s="58"/>
      <c r="AT39" s="58"/>
      <c r="AU39" s="58"/>
      <c r="AV39" s="58"/>
      <c r="AW39" s="58"/>
      <c r="AX39" s="58"/>
      <c r="AY39" s="58">
        <v>0</v>
      </c>
      <c r="AZ39" s="369">
        <v>0</v>
      </c>
      <c r="BA39" s="105">
        <v>89122.92</v>
      </c>
      <c r="BB39" s="105">
        <v>34749.97</v>
      </c>
      <c r="BC39" s="453"/>
      <c r="BD39" s="454"/>
    </row>
    <row r="40" s="2" customFormat="1" ht="12.35" hidden="1" spans="1:56">
      <c r="A40" s="22"/>
      <c r="B40" s="22"/>
      <c r="C40" s="22"/>
      <c r="D40" s="34"/>
      <c r="E40" s="22"/>
      <c r="F40" s="22"/>
      <c r="G40" s="22"/>
      <c r="H40" s="22"/>
      <c r="I40" s="22"/>
      <c r="J40" s="22"/>
      <c r="K40" s="22"/>
      <c r="L40" s="22"/>
      <c r="M40" s="22"/>
      <c r="N40" s="22"/>
      <c r="O40" s="22"/>
      <c r="P40" s="22"/>
      <c r="Q40" s="35"/>
      <c r="R40" s="55" t="s">
        <v>3490</v>
      </c>
      <c r="S40" s="56">
        <v>171231.22</v>
      </c>
      <c r="T40" s="58">
        <f>SUM(AO40:BC40)</f>
        <v>55666.67</v>
      </c>
      <c r="U40" s="58">
        <f>SUM(BA40:BC40)</f>
        <v>55666.67</v>
      </c>
      <c r="V40" s="58">
        <f>SUM(AO40:AZ40)</f>
        <v>0</v>
      </c>
      <c r="W40" s="58">
        <f>SUM(AP40:AZ40)</f>
        <v>0</v>
      </c>
      <c r="X40" s="58">
        <f>SUM(AQ40:AZ40)</f>
        <v>0</v>
      </c>
      <c r="Y40" s="58">
        <f>SUM(AR40:AZ40)</f>
        <v>0</v>
      </c>
      <c r="Z40" s="70">
        <f>SUM(AS40:AZ40)</f>
        <v>0</v>
      </c>
      <c r="AA40" s="66">
        <f>SUM(AT40:AZ40)</f>
        <v>0</v>
      </c>
      <c r="AB40" s="66">
        <f>SUM(AU40:AZ40)</f>
        <v>0</v>
      </c>
      <c r="AC40" s="70">
        <f>SUM(AV40:AZ40)</f>
        <v>0</v>
      </c>
      <c r="AD40" s="70">
        <f>SUM(AW40:AZ40)</f>
        <v>0</v>
      </c>
      <c r="AE40" s="70">
        <f>SUM(AX40:AZ40)</f>
        <v>0</v>
      </c>
      <c r="AF40" s="70">
        <f>SUM(AY40:AZ40)</f>
        <v>0</v>
      </c>
      <c r="AG40" s="70">
        <f>SUM(AZ40:AZ40)</f>
        <v>0</v>
      </c>
      <c r="AH40" s="75"/>
      <c r="AI40" s="75"/>
      <c r="AJ40" s="22"/>
      <c r="AK40" s="22"/>
      <c r="AL40" s="13"/>
      <c r="AM40" s="22"/>
      <c r="AN40" s="22"/>
      <c r="AO40" s="58"/>
      <c r="AP40" s="58"/>
      <c r="AQ40" s="58"/>
      <c r="AR40" s="58"/>
      <c r="AS40" s="58"/>
      <c r="AT40" s="58"/>
      <c r="AU40" s="58"/>
      <c r="AV40" s="58"/>
      <c r="AW40" s="58"/>
      <c r="AX40" s="58"/>
      <c r="AY40" s="58">
        <v>0</v>
      </c>
      <c r="AZ40" s="369">
        <v>0</v>
      </c>
      <c r="BA40" s="105">
        <v>27296.39</v>
      </c>
      <c r="BB40" s="105">
        <v>28370.28</v>
      </c>
      <c r="BC40" s="455"/>
      <c r="BD40" s="454"/>
    </row>
    <row r="41" s="2" customFormat="1" ht="12.35" hidden="1" spans="1:56">
      <c r="A41" s="22"/>
      <c r="B41" s="22"/>
      <c r="C41" s="22"/>
      <c r="D41" s="34"/>
      <c r="E41" s="22"/>
      <c r="F41" s="22"/>
      <c r="G41" s="22"/>
      <c r="H41" s="22"/>
      <c r="I41" s="22"/>
      <c r="J41" s="22"/>
      <c r="K41" s="22"/>
      <c r="L41" s="22"/>
      <c r="M41" s="22"/>
      <c r="N41" s="22"/>
      <c r="O41" s="22"/>
      <c r="P41" s="22"/>
      <c r="Q41" s="35"/>
      <c r="R41" s="55" t="s">
        <v>3492</v>
      </c>
      <c r="S41" s="56">
        <v>0</v>
      </c>
      <c r="T41" s="58">
        <f>SUM(AO41:BC41)</f>
        <v>0</v>
      </c>
      <c r="U41" s="58">
        <f>SUM(BA41:BC41)</f>
        <v>0</v>
      </c>
      <c r="V41" s="58">
        <f>SUM(AO41:AZ41)</f>
        <v>0</v>
      </c>
      <c r="W41" s="58">
        <f>SUM(AP41:AZ41)</f>
        <v>0</v>
      </c>
      <c r="X41" s="58">
        <f>SUM(AQ41:AZ41)</f>
        <v>0</v>
      </c>
      <c r="Y41" s="58">
        <f>SUM(AR41:AZ41)</f>
        <v>0</v>
      </c>
      <c r="Z41" s="70">
        <f>SUM(AS41:AZ41)</f>
        <v>0</v>
      </c>
      <c r="AA41" s="66">
        <f>SUM(AT41:AZ41)</f>
        <v>0</v>
      </c>
      <c r="AB41" s="66">
        <f>SUM(AU41:AZ41)</f>
        <v>0</v>
      </c>
      <c r="AC41" s="70">
        <f>SUM(AV41:AZ41)</f>
        <v>0</v>
      </c>
      <c r="AD41" s="70">
        <f>SUM(AW41:AZ41)</f>
        <v>0</v>
      </c>
      <c r="AE41" s="70">
        <f>SUM(AX41:AZ41)</f>
        <v>0</v>
      </c>
      <c r="AF41" s="70">
        <f>SUM(AY41:AZ41)</f>
        <v>0</v>
      </c>
      <c r="AG41" s="70">
        <f>SUM(AZ41:AZ41)</f>
        <v>0</v>
      </c>
      <c r="AH41" s="75"/>
      <c r="AI41" s="75"/>
      <c r="AJ41" s="22"/>
      <c r="AK41" s="22"/>
      <c r="AL41" s="13"/>
      <c r="AM41" s="22"/>
      <c r="AN41" s="22"/>
      <c r="AO41" s="58"/>
      <c r="AP41" s="58"/>
      <c r="AQ41" s="58"/>
      <c r="AR41" s="58"/>
      <c r="AS41" s="58"/>
      <c r="AT41" s="58"/>
      <c r="AU41" s="58"/>
      <c r="AV41" s="58"/>
      <c r="AW41" s="58"/>
      <c r="AX41" s="58"/>
      <c r="AY41" s="58">
        <v>0</v>
      </c>
      <c r="AZ41" s="369">
        <v>0</v>
      </c>
      <c r="BA41" s="115">
        <v>0</v>
      </c>
      <c r="BB41" s="115">
        <v>0</v>
      </c>
      <c r="BC41" s="456"/>
      <c r="BD41" s="454"/>
    </row>
    <row r="42" s="2" customFormat="1" ht="12.35" hidden="1" spans="1:56">
      <c r="A42" s="22"/>
      <c r="B42" s="22"/>
      <c r="C42" s="22"/>
      <c r="D42" s="34"/>
      <c r="E42" s="22"/>
      <c r="F42" s="22"/>
      <c r="G42" s="22"/>
      <c r="H42" s="22"/>
      <c r="I42" s="22"/>
      <c r="J42" s="22"/>
      <c r="K42" s="22"/>
      <c r="L42" s="22"/>
      <c r="M42" s="22"/>
      <c r="N42" s="22"/>
      <c r="O42" s="22"/>
      <c r="P42" s="22"/>
      <c r="Q42" s="35"/>
      <c r="R42" s="55" t="s">
        <v>3493</v>
      </c>
      <c r="S42" s="56">
        <v>0</v>
      </c>
      <c r="T42" s="58">
        <f>SUM(AO42:BC42)</f>
        <v>1416.42</v>
      </c>
      <c r="U42" s="58">
        <f>SUM(BA42:BC42)</f>
        <v>1151.84</v>
      </c>
      <c r="V42" s="58">
        <f>SUM(AO42:AZ42)</f>
        <v>264.58</v>
      </c>
      <c r="W42" s="58">
        <f>SUM(AP42:AZ42)</f>
        <v>264.58</v>
      </c>
      <c r="X42" s="58">
        <f>SUM(AQ42:AZ42)</f>
        <v>264.58</v>
      </c>
      <c r="Y42" s="58">
        <f>SUM(AR42:AZ42)</f>
        <v>264.58</v>
      </c>
      <c r="Z42" s="70">
        <f>SUM(AS42:AZ42)</f>
        <v>264.58</v>
      </c>
      <c r="AA42" s="66">
        <f>SUM(AT42:AZ42)</f>
        <v>264.58</v>
      </c>
      <c r="AB42" s="66">
        <f>SUM(AU42:AZ42)</f>
        <v>264.58</v>
      </c>
      <c r="AC42" s="70">
        <f>SUM(AV42:AZ42)</f>
        <v>264.58</v>
      </c>
      <c r="AD42" s="70">
        <f>SUM(AW42:AZ42)</f>
        <v>264.58</v>
      </c>
      <c r="AE42" s="70">
        <f>SUM(AX42:AZ42)</f>
        <v>264.58</v>
      </c>
      <c r="AF42" s="70">
        <f>SUM(AY42:AZ42)</f>
        <v>264.58</v>
      </c>
      <c r="AG42" s="70">
        <f>SUM(AZ42:AZ42)</f>
        <v>132.29</v>
      </c>
      <c r="AH42" s="75"/>
      <c r="AI42" s="75"/>
      <c r="AJ42" s="22"/>
      <c r="AK42" s="22"/>
      <c r="AL42" s="13"/>
      <c r="AM42" s="22"/>
      <c r="AN42" s="22"/>
      <c r="AO42" s="58"/>
      <c r="AP42" s="58"/>
      <c r="AQ42" s="58"/>
      <c r="AR42" s="58"/>
      <c r="AS42" s="58"/>
      <c r="AT42" s="58"/>
      <c r="AU42" s="58"/>
      <c r="AV42" s="58"/>
      <c r="AW42" s="58"/>
      <c r="AX42" s="58"/>
      <c r="AY42" s="369">
        <v>132.29</v>
      </c>
      <c r="AZ42" s="369">
        <v>132.29</v>
      </c>
      <c r="BA42" s="457">
        <v>1140.71</v>
      </c>
      <c r="BB42" s="457">
        <v>11.13</v>
      </c>
      <c r="BC42" s="455"/>
      <c r="BD42" s="454"/>
    </row>
    <row r="43" ht="14.25" hidden="1" customHeight="1" spans="1:56">
      <c r="A43" s="22"/>
      <c r="B43" s="22"/>
      <c r="C43" s="22"/>
      <c r="D43" s="34"/>
      <c r="E43" s="22"/>
      <c r="F43" s="22"/>
      <c r="G43" s="22"/>
      <c r="H43" s="22"/>
      <c r="I43" s="22"/>
      <c r="J43" s="22"/>
      <c r="K43" s="22"/>
      <c r="L43" s="22"/>
      <c r="M43" s="22"/>
      <c r="N43" s="22"/>
      <c r="O43" s="22"/>
      <c r="P43" s="22"/>
      <c r="Q43" s="35"/>
      <c r="R43" s="213" t="s">
        <v>3494</v>
      </c>
      <c r="S43" s="214">
        <f t="shared" ref="S43:AI43" si="40">SUM(S40:S42)</f>
        <v>171231.22</v>
      </c>
      <c r="T43" s="214">
        <f t="shared" si="40"/>
        <v>57083.09</v>
      </c>
      <c r="U43" s="214">
        <f t="shared" si="40"/>
        <v>56818.51</v>
      </c>
      <c r="V43" s="214">
        <f t="shared" si="40"/>
        <v>264.58</v>
      </c>
      <c r="W43" s="214">
        <f t="shared" si="40"/>
        <v>264.58</v>
      </c>
      <c r="X43" s="214">
        <f t="shared" si="40"/>
        <v>264.58</v>
      </c>
      <c r="Y43" s="214">
        <f t="shared" si="40"/>
        <v>264.58</v>
      </c>
      <c r="Z43" s="214">
        <f t="shared" si="40"/>
        <v>264.58</v>
      </c>
      <c r="AA43" s="214">
        <f t="shared" si="40"/>
        <v>264.58</v>
      </c>
      <c r="AB43" s="214">
        <f t="shared" si="40"/>
        <v>264.58</v>
      </c>
      <c r="AC43" s="214">
        <f t="shared" si="40"/>
        <v>264.58</v>
      </c>
      <c r="AD43" s="214">
        <f t="shared" si="40"/>
        <v>264.58</v>
      </c>
      <c r="AE43" s="214">
        <f t="shared" si="40"/>
        <v>264.58</v>
      </c>
      <c r="AF43" s="214">
        <f t="shared" si="40"/>
        <v>264.58</v>
      </c>
      <c r="AG43" s="214">
        <f t="shared" si="40"/>
        <v>132.29</v>
      </c>
      <c r="AH43" s="214">
        <f t="shared" si="40"/>
        <v>0</v>
      </c>
      <c r="AI43" s="214">
        <f t="shared" si="40"/>
        <v>0</v>
      </c>
      <c r="AJ43" s="22"/>
      <c r="AK43" s="22"/>
      <c r="AL43" s="13"/>
      <c r="AM43" s="22"/>
      <c r="AN43" s="22"/>
      <c r="AO43" s="214">
        <f t="shared" ref="AO43:BA43" si="41">SUM(AO40:AO42)</f>
        <v>0</v>
      </c>
      <c r="AP43" s="214">
        <f t="shared" si="41"/>
        <v>0</v>
      </c>
      <c r="AQ43" s="214">
        <f t="shared" si="41"/>
        <v>0</v>
      </c>
      <c r="AR43" s="214">
        <f t="shared" si="41"/>
        <v>0</v>
      </c>
      <c r="AS43" s="214">
        <f t="shared" si="41"/>
        <v>0</v>
      </c>
      <c r="AT43" s="214">
        <f t="shared" si="41"/>
        <v>0</v>
      </c>
      <c r="AU43" s="214">
        <f t="shared" si="41"/>
        <v>0</v>
      </c>
      <c r="AV43" s="214">
        <f t="shared" si="41"/>
        <v>0</v>
      </c>
      <c r="AW43" s="214">
        <f t="shared" si="41"/>
        <v>0</v>
      </c>
      <c r="AX43" s="214">
        <f t="shared" si="41"/>
        <v>0</v>
      </c>
      <c r="AY43" s="214">
        <f t="shared" si="41"/>
        <v>132.29</v>
      </c>
      <c r="AZ43" s="450">
        <f t="shared" si="41"/>
        <v>132.29</v>
      </c>
      <c r="BA43" s="451">
        <f t="shared" si="41"/>
        <v>28437.1</v>
      </c>
      <c r="BB43" s="57"/>
      <c r="BC43" s="196"/>
      <c r="BD43" s="196"/>
    </row>
    <row r="44" s="2" customFormat="1" ht="12.35" hidden="1" spans="1:56">
      <c r="A44" s="22"/>
      <c r="B44" s="22"/>
      <c r="C44" s="22"/>
      <c r="D44" s="34"/>
      <c r="E44" s="22"/>
      <c r="F44" s="22"/>
      <c r="G44" s="22"/>
      <c r="H44" s="22"/>
      <c r="I44" s="22"/>
      <c r="J44" s="22"/>
      <c r="K44" s="22"/>
      <c r="L44" s="22"/>
      <c r="M44" s="22"/>
      <c r="N44" s="22"/>
      <c r="O44" s="22"/>
      <c r="P44" s="22"/>
      <c r="Q44" s="35"/>
      <c r="R44" s="55" t="s">
        <v>3495</v>
      </c>
      <c r="S44" s="59">
        <f t="shared" ref="S44:AG44" si="42">S39-S40</f>
        <v>-41231.22</v>
      </c>
      <c r="T44" s="58">
        <f t="shared" si="42"/>
        <v>68206.22</v>
      </c>
      <c r="U44" s="58">
        <f t="shared" si="42"/>
        <v>68206.22</v>
      </c>
      <c r="V44" s="58">
        <f t="shared" si="42"/>
        <v>0</v>
      </c>
      <c r="W44" s="58">
        <f t="shared" si="42"/>
        <v>0</v>
      </c>
      <c r="X44" s="58">
        <f t="shared" si="42"/>
        <v>0</v>
      </c>
      <c r="Y44" s="58">
        <f t="shared" si="42"/>
        <v>0</v>
      </c>
      <c r="Z44" s="57">
        <f t="shared" si="42"/>
        <v>0</v>
      </c>
      <c r="AA44" s="68">
        <f t="shared" si="42"/>
        <v>0</v>
      </c>
      <c r="AB44" s="68">
        <f t="shared" si="42"/>
        <v>0</v>
      </c>
      <c r="AC44" s="57">
        <f t="shared" si="42"/>
        <v>0</v>
      </c>
      <c r="AD44" s="57">
        <f t="shared" si="42"/>
        <v>0</v>
      </c>
      <c r="AE44" s="57">
        <f t="shared" si="42"/>
        <v>0</v>
      </c>
      <c r="AF44" s="57">
        <f t="shared" si="42"/>
        <v>0</v>
      </c>
      <c r="AG44" s="57">
        <f t="shared" si="42"/>
        <v>0</v>
      </c>
      <c r="AH44" s="75"/>
      <c r="AI44" s="75"/>
      <c r="AJ44" s="22"/>
      <c r="AK44" s="22"/>
      <c r="AL44" s="13"/>
      <c r="AM44" s="22"/>
      <c r="AN44" s="22"/>
      <c r="AO44" s="58">
        <f t="shared" ref="AO44:AZ44" si="43">AO39-AO40</f>
        <v>0</v>
      </c>
      <c r="AP44" s="58">
        <f t="shared" si="43"/>
        <v>0</v>
      </c>
      <c r="AQ44" s="58">
        <f t="shared" si="43"/>
        <v>0</v>
      </c>
      <c r="AR44" s="58">
        <f t="shared" si="43"/>
        <v>0</v>
      </c>
      <c r="AS44" s="58">
        <f t="shared" si="43"/>
        <v>0</v>
      </c>
      <c r="AT44" s="58">
        <f t="shared" si="43"/>
        <v>0</v>
      </c>
      <c r="AU44" s="58">
        <f t="shared" si="43"/>
        <v>0</v>
      </c>
      <c r="AV44" s="58">
        <f t="shared" si="43"/>
        <v>0</v>
      </c>
      <c r="AW44" s="58">
        <f t="shared" si="43"/>
        <v>0</v>
      </c>
      <c r="AX44" s="58">
        <f t="shared" si="43"/>
        <v>0</v>
      </c>
      <c r="AY44" s="58">
        <f t="shared" si="43"/>
        <v>0</v>
      </c>
      <c r="AZ44" s="369">
        <f t="shared" si="43"/>
        <v>0</v>
      </c>
      <c r="BA44" s="57">
        <v>61826.53</v>
      </c>
      <c r="BB44" s="57">
        <v>361363.579</v>
      </c>
      <c r="BC44" s="57">
        <f>BC39-BC40</f>
        <v>0</v>
      </c>
      <c r="BD44" s="454"/>
    </row>
    <row r="45" s="2" customFormat="1" ht="12.35" hidden="1" spans="1:56">
      <c r="A45" s="22"/>
      <c r="B45" s="22"/>
      <c r="C45" s="22"/>
      <c r="D45" s="34"/>
      <c r="E45" s="22"/>
      <c r="F45" s="22"/>
      <c r="G45" s="22"/>
      <c r="H45" s="22"/>
      <c r="I45" s="22"/>
      <c r="J45" s="22"/>
      <c r="K45" s="22"/>
      <c r="L45" s="22"/>
      <c r="M45" s="22"/>
      <c r="N45" s="22"/>
      <c r="O45" s="22"/>
      <c r="P45" s="22"/>
      <c r="Q45" s="35"/>
      <c r="R45" s="60" t="s">
        <v>3496</v>
      </c>
      <c r="S45" s="61">
        <f t="shared" ref="S45:AG45" si="44">S44/S39</f>
        <v>-0.317163230769231</v>
      </c>
      <c r="T45" s="61">
        <f t="shared" si="44"/>
        <v>0.550614585645011</v>
      </c>
      <c r="U45" s="61">
        <f t="shared" si="44"/>
        <v>0.550614585645011</v>
      </c>
      <c r="V45" s="61" t="e">
        <f t="shared" si="44"/>
        <v>#DIV/0!</v>
      </c>
      <c r="W45" s="61" t="e">
        <f t="shared" si="44"/>
        <v>#DIV/0!</v>
      </c>
      <c r="X45" s="61" t="e">
        <f t="shared" si="44"/>
        <v>#DIV/0!</v>
      </c>
      <c r="Y45" s="61" t="e">
        <f t="shared" si="44"/>
        <v>#DIV/0!</v>
      </c>
      <c r="Z45" s="62" t="e">
        <f t="shared" si="44"/>
        <v>#DIV/0!</v>
      </c>
      <c r="AA45" s="69" t="e">
        <f t="shared" si="44"/>
        <v>#DIV/0!</v>
      </c>
      <c r="AB45" s="69" t="e">
        <f t="shared" si="44"/>
        <v>#DIV/0!</v>
      </c>
      <c r="AC45" s="62" t="e">
        <f t="shared" si="44"/>
        <v>#DIV/0!</v>
      </c>
      <c r="AD45" s="62" t="e">
        <f t="shared" si="44"/>
        <v>#DIV/0!</v>
      </c>
      <c r="AE45" s="62" t="e">
        <f t="shared" si="44"/>
        <v>#DIV/0!</v>
      </c>
      <c r="AF45" s="62" t="e">
        <f t="shared" si="44"/>
        <v>#DIV/0!</v>
      </c>
      <c r="AG45" s="62" t="e">
        <f t="shared" si="44"/>
        <v>#DIV/0!</v>
      </c>
      <c r="AH45" s="82">
        <f>T45-S45</f>
        <v>0.867777816414242</v>
      </c>
      <c r="AI45" s="82" t="e">
        <f>AF45-S45</f>
        <v>#DIV/0!</v>
      </c>
      <c r="AJ45" s="22"/>
      <c r="AK45" s="22"/>
      <c r="AL45" s="13"/>
      <c r="AM45" s="22"/>
      <c r="AN45" s="22"/>
      <c r="AO45" s="61" t="e">
        <f t="shared" ref="AO45:AZ45" si="45">AO44/AO39</f>
        <v>#DIV/0!</v>
      </c>
      <c r="AP45" s="61" t="e">
        <f t="shared" si="45"/>
        <v>#DIV/0!</v>
      </c>
      <c r="AQ45" s="61" t="e">
        <f t="shared" si="45"/>
        <v>#DIV/0!</v>
      </c>
      <c r="AR45" s="61" t="e">
        <f t="shared" si="45"/>
        <v>#DIV/0!</v>
      </c>
      <c r="AS45" s="61" t="e">
        <f t="shared" si="45"/>
        <v>#DIV/0!</v>
      </c>
      <c r="AT45" s="61" t="e">
        <f t="shared" si="45"/>
        <v>#DIV/0!</v>
      </c>
      <c r="AU45" s="61" t="e">
        <f t="shared" si="45"/>
        <v>#DIV/0!</v>
      </c>
      <c r="AV45" s="61" t="e">
        <f t="shared" si="45"/>
        <v>#DIV/0!</v>
      </c>
      <c r="AW45" s="61" t="e">
        <f t="shared" si="45"/>
        <v>#DIV/0!</v>
      </c>
      <c r="AX45" s="61" t="e">
        <f t="shared" si="45"/>
        <v>#DIV/0!</v>
      </c>
      <c r="AY45" s="61" t="e">
        <f t="shared" si="45"/>
        <v>#DIV/0!</v>
      </c>
      <c r="AZ45" s="452" t="e">
        <f t="shared" si="45"/>
        <v>#DIV/0!</v>
      </c>
      <c r="BA45" s="62">
        <v>0.693721996541406</v>
      </c>
      <c r="BB45" s="62">
        <v>0.283362651163011</v>
      </c>
      <c r="BC45" s="62" t="e">
        <f>BC44/BC39</f>
        <v>#DIV/0!</v>
      </c>
      <c r="BD45" s="454"/>
    </row>
    <row r="46" s="2" customFormat="1" ht="12.35" hidden="1" spans="1:56">
      <c r="A46" s="22"/>
      <c r="B46" s="22"/>
      <c r="C46" s="22"/>
      <c r="D46" s="34"/>
      <c r="E46" s="22"/>
      <c r="F46" s="22"/>
      <c r="G46" s="22"/>
      <c r="H46" s="22"/>
      <c r="I46" s="22"/>
      <c r="J46" s="22"/>
      <c r="K46" s="22"/>
      <c r="L46" s="22"/>
      <c r="M46" s="22"/>
      <c r="N46" s="22"/>
      <c r="O46" s="22"/>
      <c r="P46" s="22"/>
      <c r="Q46" s="35"/>
      <c r="R46" s="55" t="s">
        <v>3497</v>
      </c>
      <c r="S46" s="58">
        <f t="shared" ref="S46:AG46" si="46">S39-S40-S41-S42</f>
        <v>-41231.22</v>
      </c>
      <c r="T46" s="58">
        <f t="shared" si="46"/>
        <v>66789.8</v>
      </c>
      <c r="U46" s="58">
        <f t="shared" si="46"/>
        <v>67054.38</v>
      </c>
      <c r="V46" s="58">
        <f t="shared" si="46"/>
        <v>-264.58</v>
      </c>
      <c r="W46" s="58">
        <f t="shared" si="46"/>
        <v>-264.58</v>
      </c>
      <c r="X46" s="58">
        <f t="shared" si="46"/>
        <v>-264.58</v>
      </c>
      <c r="Y46" s="58">
        <f t="shared" si="46"/>
        <v>-264.58</v>
      </c>
      <c r="Z46" s="57">
        <f t="shared" si="46"/>
        <v>-264.58</v>
      </c>
      <c r="AA46" s="68">
        <f t="shared" si="46"/>
        <v>-264.58</v>
      </c>
      <c r="AB46" s="68">
        <f t="shared" si="46"/>
        <v>-264.58</v>
      </c>
      <c r="AC46" s="57">
        <f t="shared" si="46"/>
        <v>-264.58</v>
      </c>
      <c r="AD46" s="57">
        <f t="shared" si="46"/>
        <v>-264.58</v>
      </c>
      <c r="AE46" s="57">
        <f t="shared" si="46"/>
        <v>-264.58</v>
      </c>
      <c r="AF46" s="57">
        <f t="shared" si="46"/>
        <v>-264.58</v>
      </c>
      <c r="AG46" s="57">
        <f t="shared" si="46"/>
        <v>-132.29</v>
      </c>
      <c r="AH46" s="82"/>
      <c r="AI46" s="82"/>
      <c r="AJ46" s="22"/>
      <c r="AK46" s="22"/>
      <c r="AL46" s="13"/>
      <c r="AM46" s="22"/>
      <c r="AN46" s="22"/>
      <c r="AO46" s="58">
        <f t="shared" ref="AO46:AZ46" si="47">AO39-AO40-AO41-AO42</f>
        <v>0</v>
      </c>
      <c r="AP46" s="58">
        <f t="shared" si="47"/>
        <v>0</v>
      </c>
      <c r="AQ46" s="58">
        <f t="shared" si="47"/>
        <v>0</v>
      </c>
      <c r="AR46" s="58">
        <f t="shared" si="47"/>
        <v>0</v>
      </c>
      <c r="AS46" s="58">
        <f t="shared" si="47"/>
        <v>0</v>
      </c>
      <c r="AT46" s="58">
        <f t="shared" si="47"/>
        <v>0</v>
      </c>
      <c r="AU46" s="58">
        <f t="shared" si="47"/>
        <v>0</v>
      </c>
      <c r="AV46" s="58">
        <f t="shared" si="47"/>
        <v>0</v>
      </c>
      <c r="AW46" s="58">
        <f t="shared" si="47"/>
        <v>0</v>
      </c>
      <c r="AX46" s="58">
        <f t="shared" si="47"/>
        <v>0</v>
      </c>
      <c r="AY46" s="58">
        <f t="shared" si="47"/>
        <v>-132.29</v>
      </c>
      <c r="AZ46" s="369">
        <f t="shared" si="47"/>
        <v>-132.29</v>
      </c>
      <c r="BA46" s="57">
        <v>60685.82</v>
      </c>
      <c r="BB46" s="57">
        <v>360137.679</v>
      </c>
      <c r="BC46" s="57">
        <f>BC39-BC40-BC41-BC42</f>
        <v>0</v>
      </c>
      <c r="BD46" s="454"/>
    </row>
    <row r="47" s="2" customFormat="1" ht="12.35" hidden="1" spans="1:56">
      <c r="A47" s="24"/>
      <c r="B47" s="24"/>
      <c r="C47" s="24"/>
      <c r="D47" s="83"/>
      <c r="E47" s="24"/>
      <c r="F47" s="24"/>
      <c r="G47" s="24"/>
      <c r="H47" s="24"/>
      <c r="I47" s="24"/>
      <c r="J47" s="24"/>
      <c r="K47" s="24"/>
      <c r="L47" s="24"/>
      <c r="M47" s="24"/>
      <c r="N47" s="24"/>
      <c r="O47" s="24"/>
      <c r="P47" s="24"/>
      <c r="Q47" s="156"/>
      <c r="R47" s="60" t="s">
        <v>3498</v>
      </c>
      <c r="S47" s="61">
        <f t="shared" ref="S47:AG47" si="48">S46/S39</f>
        <v>-0.317163230769231</v>
      </c>
      <c r="T47" s="61">
        <f t="shared" si="48"/>
        <v>0.539180122462631</v>
      </c>
      <c r="U47" s="61">
        <f t="shared" si="48"/>
        <v>0.541316021608925</v>
      </c>
      <c r="V47" s="61" t="e">
        <f t="shared" si="48"/>
        <v>#DIV/0!</v>
      </c>
      <c r="W47" s="61" t="e">
        <f t="shared" si="48"/>
        <v>#DIV/0!</v>
      </c>
      <c r="X47" s="61" t="e">
        <f t="shared" si="48"/>
        <v>#DIV/0!</v>
      </c>
      <c r="Y47" s="61" t="e">
        <f t="shared" si="48"/>
        <v>#DIV/0!</v>
      </c>
      <c r="Z47" s="62" t="e">
        <f t="shared" si="48"/>
        <v>#DIV/0!</v>
      </c>
      <c r="AA47" s="69" t="e">
        <f t="shared" si="48"/>
        <v>#DIV/0!</v>
      </c>
      <c r="AB47" s="69" t="e">
        <f t="shared" si="48"/>
        <v>#DIV/0!</v>
      </c>
      <c r="AC47" s="62" t="e">
        <f t="shared" si="48"/>
        <v>#DIV/0!</v>
      </c>
      <c r="AD47" s="62" t="e">
        <f t="shared" si="48"/>
        <v>#DIV/0!</v>
      </c>
      <c r="AE47" s="62" t="e">
        <f t="shared" si="48"/>
        <v>#DIV/0!</v>
      </c>
      <c r="AF47" s="62" t="e">
        <f t="shared" si="48"/>
        <v>#DIV/0!</v>
      </c>
      <c r="AG47" s="62" t="e">
        <f t="shared" si="48"/>
        <v>#DIV/0!</v>
      </c>
      <c r="AH47" s="82">
        <f>T47-S47</f>
        <v>0.856343353231862</v>
      </c>
      <c r="AI47" s="82" t="e">
        <f>AF47-S47</f>
        <v>#DIV/0!</v>
      </c>
      <c r="AJ47" s="24"/>
      <c r="AK47" s="24"/>
      <c r="AL47" s="14"/>
      <c r="AM47" s="24"/>
      <c r="AN47" s="24"/>
      <c r="AO47" s="61" t="e">
        <f t="shared" ref="AO47:AZ47" si="49">AO46/AO39</f>
        <v>#DIV/0!</v>
      </c>
      <c r="AP47" s="61" t="e">
        <f t="shared" si="49"/>
        <v>#DIV/0!</v>
      </c>
      <c r="AQ47" s="61" t="e">
        <f t="shared" si="49"/>
        <v>#DIV/0!</v>
      </c>
      <c r="AR47" s="61" t="e">
        <f t="shared" si="49"/>
        <v>#DIV/0!</v>
      </c>
      <c r="AS47" s="61" t="e">
        <f t="shared" si="49"/>
        <v>#DIV/0!</v>
      </c>
      <c r="AT47" s="61" t="e">
        <f t="shared" si="49"/>
        <v>#DIV/0!</v>
      </c>
      <c r="AU47" s="61" t="e">
        <f t="shared" si="49"/>
        <v>#DIV/0!</v>
      </c>
      <c r="AV47" s="61" t="e">
        <f t="shared" si="49"/>
        <v>#DIV/0!</v>
      </c>
      <c r="AW47" s="61" t="e">
        <f t="shared" si="49"/>
        <v>#DIV/0!</v>
      </c>
      <c r="AX47" s="61" t="e">
        <f t="shared" si="49"/>
        <v>#DIV/0!</v>
      </c>
      <c r="AY47" s="61" t="e">
        <f t="shared" si="49"/>
        <v>#DIV/0!</v>
      </c>
      <c r="AZ47" s="452" t="e">
        <f t="shared" si="49"/>
        <v>#DIV/0!</v>
      </c>
      <c r="BA47" s="62">
        <v>0.680922707649166</v>
      </c>
      <c r="BB47" s="62">
        <v>0.282401363711126</v>
      </c>
      <c r="BC47" s="62" t="e">
        <f>BC46/BC39</f>
        <v>#DIV/0!</v>
      </c>
      <c r="BD47" s="454"/>
    </row>
    <row r="48" s="2" customFormat="1" ht="12.35" hidden="1" spans="1:56">
      <c r="A48" s="32" t="s">
        <v>2273</v>
      </c>
      <c r="B48" s="353" t="s">
        <v>3513</v>
      </c>
      <c r="C48" s="27">
        <v>45809</v>
      </c>
      <c r="D48" s="354">
        <v>46387</v>
      </c>
      <c r="E48" s="26" t="s">
        <v>3510</v>
      </c>
      <c r="F48" s="26" t="s">
        <v>3510</v>
      </c>
      <c r="G48" s="430"/>
      <c r="H48" s="431"/>
      <c r="I48" s="29"/>
      <c r="J48" s="26"/>
      <c r="K48" s="26"/>
      <c r="L48" s="29"/>
      <c r="M48" s="29"/>
      <c r="N48" s="29"/>
      <c r="O48" s="29"/>
      <c r="P48" s="26"/>
      <c r="Q48" s="435" t="s">
        <v>3485</v>
      </c>
      <c r="R48" s="55" t="s">
        <v>3486</v>
      </c>
      <c r="S48" s="56">
        <v>578727.83</v>
      </c>
      <c r="T48" s="58">
        <f>SUM(AO48:BC48)</f>
        <v>396557.98</v>
      </c>
      <c r="U48" s="58">
        <f>SUM(BA48:BC48)</f>
        <v>325884.92</v>
      </c>
      <c r="V48" s="58">
        <f>SUM(AO48:AZ48)</f>
        <v>70673.06</v>
      </c>
      <c r="W48" s="58">
        <f>SUM(AP48:AZ48)</f>
        <v>70673.06</v>
      </c>
      <c r="X48" s="58">
        <f>SUM(AQ48:AZ48)</f>
        <v>70673.06</v>
      </c>
      <c r="Y48" s="58">
        <f>SUM(AR48:AZ48)</f>
        <v>70673.06</v>
      </c>
      <c r="Z48" s="70">
        <f>SUM(AS48:AZ48)</f>
        <v>70673.06</v>
      </c>
      <c r="AA48" s="66">
        <f>SUM(AT48:AZ48)</f>
        <v>70673.06</v>
      </c>
      <c r="AB48" s="66">
        <f>SUM(AU48:AZ48)</f>
        <v>70673.06</v>
      </c>
      <c r="AC48" s="70">
        <f>SUM(AV48:AZ48)</f>
        <v>70673.06</v>
      </c>
      <c r="AD48" s="70">
        <f>SUM(AW48:AZ48)</f>
        <v>70673.06</v>
      </c>
      <c r="AE48" s="70">
        <f>SUM(AX48:AZ48)</f>
        <v>70673.06</v>
      </c>
      <c r="AF48" s="70">
        <f>SUM(AY48:AZ48)</f>
        <v>70673.06</v>
      </c>
      <c r="AG48" s="70">
        <f>SUM(AZ48:AZ48)</f>
        <v>38022.6</v>
      </c>
      <c r="AH48" s="75"/>
      <c r="AI48" s="75"/>
      <c r="AJ48" s="96"/>
      <c r="AK48" s="99" t="s">
        <v>3514</v>
      </c>
      <c r="AL48" s="93"/>
      <c r="AM48" s="96"/>
      <c r="AN48" s="94"/>
      <c r="AO48" s="58"/>
      <c r="AP48" s="58"/>
      <c r="AQ48" s="58"/>
      <c r="AR48" s="58"/>
      <c r="AS48" s="58"/>
      <c r="AT48" s="58"/>
      <c r="AU48" s="58"/>
      <c r="AV48" s="58"/>
      <c r="AW48" s="58"/>
      <c r="AX48" s="58"/>
      <c r="AY48" s="58">
        <v>32650.46</v>
      </c>
      <c r="AZ48" s="369">
        <v>38022.6</v>
      </c>
      <c r="BA48" s="105">
        <v>325884.92</v>
      </c>
      <c r="BB48" s="105"/>
      <c r="BC48" s="453"/>
      <c r="BD48" s="454"/>
    </row>
    <row r="49" s="2" customFormat="1" ht="12.35" hidden="1" spans="1:56">
      <c r="A49" s="22"/>
      <c r="B49" s="22"/>
      <c r="C49" s="22"/>
      <c r="D49" s="34"/>
      <c r="E49" s="22"/>
      <c r="F49" s="22"/>
      <c r="G49" s="22"/>
      <c r="H49" s="22"/>
      <c r="I49" s="22"/>
      <c r="J49" s="22"/>
      <c r="K49" s="22"/>
      <c r="L49" s="22"/>
      <c r="M49" s="22"/>
      <c r="N49" s="22"/>
      <c r="O49" s="22"/>
      <c r="P49" s="22"/>
      <c r="Q49" s="35"/>
      <c r="R49" s="55" t="s">
        <v>3490</v>
      </c>
      <c r="S49" s="56">
        <v>382211.99</v>
      </c>
      <c r="T49" s="58">
        <f>SUM(AO49:BC49)</f>
        <v>392561.48</v>
      </c>
      <c r="U49" s="58">
        <f>SUM(BA49:BC49)</f>
        <v>271184.83</v>
      </c>
      <c r="V49" s="58">
        <f>SUM(AO49:AZ49)</f>
        <v>121376.65</v>
      </c>
      <c r="W49" s="58">
        <f>SUM(AP49:AZ49)</f>
        <v>121376.65</v>
      </c>
      <c r="X49" s="58">
        <f>SUM(AQ49:AZ49)</f>
        <v>121376.65</v>
      </c>
      <c r="Y49" s="58">
        <f>SUM(AR49:AZ49)</f>
        <v>121376.65</v>
      </c>
      <c r="Z49" s="70">
        <f>SUM(AS49:AZ49)</f>
        <v>121376.65</v>
      </c>
      <c r="AA49" s="66">
        <f>SUM(AT49:AZ49)</f>
        <v>121376.65</v>
      </c>
      <c r="AB49" s="66">
        <f>SUM(AU49:AZ49)</f>
        <v>121376.65</v>
      </c>
      <c r="AC49" s="70">
        <f>SUM(AV49:AZ49)</f>
        <v>121376.65</v>
      </c>
      <c r="AD49" s="70">
        <f>SUM(AW49:AZ49)</f>
        <v>121376.65</v>
      </c>
      <c r="AE49" s="70">
        <f>SUM(AX49:AZ49)</f>
        <v>121376.65</v>
      </c>
      <c r="AF49" s="70">
        <f>SUM(AY49:AZ49)</f>
        <v>121376.65</v>
      </c>
      <c r="AG49" s="70">
        <f>SUM(AZ49:AZ49)</f>
        <v>65332.15</v>
      </c>
      <c r="AH49" s="75"/>
      <c r="AI49" s="75"/>
      <c r="AJ49" s="22"/>
      <c r="AK49" s="22"/>
      <c r="AL49" s="13"/>
      <c r="AM49" s="22"/>
      <c r="AN49" s="22"/>
      <c r="AO49" s="58"/>
      <c r="AP49" s="58"/>
      <c r="AQ49" s="58"/>
      <c r="AR49" s="58"/>
      <c r="AS49" s="58"/>
      <c r="AT49" s="58"/>
      <c r="AU49" s="58"/>
      <c r="AV49" s="58"/>
      <c r="AW49" s="58"/>
      <c r="AX49" s="58"/>
      <c r="AY49" s="58">
        <v>56044.5</v>
      </c>
      <c r="AZ49" s="369">
        <v>65332.15</v>
      </c>
      <c r="BA49" s="105">
        <v>271184.83</v>
      </c>
      <c r="BB49" s="105"/>
      <c r="BC49" s="455"/>
      <c r="BD49" s="454"/>
    </row>
    <row r="50" s="2" customFormat="1" ht="12.35" hidden="1" spans="1:56">
      <c r="A50" s="22"/>
      <c r="B50" s="22"/>
      <c r="C50" s="22"/>
      <c r="D50" s="34"/>
      <c r="E50" s="22"/>
      <c r="F50" s="22"/>
      <c r="G50" s="22"/>
      <c r="H50" s="22"/>
      <c r="I50" s="22"/>
      <c r="J50" s="22"/>
      <c r="K50" s="22"/>
      <c r="L50" s="22"/>
      <c r="M50" s="22"/>
      <c r="N50" s="22"/>
      <c r="O50" s="22"/>
      <c r="P50" s="22"/>
      <c r="Q50" s="35"/>
      <c r="R50" s="55" t="s">
        <v>3492</v>
      </c>
      <c r="S50" s="56">
        <v>11850</v>
      </c>
      <c r="T50" s="58">
        <f>SUM(AO50:BC50)</f>
        <v>0</v>
      </c>
      <c r="U50" s="58">
        <f>SUM(BA50:BC50)</f>
        <v>0</v>
      </c>
      <c r="V50" s="58">
        <f>SUM(AO50:AZ50)</f>
        <v>0</v>
      </c>
      <c r="W50" s="58">
        <f>SUM(AP50:AZ50)</f>
        <v>0</v>
      </c>
      <c r="X50" s="58">
        <f>SUM(AQ50:AZ50)</f>
        <v>0</v>
      </c>
      <c r="Y50" s="58">
        <f>SUM(AR50:AZ50)</f>
        <v>0</v>
      </c>
      <c r="Z50" s="70">
        <f>SUM(AS50:AZ50)</f>
        <v>0</v>
      </c>
      <c r="AA50" s="66">
        <f>SUM(AT50:AZ50)</f>
        <v>0</v>
      </c>
      <c r="AB50" s="66">
        <f>SUM(AU50:AZ50)</f>
        <v>0</v>
      </c>
      <c r="AC50" s="70">
        <f>SUM(AV50:AZ50)</f>
        <v>0</v>
      </c>
      <c r="AD50" s="70">
        <f>SUM(AW50:AZ50)</f>
        <v>0</v>
      </c>
      <c r="AE50" s="70">
        <f>SUM(AX50:AZ50)</f>
        <v>0</v>
      </c>
      <c r="AF50" s="70">
        <f>SUM(AY50:AZ50)</f>
        <v>0</v>
      </c>
      <c r="AG50" s="70">
        <f>SUM(AZ50:AZ50)</f>
        <v>0</v>
      </c>
      <c r="AH50" s="75"/>
      <c r="AI50" s="75"/>
      <c r="AJ50" s="22"/>
      <c r="AK50" s="22"/>
      <c r="AL50" s="13"/>
      <c r="AM50" s="22"/>
      <c r="AN50" s="22"/>
      <c r="AO50" s="58"/>
      <c r="AP50" s="58"/>
      <c r="AQ50" s="58"/>
      <c r="AR50" s="58"/>
      <c r="AS50" s="58"/>
      <c r="AT50" s="58"/>
      <c r="AU50" s="58"/>
      <c r="AV50" s="58"/>
      <c r="AW50" s="58"/>
      <c r="AX50" s="58"/>
      <c r="AY50" s="58">
        <v>0</v>
      </c>
      <c r="AZ50" s="369">
        <v>0</v>
      </c>
      <c r="BA50" s="115">
        <v>0</v>
      </c>
      <c r="BB50" s="115"/>
      <c r="BC50" s="456"/>
      <c r="BD50" s="454"/>
    </row>
    <row r="51" s="2" customFormat="1" ht="12.35" hidden="1" spans="1:56">
      <c r="A51" s="22"/>
      <c r="B51" s="22"/>
      <c r="C51" s="22"/>
      <c r="D51" s="34"/>
      <c r="E51" s="22"/>
      <c r="F51" s="22"/>
      <c r="G51" s="22"/>
      <c r="H51" s="22"/>
      <c r="I51" s="22"/>
      <c r="J51" s="22"/>
      <c r="K51" s="22"/>
      <c r="L51" s="22"/>
      <c r="M51" s="22"/>
      <c r="N51" s="22"/>
      <c r="O51" s="22"/>
      <c r="P51" s="22"/>
      <c r="Q51" s="35"/>
      <c r="R51" s="55" t="s">
        <v>3493</v>
      </c>
      <c r="S51" s="56">
        <f>4500+7500</f>
        <v>12000</v>
      </c>
      <c r="T51" s="58">
        <f>SUM(AO51:BC51)</f>
        <v>2063.78</v>
      </c>
      <c r="U51" s="58">
        <f>SUM(BA51:BC51)</f>
        <v>1251.58</v>
      </c>
      <c r="V51" s="58">
        <f>SUM(AO51:AZ51)</f>
        <v>812.2</v>
      </c>
      <c r="W51" s="58">
        <f>SUM(AP51:AZ51)</f>
        <v>812.2</v>
      </c>
      <c r="X51" s="58">
        <f>SUM(AQ51:AZ51)</f>
        <v>812.2</v>
      </c>
      <c r="Y51" s="58">
        <f>SUM(AR51:AZ51)</f>
        <v>812.2</v>
      </c>
      <c r="Z51" s="70">
        <f>SUM(AS51:AZ51)</f>
        <v>812.2</v>
      </c>
      <c r="AA51" s="66">
        <f>SUM(AT51:AZ51)</f>
        <v>812.2</v>
      </c>
      <c r="AB51" s="66">
        <f>SUM(AU51:AZ51)</f>
        <v>812.2</v>
      </c>
      <c r="AC51" s="70">
        <f>SUM(AV51:AZ51)</f>
        <v>812.2</v>
      </c>
      <c r="AD51" s="70">
        <f>SUM(AW51:AZ51)</f>
        <v>812.2</v>
      </c>
      <c r="AE51" s="70">
        <f>SUM(AX51:AZ51)</f>
        <v>812.2</v>
      </c>
      <c r="AF51" s="70">
        <f>SUM(AY51:AZ51)</f>
        <v>812.2</v>
      </c>
      <c r="AG51" s="70">
        <f>SUM(AZ51:AZ51)</f>
        <v>388.66</v>
      </c>
      <c r="AH51" s="75"/>
      <c r="AI51" s="75"/>
      <c r="AJ51" s="22"/>
      <c r="AK51" s="22"/>
      <c r="AL51" s="13"/>
      <c r="AM51" s="22"/>
      <c r="AN51" s="22"/>
      <c r="AO51" s="58"/>
      <c r="AP51" s="58"/>
      <c r="AQ51" s="58"/>
      <c r="AR51" s="58"/>
      <c r="AS51" s="58"/>
      <c r="AT51" s="58"/>
      <c r="AU51" s="58"/>
      <c r="AV51" s="58"/>
      <c r="AW51" s="58"/>
      <c r="AX51" s="58"/>
      <c r="AY51" s="58">
        <v>423.54</v>
      </c>
      <c r="AZ51" s="369">
        <v>388.66</v>
      </c>
      <c r="BA51" s="457">
        <v>1251.58</v>
      </c>
      <c r="BB51" s="457"/>
      <c r="BC51" s="455"/>
      <c r="BD51" s="454"/>
    </row>
    <row r="52" ht="14.25" hidden="1" customHeight="1" spans="1:56">
      <c r="A52" s="22"/>
      <c r="B52" s="22"/>
      <c r="C52" s="22"/>
      <c r="D52" s="34"/>
      <c r="E52" s="22"/>
      <c r="F52" s="22"/>
      <c r="G52" s="22"/>
      <c r="H52" s="22"/>
      <c r="I52" s="22"/>
      <c r="J52" s="22"/>
      <c r="K52" s="22"/>
      <c r="L52" s="22"/>
      <c r="M52" s="22"/>
      <c r="N52" s="22"/>
      <c r="O52" s="22"/>
      <c r="P52" s="22"/>
      <c r="Q52" s="35"/>
      <c r="R52" s="213" t="s">
        <v>3494</v>
      </c>
      <c r="S52" s="214">
        <f t="shared" ref="S52:AI52" si="50">SUM(S49:S51)</f>
        <v>406061.99</v>
      </c>
      <c r="T52" s="214">
        <f t="shared" si="50"/>
        <v>394625.26</v>
      </c>
      <c r="U52" s="214">
        <f t="shared" si="50"/>
        <v>272436.41</v>
      </c>
      <c r="V52" s="214">
        <f t="shared" si="50"/>
        <v>122188.85</v>
      </c>
      <c r="W52" s="214">
        <f t="shared" si="50"/>
        <v>122188.85</v>
      </c>
      <c r="X52" s="214">
        <f t="shared" si="50"/>
        <v>122188.85</v>
      </c>
      <c r="Y52" s="214">
        <f t="shared" si="50"/>
        <v>122188.85</v>
      </c>
      <c r="Z52" s="214">
        <f t="shared" si="50"/>
        <v>122188.85</v>
      </c>
      <c r="AA52" s="214">
        <f t="shared" si="50"/>
        <v>122188.85</v>
      </c>
      <c r="AB52" s="214">
        <f t="shared" si="50"/>
        <v>122188.85</v>
      </c>
      <c r="AC52" s="214">
        <f t="shared" si="50"/>
        <v>122188.85</v>
      </c>
      <c r="AD52" s="214">
        <f t="shared" si="50"/>
        <v>122188.85</v>
      </c>
      <c r="AE52" s="214">
        <f t="shared" si="50"/>
        <v>122188.85</v>
      </c>
      <c r="AF52" s="214">
        <f t="shared" si="50"/>
        <v>122188.85</v>
      </c>
      <c r="AG52" s="214">
        <f t="shared" si="50"/>
        <v>65720.81</v>
      </c>
      <c r="AH52" s="214">
        <f t="shared" si="50"/>
        <v>0</v>
      </c>
      <c r="AI52" s="214">
        <f t="shared" si="50"/>
        <v>0</v>
      </c>
      <c r="AJ52" s="22"/>
      <c r="AK52" s="22"/>
      <c r="AL52" s="13"/>
      <c r="AM52" s="22"/>
      <c r="AN52" s="22"/>
      <c r="AO52" s="214">
        <f t="shared" ref="AO52:BA52" si="51">SUM(AO49:AO51)</f>
        <v>0</v>
      </c>
      <c r="AP52" s="214">
        <f t="shared" si="51"/>
        <v>0</v>
      </c>
      <c r="AQ52" s="214">
        <f t="shared" si="51"/>
        <v>0</v>
      </c>
      <c r="AR52" s="214">
        <f t="shared" si="51"/>
        <v>0</v>
      </c>
      <c r="AS52" s="214">
        <f t="shared" si="51"/>
        <v>0</v>
      </c>
      <c r="AT52" s="214">
        <f t="shared" si="51"/>
        <v>0</v>
      </c>
      <c r="AU52" s="214">
        <f t="shared" si="51"/>
        <v>0</v>
      </c>
      <c r="AV52" s="214">
        <f t="shared" si="51"/>
        <v>0</v>
      </c>
      <c r="AW52" s="214">
        <f t="shared" si="51"/>
        <v>0</v>
      </c>
      <c r="AX52" s="214">
        <f t="shared" si="51"/>
        <v>0</v>
      </c>
      <c r="AY52" s="214">
        <f t="shared" si="51"/>
        <v>56468.04</v>
      </c>
      <c r="AZ52" s="450">
        <f t="shared" si="51"/>
        <v>65720.81</v>
      </c>
      <c r="BA52" s="451">
        <f t="shared" si="51"/>
        <v>272436.41</v>
      </c>
      <c r="BB52" s="57"/>
      <c r="BC52" s="196"/>
      <c r="BD52" s="196"/>
    </row>
    <row r="53" s="2" customFormat="1" ht="12.35" hidden="1" spans="1:56">
      <c r="A53" s="22"/>
      <c r="B53" s="22"/>
      <c r="C53" s="22"/>
      <c r="D53" s="34"/>
      <c r="E53" s="22"/>
      <c r="F53" s="22"/>
      <c r="G53" s="22"/>
      <c r="H53" s="22"/>
      <c r="I53" s="22"/>
      <c r="J53" s="22"/>
      <c r="K53" s="22"/>
      <c r="L53" s="22"/>
      <c r="M53" s="22"/>
      <c r="N53" s="22"/>
      <c r="O53" s="22"/>
      <c r="P53" s="22"/>
      <c r="Q53" s="35"/>
      <c r="R53" s="55" t="s">
        <v>3495</v>
      </c>
      <c r="S53" s="59">
        <f t="shared" ref="S53:AG53" si="52">S48-S49</f>
        <v>196515.84</v>
      </c>
      <c r="T53" s="58">
        <f t="shared" si="52"/>
        <v>3996.5</v>
      </c>
      <c r="U53" s="58">
        <f t="shared" si="52"/>
        <v>54700.09</v>
      </c>
      <c r="V53" s="58">
        <f t="shared" si="52"/>
        <v>-50703.59</v>
      </c>
      <c r="W53" s="58">
        <f t="shared" si="52"/>
        <v>-50703.59</v>
      </c>
      <c r="X53" s="58">
        <f t="shared" si="52"/>
        <v>-50703.59</v>
      </c>
      <c r="Y53" s="58">
        <f t="shared" si="52"/>
        <v>-50703.59</v>
      </c>
      <c r="Z53" s="57">
        <f t="shared" si="52"/>
        <v>-50703.59</v>
      </c>
      <c r="AA53" s="68">
        <f t="shared" si="52"/>
        <v>-50703.59</v>
      </c>
      <c r="AB53" s="68">
        <f t="shared" si="52"/>
        <v>-50703.59</v>
      </c>
      <c r="AC53" s="57">
        <f t="shared" si="52"/>
        <v>-50703.59</v>
      </c>
      <c r="AD53" s="57">
        <f t="shared" si="52"/>
        <v>-50703.59</v>
      </c>
      <c r="AE53" s="57">
        <f t="shared" si="52"/>
        <v>-50703.59</v>
      </c>
      <c r="AF53" s="57">
        <f t="shared" si="52"/>
        <v>-50703.59</v>
      </c>
      <c r="AG53" s="57">
        <f t="shared" si="52"/>
        <v>-27309.55</v>
      </c>
      <c r="AH53" s="75"/>
      <c r="AI53" s="75"/>
      <c r="AJ53" s="22"/>
      <c r="AK53" s="22"/>
      <c r="AL53" s="13"/>
      <c r="AM53" s="22"/>
      <c r="AN53" s="22"/>
      <c r="AO53" s="58">
        <f t="shared" ref="AO53:AZ53" si="53">AO48-AO49</f>
        <v>0</v>
      </c>
      <c r="AP53" s="58">
        <f t="shared" si="53"/>
        <v>0</v>
      </c>
      <c r="AQ53" s="58">
        <f t="shared" si="53"/>
        <v>0</v>
      </c>
      <c r="AR53" s="58">
        <f t="shared" si="53"/>
        <v>0</v>
      </c>
      <c r="AS53" s="58">
        <f t="shared" si="53"/>
        <v>0</v>
      </c>
      <c r="AT53" s="58">
        <f t="shared" si="53"/>
        <v>0</v>
      </c>
      <c r="AU53" s="58">
        <f t="shared" si="53"/>
        <v>0</v>
      </c>
      <c r="AV53" s="58">
        <f t="shared" si="53"/>
        <v>0</v>
      </c>
      <c r="AW53" s="58">
        <f t="shared" si="53"/>
        <v>0</v>
      </c>
      <c r="AX53" s="58">
        <f t="shared" si="53"/>
        <v>0</v>
      </c>
      <c r="AY53" s="58">
        <f t="shared" si="53"/>
        <v>-23394.04</v>
      </c>
      <c r="AZ53" s="369">
        <f t="shared" si="53"/>
        <v>-27309.55</v>
      </c>
      <c r="BA53" s="57">
        <v>54700.0900000001</v>
      </c>
      <c r="BB53" s="57"/>
      <c r="BC53" s="57">
        <f>BC48-BC49</f>
        <v>0</v>
      </c>
      <c r="BD53" s="454"/>
    </row>
    <row r="54" s="2" customFormat="1" ht="12.35" hidden="1" spans="1:56">
      <c r="A54" s="22"/>
      <c r="B54" s="22"/>
      <c r="C54" s="22"/>
      <c r="D54" s="34"/>
      <c r="E54" s="22"/>
      <c r="F54" s="22"/>
      <c r="G54" s="22"/>
      <c r="H54" s="22"/>
      <c r="I54" s="22"/>
      <c r="J54" s="22"/>
      <c r="K54" s="22"/>
      <c r="L54" s="22"/>
      <c r="M54" s="22"/>
      <c r="N54" s="22"/>
      <c r="O54" s="22"/>
      <c r="P54" s="22"/>
      <c r="Q54" s="35"/>
      <c r="R54" s="60" t="s">
        <v>3496</v>
      </c>
      <c r="S54" s="61">
        <f t="shared" ref="S54:AG54" si="54">S53/S48</f>
        <v>0.339565214964692</v>
      </c>
      <c r="T54" s="61">
        <f t="shared" si="54"/>
        <v>0.0100779714482104</v>
      </c>
      <c r="U54" s="61">
        <f t="shared" si="54"/>
        <v>0.167850939527978</v>
      </c>
      <c r="V54" s="61">
        <f t="shared" si="54"/>
        <v>-0.717438724175803</v>
      </c>
      <c r="W54" s="61">
        <f t="shared" si="54"/>
        <v>-0.717438724175803</v>
      </c>
      <c r="X54" s="61">
        <f t="shared" si="54"/>
        <v>-0.717438724175803</v>
      </c>
      <c r="Y54" s="61">
        <f t="shared" si="54"/>
        <v>-0.717438724175803</v>
      </c>
      <c r="Z54" s="62">
        <f t="shared" si="54"/>
        <v>-0.717438724175803</v>
      </c>
      <c r="AA54" s="69">
        <f t="shared" si="54"/>
        <v>-0.717438724175803</v>
      </c>
      <c r="AB54" s="69">
        <f t="shared" si="54"/>
        <v>-0.717438724175803</v>
      </c>
      <c r="AC54" s="62">
        <f t="shared" si="54"/>
        <v>-0.717438724175803</v>
      </c>
      <c r="AD54" s="62">
        <f t="shared" si="54"/>
        <v>-0.717438724175803</v>
      </c>
      <c r="AE54" s="62">
        <f t="shared" si="54"/>
        <v>-0.717438724175803</v>
      </c>
      <c r="AF54" s="62">
        <f t="shared" si="54"/>
        <v>-0.717438724175803</v>
      </c>
      <c r="AG54" s="62">
        <f t="shared" si="54"/>
        <v>-0.718245201538033</v>
      </c>
      <c r="AH54" s="82">
        <f>T54-S54</f>
        <v>-0.329487243516482</v>
      </c>
      <c r="AI54" s="82">
        <f>AF54-S54</f>
        <v>-1.0570039391405</v>
      </c>
      <c r="AJ54" s="22"/>
      <c r="AK54" s="22"/>
      <c r="AL54" s="13"/>
      <c r="AM54" s="22"/>
      <c r="AN54" s="22"/>
      <c r="AO54" s="61" t="e">
        <f t="shared" ref="AO54:AZ54" si="55">AO53/AO48</f>
        <v>#DIV/0!</v>
      </c>
      <c r="AP54" s="61" t="e">
        <f t="shared" si="55"/>
        <v>#DIV/0!</v>
      </c>
      <c r="AQ54" s="61" t="e">
        <f t="shared" si="55"/>
        <v>#DIV/0!</v>
      </c>
      <c r="AR54" s="61" t="e">
        <f t="shared" si="55"/>
        <v>#DIV/0!</v>
      </c>
      <c r="AS54" s="61" t="e">
        <f t="shared" si="55"/>
        <v>#DIV/0!</v>
      </c>
      <c r="AT54" s="61" t="e">
        <f t="shared" si="55"/>
        <v>#DIV/0!</v>
      </c>
      <c r="AU54" s="61" t="e">
        <f t="shared" si="55"/>
        <v>#DIV/0!</v>
      </c>
      <c r="AV54" s="61" t="e">
        <f t="shared" si="55"/>
        <v>#DIV/0!</v>
      </c>
      <c r="AW54" s="61" t="e">
        <f t="shared" si="55"/>
        <v>#DIV/0!</v>
      </c>
      <c r="AX54" s="61" t="e">
        <f t="shared" si="55"/>
        <v>#DIV/0!</v>
      </c>
      <c r="AY54" s="61">
        <f t="shared" si="55"/>
        <v>-0.716499553145653</v>
      </c>
      <c r="AZ54" s="452">
        <f t="shared" si="55"/>
        <v>-0.718245201538033</v>
      </c>
      <c r="BA54" s="62">
        <v>0.167850939527978</v>
      </c>
      <c r="BB54" s="62"/>
      <c r="BC54" s="62" t="e">
        <f>BC53/BC48</f>
        <v>#DIV/0!</v>
      </c>
      <c r="BD54" s="454"/>
    </row>
    <row r="55" s="2" customFormat="1" ht="12.35" hidden="1" spans="1:56">
      <c r="A55" s="22"/>
      <c r="B55" s="22"/>
      <c r="C55" s="22"/>
      <c r="D55" s="34"/>
      <c r="E55" s="22"/>
      <c r="F55" s="22"/>
      <c r="G55" s="22"/>
      <c r="H55" s="22"/>
      <c r="I55" s="22"/>
      <c r="J55" s="22"/>
      <c r="K55" s="22"/>
      <c r="L55" s="22"/>
      <c r="M55" s="22"/>
      <c r="N55" s="22"/>
      <c r="O55" s="22"/>
      <c r="P55" s="22"/>
      <c r="Q55" s="35"/>
      <c r="R55" s="55" t="s">
        <v>3497</v>
      </c>
      <c r="S55" s="58">
        <f t="shared" ref="S55:AG55" si="56">S48-S49-S50-S51</f>
        <v>172665.84</v>
      </c>
      <c r="T55" s="58">
        <f t="shared" si="56"/>
        <v>1932.72</v>
      </c>
      <c r="U55" s="58">
        <f t="shared" si="56"/>
        <v>53448.51</v>
      </c>
      <c r="V55" s="58">
        <f t="shared" si="56"/>
        <v>-51515.79</v>
      </c>
      <c r="W55" s="58">
        <f t="shared" si="56"/>
        <v>-51515.79</v>
      </c>
      <c r="X55" s="58">
        <f t="shared" si="56"/>
        <v>-51515.79</v>
      </c>
      <c r="Y55" s="58">
        <f t="shared" si="56"/>
        <v>-51515.79</v>
      </c>
      <c r="Z55" s="57">
        <f t="shared" si="56"/>
        <v>-51515.79</v>
      </c>
      <c r="AA55" s="68">
        <f t="shared" si="56"/>
        <v>-51515.79</v>
      </c>
      <c r="AB55" s="68">
        <f t="shared" si="56"/>
        <v>-51515.79</v>
      </c>
      <c r="AC55" s="57">
        <f t="shared" si="56"/>
        <v>-51515.79</v>
      </c>
      <c r="AD55" s="57">
        <f t="shared" si="56"/>
        <v>-51515.79</v>
      </c>
      <c r="AE55" s="57">
        <f t="shared" si="56"/>
        <v>-51515.79</v>
      </c>
      <c r="AF55" s="57">
        <f t="shared" si="56"/>
        <v>-51515.79</v>
      </c>
      <c r="AG55" s="57">
        <f t="shared" si="56"/>
        <v>-27698.21</v>
      </c>
      <c r="AH55" s="82"/>
      <c r="AI55" s="82"/>
      <c r="AJ55" s="22"/>
      <c r="AK55" s="22"/>
      <c r="AL55" s="13"/>
      <c r="AM55" s="22"/>
      <c r="AN55" s="22"/>
      <c r="AO55" s="58">
        <f t="shared" ref="AO55:AZ55" si="57">AO48-AO49-AO50-AO51</f>
        <v>0</v>
      </c>
      <c r="AP55" s="58">
        <f t="shared" si="57"/>
        <v>0</v>
      </c>
      <c r="AQ55" s="58">
        <f t="shared" si="57"/>
        <v>0</v>
      </c>
      <c r="AR55" s="58">
        <f t="shared" si="57"/>
        <v>0</v>
      </c>
      <c r="AS55" s="58">
        <f t="shared" si="57"/>
        <v>0</v>
      </c>
      <c r="AT55" s="58">
        <f t="shared" si="57"/>
        <v>0</v>
      </c>
      <c r="AU55" s="58">
        <f t="shared" si="57"/>
        <v>0</v>
      </c>
      <c r="AV55" s="58">
        <f t="shared" si="57"/>
        <v>0</v>
      </c>
      <c r="AW55" s="58">
        <f t="shared" si="57"/>
        <v>0</v>
      </c>
      <c r="AX55" s="58">
        <f t="shared" si="57"/>
        <v>0</v>
      </c>
      <c r="AY55" s="58">
        <f t="shared" si="57"/>
        <v>-23817.58</v>
      </c>
      <c r="AZ55" s="369">
        <f t="shared" si="57"/>
        <v>-27698.21</v>
      </c>
      <c r="BA55" s="57">
        <v>53448.5100000001</v>
      </c>
      <c r="BB55" s="57"/>
      <c r="BC55" s="57">
        <f>BC48-BC49-BC50-BC51</f>
        <v>0</v>
      </c>
      <c r="BD55" s="454"/>
    </row>
    <row r="56" s="2" customFormat="1" ht="12.35" hidden="1" spans="1:56">
      <c r="A56" s="24"/>
      <c r="B56" s="24"/>
      <c r="C56" s="24"/>
      <c r="D56" s="83"/>
      <c r="E56" s="24"/>
      <c r="F56" s="24"/>
      <c r="G56" s="24"/>
      <c r="H56" s="24"/>
      <c r="I56" s="24"/>
      <c r="J56" s="24"/>
      <c r="K56" s="24"/>
      <c r="L56" s="24"/>
      <c r="M56" s="24"/>
      <c r="N56" s="24"/>
      <c r="O56" s="24"/>
      <c r="P56" s="24"/>
      <c r="Q56" s="156"/>
      <c r="R56" s="60" t="s">
        <v>3498</v>
      </c>
      <c r="S56" s="61">
        <f t="shared" ref="S56:AG56" si="58">S55/S48</f>
        <v>0.298354133064588</v>
      </c>
      <c r="T56" s="61">
        <f t="shared" si="58"/>
        <v>0.00487373876576636</v>
      </c>
      <c r="U56" s="61">
        <f t="shared" si="58"/>
        <v>0.164010381333386</v>
      </c>
      <c r="V56" s="61">
        <f t="shared" si="58"/>
        <v>-0.728931080669211</v>
      </c>
      <c r="W56" s="61">
        <f t="shared" si="58"/>
        <v>-0.728931080669211</v>
      </c>
      <c r="X56" s="61">
        <f t="shared" si="58"/>
        <v>-0.728931080669211</v>
      </c>
      <c r="Y56" s="61">
        <f t="shared" si="58"/>
        <v>-0.728931080669211</v>
      </c>
      <c r="Z56" s="62">
        <f t="shared" si="58"/>
        <v>-0.728931080669211</v>
      </c>
      <c r="AA56" s="69">
        <f t="shared" si="58"/>
        <v>-0.728931080669211</v>
      </c>
      <c r="AB56" s="69">
        <f t="shared" si="58"/>
        <v>-0.728931080669211</v>
      </c>
      <c r="AC56" s="62">
        <f t="shared" si="58"/>
        <v>-0.728931080669211</v>
      </c>
      <c r="AD56" s="62">
        <f t="shared" si="58"/>
        <v>-0.728931080669211</v>
      </c>
      <c r="AE56" s="62">
        <f t="shared" si="58"/>
        <v>-0.728931080669211</v>
      </c>
      <c r="AF56" s="62">
        <f t="shared" si="58"/>
        <v>-0.728931080669211</v>
      </c>
      <c r="AG56" s="62">
        <f t="shared" si="58"/>
        <v>-0.728467016984636</v>
      </c>
      <c r="AH56" s="82">
        <f>T56-S56</f>
        <v>-0.293480394298821</v>
      </c>
      <c r="AI56" s="82">
        <f>AF56-S56</f>
        <v>-1.0272852137338</v>
      </c>
      <c r="AJ56" s="24"/>
      <c r="AK56" s="24"/>
      <c r="AL56" s="14"/>
      <c r="AM56" s="24"/>
      <c r="AN56" s="24"/>
      <c r="AO56" s="61" t="e">
        <f t="shared" ref="AO56:AZ56" si="59">AO55/AO48</f>
        <v>#DIV/0!</v>
      </c>
      <c r="AP56" s="61" t="e">
        <f t="shared" si="59"/>
        <v>#DIV/0!</v>
      </c>
      <c r="AQ56" s="61" t="e">
        <f t="shared" si="59"/>
        <v>#DIV/0!</v>
      </c>
      <c r="AR56" s="61" t="e">
        <f t="shared" si="59"/>
        <v>#DIV/0!</v>
      </c>
      <c r="AS56" s="61" t="e">
        <f t="shared" si="59"/>
        <v>#DIV/0!</v>
      </c>
      <c r="AT56" s="61" t="e">
        <f t="shared" si="59"/>
        <v>#DIV/0!</v>
      </c>
      <c r="AU56" s="61" t="e">
        <f t="shared" si="59"/>
        <v>#DIV/0!</v>
      </c>
      <c r="AV56" s="61" t="e">
        <f t="shared" si="59"/>
        <v>#DIV/0!</v>
      </c>
      <c r="AW56" s="61" t="e">
        <f t="shared" si="59"/>
        <v>#DIV/0!</v>
      </c>
      <c r="AX56" s="61" t="e">
        <f t="shared" si="59"/>
        <v>#DIV/0!</v>
      </c>
      <c r="AY56" s="61">
        <f t="shared" si="59"/>
        <v>-0.729471499023291</v>
      </c>
      <c r="AZ56" s="452">
        <f t="shared" si="59"/>
        <v>-0.728467016984636</v>
      </c>
      <c r="BA56" s="62">
        <v>0.164010381333386</v>
      </c>
      <c r="BB56" s="62"/>
      <c r="BC56" s="62" t="e">
        <f>BC55/BC48</f>
        <v>#DIV/0!</v>
      </c>
      <c r="BD56" s="454"/>
    </row>
    <row r="57" s="2" customFormat="1" ht="12.35" hidden="1" spans="1:56">
      <c r="A57" s="32" t="s">
        <v>633</v>
      </c>
      <c r="B57" s="353" t="s">
        <v>3515</v>
      </c>
      <c r="C57" s="27">
        <v>45748</v>
      </c>
      <c r="D57" s="354">
        <v>46113</v>
      </c>
      <c r="E57" s="26" t="s">
        <v>3484</v>
      </c>
      <c r="F57" s="26" t="s">
        <v>3484</v>
      </c>
      <c r="G57" s="430"/>
      <c r="H57" s="431"/>
      <c r="I57" s="29"/>
      <c r="J57" s="29"/>
      <c r="K57" s="29"/>
      <c r="L57" s="29"/>
      <c r="M57" s="29"/>
      <c r="N57" s="29"/>
      <c r="O57" s="29"/>
      <c r="P57" s="29"/>
      <c r="Q57" s="435" t="s">
        <v>3485</v>
      </c>
      <c r="R57" s="55" t="s">
        <v>3486</v>
      </c>
      <c r="S57" s="162">
        <v>55660.38</v>
      </c>
      <c r="T57" s="58">
        <f>SUM(AO57:BC57)</f>
        <v>53032.24</v>
      </c>
      <c r="U57" s="58">
        <f>SUM(BA57:BC57)</f>
        <v>53032.24</v>
      </c>
      <c r="V57" s="58">
        <f>SUM(AO57:AZ57)</f>
        <v>0</v>
      </c>
      <c r="W57" s="58">
        <f>SUM(AP57:AZ57)</f>
        <v>0</v>
      </c>
      <c r="X57" s="58">
        <f>SUM(AQ57:AZ57)</f>
        <v>0</v>
      </c>
      <c r="Y57" s="58">
        <f>SUM(AR57:AZ57)</f>
        <v>0</v>
      </c>
      <c r="Z57" s="70">
        <f>SUM(AS57:AZ57)</f>
        <v>0</v>
      </c>
      <c r="AA57" s="66">
        <f>SUM(AT57:AZ57)</f>
        <v>0</v>
      </c>
      <c r="AB57" s="66">
        <f>SUM(AU57:AZ57)</f>
        <v>0</v>
      </c>
      <c r="AC57" s="70">
        <f>SUM(AV57:AZ57)</f>
        <v>0</v>
      </c>
      <c r="AD57" s="70">
        <f>SUM(AW57:AZ57)</f>
        <v>0</v>
      </c>
      <c r="AE57" s="70">
        <f>SUM(AX57:AZ57)</f>
        <v>0</v>
      </c>
      <c r="AF57" s="70">
        <f>SUM(AY57:AZ57)</f>
        <v>0</v>
      </c>
      <c r="AG57" s="70">
        <f>SUM(AZ57:AZ57)</f>
        <v>0</v>
      </c>
      <c r="AH57" s="75"/>
      <c r="AI57" s="75"/>
      <c r="AJ57" s="96"/>
      <c r="AK57" s="99"/>
      <c r="AL57" s="93"/>
      <c r="AM57" s="96"/>
      <c r="AN57" s="94"/>
      <c r="AO57" s="58"/>
      <c r="AP57" s="58"/>
      <c r="AQ57" s="58"/>
      <c r="AR57" s="58"/>
      <c r="AS57" s="58"/>
      <c r="AT57" s="58"/>
      <c r="AU57" s="58"/>
      <c r="AV57" s="58"/>
      <c r="AW57" s="58"/>
      <c r="AX57" s="58"/>
      <c r="AY57" s="58">
        <v>0</v>
      </c>
      <c r="AZ57" s="369">
        <v>0</v>
      </c>
      <c r="BA57" s="105">
        <v>53032.24</v>
      </c>
      <c r="BB57" s="105"/>
      <c r="BC57" s="453"/>
      <c r="BD57" s="454"/>
    </row>
    <row r="58" s="2" customFormat="1" ht="12.35" hidden="1" spans="1:56">
      <c r="A58" s="22"/>
      <c r="B58" s="22"/>
      <c r="C58" s="22"/>
      <c r="D58" s="34"/>
      <c r="E58" s="22"/>
      <c r="F58" s="22"/>
      <c r="G58" s="22"/>
      <c r="H58" s="22"/>
      <c r="I58" s="22"/>
      <c r="J58" s="22"/>
      <c r="K58" s="22"/>
      <c r="L58" s="22"/>
      <c r="M58" s="22"/>
      <c r="N58" s="22"/>
      <c r="O58" s="22"/>
      <c r="P58" s="22"/>
      <c r="Q58" s="35"/>
      <c r="R58" s="55" t="s">
        <v>3490</v>
      </c>
      <c r="S58" s="162">
        <v>88381.86</v>
      </c>
      <c r="T58" s="58">
        <f>SUM(AO58:BC58)</f>
        <v>28410.76</v>
      </c>
      <c r="U58" s="58">
        <f>SUM(BA58:BC58)</f>
        <v>28410.76</v>
      </c>
      <c r="V58" s="58">
        <f>SUM(AO58:AZ58)</f>
        <v>0</v>
      </c>
      <c r="W58" s="58">
        <f>SUM(AP58:AZ58)</f>
        <v>0</v>
      </c>
      <c r="X58" s="58">
        <f>SUM(AQ58:AZ58)</f>
        <v>0</v>
      </c>
      <c r="Y58" s="58">
        <f>SUM(AR58:AZ58)</f>
        <v>0</v>
      </c>
      <c r="Z58" s="70">
        <f>SUM(AS58:AZ58)</f>
        <v>0</v>
      </c>
      <c r="AA58" s="66">
        <f>SUM(AT58:AZ58)</f>
        <v>0</v>
      </c>
      <c r="AB58" s="66">
        <f>SUM(AU58:AZ58)</f>
        <v>0</v>
      </c>
      <c r="AC58" s="70">
        <f>SUM(AV58:AZ58)</f>
        <v>0</v>
      </c>
      <c r="AD58" s="70">
        <f>SUM(AW58:AZ58)</f>
        <v>0</v>
      </c>
      <c r="AE58" s="70">
        <f>SUM(AX58:AZ58)</f>
        <v>0</v>
      </c>
      <c r="AF58" s="70">
        <f>SUM(AY58:AZ58)</f>
        <v>0</v>
      </c>
      <c r="AG58" s="70">
        <f>SUM(AZ58:AZ58)</f>
        <v>0</v>
      </c>
      <c r="AH58" s="75"/>
      <c r="AI58" s="75"/>
      <c r="AJ58" s="22"/>
      <c r="AK58" s="22"/>
      <c r="AL58" s="13"/>
      <c r="AM58" s="22"/>
      <c r="AN58" s="22"/>
      <c r="AO58" s="58"/>
      <c r="AP58" s="58"/>
      <c r="AQ58" s="58"/>
      <c r="AR58" s="58"/>
      <c r="AS58" s="58"/>
      <c r="AT58" s="58"/>
      <c r="AU58" s="58"/>
      <c r="AV58" s="58"/>
      <c r="AW58" s="58"/>
      <c r="AX58" s="58"/>
      <c r="AY58" s="58">
        <v>0</v>
      </c>
      <c r="AZ58" s="369">
        <v>0</v>
      </c>
      <c r="BA58" s="105">
        <v>28410.76</v>
      </c>
      <c r="BB58" s="105"/>
      <c r="BC58" s="455"/>
      <c r="BD58" s="454"/>
    </row>
    <row r="59" s="2" customFormat="1" ht="12.35" hidden="1" spans="1:56">
      <c r="A59" s="22"/>
      <c r="B59" s="22"/>
      <c r="C59" s="22"/>
      <c r="D59" s="34"/>
      <c r="E59" s="22"/>
      <c r="F59" s="22"/>
      <c r="G59" s="22"/>
      <c r="H59" s="22"/>
      <c r="I59" s="22"/>
      <c r="J59" s="22"/>
      <c r="K59" s="22"/>
      <c r="L59" s="22"/>
      <c r="M59" s="22"/>
      <c r="N59" s="22"/>
      <c r="O59" s="22"/>
      <c r="P59" s="22"/>
      <c r="Q59" s="35"/>
      <c r="R59" s="55" t="s">
        <v>3492</v>
      </c>
      <c r="S59" s="162">
        <v>1650</v>
      </c>
      <c r="T59" s="58">
        <f>SUM(AO59:BC59)</f>
        <v>1273.28</v>
      </c>
      <c r="U59" s="58">
        <f>SUM(BA59:BC59)</f>
        <v>1273.28</v>
      </c>
      <c r="V59" s="58">
        <f>SUM(AO59:AZ59)</f>
        <v>0</v>
      </c>
      <c r="W59" s="58">
        <f>SUM(AP59:AZ59)</f>
        <v>0</v>
      </c>
      <c r="X59" s="58">
        <f>SUM(AQ59:AZ59)</f>
        <v>0</v>
      </c>
      <c r="Y59" s="58">
        <f>SUM(AR59:AZ59)</f>
        <v>0</v>
      </c>
      <c r="Z59" s="70">
        <f>SUM(AS59:AZ59)</f>
        <v>0</v>
      </c>
      <c r="AA59" s="66">
        <f>SUM(AT59:AZ59)</f>
        <v>0</v>
      </c>
      <c r="AB59" s="66">
        <f>SUM(AU59:AZ59)</f>
        <v>0</v>
      </c>
      <c r="AC59" s="70">
        <f>SUM(AV59:AZ59)</f>
        <v>0</v>
      </c>
      <c r="AD59" s="70">
        <f>SUM(AW59:AZ59)</f>
        <v>0</v>
      </c>
      <c r="AE59" s="70">
        <f>SUM(AX59:AZ59)</f>
        <v>0</v>
      </c>
      <c r="AF59" s="70">
        <f>SUM(AY59:AZ59)</f>
        <v>0</v>
      </c>
      <c r="AG59" s="70">
        <f>SUM(AZ59:AZ59)</f>
        <v>-1273.28</v>
      </c>
      <c r="AH59" s="75"/>
      <c r="AI59" s="75"/>
      <c r="AJ59" s="22"/>
      <c r="AK59" s="22"/>
      <c r="AL59" s="13"/>
      <c r="AM59" s="22"/>
      <c r="AN59" s="22"/>
      <c r="AO59" s="58"/>
      <c r="AP59" s="58"/>
      <c r="AQ59" s="58"/>
      <c r="AR59" s="58"/>
      <c r="AS59" s="58"/>
      <c r="AT59" s="58"/>
      <c r="AU59" s="58"/>
      <c r="AV59" s="58"/>
      <c r="AW59" s="58"/>
      <c r="AX59" s="58"/>
      <c r="AY59" s="58">
        <v>1273.28</v>
      </c>
      <c r="AZ59" s="369">
        <v>-1273.28</v>
      </c>
      <c r="BA59" s="115">
        <v>1273.28</v>
      </c>
      <c r="BB59" s="115"/>
      <c r="BC59" s="456"/>
      <c r="BD59" s="454"/>
    </row>
    <row r="60" s="2" customFormat="1" ht="12.35" hidden="1" spans="1:56">
      <c r="A60" s="22"/>
      <c r="B60" s="22"/>
      <c r="C60" s="22"/>
      <c r="D60" s="34"/>
      <c r="E60" s="22"/>
      <c r="F60" s="22"/>
      <c r="G60" s="22"/>
      <c r="H60" s="22"/>
      <c r="I60" s="22"/>
      <c r="J60" s="22"/>
      <c r="K60" s="22"/>
      <c r="L60" s="22"/>
      <c r="M60" s="22"/>
      <c r="N60" s="22"/>
      <c r="O60" s="22"/>
      <c r="P60" s="22"/>
      <c r="Q60" s="35"/>
      <c r="R60" s="55" t="s">
        <v>3493</v>
      </c>
      <c r="S60" s="162">
        <v>0</v>
      </c>
      <c r="T60" s="58">
        <f>SUM(AO60:BC60)</f>
        <v>176.11</v>
      </c>
      <c r="U60" s="58">
        <f>SUM(BA60:BC60)</f>
        <v>121.83</v>
      </c>
      <c r="V60" s="58">
        <f>SUM(AO60:AZ60)</f>
        <v>54.28</v>
      </c>
      <c r="W60" s="58">
        <f>SUM(AP60:AZ60)</f>
        <v>54.28</v>
      </c>
      <c r="X60" s="58">
        <f>SUM(AQ60:AZ60)</f>
        <v>54.28</v>
      </c>
      <c r="Y60" s="58">
        <f>SUM(AR60:AZ60)</f>
        <v>54.28</v>
      </c>
      <c r="Z60" s="70">
        <f>SUM(AS60:AZ60)</f>
        <v>54.28</v>
      </c>
      <c r="AA60" s="66">
        <f>SUM(AT60:AZ60)</f>
        <v>54.28</v>
      </c>
      <c r="AB60" s="66">
        <f>SUM(AU60:AZ60)</f>
        <v>54.28</v>
      </c>
      <c r="AC60" s="70">
        <f>SUM(AV60:AZ60)</f>
        <v>54.28</v>
      </c>
      <c r="AD60" s="70">
        <f>SUM(AW60:AZ60)</f>
        <v>54.28</v>
      </c>
      <c r="AE60" s="70">
        <f>SUM(AX60:AZ60)</f>
        <v>54.28</v>
      </c>
      <c r="AF60" s="70">
        <f>SUM(AY60:AZ60)</f>
        <v>54.28</v>
      </c>
      <c r="AG60" s="70">
        <f>SUM(AZ60:AZ60)</f>
        <v>27.14</v>
      </c>
      <c r="AH60" s="75"/>
      <c r="AI60" s="75"/>
      <c r="AJ60" s="22"/>
      <c r="AK60" s="22"/>
      <c r="AL60" s="13"/>
      <c r="AM60" s="22"/>
      <c r="AN60" s="22"/>
      <c r="AO60" s="58"/>
      <c r="AP60" s="58"/>
      <c r="AQ60" s="58"/>
      <c r="AR60" s="58"/>
      <c r="AS60" s="58"/>
      <c r="AT60" s="58"/>
      <c r="AU60" s="58"/>
      <c r="AV60" s="58"/>
      <c r="AW60" s="58"/>
      <c r="AX60" s="58"/>
      <c r="AY60" s="58">
        <v>27.14</v>
      </c>
      <c r="AZ60" s="369">
        <v>27.14</v>
      </c>
      <c r="BA60" s="457">
        <v>121.83</v>
      </c>
      <c r="BB60" s="457"/>
      <c r="BC60" s="455"/>
      <c r="BD60" s="454"/>
    </row>
    <row r="61" ht="14.25" hidden="1" customHeight="1" spans="1:56">
      <c r="A61" s="22"/>
      <c r="B61" s="22"/>
      <c r="C61" s="22"/>
      <c r="D61" s="34"/>
      <c r="E61" s="22"/>
      <c r="F61" s="22"/>
      <c r="G61" s="22"/>
      <c r="H61" s="22"/>
      <c r="I61" s="22"/>
      <c r="J61" s="22"/>
      <c r="K61" s="22"/>
      <c r="L61" s="22"/>
      <c r="M61" s="22"/>
      <c r="N61" s="22"/>
      <c r="O61" s="22"/>
      <c r="P61" s="22"/>
      <c r="Q61" s="35"/>
      <c r="R61" s="213" t="s">
        <v>3494</v>
      </c>
      <c r="S61" s="214">
        <f t="shared" ref="S61:AI61" si="60">SUM(S58:S60)</f>
        <v>90031.86</v>
      </c>
      <c r="T61" s="214">
        <f t="shared" si="60"/>
        <v>29860.15</v>
      </c>
      <c r="U61" s="214">
        <f t="shared" si="60"/>
        <v>29805.87</v>
      </c>
      <c r="V61" s="214">
        <f t="shared" si="60"/>
        <v>54.28</v>
      </c>
      <c r="W61" s="214">
        <f t="shared" si="60"/>
        <v>54.28</v>
      </c>
      <c r="X61" s="214">
        <f t="shared" si="60"/>
        <v>54.28</v>
      </c>
      <c r="Y61" s="214">
        <f t="shared" si="60"/>
        <v>54.28</v>
      </c>
      <c r="Z61" s="214">
        <f t="shared" si="60"/>
        <v>54.28</v>
      </c>
      <c r="AA61" s="214">
        <f t="shared" si="60"/>
        <v>54.28</v>
      </c>
      <c r="AB61" s="214">
        <f t="shared" si="60"/>
        <v>54.28</v>
      </c>
      <c r="AC61" s="214">
        <f t="shared" si="60"/>
        <v>54.28</v>
      </c>
      <c r="AD61" s="214">
        <f t="shared" si="60"/>
        <v>54.28</v>
      </c>
      <c r="AE61" s="214">
        <f t="shared" si="60"/>
        <v>54.28</v>
      </c>
      <c r="AF61" s="214">
        <f t="shared" si="60"/>
        <v>54.28</v>
      </c>
      <c r="AG61" s="214">
        <f t="shared" si="60"/>
        <v>-1246.14</v>
      </c>
      <c r="AH61" s="214">
        <f t="shared" si="60"/>
        <v>0</v>
      </c>
      <c r="AI61" s="214">
        <f t="shared" si="60"/>
        <v>0</v>
      </c>
      <c r="AJ61" s="22"/>
      <c r="AK61" s="22"/>
      <c r="AL61" s="13"/>
      <c r="AM61" s="22"/>
      <c r="AN61" s="22"/>
      <c r="AO61" s="214">
        <f t="shared" ref="AO61:BA61" si="61">SUM(AO58:AO60)</f>
        <v>0</v>
      </c>
      <c r="AP61" s="214">
        <f t="shared" si="61"/>
        <v>0</v>
      </c>
      <c r="AQ61" s="214">
        <f t="shared" si="61"/>
        <v>0</v>
      </c>
      <c r="AR61" s="214">
        <f t="shared" si="61"/>
        <v>0</v>
      </c>
      <c r="AS61" s="214">
        <f t="shared" si="61"/>
        <v>0</v>
      </c>
      <c r="AT61" s="214">
        <f t="shared" si="61"/>
        <v>0</v>
      </c>
      <c r="AU61" s="214">
        <f t="shared" si="61"/>
        <v>0</v>
      </c>
      <c r="AV61" s="214">
        <f t="shared" si="61"/>
        <v>0</v>
      </c>
      <c r="AW61" s="214">
        <f t="shared" si="61"/>
        <v>0</v>
      </c>
      <c r="AX61" s="214">
        <f t="shared" si="61"/>
        <v>0</v>
      </c>
      <c r="AY61" s="214">
        <f t="shared" si="61"/>
        <v>1300.42</v>
      </c>
      <c r="AZ61" s="450">
        <f t="shared" si="61"/>
        <v>-1246.14</v>
      </c>
      <c r="BA61" s="451">
        <f t="shared" si="61"/>
        <v>29805.87</v>
      </c>
      <c r="BB61" s="57"/>
      <c r="BC61" s="196"/>
      <c r="BD61" s="196"/>
    </row>
    <row r="62" s="2" customFormat="1" ht="12.35" hidden="1" spans="1:56">
      <c r="A62" s="22"/>
      <c r="B62" s="22"/>
      <c r="C62" s="22"/>
      <c r="D62" s="34"/>
      <c r="E62" s="22"/>
      <c r="F62" s="22"/>
      <c r="G62" s="22"/>
      <c r="H62" s="22"/>
      <c r="I62" s="22"/>
      <c r="J62" s="22"/>
      <c r="K62" s="22"/>
      <c r="L62" s="22"/>
      <c r="M62" s="22"/>
      <c r="N62" s="22"/>
      <c r="O62" s="22"/>
      <c r="P62" s="22"/>
      <c r="Q62" s="35"/>
      <c r="R62" s="55" t="s">
        <v>3495</v>
      </c>
      <c r="S62" s="59">
        <f t="shared" ref="S62:AG62" si="62">S57-S58</f>
        <v>-32721.48</v>
      </c>
      <c r="T62" s="58">
        <f t="shared" si="62"/>
        <v>24621.48</v>
      </c>
      <c r="U62" s="58">
        <f t="shared" si="62"/>
        <v>24621.48</v>
      </c>
      <c r="V62" s="58">
        <f t="shared" si="62"/>
        <v>0</v>
      </c>
      <c r="W62" s="58">
        <f t="shared" si="62"/>
        <v>0</v>
      </c>
      <c r="X62" s="58">
        <f t="shared" si="62"/>
        <v>0</v>
      </c>
      <c r="Y62" s="58">
        <f t="shared" si="62"/>
        <v>0</v>
      </c>
      <c r="Z62" s="57">
        <f t="shared" si="62"/>
        <v>0</v>
      </c>
      <c r="AA62" s="68">
        <f t="shared" si="62"/>
        <v>0</v>
      </c>
      <c r="AB62" s="68">
        <f t="shared" si="62"/>
        <v>0</v>
      </c>
      <c r="AC62" s="57">
        <f t="shared" si="62"/>
        <v>0</v>
      </c>
      <c r="AD62" s="57">
        <f t="shared" si="62"/>
        <v>0</v>
      </c>
      <c r="AE62" s="57">
        <f t="shared" si="62"/>
        <v>0</v>
      </c>
      <c r="AF62" s="57">
        <f t="shared" si="62"/>
        <v>0</v>
      </c>
      <c r="AG62" s="57">
        <f t="shared" si="62"/>
        <v>0</v>
      </c>
      <c r="AH62" s="75"/>
      <c r="AI62" s="75"/>
      <c r="AJ62" s="22"/>
      <c r="AK62" s="22"/>
      <c r="AL62" s="13"/>
      <c r="AM62" s="22"/>
      <c r="AN62" s="22"/>
      <c r="AO62" s="58">
        <f t="shared" ref="AO62:AZ62" si="63">AO57-AO58</f>
        <v>0</v>
      </c>
      <c r="AP62" s="58">
        <f t="shared" si="63"/>
        <v>0</v>
      </c>
      <c r="AQ62" s="58">
        <f t="shared" si="63"/>
        <v>0</v>
      </c>
      <c r="AR62" s="58">
        <f t="shared" si="63"/>
        <v>0</v>
      </c>
      <c r="AS62" s="58">
        <f t="shared" si="63"/>
        <v>0</v>
      </c>
      <c r="AT62" s="58">
        <f t="shared" si="63"/>
        <v>0</v>
      </c>
      <c r="AU62" s="58">
        <f t="shared" si="63"/>
        <v>0</v>
      </c>
      <c r="AV62" s="58">
        <f t="shared" si="63"/>
        <v>0</v>
      </c>
      <c r="AW62" s="58">
        <f t="shared" si="63"/>
        <v>0</v>
      </c>
      <c r="AX62" s="58">
        <f t="shared" si="63"/>
        <v>0</v>
      </c>
      <c r="AY62" s="58">
        <f t="shared" si="63"/>
        <v>0</v>
      </c>
      <c r="AZ62" s="369">
        <f t="shared" si="63"/>
        <v>0</v>
      </c>
      <c r="BA62" s="57">
        <v>24621.48</v>
      </c>
      <c r="BB62" s="57"/>
      <c r="BC62" s="57">
        <f>BC57-BC58</f>
        <v>0</v>
      </c>
      <c r="BD62" s="454"/>
    </row>
    <row r="63" s="2" customFormat="1" ht="12.35" hidden="1" spans="1:56">
      <c r="A63" s="22"/>
      <c r="B63" s="22"/>
      <c r="C63" s="22"/>
      <c r="D63" s="34"/>
      <c r="E63" s="22"/>
      <c r="F63" s="22"/>
      <c r="G63" s="22"/>
      <c r="H63" s="22"/>
      <c r="I63" s="22"/>
      <c r="J63" s="22"/>
      <c r="K63" s="22"/>
      <c r="L63" s="22"/>
      <c r="M63" s="22"/>
      <c r="N63" s="22"/>
      <c r="O63" s="22"/>
      <c r="P63" s="22"/>
      <c r="Q63" s="35"/>
      <c r="R63" s="60" t="s">
        <v>3496</v>
      </c>
      <c r="S63" s="61">
        <f t="shared" ref="S63:AG63" si="64">S62/S57</f>
        <v>-0.587877409388869</v>
      </c>
      <c r="T63" s="61">
        <f t="shared" si="64"/>
        <v>0.464273807781832</v>
      </c>
      <c r="U63" s="61">
        <f t="shared" si="64"/>
        <v>0.464273807781832</v>
      </c>
      <c r="V63" s="61" t="e">
        <f t="shared" si="64"/>
        <v>#DIV/0!</v>
      </c>
      <c r="W63" s="61" t="e">
        <f t="shared" si="64"/>
        <v>#DIV/0!</v>
      </c>
      <c r="X63" s="61" t="e">
        <f t="shared" si="64"/>
        <v>#DIV/0!</v>
      </c>
      <c r="Y63" s="61" t="e">
        <f t="shared" si="64"/>
        <v>#DIV/0!</v>
      </c>
      <c r="Z63" s="62" t="e">
        <f t="shared" si="64"/>
        <v>#DIV/0!</v>
      </c>
      <c r="AA63" s="69" t="e">
        <f t="shared" si="64"/>
        <v>#DIV/0!</v>
      </c>
      <c r="AB63" s="69" t="e">
        <f t="shared" si="64"/>
        <v>#DIV/0!</v>
      </c>
      <c r="AC63" s="62" t="e">
        <f t="shared" si="64"/>
        <v>#DIV/0!</v>
      </c>
      <c r="AD63" s="62" t="e">
        <f t="shared" si="64"/>
        <v>#DIV/0!</v>
      </c>
      <c r="AE63" s="62" t="e">
        <f t="shared" si="64"/>
        <v>#DIV/0!</v>
      </c>
      <c r="AF63" s="62" t="e">
        <f t="shared" si="64"/>
        <v>#DIV/0!</v>
      </c>
      <c r="AG63" s="62" t="e">
        <f t="shared" si="64"/>
        <v>#DIV/0!</v>
      </c>
      <c r="AH63" s="82">
        <f>T63-S63</f>
        <v>1.0521512171707</v>
      </c>
      <c r="AI63" s="82" t="e">
        <f>AF63-S63</f>
        <v>#DIV/0!</v>
      </c>
      <c r="AJ63" s="22"/>
      <c r="AK63" s="22"/>
      <c r="AL63" s="13"/>
      <c r="AM63" s="22"/>
      <c r="AN63" s="22"/>
      <c r="AO63" s="61" t="e">
        <f t="shared" ref="AO63:AZ63" si="65">AO62/AO57</f>
        <v>#DIV/0!</v>
      </c>
      <c r="AP63" s="61" t="e">
        <f t="shared" si="65"/>
        <v>#DIV/0!</v>
      </c>
      <c r="AQ63" s="61" t="e">
        <f t="shared" si="65"/>
        <v>#DIV/0!</v>
      </c>
      <c r="AR63" s="61" t="e">
        <f t="shared" si="65"/>
        <v>#DIV/0!</v>
      </c>
      <c r="AS63" s="61" t="e">
        <f t="shared" si="65"/>
        <v>#DIV/0!</v>
      </c>
      <c r="AT63" s="61" t="e">
        <f t="shared" si="65"/>
        <v>#DIV/0!</v>
      </c>
      <c r="AU63" s="61" t="e">
        <f t="shared" si="65"/>
        <v>#DIV/0!</v>
      </c>
      <c r="AV63" s="61" t="e">
        <f t="shared" si="65"/>
        <v>#DIV/0!</v>
      </c>
      <c r="AW63" s="61" t="e">
        <f t="shared" si="65"/>
        <v>#DIV/0!</v>
      </c>
      <c r="AX63" s="61" t="e">
        <f t="shared" si="65"/>
        <v>#DIV/0!</v>
      </c>
      <c r="AY63" s="61" t="e">
        <f t="shared" si="65"/>
        <v>#DIV/0!</v>
      </c>
      <c r="AZ63" s="452" t="e">
        <f t="shared" si="65"/>
        <v>#DIV/0!</v>
      </c>
      <c r="BA63" s="62">
        <v>0.464273807781832</v>
      </c>
      <c r="BB63" s="62"/>
      <c r="BC63" s="62" t="e">
        <f>BC62/BC57</f>
        <v>#DIV/0!</v>
      </c>
      <c r="BD63" s="454"/>
    </row>
    <row r="64" s="2" customFormat="1" ht="12.35" hidden="1" spans="1:56">
      <c r="A64" s="22"/>
      <c r="B64" s="22"/>
      <c r="C64" s="22"/>
      <c r="D64" s="34"/>
      <c r="E64" s="22"/>
      <c r="F64" s="22"/>
      <c r="G64" s="22"/>
      <c r="H64" s="22"/>
      <c r="I64" s="22"/>
      <c r="J64" s="22"/>
      <c r="K64" s="22"/>
      <c r="L64" s="22"/>
      <c r="M64" s="22"/>
      <c r="N64" s="22"/>
      <c r="O64" s="22"/>
      <c r="P64" s="22"/>
      <c r="Q64" s="35"/>
      <c r="R64" s="55" t="s">
        <v>3497</v>
      </c>
      <c r="S64" s="58">
        <f t="shared" ref="S64:AG64" si="66">S57-S58-S59-S60</f>
        <v>-34371.48</v>
      </c>
      <c r="T64" s="58">
        <f t="shared" si="66"/>
        <v>23172.09</v>
      </c>
      <c r="U64" s="58">
        <f t="shared" si="66"/>
        <v>23226.37</v>
      </c>
      <c r="V64" s="58">
        <f t="shared" si="66"/>
        <v>-54.28</v>
      </c>
      <c r="W64" s="58">
        <f t="shared" si="66"/>
        <v>-54.28</v>
      </c>
      <c r="X64" s="58">
        <f t="shared" si="66"/>
        <v>-54.28</v>
      </c>
      <c r="Y64" s="58">
        <f t="shared" si="66"/>
        <v>-54.28</v>
      </c>
      <c r="Z64" s="57">
        <f t="shared" si="66"/>
        <v>-54.28</v>
      </c>
      <c r="AA64" s="68">
        <f t="shared" si="66"/>
        <v>-54.28</v>
      </c>
      <c r="AB64" s="68">
        <f t="shared" si="66"/>
        <v>-54.28</v>
      </c>
      <c r="AC64" s="57">
        <f t="shared" si="66"/>
        <v>-54.28</v>
      </c>
      <c r="AD64" s="57">
        <f t="shared" si="66"/>
        <v>-54.28</v>
      </c>
      <c r="AE64" s="57">
        <f t="shared" si="66"/>
        <v>-54.28</v>
      </c>
      <c r="AF64" s="57">
        <f t="shared" si="66"/>
        <v>-54.28</v>
      </c>
      <c r="AG64" s="57">
        <f t="shared" si="66"/>
        <v>1246.14</v>
      </c>
      <c r="AH64" s="82"/>
      <c r="AI64" s="82"/>
      <c r="AJ64" s="22"/>
      <c r="AK64" s="22"/>
      <c r="AL64" s="13"/>
      <c r="AM64" s="22"/>
      <c r="AN64" s="22"/>
      <c r="AO64" s="58">
        <f t="shared" ref="AO64:AZ64" si="67">AO57-AO58-AO59-AO60</f>
        <v>0</v>
      </c>
      <c r="AP64" s="58">
        <f t="shared" si="67"/>
        <v>0</v>
      </c>
      <c r="AQ64" s="58">
        <f t="shared" si="67"/>
        <v>0</v>
      </c>
      <c r="AR64" s="58">
        <f t="shared" si="67"/>
        <v>0</v>
      </c>
      <c r="AS64" s="58">
        <f t="shared" si="67"/>
        <v>0</v>
      </c>
      <c r="AT64" s="58">
        <f t="shared" si="67"/>
        <v>0</v>
      </c>
      <c r="AU64" s="58">
        <f t="shared" si="67"/>
        <v>0</v>
      </c>
      <c r="AV64" s="58">
        <f t="shared" si="67"/>
        <v>0</v>
      </c>
      <c r="AW64" s="58">
        <f t="shared" si="67"/>
        <v>0</v>
      </c>
      <c r="AX64" s="58">
        <f t="shared" si="67"/>
        <v>0</v>
      </c>
      <c r="AY64" s="58">
        <f t="shared" si="67"/>
        <v>-1300.42</v>
      </c>
      <c r="AZ64" s="369">
        <f t="shared" si="67"/>
        <v>1246.14</v>
      </c>
      <c r="BA64" s="57">
        <v>23226.37</v>
      </c>
      <c r="BB64" s="57"/>
      <c r="BC64" s="57">
        <f>BC57-BC58-BC59-BC60</f>
        <v>0</v>
      </c>
      <c r="BD64" s="454"/>
    </row>
    <row r="65" s="2" customFormat="1" ht="12.35" hidden="1" spans="1:56">
      <c r="A65" s="24"/>
      <c r="B65" s="24"/>
      <c r="C65" s="24"/>
      <c r="D65" s="83"/>
      <c r="E65" s="24"/>
      <c r="F65" s="24"/>
      <c r="G65" s="24"/>
      <c r="H65" s="24"/>
      <c r="I65" s="24"/>
      <c r="J65" s="24"/>
      <c r="K65" s="24"/>
      <c r="L65" s="24"/>
      <c r="M65" s="24"/>
      <c r="N65" s="24"/>
      <c r="O65" s="24"/>
      <c r="P65" s="24"/>
      <c r="Q65" s="156"/>
      <c r="R65" s="60" t="s">
        <v>3498</v>
      </c>
      <c r="S65" s="61">
        <f t="shared" ref="S65:AG65" si="68">S64/S57</f>
        <v>-0.617521475778642</v>
      </c>
      <c r="T65" s="61">
        <f t="shared" si="68"/>
        <v>0.436943451756894</v>
      </c>
      <c r="U65" s="61">
        <f t="shared" si="68"/>
        <v>0.437966980086076</v>
      </c>
      <c r="V65" s="61" t="e">
        <f t="shared" si="68"/>
        <v>#DIV/0!</v>
      </c>
      <c r="W65" s="61" t="e">
        <f t="shared" si="68"/>
        <v>#DIV/0!</v>
      </c>
      <c r="X65" s="61" t="e">
        <f t="shared" si="68"/>
        <v>#DIV/0!</v>
      </c>
      <c r="Y65" s="61" t="e">
        <f t="shared" si="68"/>
        <v>#DIV/0!</v>
      </c>
      <c r="Z65" s="62" t="e">
        <f t="shared" si="68"/>
        <v>#DIV/0!</v>
      </c>
      <c r="AA65" s="69" t="e">
        <f t="shared" si="68"/>
        <v>#DIV/0!</v>
      </c>
      <c r="AB65" s="69" t="e">
        <f t="shared" si="68"/>
        <v>#DIV/0!</v>
      </c>
      <c r="AC65" s="62" t="e">
        <f t="shared" si="68"/>
        <v>#DIV/0!</v>
      </c>
      <c r="AD65" s="62" t="e">
        <f t="shared" si="68"/>
        <v>#DIV/0!</v>
      </c>
      <c r="AE65" s="62" t="e">
        <f t="shared" si="68"/>
        <v>#DIV/0!</v>
      </c>
      <c r="AF65" s="62" t="e">
        <f t="shared" si="68"/>
        <v>#DIV/0!</v>
      </c>
      <c r="AG65" s="62" t="e">
        <f t="shared" si="68"/>
        <v>#DIV/0!</v>
      </c>
      <c r="AH65" s="82">
        <f>T65-S65</f>
        <v>1.05446492753554</v>
      </c>
      <c r="AI65" s="82" t="e">
        <f>AF65-S65</f>
        <v>#DIV/0!</v>
      </c>
      <c r="AJ65" s="24"/>
      <c r="AK65" s="24"/>
      <c r="AL65" s="14"/>
      <c r="AM65" s="24"/>
      <c r="AN65" s="24"/>
      <c r="AO65" s="61" t="e">
        <f t="shared" ref="AO65:AZ65" si="69">AO64/AO57</f>
        <v>#DIV/0!</v>
      </c>
      <c r="AP65" s="61" t="e">
        <f t="shared" si="69"/>
        <v>#DIV/0!</v>
      </c>
      <c r="AQ65" s="61" t="e">
        <f t="shared" si="69"/>
        <v>#DIV/0!</v>
      </c>
      <c r="AR65" s="61" t="e">
        <f t="shared" si="69"/>
        <v>#DIV/0!</v>
      </c>
      <c r="AS65" s="61" t="e">
        <f t="shared" si="69"/>
        <v>#DIV/0!</v>
      </c>
      <c r="AT65" s="61" t="e">
        <f t="shared" si="69"/>
        <v>#DIV/0!</v>
      </c>
      <c r="AU65" s="61" t="e">
        <f t="shared" si="69"/>
        <v>#DIV/0!</v>
      </c>
      <c r="AV65" s="61" t="e">
        <f t="shared" si="69"/>
        <v>#DIV/0!</v>
      </c>
      <c r="AW65" s="61" t="e">
        <f t="shared" si="69"/>
        <v>#DIV/0!</v>
      </c>
      <c r="AX65" s="61" t="e">
        <f t="shared" si="69"/>
        <v>#DIV/0!</v>
      </c>
      <c r="AY65" s="61" t="e">
        <f t="shared" si="69"/>
        <v>#DIV/0!</v>
      </c>
      <c r="AZ65" s="452" t="e">
        <f t="shared" si="69"/>
        <v>#DIV/0!</v>
      </c>
      <c r="BA65" s="62">
        <v>0.437966980086076</v>
      </c>
      <c r="BB65" s="62"/>
      <c r="BC65" s="62" t="e">
        <f>BC64/BC57</f>
        <v>#DIV/0!</v>
      </c>
      <c r="BD65" s="454"/>
    </row>
    <row r="66" s="2" customFormat="1" ht="12.35" hidden="1" spans="1:56">
      <c r="A66" s="32" t="s">
        <v>3516</v>
      </c>
      <c r="B66" s="353" t="s">
        <v>3517</v>
      </c>
      <c r="C66" s="27">
        <v>45689</v>
      </c>
      <c r="D66" s="354">
        <v>46054</v>
      </c>
      <c r="E66" s="26" t="s">
        <v>3484</v>
      </c>
      <c r="F66" s="26" t="s">
        <v>3484</v>
      </c>
      <c r="G66" s="430"/>
      <c r="H66" s="431"/>
      <c r="I66" s="29"/>
      <c r="J66" s="29"/>
      <c r="K66" s="29"/>
      <c r="L66" s="29"/>
      <c r="M66" s="29"/>
      <c r="N66" s="29"/>
      <c r="O66" s="29"/>
      <c r="P66" s="29"/>
      <c r="Q66" s="435" t="s">
        <v>3485</v>
      </c>
      <c r="R66" s="55" t="s">
        <v>3486</v>
      </c>
      <c r="S66" s="56">
        <v>171000</v>
      </c>
      <c r="T66" s="58">
        <f>SUM(AO66:BC66)</f>
        <v>169714.43</v>
      </c>
      <c r="U66" s="58">
        <f>SUM(BA66:BC66)</f>
        <v>158621.21</v>
      </c>
      <c r="V66" s="58">
        <f>SUM(AO66:AZ66)</f>
        <v>11093.22</v>
      </c>
      <c r="W66" s="58">
        <f>SUM(AP66:AZ66)</f>
        <v>11093.22</v>
      </c>
      <c r="X66" s="58">
        <f>SUM(AQ66:AZ66)</f>
        <v>11093.22</v>
      </c>
      <c r="Y66" s="58">
        <f>SUM(AR66:AZ66)</f>
        <v>11093.22</v>
      </c>
      <c r="Z66" s="70">
        <f>SUM(AS66:AZ66)</f>
        <v>11093.22</v>
      </c>
      <c r="AA66" s="66">
        <f>SUM(AT66:AZ66)</f>
        <v>11093.22</v>
      </c>
      <c r="AB66" s="66">
        <f>SUM(AU66:AZ66)</f>
        <v>11093.22</v>
      </c>
      <c r="AC66" s="70">
        <f>SUM(AV66:AZ66)</f>
        <v>11093.22</v>
      </c>
      <c r="AD66" s="70">
        <f>SUM(AW66:AZ66)</f>
        <v>11093.22</v>
      </c>
      <c r="AE66" s="70">
        <f>SUM(AX66:AZ66)</f>
        <v>11093.22</v>
      </c>
      <c r="AF66" s="70">
        <f>SUM(AY66:AZ66)</f>
        <v>11093.22</v>
      </c>
      <c r="AG66" s="70">
        <f>SUM(AZ66:AZ66)</f>
        <v>11093.22</v>
      </c>
      <c r="AH66" s="75"/>
      <c r="AI66" s="75"/>
      <c r="AJ66" s="96"/>
      <c r="AK66" s="99"/>
      <c r="AL66" s="93"/>
      <c r="AM66" s="96"/>
      <c r="AN66" s="94"/>
      <c r="AO66" s="58"/>
      <c r="AP66" s="58"/>
      <c r="AQ66" s="58"/>
      <c r="AR66" s="58"/>
      <c r="AS66" s="58"/>
      <c r="AT66" s="58"/>
      <c r="AU66" s="58"/>
      <c r="AV66" s="58"/>
      <c r="AW66" s="58"/>
      <c r="AX66" s="58"/>
      <c r="AY66" s="58">
        <v>0</v>
      </c>
      <c r="AZ66" s="369">
        <v>11093.22</v>
      </c>
      <c r="BA66" s="105">
        <v>158621.21</v>
      </c>
      <c r="BB66" s="105"/>
      <c r="BC66" s="453"/>
      <c r="BD66" s="454"/>
    </row>
    <row r="67" s="2" customFormat="1" ht="12.35" hidden="1" spans="1:56">
      <c r="A67" s="22"/>
      <c r="B67" s="22"/>
      <c r="C67" s="22"/>
      <c r="D67" s="34"/>
      <c r="E67" s="22"/>
      <c r="F67" s="22"/>
      <c r="G67" s="22"/>
      <c r="H67" s="22"/>
      <c r="I67" s="22"/>
      <c r="J67" s="22"/>
      <c r="K67" s="22"/>
      <c r="L67" s="22"/>
      <c r="M67" s="22"/>
      <c r="N67" s="22"/>
      <c r="O67" s="22"/>
      <c r="P67" s="22"/>
      <c r="Q67" s="35"/>
      <c r="R67" s="55" t="s">
        <v>3490</v>
      </c>
      <c r="S67" s="56">
        <v>132478.43</v>
      </c>
      <c r="T67" s="58">
        <f>SUM(AO67:BC67)</f>
        <v>165541.57</v>
      </c>
      <c r="U67" s="58">
        <f>SUM(BA67:BC67)</f>
        <v>165541.57</v>
      </c>
      <c r="V67" s="58">
        <f>SUM(AO67:AZ67)</f>
        <v>0</v>
      </c>
      <c r="W67" s="58">
        <f>SUM(AP67:AZ67)</f>
        <v>0</v>
      </c>
      <c r="X67" s="58">
        <f>SUM(AQ67:AZ67)</f>
        <v>0</v>
      </c>
      <c r="Y67" s="58">
        <f>SUM(AR67:AZ67)</f>
        <v>0</v>
      </c>
      <c r="Z67" s="70">
        <f>SUM(AS67:AZ67)</f>
        <v>0</v>
      </c>
      <c r="AA67" s="66">
        <f>SUM(AT67:AZ67)</f>
        <v>0</v>
      </c>
      <c r="AB67" s="66">
        <f>SUM(AU67:AZ67)</f>
        <v>0</v>
      </c>
      <c r="AC67" s="70">
        <f>SUM(AV67:AZ67)</f>
        <v>0</v>
      </c>
      <c r="AD67" s="70">
        <f>SUM(AW67:AZ67)</f>
        <v>0</v>
      </c>
      <c r="AE67" s="70">
        <f>SUM(AX67:AZ67)</f>
        <v>0</v>
      </c>
      <c r="AF67" s="70">
        <f>SUM(AY67:AZ67)</f>
        <v>0</v>
      </c>
      <c r="AG67" s="70">
        <f>SUM(AZ67:AZ67)</f>
        <v>0</v>
      </c>
      <c r="AH67" s="75"/>
      <c r="AI67" s="75"/>
      <c r="AJ67" s="22"/>
      <c r="AK67" s="22"/>
      <c r="AL67" s="13"/>
      <c r="AM67" s="22"/>
      <c r="AN67" s="22"/>
      <c r="AO67" s="58"/>
      <c r="AP67" s="58"/>
      <c r="AQ67" s="58"/>
      <c r="AR67" s="58"/>
      <c r="AS67" s="58"/>
      <c r="AT67" s="58"/>
      <c r="AU67" s="58"/>
      <c r="AV67" s="58"/>
      <c r="AW67" s="58"/>
      <c r="AX67" s="58"/>
      <c r="AY67" s="58">
        <v>0</v>
      </c>
      <c r="AZ67" s="369">
        <v>0</v>
      </c>
      <c r="BA67" s="105">
        <v>165541.57</v>
      </c>
      <c r="BB67" s="105"/>
      <c r="BC67" s="455"/>
      <c r="BD67" s="454"/>
    </row>
    <row r="68" s="2" customFormat="1" ht="12.35" hidden="1" spans="1:56">
      <c r="A68" s="22"/>
      <c r="B68" s="22"/>
      <c r="C68" s="22"/>
      <c r="D68" s="34"/>
      <c r="E68" s="22"/>
      <c r="F68" s="22"/>
      <c r="G68" s="22"/>
      <c r="H68" s="22"/>
      <c r="I68" s="22"/>
      <c r="J68" s="22"/>
      <c r="K68" s="22"/>
      <c r="L68" s="22"/>
      <c r="M68" s="22"/>
      <c r="N68" s="22"/>
      <c r="O68" s="22"/>
      <c r="P68" s="22"/>
      <c r="Q68" s="35"/>
      <c r="R68" s="55" t="s">
        <v>3492</v>
      </c>
      <c r="S68" s="56">
        <v>0</v>
      </c>
      <c r="T68" s="58">
        <f>SUM(AO68:BC68)</f>
        <v>0</v>
      </c>
      <c r="U68" s="58">
        <f>SUM(BA68:BC68)</f>
        <v>0</v>
      </c>
      <c r="V68" s="58">
        <f>SUM(AO68:AZ68)</f>
        <v>0</v>
      </c>
      <c r="W68" s="58">
        <f>SUM(AP68:AZ68)</f>
        <v>0</v>
      </c>
      <c r="X68" s="58">
        <f>SUM(AQ68:AZ68)</f>
        <v>0</v>
      </c>
      <c r="Y68" s="58">
        <f>SUM(AR68:AZ68)</f>
        <v>0</v>
      </c>
      <c r="Z68" s="70">
        <f>SUM(AS68:AZ68)</f>
        <v>0</v>
      </c>
      <c r="AA68" s="66">
        <f>SUM(AT68:AZ68)</f>
        <v>0</v>
      </c>
      <c r="AB68" s="66">
        <f>SUM(AU68:AZ68)</f>
        <v>0</v>
      </c>
      <c r="AC68" s="70">
        <f>SUM(AV68:AZ68)</f>
        <v>0</v>
      </c>
      <c r="AD68" s="70">
        <f>SUM(AW68:AZ68)</f>
        <v>0</v>
      </c>
      <c r="AE68" s="70">
        <f>SUM(AX68:AZ68)</f>
        <v>0</v>
      </c>
      <c r="AF68" s="70">
        <f>SUM(AY68:AZ68)</f>
        <v>0</v>
      </c>
      <c r="AG68" s="70">
        <f>SUM(AZ68:AZ68)</f>
        <v>0</v>
      </c>
      <c r="AH68" s="75"/>
      <c r="AI68" s="75"/>
      <c r="AJ68" s="22"/>
      <c r="AK68" s="22"/>
      <c r="AL68" s="13"/>
      <c r="AM68" s="22"/>
      <c r="AN68" s="22"/>
      <c r="AO68" s="58"/>
      <c r="AP68" s="58"/>
      <c r="AQ68" s="58"/>
      <c r="AR68" s="58"/>
      <c r="AS68" s="58"/>
      <c r="AT68" s="58"/>
      <c r="AU68" s="58"/>
      <c r="AV68" s="58"/>
      <c r="AW68" s="58"/>
      <c r="AX68" s="58"/>
      <c r="AY68" s="58">
        <v>0</v>
      </c>
      <c r="AZ68" s="369">
        <v>0</v>
      </c>
      <c r="BA68" s="115">
        <v>0</v>
      </c>
      <c r="BB68" s="115"/>
      <c r="BC68" s="456"/>
      <c r="BD68" s="454"/>
    </row>
    <row r="69" s="2" customFormat="1" ht="12.35" hidden="1" spans="1:56">
      <c r="A69" s="22"/>
      <c r="B69" s="22"/>
      <c r="C69" s="22"/>
      <c r="D69" s="34"/>
      <c r="E69" s="22"/>
      <c r="F69" s="22"/>
      <c r="G69" s="22"/>
      <c r="H69" s="22"/>
      <c r="I69" s="22"/>
      <c r="J69" s="22"/>
      <c r="K69" s="22"/>
      <c r="L69" s="22"/>
      <c r="M69" s="22"/>
      <c r="N69" s="22"/>
      <c r="O69" s="22"/>
      <c r="P69" s="22"/>
      <c r="Q69" s="35"/>
      <c r="R69" s="55" t="s">
        <v>3493</v>
      </c>
      <c r="S69" s="56">
        <v>0</v>
      </c>
      <c r="T69" s="58">
        <f>SUM(AO69:BC69)</f>
        <v>1523.17</v>
      </c>
      <c r="U69" s="58">
        <f>SUM(BA69:BC69)</f>
        <v>1160.65</v>
      </c>
      <c r="V69" s="58">
        <f>SUM(AO69:AZ69)</f>
        <v>362.52</v>
      </c>
      <c r="W69" s="58">
        <f>SUM(AP69:AZ69)</f>
        <v>362.52</v>
      </c>
      <c r="X69" s="58">
        <f>SUM(AQ69:AZ69)</f>
        <v>362.52</v>
      </c>
      <c r="Y69" s="58">
        <f>SUM(AR69:AZ69)</f>
        <v>362.52</v>
      </c>
      <c r="Z69" s="70">
        <f>SUM(AS69:AZ69)</f>
        <v>362.52</v>
      </c>
      <c r="AA69" s="66">
        <f>SUM(AT69:AZ69)</f>
        <v>362.52</v>
      </c>
      <c r="AB69" s="66">
        <f>SUM(AU69:AZ69)</f>
        <v>362.52</v>
      </c>
      <c r="AC69" s="70">
        <f>SUM(AV69:AZ69)</f>
        <v>362.52</v>
      </c>
      <c r="AD69" s="70">
        <f>SUM(AW69:AZ69)</f>
        <v>362.52</v>
      </c>
      <c r="AE69" s="70">
        <f>SUM(AX69:AZ69)</f>
        <v>362.52</v>
      </c>
      <c r="AF69" s="70">
        <f>SUM(AY69:AZ69)</f>
        <v>362.52</v>
      </c>
      <c r="AG69" s="70">
        <f>SUM(AZ69:AZ69)</f>
        <v>181.26</v>
      </c>
      <c r="AH69" s="75"/>
      <c r="AI69" s="75"/>
      <c r="AJ69" s="22"/>
      <c r="AK69" s="22"/>
      <c r="AL69" s="13"/>
      <c r="AM69" s="22"/>
      <c r="AN69" s="22"/>
      <c r="AO69" s="58"/>
      <c r="AP69" s="58"/>
      <c r="AQ69" s="58"/>
      <c r="AR69" s="58"/>
      <c r="AS69" s="58"/>
      <c r="AT69" s="58"/>
      <c r="AU69" s="58"/>
      <c r="AV69" s="58"/>
      <c r="AW69" s="58"/>
      <c r="AX69" s="58"/>
      <c r="AY69" s="58">
        <v>181.26</v>
      </c>
      <c r="AZ69" s="369">
        <v>181.26</v>
      </c>
      <c r="BA69" s="457">
        <v>1160.65</v>
      </c>
      <c r="BB69" s="457"/>
      <c r="BC69" s="455"/>
      <c r="BD69" s="454"/>
    </row>
    <row r="70" ht="14.25" hidden="1" customHeight="1" spans="1:56">
      <c r="A70" s="22"/>
      <c r="B70" s="22"/>
      <c r="C70" s="22"/>
      <c r="D70" s="34"/>
      <c r="E70" s="22"/>
      <c r="F70" s="22"/>
      <c r="G70" s="22"/>
      <c r="H70" s="22"/>
      <c r="I70" s="22"/>
      <c r="J70" s="22"/>
      <c r="K70" s="22"/>
      <c r="L70" s="22"/>
      <c r="M70" s="22"/>
      <c r="N70" s="22"/>
      <c r="O70" s="22"/>
      <c r="P70" s="22"/>
      <c r="Q70" s="35"/>
      <c r="R70" s="213" t="s">
        <v>3494</v>
      </c>
      <c r="S70" s="214">
        <f t="shared" ref="S70:AI70" si="70">SUM(S67:S69)</f>
        <v>132478.43</v>
      </c>
      <c r="T70" s="214">
        <f t="shared" si="70"/>
        <v>167064.74</v>
      </c>
      <c r="U70" s="214">
        <f t="shared" si="70"/>
        <v>166702.22</v>
      </c>
      <c r="V70" s="214">
        <f t="shared" si="70"/>
        <v>362.52</v>
      </c>
      <c r="W70" s="214">
        <f t="shared" si="70"/>
        <v>362.52</v>
      </c>
      <c r="X70" s="214">
        <f t="shared" si="70"/>
        <v>362.52</v>
      </c>
      <c r="Y70" s="214">
        <f t="shared" si="70"/>
        <v>362.52</v>
      </c>
      <c r="Z70" s="214">
        <f t="shared" si="70"/>
        <v>362.52</v>
      </c>
      <c r="AA70" s="214">
        <f t="shared" si="70"/>
        <v>362.52</v>
      </c>
      <c r="AB70" s="214">
        <f t="shared" si="70"/>
        <v>362.52</v>
      </c>
      <c r="AC70" s="214">
        <f t="shared" si="70"/>
        <v>362.52</v>
      </c>
      <c r="AD70" s="214">
        <f t="shared" si="70"/>
        <v>362.52</v>
      </c>
      <c r="AE70" s="214">
        <f t="shared" si="70"/>
        <v>362.52</v>
      </c>
      <c r="AF70" s="214">
        <f t="shared" si="70"/>
        <v>362.52</v>
      </c>
      <c r="AG70" s="214">
        <f t="shared" si="70"/>
        <v>181.26</v>
      </c>
      <c r="AH70" s="214">
        <f t="shared" si="70"/>
        <v>0</v>
      </c>
      <c r="AI70" s="214">
        <f t="shared" si="70"/>
        <v>0</v>
      </c>
      <c r="AJ70" s="22"/>
      <c r="AK70" s="22"/>
      <c r="AL70" s="13"/>
      <c r="AM70" s="22"/>
      <c r="AN70" s="22"/>
      <c r="AO70" s="214">
        <f t="shared" ref="AO70:BA70" si="71">SUM(AO67:AO69)</f>
        <v>0</v>
      </c>
      <c r="AP70" s="214">
        <f t="shared" si="71"/>
        <v>0</v>
      </c>
      <c r="AQ70" s="214">
        <f t="shared" si="71"/>
        <v>0</v>
      </c>
      <c r="AR70" s="214">
        <f t="shared" si="71"/>
        <v>0</v>
      </c>
      <c r="AS70" s="214">
        <f t="shared" si="71"/>
        <v>0</v>
      </c>
      <c r="AT70" s="214">
        <f t="shared" si="71"/>
        <v>0</v>
      </c>
      <c r="AU70" s="214">
        <f t="shared" si="71"/>
        <v>0</v>
      </c>
      <c r="AV70" s="214">
        <f t="shared" si="71"/>
        <v>0</v>
      </c>
      <c r="AW70" s="214">
        <f t="shared" si="71"/>
        <v>0</v>
      </c>
      <c r="AX70" s="214">
        <f t="shared" si="71"/>
        <v>0</v>
      </c>
      <c r="AY70" s="214">
        <f t="shared" si="71"/>
        <v>181.26</v>
      </c>
      <c r="AZ70" s="450">
        <f t="shared" si="71"/>
        <v>181.26</v>
      </c>
      <c r="BA70" s="451">
        <f t="shared" si="71"/>
        <v>166702.22</v>
      </c>
      <c r="BB70" s="57"/>
      <c r="BC70" s="196"/>
      <c r="BD70" s="196"/>
    </row>
    <row r="71" s="2" customFormat="1" ht="12.35" hidden="1" spans="1:56">
      <c r="A71" s="22"/>
      <c r="B71" s="22"/>
      <c r="C71" s="22"/>
      <c r="D71" s="34"/>
      <c r="E71" s="22"/>
      <c r="F71" s="22"/>
      <c r="G71" s="22"/>
      <c r="H71" s="22"/>
      <c r="I71" s="22"/>
      <c r="J71" s="22"/>
      <c r="K71" s="22"/>
      <c r="L71" s="22"/>
      <c r="M71" s="22"/>
      <c r="N71" s="22"/>
      <c r="O71" s="22"/>
      <c r="P71" s="22"/>
      <c r="Q71" s="35"/>
      <c r="R71" s="55" t="s">
        <v>3495</v>
      </c>
      <c r="S71" s="59">
        <f t="shared" ref="S71:AG71" si="72">S66-S67</f>
        <v>38521.57</v>
      </c>
      <c r="T71" s="58">
        <f t="shared" si="72"/>
        <v>4172.85999999999</v>
      </c>
      <c r="U71" s="58">
        <f t="shared" si="72"/>
        <v>-6920.36000000002</v>
      </c>
      <c r="V71" s="58">
        <f t="shared" si="72"/>
        <v>11093.22</v>
      </c>
      <c r="W71" s="58">
        <f t="shared" si="72"/>
        <v>11093.22</v>
      </c>
      <c r="X71" s="58">
        <f t="shared" si="72"/>
        <v>11093.22</v>
      </c>
      <c r="Y71" s="58">
        <f t="shared" si="72"/>
        <v>11093.22</v>
      </c>
      <c r="Z71" s="57">
        <f t="shared" si="72"/>
        <v>11093.22</v>
      </c>
      <c r="AA71" s="68">
        <f t="shared" si="72"/>
        <v>11093.22</v>
      </c>
      <c r="AB71" s="68">
        <f t="shared" si="72"/>
        <v>11093.22</v>
      </c>
      <c r="AC71" s="57">
        <f t="shared" si="72"/>
        <v>11093.22</v>
      </c>
      <c r="AD71" s="57">
        <f t="shared" si="72"/>
        <v>11093.22</v>
      </c>
      <c r="AE71" s="57">
        <f t="shared" si="72"/>
        <v>11093.22</v>
      </c>
      <c r="AF71" s="57">
        <f t="shared" si="72"/>
        <v>11093.22</v>
      </c>
      <c r="AG71" s="57">
        <f t="shared" si="72"/>
        <v>11093.22</v>
      </c>
      <c r="AH71" s="75"/>
      <c r="AI71" s="75"/>
      <c r="AJ71" s="22"/>
      <c r="AK71" s="22"/>
      <c r="AL71" s="13"/>
      <c r="AM71" s="22"/>
      <c r="AN71" s="22"/>
      <c r="AO71" s="58">
        <f t="shared" ref="AO71:AZ71" si="73">AO66-AO67</f>
        <v>0</v>
      </c>
      <c r="AP71" s="58">
        <f t="shared" si="73"/>
        <v>0</v>
      </c>
      <c r="AQ71" s="58">
        <f t="shared" si="73"/>
        <v>0</v>
      </c>
      <c r="AR71" s="58">
        <f t="shared" si="73"/>
        <v>0</v>
      </c>
      <c r="AS71" s="58">
        <f t="shared" si="73"/>
        <v>0</v>
      </c>
      <c r="AT71" s="58">
        <f t="shared" si="73"/>
        <v>0</v>
      </c>
      <c r="AU71" s="58">
        <f t="shared" si="73"/>
        <v>0</v>
      </c>
      <c r="AV71" s="58">
        <f t="shared" si="73"/>
        <v>0</v>
      </c>
      <c r="AW71" s="58">
        <f t="shared" si="73"/>
        <v>0</v>
      </c>
      <c r="AX71" s="58">
        <f t="shared" si="73"/>
        <v>0</v>
      </c>
      <c r="AY71" s="58">
        <f t="shared" si="73"/>
        <v>0</v>
      </c>
      <c r="AZ71" s="369">
        <f t="shared" si="73"/>
        <v>11093.22</v>
      </c>
      <c r="BA71" s="57">
        <v>-6920.35999999999</v>
      </c>
      <c r="BB71" s="57"/>
      <c r="BC71" s="57">
        <f>BC66-BC67</f>
        <v>0</v>
      </c>
      <c r="BD71" s="454"/>
    </row>
    <row r="72" s="2" customFormat="1" ht="12.35" hidden="1" spans="1:56">
      <c r="A72" s="22"/>
      <c r="B72" s="22"/>
      <c r="C72" s="22"/>
      <c r="D72" s="34"/>
      <c r="E72" s="22"/>
      <c r="F72" s="22"/>
      <c r="G72" s="22"/>
      <c r="H72" s="22"/>
      <c r="I72" s="22"/>
      <c r="J72" s="22"/>
      <c r="K72" s="22"/>
      <c r="L72" s="22"/>
      <c r="M72" s="22"/>
      <c r="N72" s="22"/>
      <c r="O72" s="22"/>
      <c r="P72" s="22"/>
      <c r="Q72" s="35"/>
      <c r="R72" s="60" t="s">
        <v>3496</v>
      </c>
      <c r="S72" s="61">
        <f t="shared" ref="S72:AG72" si="74">S71/S66</f>
        <v>0.225272339181287</v>
      </c>
      <c r="T72" s="61">
        <f t="shared" si="74"/>
        <v>0.0245875380190122</v>
      </c>
      <c r="U72" s="61">
        <f t="shared" si="74"/>
        <v>-0.0436282134022305</v>
      </c>
      <c r="V72" s="61">
        <f t="shared" si="74"/>
        <v>1</v>
      </c>
      <c r="W72" s="61">
        <f t="shared" si="74"/>
        <v>1</v>
      </c>
      <c r="X72" s="61">
        <f t="shared" si="74"/>
        <v>1</v>
      </c>
      <c r="Y72" s="61">
        <f t="shared" si="74"/>
        <v>1</v>
      </c>
      <c r="Z72" s="62">
        <f t="shared" si="74"/>
        <v>1</v>
      </c>
      <c r="AA72" s="69">
        <f t="shared" si="74"/>
        <v>1</v>
      </c>
      <c r="AB72" s="69">
        <f t="shared" si="74"/>
        <v>1</v>
      </c>
      <c r="AC72" s="62">
        <f t="shared" si="74"/>
        <v>1</v>
      </c>
      <c r="AD72" s="62">
        <f t="shared" si="74"/>
        <v>1</v>
      </c>
      <c r="AE72" s="62">
        <f t="shared" si="74"/>
        <v>1</v>
      </c>
      <c r="AF72" s="62">
        <f t="shared" si="74"/>
        <v>1</v>
      </c>
      <c r="AG72" s="62">
        <f t="shared" si="74"/>
        <v>1</v>
      </c>
      <c r="AH72" s="82">
        <f>T72-S72</f>
        <v>-0.200684801162274</v>
      </c>
      <c r="AI72" s="82">
        <f>AF72-S72</f>
        <v>0.774727660818713</v>
      </c>
      <c r="AJ72" s="22"/>
      <c r="AK72" s="22"/>
      <c r="AL72" s="13"/>
      <c r="AM72" s="22"/>
      <c r="AN72" s="22"/>
      <c r="AO72" s="61" t="e">
        <f t="shared" ref="AO72:AZ72" si="75">AO71/AO66</f>
        <v>#DIV/0!</v>
      </c>
      <c r="AP72" s="61" t="e">
        <f t="shared" si="75"/>
        <v>#DIV/0!</v>
      </c>
      <c r="AQ72" s="61" t="e">
        <f t="shared" si="75"/>
        <v>#DIV/0!</v>
      </c>
      <c r="AR72" s="61" t="e">
        <f t="shared" si="75"/>
        <v>#DIV/0!</v>
      </c>
      <c r="AS72" s="61" t="e">
        <f t="shared" si="75"/>
        <v>#DIV/0!</v>
      </c>
      <c r="AT72" s="61" t="e">
        <f t="shared" si="75"/>
        <v>#DIV/0!</v>
      </c>
      <c r="AU72" s="61" t="e">
        <f t="shared" si="75"/>
        <v>#DIV/0!</v>
      </c>
      <c r="AV72" s="61" t="e">
        <f t="shared" si="75"/>
        <v>#DIV/0!</v>
      </c>
      <c r="AW72" s="61" t="e">
        <f t="shared" si="75"/>
        <v>#DIV/0!</v>
      </c>
      <c r="AX72" s="61" t="e">
        <f t="shared" si="75"/>
        <v>#DIV/0!</v>
      </c>
      <c r="AY72" s="61" t="e">
        <f t="shared" si="75"/>
        <v>#DIV/0!</v>
      </c>
      <c r="AZ72" s="452">
        <f t="shared" si="75"/>
        <v>1</v>
      </c>
      <c r="BA72" s="62">
        <v>-0.0436282134022303</v>
      </c>
      <c r="BB72" s="62"/>
      <c r="BC72" s="62" t="e">
        <f>BC71/BC66</f>
        <v>#DIV/0!</v>
      </c>
      <c r="BD72" s="454"/>
    </row>
    <row r="73" s="2" customFormat="1" ht="12.35" hidden="1" spans="1:56">
      <c r="A73" s="22"/>
      <c r="B73" s="22"/>
      <c r="C73" s="22"/>
      <c r="D73" s="34"/>
      <c r="E73" s="22"/>
      <c r="F73" s="22"/>
      <c r="G73" s="22"/>
      <c r="H73" s="22"/>
      <c r="I73" s="22"/>
      <c r="J73" s="22"/>
      <c r="K73" s="22"/>
      <c r="L73" s="22"/>
      <c r="M73" s="22"/>
      <c r="N73" s="22"/>
      <c r="O73" s="22"/>
      <c r="P73" s="22"/>
      <c r="Q73" s="35"/>
      <c r="R73" s="55" t="s">
        <v>3497</v>
      </c>
      <c r="S73" s="58">
        <f t="shared" ref="S73:AG73" si="76">S66-S67-S68-S69</f>
        <v>38521.57</v>
      </c>
      <c r="T73" s="58">
        <f t="shared" si="76"/>
        <v>2649.68999999999</v>
      </c>
      <c r="U73" s="58">
        <f t="shared" si="76"/>
        <v>-8081.01000000001</v>
      </c>
      <c r="V73" s="58">
        <f t="shared" si="76"/>
        <v>10730.7</v>
      </c>
      <c r="W73" s="58">
        <f t="shared" si="76"/>
        <v>10730.7</v>
      </c>
      <c r="X73" s="58">
        <f t="shared" si="76"/>
        <v>10730.7</v>
      </c>
      <c r="Y73" s="58">
        <f t="shared" si="76"/>
        <v>10730.7</v>
      </c>
      <c r="Z73" s="57">
        <f t="shared" si="76"/>
        <v>10730.7</v>
      </c>
      <c r="AA73" s="68">
        <f t="shared" si="76"/>
        <v>10730.7</v>
      </c>
      <c r="AB73" s="68">
        <f t="shared" si="76"/>
        <v>10730.7</v>
      </c>
      <c r="AC73" s="57">
        <f t="shared" si="76"/>
        <v>10730.7</v>
      </c>
      <c r="AD73" s="57">
        <f t="shared" si="76"/>
        <v>10730.7</v>
      </c>
      <c r="AE73" s="57">
        <f t="shared" si="76"/>
        <v>10730.7</v>
      </c>
      <c r="AF73" s="57">
        <f t="shared" si="76"/>
        <v>10730.7</v>
      </c>
      <c r="AG73" s="57">
        <f t="shared" si="76"/>
        <v>10911.96</v>
      </c>
      <c r="AH73" s="82"/>
      <c r="AI73" s="82"/>
      <c r="AJ73" s="22"/>
      <c r="AK73" s="22"/>
      <c r="AL73" s="13"/>
      <c r="AM73" s="22"/>
      <c r="AN73" s="22"/>
      <c r="AO73" s="58">
        <f t="shared" ref="AO73:AZ73" si="77">AO66-AO67-AO68-AO69</f>
        <v>0</v>
      </c>
      <c r="AP73" s="58">
        <f t="shared" si="77"/>
        <v>0</v>
      </c>
      <c r="AQ73" s="58">
        <f t="shared" si="77"/>
        <v>0</v>
      </c>
      <c r="AR73" s="58">
        <f t="shared" si="77"/>
        <v>0</v>
      </c>
      <c r="AS73" s="58">
        <f t="shared" si="77"/>
        <v>0</v>
      </c>
      <c r="AT73" s="58">
        <f t="shared" si="77"/>
        <v>0</v>
      </c>
      <c r="AU73" s="58">
        <f t="shared" si="77"/>
        <v>0</v>
      </c>
      <c r="AV73" s="58">
        <f t="shared" si="77"/>
        <v>0</v>
      </c>
      <c r="AW73" s="58">
        <f t="shared" si="77"/>
        <v>0</v>
      </c>
      <c r="AX73" s="58">
        <f t="shared" si="77"/>
        <v>0</v>
      </c>
      <c r="AY73" s="58">
        <f t="shared" si="77"/>
        <v>-181.26</v>
      </c>
      <c r="AZ73" s="369">
        <f t="shared" si="77"/>
        <v>10911.96</v>
      </c>
      <c r="BA73" s="57">
        <v>-8081.00999999999</v>
      </c>
      <c r="BB73" s="57"/>
      <c r="BC73" s="57">
        <f>BC66-BC67-BC68-BC69</f>
        <v>0</v>
      </c>
      <c r="BD73" s="454"/>
    </row>
    <row r="74" s="2" customFormat="1" ht="12.35" hidden="1" spans="1:56">
      <c r="A74" s="24"/>
      <c r="B74" s="24"/>
      <c r="C74" s="24"/>
      <c r="D74" s="83"/>
      <c r="E74" s="24"/>
      <c r="F74" s="24"/>
      <c r="G74" s="24"/>
      <c r="H74" s="24"/>
      <c r="I74" s="24"/>
      <c r="J74" s="24"/>
      <c r="K74" s="24"/>
      <c r="L74" s="24"/>
      <c r="M74" s="24"/>
      <c r="N74" s="24"/>
      <c r="O74" s="24"/>
      <c r="P74" s="24"/>
      <c r="Q74" s="156"/>
      <c r="R74" s="60" t="s">
        <v>3498</v>
      </c>
      <c r="S74" s="61">
        <f t="shared" ref="S74:AG74" si="78">S73/S66</f>
        <v>0.225272339181287</v>
      </c>
      <c r="T74" s="61">
        <f t="shared" si="78"/>
        <v>0.0156126382417805</v>
      </c>
      <c r="U74" s="61">
        <f t="shared" si="78"/>
        <v>-0.0509453307032522</v>
      </c>
      <c r="V74" s="61">
        <f t="shared" si="78"/>
        <v>0.967320579597267</v>
      </c>
      <c r="W74" s="61">
        <f t="shared" si="78"/>
        <v>0.967320579597267</v>
      </c>
      <c r="X74" s="61">
        <f t="shared" si="78"/>
        <v>0.967320579597267</v>
      </c>
      <c r="Y74" s="61">
        <f t="shared" si="78"/>
        <v>0.967320579597267</v>
      </c>
      <c r="Z74" s="62">
        <f t="shared" si="78"/>
        <v>0.967320579597267</v>
      </c>
      <c r="AA74" s="69">
        <f t="shared" si="78"/>
        <v>0.967320579597267</v>
      </c>
      <c r="AB74" s="69">
        <f t="shared" si="78"/>
        <v>0.967320579597267</v>
      </c>
      <c r="AC74" s="62">
        <f t="shared" si="78"/>
        <v>0.967320579597267</v>
      </c>
      <c r="AD74" s="62">
        <f t="shared" si="78"/>
        <v>0.967320579597267</v>
      </c>
      <c r="AE74" s="62">
        <f t="shared" si="78"/>
        <v>0.967320579597267</v>
      </c>
      <c r="AF74" s="62">
        <f t="shared" si="78"/>
        <v>0.967320579597267</v>
      </c>
      <c r="AG74" s="62">
        <f t="shared" si="78"/>
        <v>0.983660289798634</v>
      </c>
      <c r="AH74" s="82">
        <f>T74-S74</f>
        <v>-0.209659700939506</v>
      </c>
      <c r="AI74" s="82">
        <f>AF74-S74</f>
        <v>0.742048240415981</v>
      </c>
      <c r="AJ74" s="24"/>
      <c r="AK74" s="24"/>
      <c r="AL74" s="14"/>
      <c r="AM74" s="24"/>
      <c r="AN74" s="24"/>
      <c r="AO74" s="61" t="e">
        <f t="shared" ref="AO74:AZ74" si="79">AO73/AO66</f>
        <v>#DIV/0!</v>
      </c>
      <c r="AP74" s="61" t="e">
        <f t="shared" si="79"/>
        <v>#DIV/0!</v>
      </c>
      <c r="AQ74" s="61" t="e">
        <f t="shared" si="79"/>
        <v>#DIV/0!</v>
      </c>
      <c r="AR74" s="61" t="e">
        <f t="shared" si="79"/>
        <v>#DIV/0!</v>
      </c>
      <c r="AS74" s="61" t="e">
        <f t="shared" si="79"/>
        <v>#DIV/0!</v>
      </c>
      <c r="AT74" s="61" t="e">
        <f t="shared" si="79"/>
        <v>#DIV/0!</v>
      </c>
      <c r="AU74" s="61" t="e">
        <f t="shared" si="79"/>
        <v>#DIV/0!</v>
      </c>
      <c r="AV74" s="61" t="e">
        <f t="shared" si="79"/>
        <v>#DIV/0!</v>
      </c>
      <c r="AW74" s="61" t="e">
        <f t="shared" si="79"/>
        <v>#DIV/0!</v>
      </c>
      <c r="AX74" s="61" t="e">
        <f t="shared" si="79"/>
        <v>#DIV/0!</v>
      </c>
      <c r="AY74" s="61" t="e">
        <f t="shared" si="79"/>
        <v>#DIV/0!</v>
      </c>
      <c r="AZ74" s="452">
        <f t="shared" si="79"/>
        <v>0.983660289798634</v>
      </c>
      <c r="BA74" s="62">
        <v>-0.050945330703252</v>
      </c>
      <c r="BB74" s="62"/>
      <c r="BC74" s="62" t="e">
        <f>BC73/BC66</f>
        <v>#DIV/0!</v>
      </c>
      <c r="BD74" s="454"/>
    </row>
    <row r="75" s="2" customFormat="1" ht="12.35" hidden="1" spans="1:56">
      <c r="A75" s="458" t="s">
        <v>456</v>
      </c>
      <c r="B75" s="19" t="s">
        <v>457</v>
      </c>
      <c r="C75" s="20">
        <v>45658</v>
      </c>
      <c r="D75" s="459">
        <v>46022</v>
      </c>
      <c r="E75" s="19" t="s">
        <v>3484</v>
      </c>
      <c r="F75" s="19" t="s">
        <v>3484</v>
      </c>
      <c r="G75" s="460"/>
      <c r="H75" s="461"/>
      <c r="I75" s="40"/>
      <c r="J75" s="40"/>
      <c r="K75" s="40"/>
      <c r="L75" s="40"/>
      <c r="M75" s="40"/>
      <c r="N75" s="40"/>
      <c r="O75" s="40"/>
      <c r="P75" s="40"/>
      <c r="Q75" s="434" t="s">
        <v>3485</v>
      </c>
      <c r="R75" s="51" t="s">
        <v>3486</v>
      </c>
      <c r="S75" s="45">
        <v>106132.08</v>
      </c>
      <c r="T75" s="44">
        <f>SUM(AO75:BC75)</f>
        <v>105334.16</v>
      </c>
      <c r="U75" s="44">
        <f>SUM(BA75:BC75)</f>
        <v>105334.16</v>
      </c>
      <c r="V75" s="44">
        <f>SUM(AO75:AZ75)</f>
        <v>0</v>
      </c>
      <c r="W75" s="44">
        <f>SUM(AP75:AZ75)</f>
        <v>0</v>
      </c>
      <c r="X75" s="44">
        <f>SUM(AQ75:AZ75)</f>
        <v>0</v>
      </c>
      <c r="Y75" s="44">
        <f>SUM(AR75:AZ75)</f>
        <v>0</v>
      </c>
      <c r="Z75" s="67">
        <f>SUM(AS75:AZ75)</f>
        <v>0</v>
      </c>
      <c r="AA75" s="67">
        <f>SUM(AT75:AZ75)</f>
        <v>0</v>
      </c>
      <c r="AB75" s="67">
        <f>SUM(AU75:AZ75)</f>
        <v>0</v>
      </c>
      <c r="AC75" s="67">
        <f>SUM(AV75:AZ75)</f>
        <v>0</v>
      </c>
      <c r="AD75" s="67">
        <f>SUM(AW75:AZ75)</f>
        <v>0</v>
      </c>
      <c r="AE75" s="67">
        <f>SUM(AX75:AZ75)</f>
        <v>0</v>
      </c>
      <c r="AF75" s="67">
        <f>SUM(AY75:AZ75)</f>
        <v>0</v>
      </c>
      <c r="AG75" s="67">
        <f>SUM(AZ75:AZ75)</f>
        <v>0</v>
      </c>
      <c r="AH75" s="220"/>
      <c r="AI75" s="220"/>
      <c r="AJ75" s="102"/>
      <c r="AK75" s="480" t="s">
        <v>3518</v>
      </c>
      <c r="AL75" s="481"/>
      <c r="AM75" s="102"/>
      <c r="AN75" s="79"/>
      <c r="AO75" s="44"/>
      <c r="AP75" s="44"/>
      <c r="AQ75" s="44"/>
      <c r="AR75" s="44"/>
      <c r="AS75" s="44"/>
      <c r="AT75" s="44"/>
      <c r="AU75" s="44"/>
      <c r="AV75" s="44"/>
      <c r="AW75" s="44"/>
      <c r="AX75" s="44"/>
      <c r="AY75" s="44"/>
      <c r="AZ75" s="445"/>
      <c r="BA75" s="126">
        <v>105334.16</v>
      </c>
      <c r="BB75" s="126"/>
      <c r="BC75" s="488"/>
      <c r="BD75" s="454"/>
    </row>
    <row r="76" s="2" customFormat="1" ht="12.35" hidden="1" spans="1:56">
      <c r="A76" s="22"/>
      <c r="B76" s="22"/>
      <c r="C76" s="22"/>
      <c r="D76" s="34"/>
      <c r="E76" s="22"/>
      <c r="F76" s="22"/>
      <c r="G76" s="22"/>
      <c r="H76" s="22"/>
      <c r="I76" s="22"/>
      <c r="J76" s="22"/>
      <c r="K76" s="22"/>
      <c r="L76" s="22"/>
      <c r="M76" s="22"/>
      <c r="N76" s="22"/>
      <c r="O76" s="22"/>
      <c r="P76" s="22"/>
      <c r="Q76" s="35"/>
      <c r="R76" s="51" t="s">
        <v>3490</v>
      </c>
      <c r="S76" s="45">
        <v>184376.31</v>
      </c>
      <c r="T76" s="44">
        <f>SUM(AO76:BC76)</f>
        <v>170765.74</v>
      </c>
      <c r="U76" s="44">
        <f>SUM(BA76:BC76)</f>
        <v>170765.74</v>
      </c>
      <c r="V76" s="44">
        <f>SUM(AO76:AZ76)</f>
        <v>0</v>
      </c>
      <c r="W76" s="44">
        <f>SUM(AP76:AZ76)</f>
        <v>0</v>
      </c>
      <c r="X76" s="44">
        <f>SUM(AQ76:AZ76)</f>
        <v>0</v>
      </c>
      <c r="Y76" s="44">
        <f>SUM(AR76:AZ76)</f>
        <v>0</v>
      </c>
      <c r="Z76" s="67">
        <f>SUM(AS76:AZ76)</f>
        <v>0</v>
      </c>
      <c r="AA76" s="67">
        <f>SUM(AT76:AZ76)</f>
        <v>0</v>
      </c>
      <c r="AB76" s="67">
        <f>SUM(AU76:AZ76)</f>
        <v>0</v>
      </c>
      <c r="AC76" s="67">
        <f>SUM(AV76:AZ76)</f>
        <v>0</v>
      </c>
      <c r="AD76" s="67">
        <f>SUM(AW76:AZ76)</f>
        <v>0</v>
      </c>
      <c r="AE76" s="67">
        <f>SUM(AX76:AZ76)</f>
        <v>0</v>
      </c>
      <c r="AF76" s="67">
        <f>SUM(AY76:AZ76)</f>
        <v>0</v>
      </c>
      <c r="AG76" s="67">
        <f>SUM(AZ76:AZ76)</f>
        <v>0</v>
      </c>
      <c r="AH76" s="220"/>
      <c r="AI76" s="220"/>
      <c r="AJ76" s="22"/>
      <c r="AK76" s="22"/>
      <c r="AL76" s="13"/>
      <c r="AM76" s="22"/>
      <c r="AN76" s="22"/>
      <c r="AO76" s="44"/>
      <c r="AP76" s="44"/>
      <c r="AQ76" s="44"/>
      <c r="AR76" s="44"/>
      <c r="AS76" s="44"/>
      <c r="AT76" s="44"/>
      <c r="AU76" s="44"/>
      <c r="AV76" s="44"/>
      <c r="AW76" s="44"/>
      <c r="AX76" s="44"/>
      <c r="AY76" s="44"/>
      <c r="AZ76" s="445"/>
      <c r="BA76" s="126">
        <v>170765.74</v>
      </c>
      <c r="BB76" s="126"/>
      <c r="BC76" s="489"/>
      <c r="BD76" s="454"/>
    </row>
    <row r="77" s="2" customFormat="1" ht="12.35" hidden="1" spans="1:56">
      <c r="A77" s="22"/>
      <c r="B77" s="22"/>
      <c r="C77" s="22"/>
      <c r="D77" s="34"/>
      <c r="E77" s="22"/>
      <c r="F77" s="22"/>
      <c r="G77" s="22"/>
      <c r="H77" s="22"/>
      <c r="I77" s="22"/>
      <c r="J77" s="22"/>
      <c r="K77" s="22"/>
      <c r="L77" s="22"/>
      <c r="M77" s="22"/>
      <c r="N77" s="22"/>
      <c r="O77" s="22"/>
      <c r="P77" s="22"/>
      <c r="Q77" s="35"/>
      <c r="R77" s="51" t="s">
        <v>3492</v>
      </c>
      <c r="S77" s="45">
        <v>0</v>
      </c>
      <c r="T77" s="44">
        <f>SUM(AO77:BC77)</f>
        <v>0</v>
      </c>
      <c r="U77" s="44">
        <f>SUM(BA77:BC77)</f>
        <v>0</v>
      </c>
      <c r="V77" s="44">
        <f>SUM(AO77:AZ77)</f>
        <v>0</v>
      </c>
      <c r="W77" s="44">
        <f>SUM(AP77:AZ77)</f>
        <v>0</v>
      </c>
      <c r="X77" s="44">
        <f>SUM(AQ77:AZ77)</f>
        <v>0</v>
      </c>
      <c r="Y77" s="44">
        <f>SUM(AR77:AZ77)</f>
        <v>0</v>
      </c>
      <c r="Z77" s="67">
        <f>SUM(AS77:AZ77)</f>
        <v>0</v>
      </c>
      <c r="AA77" s="67">
        <f>SUM(AT77:AZ77)</f>
        <v>0</v>
      </c>
      <c r="AB77" s="67">
        <f>SUM(AU77:AZ77)</f>
        <v>0</v>
      </c>
      <c r="AC77" s="67">
        <f>SUM(AV77:AZ77)</f>
        <v>0</v>
      </c>
      <c r="AD77" s="67">
        <f>SUM(AW77:AZ77)</f>
        <v>0</v>
      </c>
      <c r="AE77" s="67">
        <f>SUM(AX77:AZ77)</f>
        <v>0</v>
      </c>
      <c r="AF77" s="67">
        <f>SUM(AY77:AZ77)</f>
        <v>0</v>
      </c>
      <c r="AG77" s="67">
        <f>SUM(AZ77:AZ77)</f>
        <v>0</v>
      </c>
      <c r="AH77" s="220"/>
      <c r="AI77" s="220"/>
      <c r="AJ77" s="22"/>
      <c r="AK77" s="22"/>
      <c r="AL77" s="13"/>
      <c r="AM77" s="22"/>
      <c r="AN77" s="22"/>
      <c r="AO77" s="44"/>
      <c r="AP77" s="44"/>
      <c r="AQ77" s="44"/>
      <c r="AR77" s="44"/>
      <c r="AS77" s="44"/>
      <c r="AT77" s="44"/>
      <c r="AU77" s="44"/>
      <c r="AV77" s="44"/>
      <c r="AW77" s="44"/>
      <c r="AX77" s="44"/>
      <c r="AY77" s="44"/>
      <c r="AZ77" s="445"/>
      <c r="BA77" s="125">
        <v>0</v>
      </c>
      <c r="BB77" s="125"/>
      <c r="BC77" s="490"/>
      <c r="BD77" s="454"/>
    </row>
    <row r="78" s="2" customFormat="1" ht="12.35" hidden="1" spans="1:56">
      <c r="A78" s="22"/>
      <c r="B78" s="22"/>
      <c r="C78" s="22"/>
      <c r="D78" s="34"/>
      <c r="E78" s="22"/>
      <c r="F78" s="22"/>
      <c r="G78" s="22"/>
      <c r="H78" s="22"/>
      <c r="I78" s="22"/>
      <c r="J78" s="22"/>
      <c r="K78" s="22"/>
      <c r="L78" s="22"/>
      <c r="M78" s="22"/>
      <c r="N78" s="22"/>
      <c r="O78" s="22"/>
      <c r="P78" s="22"/>
      <c r="Q78" s="35"/>
      <c r="R78" s="51" t="s">
        <v>3493</v>
      </c>
      <c r="S78" s="45">
        <v>300</v>
      </c>
      <c r="T78" s="44">
        <f>SUM(AO78:BC78)</f>
        <v>1673.59</v>
      </c>
      <c r="U78" s="44">
        <f>SUM(BA78:BC78)</f>
        <v>1673.59</v>
      </c>
      <c r="V78" s="44">
        <f>SUM(AO78:AZ78)</f>
        <v>0</v>
      </c>
      <c r="W78" s="44">
        <f>SUM(AP78:AZ78)</f>
        <v>0</v>
      </c>
      <c r="X78" s="44">
        <f>SUM(AQ78:AZ78)</f>
        <v>0</v>
      </c>
      <c r="Y78" s="44">
        <f>SUM(AR78:AZ78)</f>
        <v>0</v>
      </c>
      <c r="Z78" s="67">
        <f>SUM(AS78:AZ78)</f>
        <v>0</v>
      </c>
      <c r="AA78" s="67">
        <f>SUM(AT78:AZ78)</f>
        <v>0</v>
      </c>
      <c r="AB78" s="67">
        <f>SUM(AU78:AZ78)</f>
        <v>0</v>
      </c>
      <c r="AC78" s="67">
        <f>SUM(AV78:AZ78)</f>
        <v>0</v>
      </c>
      <c r="AD78" s="67">
        <f>SUM(AW78:AZ78)</f>
        <v>0</v>
      </c>
      <c r="AE78" s="67">
        <f>SUM(AX78:AZ78)</f>
        <v>0</v>
      </c>
      <c r="AF78" s="67">
        <f>SUM(AY78:AZ78)</f>
        <v>0</v>
      </c>
      <c r="AG78" s="67">
        <f>SUM(AZ78:AZ78)</f>
        <v>0</v>
      </c>
      <c r="AH78" s="220"/>
      <c r="AI78" s="220"/>
      <c r="AJ78" s="22"/>
      <c r="AK78" s="22"/>
      <c r="AL78" s="13"/>
      <c r="AM78" s="22"/>
      <c r="AN78" s="22"/>
      <c r="AO78" s="44"/>
      <c r="AP78" s="44"/>
      <c r="AQ78" s="44"/>
      <c r="AR78" s="44"/>
      <c r="AS78" s="44"/>
      <c r="AT78" s="44"/>
      <c r="AU78" s="44"/>
      <c r="AV78" s="44"/>
      <c r="AW78" s="44"/>
      <c r="AX78" s="44"/>
      <c r="AY78" s="44"/>
      <c r="AZ78" s="445"/>
      <c r="BA78" s="85">
        <v>1673.59</v>
      </c>
      <c r="BB78" s="85"/>
      <c r="BC78" s="489"/>
      <c r="BD78" s="454"/>
    </row>
    <row r="79" ht="14.25" hidden="1" customHeight="1" spans="1:56">
      <c r="A79" s="22"/>
      <c r="B79" s="22"/>
      <c r="C79" s="22"/>
      <c r="D79" s="34"/>
      <c r="E79" s="22"/>
      <c r="F79" s="22"/>
      <c r="G79" s="22"/>
      <c r="H79" s="22"/>
      <c r="I79" s="22"/>
      <c r="J79" s="22"/>
      <c r="K79" s="22"/>
      <c r="L79" s="22"/>
      <c r="M79" s="22"/>
      <c r="N79" s="22"/>
      <c r="O79" s="22"/>
      <c r="P79" s="22"/>
      <c r="Q79" s="35"/>
      <c r="R79" s="41" t="s">
        <v>3494</v>
      </c>
      <c r="S79" s="204">
        <f t="shared" ref="S79:AI79" si="80">SUM(S76:S78)</f>
        <v>184676.31</v>
      </c>
      <c r="T79" s="204">
        <f t="shared" si="80"/>
        <v>172439.33</v>
      </c>
      <c r="U79" s="204">
        <f t="shared" si="80"/>
        <v>172439.33</v>
      </c>
      <c r="V79" s="204">
        <f t="shared" si="80"/>
        <v>0</v>
      </c>
      <c r="W79" s="204">
        <f t="shared" si="80"/>
        <v>0</v>
      </c>
      <c r="X79" s="204">
        <f t="shared" si="80"/>
        <v>0</v>
      </c>
      <c r="Y79" s="204">
        <f t="shared" si="80"/>
        <v>0</v>
      </c>
      <c r="Z79" s="204">
        <f t="shared" si="80"/>
        <v>0</v>
      </c>
      <c r="AA79" s="204">
        <f t="shared" si="80"/>
        <v>0</v>
      </c>
      <c r="AB79" s="204">
        <f t="shared" si="80"/>
        <v>0</v>
      </c>
      <c r="AC79" s="204">
        <f t="shared" si="80"/>
        <v>0</v>
      </c>
      <c r="AD79" s="204">
        <f t="shared" si="80"/>
        <v>0</v>
      </c>
      <c r="AE79" s="204">
        <f t="shared" si="80"/>
        <v>0</v>
      </c>
      <c r="AF79" s="204">
        <f t="shared" si="80"/>
        <v>0</v>
      </c>
      <c r="AG79" s="204">
        <f t="shared" si="80"/>
        <v>0</v>
      </c>
      <c r="AH79" s="204">
        <f t="shared" si="80"/>
        <v>0</v>
      </c>
      <c r="AI79" s="204">
        <f t="shared" si="80"/>
        <v>0</v>
      </c>
      <c r="AJ79" s="22"/>
      <c r="AK79" s="22"/>
      <c r="AL79" s="13"/>
      <c r="AM79" s="22"/>
      <c r="AN79" s="22"/>
      <c r="AO79" s="204">
        <f t="shared" ref="AO79:BA79" si="81">SUM(AO76:AO78)</f>
        <v>0</v>
      </c>
      <c r="AP79" s="204">
        <f t="shared" si="81"/>
        <v>0</v>
      </c>
      <c r="AQ79" s="204">
        <f t="shared" si="81"/>
        <v>0</v>
      </c>
      <c r="AR79" s="204">
        <f t="shared" si="81"/>
        <v>0</v>
      </c>
      <c r="AS79" s="204">
        <f t="shared" si="81"/>
        <v>0</v>
      </c>
      <c r="AT79" s="204">
        <f t="shared" si="81"/>
        <v>0</v>
      </c>
      <c r="AU79" s="204">
        <f t="shared" si="81"/>
        <v>0</v>
      </c>
      <c r="AV79" s="204">
        <f t="shared" si="81"/>
        <v>0</v>
      </c>
      <c r="AW79" s="204">
        <f t="shared" si="81"/>
        <v>0</v>
      </c>
      <c r="AX79" s="204">
        <f t="shared" si="81"/>
        <v>0</v>
      </c>
      <c r="AY79" s="204">
        <f t="shared" si="81"/>
        <v>0</v>
      </c>
      <c r="AZ79" s="447">
        <f t="shared" si="81"/>
        <v>0</v>
      </c>
      <c r="BA79" s="448">
        <f t="shared" si="81"/>
        <v>172439.33</v>
      </c>
      <c r="BB79" s="43"/>
      <c r="BC79" s="446"/>
      <c r="BD79" s="196"/>
    </row>
    <row r="80" s="2" customFormat="1" ht="12.35" hidden="1" spans="1:56">
      <c r="A80" s="22"/>
      <c r="B80" s="22"/>
      <c r="C80" s="22"/>
      <c r="D80" s="34"/>
      <c r="E80" s="22"/>
      <c r="F80" s="22"/>
      <c r="G80" s="22"/>
      <c r="H80" s="22"/>
      <c r="I80" s="22"/>
      <c r="J80" s="22"/>
      <c r="K80" s="22"/>
      <c r="L80" s="22"/>
      <c r="M80" s="22"/>
      <c r="N80" s="22"/>
      <c r="O80" s="22"/>
      <c r="P80" s="22"/>
      <c r="Q80" s="35"/>
      <c r="R80" s="51" t="s">
        <v>3495</v>
      </c>
      <c r="S80" s="46">
        <f t="shared" ref="S80:AG80" si="82">S75-S76</f>
        <v>-78244.23</v>
      </c>
      <c r="T80" s="44">
        <f t="shared" si="82"/>
        <v>-65431.58</v>
      </c>
      <c r="U80" s="44">
        <f t="shared" si="82"/>
        <v>-65431.58</v>
      </c>
      <c r="V80" s="44">
        <f t="shared" si="82"/>
        <v>0</v>
      </c>
      <c r="W80" s="44">
        <f t="shared" si="82"/>
        <v>0</v>
      </c>
      <c r="X80" s="44">
        <f t="shared" si="82"/>
        <v>0</v>
      </c>
      <c r="Y80" s="44">
        <f t="shared" si="82"/>
        <v>0</v>
      </c>
      <c r="Z80" s="43">
        <f t="shared" si="82"/>
        <v>0</v>
      </c>
      <c r="AA80" s="43">
        <f t="shared" si="82"/>
        <v>0</v>
      </c>
      <c r="AB80" s="43">
        <f t="shared" si="82"/>
        <v>0</v>
      </c>
      <c r="AC80" s="43">
        <f t="shared" si="82"/>
        <v>0</v>
      </c>
      <c r="AD80" s="43">
        <f t="shared" si="82"/>
        <v>0</v>
      </c>
      <c r="AE80" s="43">
        <f t="shared" si="82"/>
        <v>0</v>
      </c>
      <c r="AF80" s="43">
        <f t="shared" si="82"/>
        <v>0</v>
      </c>
      <c r="AG80" s="43">
        <f t="shared" si="82"/>
        <v>0</v>
      </c>
      <c r="AH80" s="220"/>
      <c r="AI80" s="220"/>
      <c r="AJ80" s="22"/>
      <c r="AK80" s="22"/>
      <c r="AL80" s="13"/>
      <c r="AM80" s="22"/>
      <c r="AN80" s="22"/>
      <c r="AO80" s="44">
        <f t="shared" ref="AO80:AZ80" si="83">AO75-AO76</f>
        <v>0</v>
      </c>
      <c r="AP80" s="44">
        <f t="shared" si="83"/>
        <v>0</v>
      </c>
      <c r="AQ80" s="44">
        <f t="shared" si="83"/>
        <v>0</v>
      </c>
      <c r="AR80" s="44">
        <f t="shared" si="83"/>
        <v>0</v>
      </c>
      <c r="AS80" s="44">
        <f t="shared" si="83"/>
        <v>0</v>
      </c>
      <c r="AT80" s="44">
        <f t="shared" si="83"/>
        <v>0</v>
      </c>
      <c r="AU80" s="44">
        <f t="shared" si="83"/>
        <v>0</v>
      </c>
      <c r="AV80" s="44">
        <f t="shared" si="83"/>
        <v>0</v>
      </c>
      <c r="AW80" s="44">
        <f t="shared" si="83"/>
        <v>0</v>
      </c>
      <c r="AX80" s="44">
        <f t="shared" si="83"/>
        <v>0</v>
      </c>
      <c r="AY80" s="44">
        <f t="shared" si="83"/>
        <v>0</v>
      </c>
      <c r="AZ80" s="445">
        <f t="shared" si="83"/>
        <v>0</v>
      </c>
      <c r="BA80" s="43">
        <v>-65431.58</v>
      </c>
      <c r="BB80" s="43"/>
      <c r="BC80" s="43">
        <f>BC75-BC76</f>
        <v>0</v>
      </c>
      <c r="BD80" s="454"/>
    </row>
    <row r="81" s="2" customFormat="1" ht="12.35" hidden="1" spans="1:56">
      <c r="A81" s="22"/>
      <c r="B81" s="22"/>
      <c r="C81" s="22"/>
      <c r="D81" s="34"/>
      <c r="E81" s="22"/>
      <c r="F81" s="22"/>
      <c r="G81" s="22"/>
      <c r="H81" s="22"/>
      <c r="I81" s="22"/>
      <c r="J81" s="22"/>
      <c r="K81" s="22"/>
      <c r="L81" s="22"/>
      <c r="M81" s="22"/>
      <c r="N81" s="22"/>
      <c r="O81" s="22"/>
      <c r="P81" s="22"/>
      <c r="Q81" s="35"/>
      <c r="R81" s="52" t="s">
        <v>3496</v>
      </c>
      <c r="S81" s="48">
        <f t="shared" ref="S81:AG81" si="84">S80/S75</f>
        <v>-0.737234491211328</v>
      </c>
      <c r="T81" s="48">
        <f t="shared" si="84"/>
        <v>-0.621181010984471</v>
      </c>
      <c r="U81" s="48">
        <f t="shared" si="84"/>
        <v>-0.621181010984471</v>
      </c>
      <c r="V81" s="48" t="e">
        <f t="shared" si="84"/>
        <v>#DIV/0!</v>
      </c>
      <c r="W81" s="48" t="e">
        <f t="shared" si="84"/>
        <v>#DIV/0!</v>
      </c>
      <c r="X81" s="48" t="e">
        <f t="shared" si="84"/>
        <v>#DIV/0!</v>
      </c>
      <c r="Y81" s="48" t="e">
        <f t="shared" si="84"/>
        <v>#DIV/0!</v>
      </c>
      <c r="Z81" s="49" t="e">
        <f t="shared" si="84"/>
        <v>#DIV/0!</v>
      </c>
      <c r="AA81" s="49" t="e">
        <f t="shared" si="84"/>
        <v>#DIV/0!</v>
      </c>
      <c r="AB81" s="49" t="e">
        <f t="shared" si="84"/>
        <v>#DIV/0!</v>
      </c>
      <c r="AC81" s="49" t="e">
        <f t="shared" si="84"/>
        <v>#DIV/0!</v>
      </c>
      <c r="AD81" s="49" t="e">
        <f t="shared" si="84"/>
        <v>#DIV/0!</v>
      </c>
      <c r="AE81" s="49" t="e">
        <f t="shared" si="84"/>
        <v>#DIV/0!</v>
      </c>
      <c r="AF81" s="49" t="e">
        <f t="shared" si="84"/>
        <v>#DIV/0!</v>
      </c>
      <c r="AG81" s="49" t="e">
        <f t="shared" si="84"/>
        <v>#DIV/0!</v>
      </c>
      <c r="AH81" s="224">
        <f>T81-S81</f>
        <v>0.116053480226858</v>
      </c>
      <c r="AI81" s="224" t="e">
        <f>AF81-S81</f>
        <v>#DIV/0!</v>
      </c>
      <c r="AJ81" s="22"/>
      <c r="AK81" s="22"/>
      <c r="AL81" s="13"/>
      <c r="AM81" s="22"/>
      <c r="AN81" s="22"/>
      <c r="AO81" s="48" t="e">
        <f t="shared" ref="AO81:AZ81" si="85">AO80/AO75</f>
        <v>#DIV/0!</v>
      </c>
      <c r="AP81" s="48" t="e">
        <f t="shared" si="85"/>
        <v>#DIV/0!</v>
      </c>
      <c r="AQ81" s="48" t="e">
        <f t="shared" si="85"/>
        <v>#DIV/0!</v>
      </c>
      <c r="AR81" s="48" t="e">
        <f t="shared" si="85"/>
        <v>#DIV/0!</v>
      </c>
      <c r="AS81" s="48" t="e">
        <f t="shared" si="85"/>
        <v>#DIV/0!</v>
      </c>
      <c r="AT81" s="48" t="e">
        <f t="shared" si="85"/>
        <v>#DIV/0!</v>
      </c>
      <c r="AU81" s="48" t="e">
        <f t="shared" si="85"/>
        <v>#DIV/0!</v>
      </c>
      <c r="AV81" s="48" t="e">
        <f t="shared" si="85"/>
        <v>#DIV/0!</v>
      </c>
      <c r="AW81" s="48" t="e">
        <f t="shared" si="85"/>
        <v>#DIV/0!</v>
      </c>
      <c r="AX81" s="48" t="e">
        <f t="shared" si="85"/>
        <v>#DIV/0!</v>
      </c>
      <c r="AY81" s="48" t="e">
        <f t="shared" si="85"/>
        <v>#DIV/0!</v>
      </c>
      <c r="AZ81" s="449" t="e">
        <f t="shared" si="85"/>
        <v>#DIV/0!</v>
      </c>
      <c r="BA81" s="49">
        <v>-0.621181010984471</v>
      </c>
      <c r="BB81" s="49"/>
      <c r="BC81" s="49" t="e">
        <f>BC80/BC75</f>
        <v>#DIV/0!</v>
      </c>
      <c r="BD81" s="454"/>
    </row>
    <row r="82" s="2" customFormat="1" ht="12.35" hidden="1" spans="1:56">
      <c r="A82" s="22"/>
      <c r="B82" s="22"/>
      <c r="C82" s="22"/>
      <c r="D82" s="34"/>
      <c r="E82" s="22"/>
      <c r="F82" s="22"/>
      <c r="G82" s="22"/>
      <c r="H82" s="22"/>
      <c r="I82" s="22"/>
      <c r="J82" s="22"/>
      <c r="K82" s="22"/>
      <c r="L82" s="22"/>
      <c r="M82" s="22"/>
      <c r="N82" s="22"/>
      <c r="O82" s="22"/>
      <c r="P82" s="22"/>
      <c r="Q82" s="35"/>
      <c r="R82" s="51" t="s">
        <v>3497</v>
      </c>
      <c r="S82" s="44">
        <f t="shared" ref="S82:AG82" si="86">S75-S76-S77-S78</f>
        <v>-78544.23</v>
      </c>
      <c r="T82" s="44">
        <f t="shared" si="86"/>
        <v>-67105.17</v>
      </c>
      <c r="U82" s="44">
        <f t="shared" si="86"/>
        <v>-67105.17</v>
      </c>
      <c r="V82" s="44">
        <f t="shared" si="86"/>
        <v>0</v>
      </c>
      <c r="W82" s="44">
        <f t="shared" si="86"/>
        <v>0</v>
      </c>
      <c r="X82" s="44">
        <f t="shared" si="86"/>
        <v>0</v>
      </c>
      <c r="Y82" s="44">
        <f t="shared" si="86"/>
        <v>0</v>
      </c>
      <c r="Z82" s="43">
        <f t="shared" si="86"/>
        <v>0</v>
      </c>
      <c r="AA82" s="43">
        <f t="shared" si="86"/>
        <v>0</v>
      </c>
      <c r="AB82" s="43">
        <f t="shared" si="86"/>
        <v>0</v>
      </c>
      <c r="AC82" s="43">
        <f t="shared" si="86"/>
        <v>0</v>
      </c>
      <c r="AD82" s="43">
        <f t="shared" si="86"/>
        <v>0</v>
      </c>
      <c r="AE82" s="43">
        <f t="shared" si="86"/>
        <v>0</v>
      </c>
      <c r="AF82" s="43">
        <f t="shared" si="86"/>
        <v>0</v>
      </c>
      <c r="AG82" s="43">
        <f t="shared" si="86"/>
        <v>0</v>
      </c>
      <c r="AH82" s="224"/>
      <c r="AI82" s="224"/>
      <c r="AJ82" s="22"/>
      <c r="AK82" s="22"/>
      <c r="AL82" s="13"/>
      <c r="AM82" s="22"/>
      <c r="AN82" s="22"/>
      <c r="AO82" s="44">
        <f t="shared" ref="AO82:AZ82" si="87">AO75-AO76-AO77-AO78</f>
        <v>0</v>
      </c>
      <c r="AP82" s="44">
        <f t="shared" si="87"/>
        <v>0</v>
      </c>
      <c r="AQ82" s="44">
        <f t="shared" si="87"/>
        <v>0</v>
      </c>
      <c r="AR82" s="44">
        <f t="shared" si="87"/>
        <v>0</v>
      </c>
      <c r="AS82" s="44">
        <f t="shared" si="87"/>
        <v>0</v>
      </c>
      <c r="AT82" s="44">
        <f t="shared" si="87"/>
        <v>0</v>
      </c>
      <c r="AU82" s="44">
        <f t="shared" si="87"/>
        <v>0</v>
      </c>
      <c r="AV82" s="44">
        <f t="shared" si="87"/>
        <v>0</v>
      </c>
      <c r="AW82" s="44">
        <f t="shared" si="87"/>
        <v>0</v>
      </c>
      <c r="AX82" s="44">
        <f t="shared" si="87"/>
        <v>0</v>
      </c>
      <c r="AY82" s="44">
        <f t="shared" si="87"/>
        <v>0</v>
      </c>
      <c r="AZ82" s="445">
        <f t="shared" si="87"/>
        <v>0</v>
      </c>
      <c r="BA82" s="43">
        <v>-67105.17</v>
      </c>
      <c r="BB82" s="43"/>
      <c r="BC82" s="43">
        <f>BC75-BC76-BC77-BC78</f>
        <v>0</v>
      </c>
      <c r="BD82" s="454"/>
    </row>
    <row r="83" s="2" customFormat="1" ht="12.35" hidden="1" spans="1:56">
      <c r="A83" s="24"/>
      <c r="B83" s="24"/>
      <c r="C83" s="24"/>
      <c r="D83" s="83"/>
      <c r="E83" s="24"/>
      <c r="F83" s="24"/>
      <c r="G83" s="24"/>
      <c r="H83" s="24"/>
      <c r="I83" s="24"/>
      <c r="J83" s="24"/>
      <c r="K83" s="24"/>
      <c r="L83" s="24"/>
      <c r="M83" s="24"/>
      <c r="N83" s="24"/>
      <c r="O83" s="24"/>
      <c r="P83" s="24"/>
      <c r="Q83" s="156"/>
      <c r="R83" s="52" t="s">
        <v>3498</v>
      </c>
      <c r="S83" s="48">
        <f t="shared" ref="S83:AG83" si="88">S82/S75</f>
        <v>-0.740061157757391</v>
      </c>
      <c r="T83" s="48">
        <f t="shared" si="88"/>
        <v>-0.637069398949021</v>
      </c>
      <c r="U83" s="48">
        <f t="shared" si="88"/>
        <v>-0.637069398949021</v>
      </c>
      <c r="V83" s="48" t="e">
        <f t="shared" si="88"/>
        <v>#DIV/0!</v>
      </c>
      <c r="W83" s="48" t="e">
        <f t="shared" si="88"/>
        <v>#DIV/0!</v>
      </c>
      <c r="X83" s="48" t="e">
        <f t="shared" si="88"/>
        <v>#DIV/0!</v>
      </c>
      <c r="Y83" s="48" t="e">
        <f t="shared" si="88"/>
        <v>#DIV/0!</v>
      </c>
      <c r="Z83" s="49" t="e">
        <f t="shared" si="88"/>
        <v>#DIV/0!</v>
      </c>
      <c r="AA83" s="49" t="e">
        <f t="shared" si="88"/>
        <v>#DIV/0!</v>
      </c>
      <c r="AB83" s="49" t="e">
        <f t="shared" si="88"/>
        <v>#DIV/0!</v>
      </c>
      <c r="AC83" s="49" t="e">
        <f t="shared" si="88"/>
        <v>#DIV/0!</v>
      </c>
      <c r="AD83" s="49" t="e">
        <f t="shared" si="88"/>
        <v>#DIV/0!</v>
      </c>
      <c r="AE83" s="49" t="e">
        <f t="shared" si="88"/>
        <v>#DIV/0!</v>
      </c>
      <c r="AF83" s="49" t="e">
        <f t="shared" si="88"/>
        <v>#DIV/0!</v>
      </c>
      <c r="AG83" s="49" t="e">
        <f t="shared" si="88"/>
        <v>#DIV/0!</v>
      </c>
      <c r="AH83" s="224">
        <f>T83-S83</f>
        <v>0.10299175880837</v>
      </c>
      <c r="AI83" s="224" t="e">
        <f>AF83-S83</f>
        <v>#DIV/0!</v>
      </c>
      <c r="AJ83" s="24"/>
      <c r="AK83" s="24"/>
      <c r="AL83" s="14"/>
      <c r="AM83" s="24"/>
      <c r="AN83" s="24"/>
      <c r="AO83" s="48" t="e">
        <f t="shared" ref="AO83:AZ83" si="89">AO82/AO75</f>
        <v>#DIV/0!</v>
      </c>
      <c r="AP83" s="48" t="e">
        <f t="shared" si="89"/>
        <v>#DIV/0!</v>
      </c>
      <c r="AQ83" s="48" t="e">
        <f t="shared" si="89"/>
        <v>#DIV/0!</v>
      </c>
      <c r="AR83" s="48" t="e">
        <f t="shared" si="89"/>
        <v>#DIV/0!</v>
      </c>
      <c r="AS83" s="48" t="e">
        <f t="shared" si="89"/>
        <v>#DIV/0!</v>
      </c>
      <c r="AT83" s="48" t="e">
        <f t="shared" si="89"/>
        <v>#DIV/0!</v>
      </c>
      <c r="AU83" s="48" t="e">
        <f t="shared" si="89"/>
        <v>#DIV/0!</v>
      </c>
      <c r="AV83" s="48" t="e">
        <f t="shared" si="89"/>
        <v>#DIV/0!</v>
      </c>
      <c r="AW83" s="48" t="e">
        <f t="shared" si="89"/>
        <v>#DIV/0!</v>
      </c>
      <c r="AX83" s="48" t="e">
        <f t="shared" si="89"/>
        <v>#DIV/0!</v>
      </c>
      <c r="AY83" s="48" t="e">
        <f t="shared" si="89"/>
        <v>#DIV/0!</v>
      </c>
      <c r="AZ83" s="449" t="e">
        <f t="shared" si="89"/>
        <v>#DIV/0!</v>
      </c>
      <c r="BA83" s="49">
        <v>-0.637069398949021</v>
      </c>
      <c r="BB83" s="49"/>
      <c r="BC83" s="49" t="e">
        <f>BC82/BC75</f>
        <v>#DIV/0!</v>
      </c>
      <c r="BD83" s="454"/>
    </row>
    <row r="84" s="2" customFormat="1" ht="12.35" hidden="1" spans="1:56">
      <c r="A84" s="370" t="s">
        <v>377</v>
      </c>
      <c r="B84" s="371" t="s">
        <v>3519</v>
      </c>
      <c r="C84" s="372">
        <v>45536</v>
      </c>
      <c r="D84" s="373">
        <v>46387</v>
      </c>
      <c r="E84" s="26" t="s">
        <v>3510</v>
      </c>
      <c r="F84" s="26" t="s">
        <v>3510</v>
      </c>
      <c r="G84" s="430"/>
      <c r="H84" s="431"/>
      <c r="I84" s="29"/>
      <c r="J84" s="29"/>
      <c r="K84" s="29"/>
      <c r="L84" s="29"/>
      <c r="M84" s="29"/>
      <c r="N84" s="29"/>
      <c r="O84" s="29"/>
      <c r="P84" s="26"/>
      <c r="Q84" s="435" t="s">
        <v>3485</v>
      </c>
      <c r="R84" s="55" t="s">
        <v>3486</v>
      </c>
      <c r="S84" s="56">
        <f t="shared" ref="S84:AG84" si="90">S66+S57+S48+S39</f>
        <v>935388.21</v>
      </c>
      <c r="T84" s="56">
        <f t="shared" si="90"/>
        <v>743177.54</v>
      </c>
      <c r="U84" s="56">
        <f t="shared" si="90"/>
        <v>661411.26</v>
      </c>
      <c r="V84" s="56">
        <f t="shared" si="90"/>
        <v>81766.28</v>
      </c>
      <c r="W84" s="56">
        <f t="shared" si="90"/>
        <v>81766.28</v>
      </c>
      <c r="X84" s="56">
        <f t="shared" si="90"/>
        <v>81766.28</v>
      </c>
      <c r="Y84" s="56">
        <f t="shared" si="90"/>
        <v>81766.28</v>
      </c>
      <c r="Z84" s="56">
        <f t="shared" si="90"/>
        <v>81766.28</v>
      </c>
      <c r="AA84" s="56">
        <f t="shared" si="90"/>
        <v>81766.28</v>
      </c>
      <c r="AB84" s="56">
        <f t="shared" si="90"/>
        <v>81766.28</v>
      </c>
      <c r="AC84" s="56">
        <f t="shared" si="90"/>
        <v>81766.28</v>
      </c>
      <c r="AD84" s="56">
        <f t="shared" si="90"/>
        <v>81766.28</v>
      </c>
      <c r="AE84" s="56">
        <f t="shared" si="90"/>
        <v>81766.28</v>
      </c>
      <c r="AF84" s="56">
        <f t="shared" si="90"/>
        <v>81766.28</v>
      </c>
      <c r="AG84" s="56">
        <f t="shared" si="90"/>
        <v>49115.82</v>
      </c>
      <c r="AH84" s="75"/>
      <c r="AI84" s="75"/>
      <c r="AJ84" s="96"/>
      <c r="AK84" s="99"/>
      <c r="AL84" s="93"/>
      <c r="AM84" s="96"/>
      <c r="AN84" s="94"/>
      <c r="AO84" s="58"/>
      <c r="AP84" s="58"/>
      <c r="AQ84" s="58"/>
      <c r="AR84" s="58"/>
      <c r="AS84" s="58"/>
      <c r="AT84" s="58"/>
      <c r="AU84" s="58"/>
      <c r="AV84" s="58"/>
      <c r="AW84" s="58"/>
      <c r="AX84" s="58"/>
      <c r="AY84" s="56">
        <f>AY66+AY57+AY48+AY39</f>
        <v>32650.46</v>
      </c>
      <c r="AZ84" s="56">
        <f>AZ66+AZ57+AZ48+AZ39</f>
        <v>49115.82</v>
      </c>
      <c r="BA84" s="56">
        <f>BA66+BA57+BA48+BA39</f>
        <v>626661.29</v>
      </c>
      <c r="BB84" s="56">
        <f>BB66+BB57+BB48+BB39</f>
        <v>34749.97</v>
      </c>
      <c r="BC84" s="491">
        <f>BC75+BC66+BC57+BC39</f>
        <v>0</v>
      </c>
      <c r="BD84" s="454"/>
    </row>
    <row r="85" s="2" customFormat="1" ht="12.35" hidden="1" spans="1:56">
      <c r="A85" s="21"/>
      <c r="B85" s="22"/>
      <c r="C85" s="22"/>
      <c r="D85" s="34"/>
      <c r="E85" s="22"/>
      <c r="F85" s="22"/>
      <c r="G85" s="22"/>
      <c r="H85" s="22"/>
      <c r="I85" s="22"/>
      <c r="J85" s="22"/>
      <c r="K85" s="22"/>
      <c r="L85" s="22"/>
      <c r="M85" s="22"/>
      <c r="N85" s="22"/>
      <c r="O85" s="22"/>
      <c r="P85" s="22"/>
      <c r="Q85" s="35"/>
      <c r="R85" s="55" t="s">
        <v>3490</v>
      </c>
      <c r="S85" s="56">
        <f t="shared" ref="S85:AG85" si="91">S67+S58+S49+S40</f>
        <v>774303.5</v>
      </c>
      <c r="T85" s="56">
        <f t="shared" si="91"/>
        <v>642180.48</v>
      </c>
      <c r="U85" s="56">
        <f t="shared" si="91"/>
        <v>520803.83</v>
      </c>
      <c r="V85" s="56">
        <f t="shared" si="91"/>
        <v>121376.65</v>
      </c>
      <c r="W85" s="56">
        <f t="shared" si="91"/>
        <v>121376.65</v>
      </c>
      <c r="X85" s="56">
        <f t="shared" si="91"/>
        <v>121376.65</v>
      </c>
      <c r="Y85" s="56">
        <f t="shared" si="91"/>
        <v>121376.65</v>
      </c>
      <c r="Z85" s="56">
        <f t="shared" si="91"/>
        <v>121376.65</v>
      </c>
      <c r="AA85" s="56">
        <f t="shared" si="91"/>
        <v>121376.65</v>
      </c>
      <c r="AB85" s="56">
        <f t="shared" si="91"/>
        <v>121376.65</v>
      </c>
      <c r="AC85" s="56">
        <f t="shared" si="91"/>
        <v>121376.65</v>
      </c>
      <c r="AD85" s="56">
        <f t="shared" si="91"/>
        <v>121376.65</v>
      </c>
      <c r="AE85" s="56">
        <f t="shared" si="91"/>
        <v>121376.65</v>
      </c>
      <c r="AF85" s="56">
        <f t="shared" si="91"/>
        <v>121376.65</v>
      </c>
      <c r="AG85" s="56">
        <f t="shared" si="91"/>
        <v>65332.15</v>
      </c>
      <c r="AH85" s="75"/>
      <c r="AI85" s="75"/>
      <c r="AJ85" s="22"/>
      <c r="AK85" s="22"/>
      <c r="AL85" s="13"/>
      <c r="AM85" s="22"/>
      <c r="AN85" s="22"/>
      <c r="AO85" s="58"/>
      <c r="AP85" s="58"/>
      <c r="AQ85" s="58"/>
      <c r="AR85" s="58"/>
      <c r="AS85" s="58"/>
      <c r="AT85" s="58"/>
      <c r="AU85" s="58"/>
      <c r="AV85" s="58"/>
      <c r="AW85" s="58"/>
      <c r="AX85" s="58"/>
      <c r="AY85" s="56">
        <f>AY67+AY58+AY49+AY40</f>
        <v>56044.5</v>
      </c>
      <c r="AZ85" s="56">
        <f>AZ67+AZ58+AZ49+AZ40</f>
        <v>65332.15</v>
      </c>
      <c r="BA85" s="56">
        <f>BA67+BA58+BA49+BA40</f>
        <v>492433.55</v>
      </c>
      <c r="BB85" s="56">
        <f>BB67+BB58+BB49+BB40</f>
        <v>28370.28</v>
      </c>
      <c r="BC85" s="491">
        <f>BC76+BC67+BC58+BC40</f>
        <v>0</v>
      </c>
      <c r="BD85" s="454"/>
    </row>
    <row r="86" s="2" customFormat="1" ht="12.35" hidden="1" spans="1:56">
      <c r="A86" s="21"/>
      <c r="B86" s="22"/>
      <c r="C86" s="22"/>
      <c r="D86" s="34"/>
      <c r="E86" s="22"/>
      <c r="F86" s="22"/>
      <c r="G86" s="22"/>
      <c r="H86" s="22"/>
      <c r="I86" s="22"/>
      <c r="J86" s="22"/>
      <c r="K86" s="22"/>
      <c r="L86" s="22"/>
      <c r="M86" s="22"/>
      <c r="N86" s="22"/>
      <c r="O86" s="22"/>
      <c r="P86" s="22"/>
      <c r="Q86" s="35"/>
      <c r="R86" s="55" t="s">
        <v>3492</v>
      </c>
      <c r="S86" s="56">
        <f t="shared" ref="S86:AG86" si="92">S68+S59+S50+S41</f>
        <v>13500</v>
      </c>
      <c r="T86" s="56">
        <f t="shared" si="92"/>
        <v>1273.28</v>
      </c>
      <c r="U86" s="56">
        <f t="shared" si="92"/>
        <v>1273.28</v>
      </c>
      <c r="V86" s="56">
        <f t="shared" si="92"/>
        <v>0</v>
      </c>
      <c r="W86" s="56">
        <f t="shared" si="92"/>
        <v>0</v>
      </c>
      <c r="X86" s="56">
        <f t="shared" si="92"/>
        <v>0</v>
      </c>
      <c r="Y86" s="56">
        <f t="shared" si="92"/>
        <v>0</v>
      </c>
      <c r="Z86" s="56">
        <f t="shared" si="92"/>
        <v>0</v>
      </c>
      <c r="AA86" s="56">
        <f t="shared" si="92"/>
        <v>0</v>
      </c>
      <c r="AB86" s="56">
        <f t="shared" si="92"/>
        <v>0</v>
      </c>
      <c r="AC86" s="56">
        <f t="shared" si="92"/>
        <v>0</v>
      </c>
      <c r="AD86" s="56">
        <f t="shared" si="92"/>
        <v>0</v>
      </c>
      <c r="AE86" s="56">
        <f t="shared" si="92"/>
        <v>0</v>
      </c>
      <c r="AF86" s="56">
        <f t="shared" si="92"/>
        <v>0</v>
      </c>
      <c r="AG86" s="56">
        <f t="shared" si="92"/>
        <v>-1273.28</v>
      </c>
      <c r="AH86" s="75"/>
      <c r="AI86" s="75"/>
      <c r="AJ86" s="22"/>
      <c r="AK86" s="22"/>
      <c r="AL86" s="13"/>
      <c r="AM86" s="22"/>
      <c r="AN86" s="22"/>
      <c r="AO86" s="58"/>
      <c r="AP86" s="58"/>
      <c r="AQ86" s="58"/>
      <c r="AR86" s="58"/>
      <c r="AS86" s="58"/>
      <c r="AT86" s="58"/>
      <c r="AU86" s="58"/>
      <c r="AV86" s="58"/>
      <c r="AW86" s="58"/>
      <c r="AX86" s="58"/>
      <c r="AY86" s="56">
        <f>AY68+AY59+AY50+AY41</f>
        <v>1273.28</v>
      </c>
      <c r="AZ86" s="56">
        <f>AZ68+AZ59+AZ50+AZ41</f>
        <v>-1273.28</v>
      </c>
      <c r="BA86" s="56">
        <f>BA68+BA59+BA50+BA41</f>
        <v>1273.28</v>
      </c>
      <c r="BB86" s="56">
        <f>BB68+BB59+BB50+BB41</f>
        <v>0</v>
      </c>
      <c r="BC86" s="491">
        <f>BC77+BC68+BC59+BC41</f>
        <v>0</v>
      </c>
      <c r="BD86" s="454"/>
    </row>
    <row r="87" s="2" customFormat="1" ht="12.35" hidden="1" spans="1:56">
      <c r="A87" s="21"/>
      <c r="B87" s="22"/>
      <c r="C87" s="22"/>
      <c r="D87" s="34"/>
      <c r="E87" s="22"/>
      <c r="F87" s="22"/>
      <c r="G87" s="22"/>
      <c r="H87" s="22"/>
      <c r="I87" s="22"/>
      <c r="J87" s="22"/>
      <c r="K87" s="22"/>
      <c r="L87" s="22"/>
      <c r="M87" s="22"/>
      <c r="N87" s="22"/>
      <c r="O87" s="22"/>
      <c r="P87" s="22"/>
      <c r="Q87" s="35"/>
      <c r="R87" s="55" t="s">
        <v>3493</v>
      </c>
      <c r="S87" s="56">
        <f t="shared" ref="S87:AG87" si="93">S69+S60+S51+S42</f>
        <v>12000</v>
      </c>
      <c r="T87" s="56">
        <f t="shared" si="93"/>
        <v>5179.48</v>
      </c>
      <c r="U87" s="56">
        <f t="shared" si="93"/>
        <v>3685.9</v>
      </c>
      <c r="V87" s="56">
        <f t="shared" si="93"/>
        <v>1493.58</v>
      </c>
      <c r="W87" s="56">
        <f t="shared" si="93"/>
        <v>1493.58</v>
      </c>
      <c r="X87" s="56">
        <f t="shared" si="93"/>
        <v>1493.58</v>
      </c>
      <c r="Y87" s="56">
        <f t="shared" si="93"/>
        <v>1493.58</v>
      </c>
      <c r="Z87" s="56">
        <f t="shared" si="93"/>
        <v>1493.58</v>
      </c>
      <c r="AA87" s="56">
        <f t="shared" si="93"/>
        <v>1493.58</v>
      </c>
      <c r="AB87" s="56">
        <f t="shared" si="93"/>
        <v>1493.58</v>
      </c>
      <c r="AC87" s="56">
        <f t="shared" si="93"/>
        <v>1493.58</v>
      </c>
      <c r="AD87" s="56">
        <f t="shared" si="93"/>
        <v>1493.58</v>
      </c>
      <c r="AE87" s="56">
        <f t="shared" si="93"/>
        <v>1493.58</v>
      </c>
      <c r="AF87" s="56">
        <f t="shared" si="93"/>
        <v>1493.58</v>
      </c>
      <c r="AG87" s="56">
        <f t="shared" si="93"/>
        <v>729.35</v>
      </c>
      <c r="AH87" s="75"/>
      <c r="AI87" s="75"/>
      <c r="AJ87" s="22"/>
      <c r="AK87" s="22"/>
      <c r="AL87" s="13"/>
      <c r="AM87" s="22"/>
      <c r="AN87" s="22"/>
      <c r="AO87" s="58"/>
      <c r="AP87" s="58"/>
      <c r="AQ87" s="58"/>
      <c r="AR87" s="58"/>
      <c r="AS87" s="58"/>
      <c r="AT87" s="58"/>
      <c r="AU87" s="58"/>
      <c r="AV87" s="58"/>
      <c r="AW87" s="58"/>
      <c r="AX87" s="58"/>
      <c r="AY87" s="56">
        <f>AY69+AY60+AY51+AY42</f>
        <v>764.23</v>
      </c>
      <c r="AZ87" s="56">
        <f>AZ69+AZ60+AZ51+AZ42</f>
        <v>729.35</v>
      </c>
      <c r="BA87" s="56">
        <f>BA69+BA60+BA51+BA42</f>
        <v>3674.77</v>
      </c>
      <c r="BB87" s="56">
        <f>BB69+BB60+BB51+BB42</f>
        <v>11.13</v>
      </c>
      <c r="BC87" s="491">
        <f>BC78+BC69+BC60+BC42</f>
        <v>0</v>
      </c>
      <c r="BD87" s="454"/>
    </row>
    <row r="88" ht="14.25" hidden="1" customHeight="1" spans="1:56">
      <c r="A88" s="21"/>
      <c r="B88" s="22"/>
      <c r="C88" s="22"/>
      <c r="D88" s="34"/>
      <c r="E88" s="22"/>
      <c r="F88" s="22"/>
      <c r="G88" s="22"/>
      <c r="H88" s="22"/>
      <c r="I88" s="22"/>
      <c r="J88" s="22"/>
      <c r="K88" s="22"/>
      <c r="L88" s="22"/>
      <c r="M88" s="22"/>
      <c r="N88" s="22"/>
      <c r="O88" s="22"/>
      <c r="P88" s="22"/>
      <c r="Q88" s="35"/>
      <c r="R88" s="213" t="s">
        <v>3494</v>
      </c>
      <c r="S88" s="214">
        <f t="shared" ref="S88:AI88" si="94">SUM(S85:S87)</f>
        <v>799803.5</v>
      </c>
      <c r="T88" s="214">
        <f t="shared" si="94"/>
        <v>648633.24</v>
      </c>
      <c r="U88" s="214">
        <f t="shared" si="94"/>
        <v>525763.01</v>
      </c>
      <c r="V88" s="214">
        <f t="shared" si="94"/>
        <v>122870.23</v>
      </c>
      <c r="W88" s="214">
        <f t="shared" si="94"/>
        <v>122870.23</v>
      </c>
      <c r="X88" s="214">
        <f t="shared" si="94"/>
        <v>122870.23</v>
      </c>
      <c r="Y88" s="214">
        <f t="shared" si="94"/>
        <v>122870.23</v>
      </c>
      <c r="Z88" s="214">
        <f t="shared" si="94"/>
        <v>122870.23</v>
      </c>
      <c r="AA88" s="214">
        <f t="shared" si="94"/>
        <v>122870.23</v>
      </c>
      <c r="AB88" s="214">
        <f t="shared" si="94"/>
        <v>122870.23</v>
      </c>
      <c r="AC88" s="214">
        <f t="shared" si="94"/>
        <v>122870.23</v>
      </c>
      <c r="AD88" s="214">
        <f t="shared" si="94"/>
        <v>122870.23</v>
      </c>
      <c r="AE88" s="214">
        <f t="shared" si="94"/>
        <v>122870.23</v>
      </c>
      <c r="AF88" s="214">
        <f t="shared" si="94"/>
        <v>122870.23</v>
      </c>
      <c r="AG88" s="214">
        <f t="shared" si="94"/>
        <v>64788.22</v>
      </c>
      <c r="AH88" s="214">
        <f t="shared" si="94"/>
        <v>0</v>
      </c>
      <c r="AI88" s="214">
        <f t="shared" si="94"/>
        <v>0</v>
      </c>
      <c r="AJ88" s="22"/>
      <c r="AK88" s="22"/>
      <c r="AL88" s="13"/>
      <c r="AM88" s="22"/>
      <c r="AN88" s="22"/>
      <c r="AO88" s="214">
        <f t="shared" ref="AO88:BA88" si="95">SUM(AO85:AO87)</f>
        <v>0</v>
      </c>
      <c r="AP88" s="214">
        <f t="shared" si="95"/>
        <v>0</v>
      </c>
      <c r="AQ88" s="214">
        <f t="shared" si="95"/>
        <v>0</v>
      </c>
      <c r="AR88" s="214">
        <f t="shared" si="95"/>
        <v>0</v>
      </c>
      <c r="AS88" s="214">
        <f t="shared" si="95"/>
        <v>0</v>
      </c>
      <c r="AT88" s="214">
        <f t="shared" si="95"/>
        <v>0</v>
      </c>
      <c r="AU88" s="214">
        <f t="shared" si="95"/>
        <v>0</v>
      </c>
      <c r="AV88" s="214">
        <f t="shared" si="95"/>
        <v>0</v>
      </c>
      <c r="AW88" s="214">
        <f t="shared" si="95"/>
        <v>0</v>
      </c>
      <c r="AX88" s="214">
        <f t="shared" si="95"/>
        <v>0</v>
      </c>
      <c r="AY88" s="214">
        <f t="shared" si="95"/>
        <v>58082.01</v>
      </c>
      <c r="AZ88" s="214">
        <f t="shared" si="95"/>
        <v>64788.22</v>
      </c>
      <c r="BA88" s="451">
        <f t="shared" si="95"/>
        <v>497381.6</v>
      </c>
      <c r="BB88" s="57"/>
      <c r="BC88" s="196"/>
      <c r="BD88" s="196"/>
    </row>
    <row r="89" s="2" customFormat="1" ht="12.35" hidden="1" spans="1:56">
      <c r="A89" s="21"/>
      <c r="B89" s="22"/>
      <c r="C89" s="22"/>
      <c r="D89" s="34"/>
      <c r="E89" s="22"/>
      <c r="F89" s="22"/>
      <c r="G89" s="22"/>
      <c r="H89" s="22"/>
      <c r="I89" s="22"/>
      <c r="J89" s="22"/>
      <c r="K89" s="22"/>
      <c r="L89" s="22"/>
      <c r="M89" s="22"/>
      <c r="N89" s="22"/>
      <c r="O89" s="22"/>
      <c r="P89" s="22"/>
      <c r="Q89" s="35"/>
      <c r="R89" s="55" t="s">
        <v>3495</v>
      </c>
      <c r="S89" s="59">
        <f t="shared" ref="S89:AG89" si="96">S84-S85</f>
        <v>161084.71</v>
      </c>
      <c r="T89" s="59">
        <f t="shared" si="96"/>
        <v>100997.06</v>
      </c>
      <c r="U89" s="59">
        <f t="shared" si="96"/>
        <v>140607.43</v>
      </c>
      <c r="V89" s="58">
        <f t="shared" si="96"/>
        <v>-39610.37</v>
      </c>
      <c r="W89" s="58">
        <f t="shared" si="96"/>
        <v>-39610.37</v>
      </c>
      <c r="X89" s="58">
        <f t="shared" si="96"/>
        <v>-39610.37</v>
      </c>
      <c r="Y89" s="58">
        <f t="shared" si="96"/>
        <v>-39610.37</v>
      </c>
      <c r="Z89" s="57">
        <f t="shared" si="96"/>
        <v>-39610.37</v>
      </c>
      <c r="AA89" s="68">
        <f t="shared" si="96"/>
        <v>-39610.37</v>
      </c>
      <c r="AB89" s="68">
        <f t="shared" si="96"/>
        <v>-39610.37</v>
      </c>
      <c r="AC89" s="57">
        <f t="shared" si="96"/>
        <v>-39610.37</v>
      </c>
      <c r="AD89" s="57">
        <f t="shared" si="96"/>
        <v>-39610.37</v>
      </c>
      <c r="AE89" s="57">
        <f t="shared" si="96"/>
        <v>-39610.37</v>
      </c>
      <c r="AF89" s="57">
        <f t="shared" si="96"/>
        <v>-39610.37</v>
      </c>
      <c r="AG89" s="57">
        <f t="shared" si="96"/>
        <v>-16216.33</v>
      </c>
      <c r="AH89" s="75"/>
      <c r="AI89" s="75"/>
      <c r="AJ89" s="22"/>
      <c r="AK89" s="22"/>
      <c r="AL89" s="13"/>
      <c r="AM89" s="22"/>
      <c r="AN89" s="22"/>
      <c r="AO89" s="58">
        <f t="shared" ref="AO89:AZ89" si="97">AO84-AO85</f>
        <v>0</v>
      </c>
      <c r="AP89" s="58">
        <f t="shared" si="97"/>
        <v>0</v>
      </c>
      <c r="AQ89" s="58">
        <f t="shared" si="97"/>
        <v>0</v>
      </c>
      <c r="AR89" s="58">
        <f t="shared" si="97"/>
        <v>0</v>
      </c>
      <c r="AS89" s="58">
        <f t="shared" si="97"/>
        <v>0</v>
      </c>
      <c r="AT89" s="58">
        <f t="shared" si="97"/>
        <v>0</v>
      </c>
      <c r="AU89" s="58">
        <f t="shared" si="97"/>
        <v>0</v>
      </c>
      <c r="AV89" s="58">
        <f t="shared" si="97"/>
        <v>0</v>
      </c>
      <c r="AW89" s="58">
        <f t="shared" si="97"/>
        <v>0</v>
      </c>
      <c r="AX89" s="58">
        <f t="shared" si="97"/>
        <v>0</v>
      </c>
      <c r="AY89" s="58">
        <f t="shared" si="97"/>
        <v>-23394.04</v>
      </c>
      <c r="AZ89" s="59">
        <f t="shared" si="97"/>
        <v>-16216.33</v>
      </c>
      <c r="BA89" s="57">
        <v>14096.0699999999</v>
      </c>
      <c r="BB89" s="57">
        <v>361363.579</v>
      </c>
      <c r="BC89" s="57">
        <f>BC84-BC85</f>
        <v>0</v>
      </c>
      <c r="BD89" s="454"/>
    </row>
    <row r="90" s="2" customFormat="1" ht="12.35" hidden="1" spans="1:56">
      <c r="A90" s="21"/>
      <c r="B90" s="22"/>
      <c r="C90" s="22"/>
      <c r="D90" s="34"/>
      <c r="E90" s="22"/>
      <c r="F90" s="22"/>
      <c r="G90" s="22"/>
      <c r="H90" s="22"/>
      <c r="I90" s="22"/>
      <c r="J90" s="22"/>
      <c r="K90" s="22"/>
      <c r="L90" s="22"/>
      <c r="M90" s="22"/>
      <c r="N90" s="22"/>
      <c r="O90" s="22"/>
      <c r="P90" s="22"/>
      <c r="Q90" s="35"/>
      <c r="R90" s="60" t="s">
        <v>3496</v>
      </c>
      <c r="S90" s="61">
        <f t="shared" ref="S90:AG90" si="98">S89/S84</f>
        <v>0.172211610407191</v>
      </c>
      <c r="T90" s="61">
        <f t="shared" si="98"/>
        <v>0.135898967022066</v>
      </c>
      <c r="U90" s="61">
        <f t="shared" si="98"/>
        <v>0.212586991639665</v>
      </c>
      <c r="V90" s="61">
        <f t="shared" si="98"/>
        <v>-0.484434047874014</v>
      </c>
      <c r="W90" s="61">
        <f t="shared" si="98"/>
        <v>-0.484434047874014</v>
      </c>
      <c r="X90" s="61">
        <f t="shared" si="98"/>
        <v>-0.484434047874014</v>
      </c>
      <c r="Y90" s="61">
        <f t="shared" si="98"/>
        <v>-0.484434047874014</v>
      </c>
      <c r="Z90" s="62">
        <f t="shared" si="98"/>
        <v>-0.484434047874014</v>
      </c>
      <c r="AA90" s="69">
        <f t="shared" si="98"/>
        <v>-0.484434047874014</v>
      </c>
      <c r="AB90" s="69">
        <f t="shared" si="98"/>
        <v>-0.484434047874014</v>
      </c>
      <c r="AC90" s="62">
        <f t="shared" si="98"/>
        <v>-0.484434047874014</v>
      </c>
      <c r="AD90" s="62">
        <f t="shared" si="98"/>
        <v>-0.484434047874014</v>
      </c>
      <c r="AE90" s="62">
        <f t="shared" si="98"/>
        <v>-0.484434047874014</v>
      </c>
      <c r="AF90" s="62">
        <f t="shared" si="98"/>
        <v>-0.484434047874014</v>
      </c>
      <c r="AG90" s="62">
        <f t="shared" si="98"/>
        <v>-0.330165107698497</v>
      </c>
      <c r="AH90" s="82">
        <f>T90-S90</f>
        <v>-0.0363126433851256</v>
      </c>
      <c r="AI90" s="82">
        <f>AF90-S90</f>
        <v>-0.656645658281205</v>
      </c>
      <c r="AJ90" s="22"/>
      <c r="AK90" s="22"/>
      <c r="AL90" s="13"/>
      <c r="AM90" s="22"/>
      <c r="AN90" s="22"/>
      <c r="AO90" s="61" t="e">
        <f t="shared" ref="AO90:AZ90" si="99">AO89/AO84</f>
        <v>#DIV/0!</v>
      </c>
      <c r="AP90" s="61" t="e">
        <f t="shared" si="99"/>
        <v>#DIV/0!</v>
      </c>
      <c r="AQ90" s="61" t="e">
        <f t="shared" si="99"/>
        <v>#DIV/0!</v>
      </c>
      <c r="AR90" s="61" t="e">
        <f t="shared" si="99"/>
        <v>#DIV/0!</v>
      </c>
      <c r="AS90" s="61" t="e">
        <f t="shared" si="99"/>
        <v>#DIV/0!</v>
      </c>
      <c r="AT90" s="61" t="e">
        <f t="shared" si="99"/>
        <v>#DIV/0!</v>
      </c>
      <c r="AU90" s="61" t="e">
        <f t="shared" si="99"/>
        <v>#DIV/0!</v>
      </c>
      <c r="AV90" s="61" t="e">
        <f t="shared" si="99"/>
        <v>#DIV/0!</v>
      </c>
      <c r="AW90" s="61" t="e">
        <f t="shared" si="99"/>
        <v>#DIV/0!</v>
      </c>
      <c r="AX90" s="61" t="e">
        <f t="shared" si="99"/>
        <v>#DIV/0!</v>
      </c>
      <c r="AY90" s="61">
        <f t="shared" si="99"/>
        <v>-0.716499553145653</v>
      </c>
      <c r="AZ90" s="61">
        <f t="shared" si="99"/>
        <v>-0.330165107698497</v>
      </c>
      <c r="BA90" s="62">
        <v>0.0347099347559392</v>
      </c>
      <c r="BB90" s="62">
        <v>0.283362651163011</v>
      </c>
      <c r="BC90" s="62" t="e">
        <f>BC89/BC84</f>
        <v>#DIV/0!</v>
      </c>
      <c r="BD90" s="454"/>
    </row>
    <row r="91" s="2" customFormat="1" ht="12.35" hidden="1" spans="1:56">
      <c r="A91" s="21"/>
      <c r="B91" s="22"/>
      <c r="C91" s="22"/>
      <c r="D91" s="34"/>
      <c r="E91" s="22"/>
      <c r="F91" s="22"/>
      <c r="G91" s="22"/>
      <c r="H91" s="22"/>
      <c r="I91" s="22"/>
      <c r="J91" s="22"/>
      <c r="K91" s="22"/>
      <c r="L91" s="22"/>
      <c r="M91" s="22"/>
      <c r="N91" s="22"/>
      <c r="O91" s="22"/>
      <c r="P91" s="22"/>
      <c r="Q91" s="35"/>
      <c r="R91" s="55" t="s">
        <v>3497</v>
      </c>
      <c r="S91" s="58">
        <f t="shared" ref="S91:AG91" si="100">S84-S85-S86-S87</f>
        <v>135584.71</v>
      </c>
      <c r="T91" s="58">
        <f t="shared" si="100"/>
        <v>94544.2999999998</v>
      </c>
      <c r="U91" s="58">
        <f t="shared" si="100"/>
        <v>135648.25</v>
      </c>
      <c r="V91" s="58">
        <f t="shared" si="100"/>
        <v>-41103.95</v>
      </c>
      <c r="W91" s="58">
        <f t="shared" si="100"/>
        <v>-41103.95</v>
      </c>
      <c r="X91" s="58">
        <f t="shared" si="100"/>
        <v>-41103.95</v>
      </c>
      <c r="Y91" s="58">
        <f t="shared" si="100"/>
        <v>-41103.95</v>
      </c>
      <c r="Z91" s="57">
        <f t="shared" si="100"/>
        <v>-41103.95</v>
      </c>
      <c r="AA91" s="68">
        <f t="shared" si="100"/>
        <v>-41103.95</v>
      </c>
      <c r="AB91" s="68">
        <f t="shared" si="100"/>
        <v>-41103.95</v>
      </c>
      <c r="AC91" s="57">
        <f t="shared" si="100"/>
        <v>-41103.95</v>
      </c>
      <c r="AD91" s="57">
        <f t="shared" si="100"/>
        <v>-41103.95</v>
      </c>
      <c r="AE91" s="57">
        <f t="shared" si="100"/>
        <v>-41103.95</v>
      </c>
      <c r="AF91" s="57">
        <f t="shared" si="100"/>
        <v>-41103.95</v>
      </c>
      <c r="AG91" s="57">
        <f t="shared" si="100"/>
        <v>-15672.4</v>
      </c>
      <c r="AH91" s="82"/>
      <c r="AI91" s="82"/>
      <c r="AJ91" s="22"/>
      <c r="AK91" s="22"/>
      <c r="AL91" s="13"/>
      <c r="AM91" s="22"/>
      <c r="AN91" s="22"/>
      <c r="AO91" s="58">
        <f t="shared" ref="AO91:AZ91" si="101">AO84-AO85-AO86-AO87</f>
        <v>0</v>
      </c>
      <c r="AP91" s="58">
        <f t="shared" si="101"/>
        <v>0</v>
      </c>
      <c r="AQ91" s="58">
        <f t="shared" si="101"/>
        <v>0</v>
      </c>
      <c r="AR91" s="58">
        <f t="shared" si="101"/>
        <v>0</v>
      </c>
      <c r="AS91" s="58">
        <f t="shared" si="101"/>
        <v>0</v>
      </c>
      <c r="AT91" s="58">
        <f t="shared" si="101"/>
        <v>0</v>
      </c>
      <c r="AU91" s="58">
        <f t="shared" si="101"/>
        <v>0</v>
      </c>
      <c r="AV91" s="58">
        <f t="shared" si="101"/>
        <v>0</v>
      </c>
      <c r="AW91" s="58">
        <f t="shared" si="101"/>
        <v>0</v>
      </c>
      <c r="AX91" s="58">
        <f t="shared" si="101"/>
        <v>0</v>
      </c>
      <c r="AY91" s="58">
        <f t="shared" si="101"/>
        <v>-25431.55</v>
      </c>
      <c r="AZ91" s="58">
        <f t="shared" si="101"/>
        <v>-15672.4</v>
      </c>
      <c r="BA91" s="57">
        <v>8726.00999999989</v>
      </c>
      <c r="BB91" s="57">
        <v>360137.679</v>
      </c>
      <c r="BC91" s="57">
        <f>BC84-BC85-BC86-BC87</f>
        <v>0</v>
      </c>
      <c r="BD91" s="454"/>
    </row>
    <row r="92" s="2" customFormat="1" ht="12.35" hidden="1" spans="1:56">
      <c r="A92" s="23"/>
      <c r="B92" s="177"/>
      <c r="C92" s="24"/>
      <c r="D92" s="83"/>
      <c r="E92" s="24"/>
      <c r="F92" s="24"/>
      <c r="G92" s="24"/>
      <c r="H92" s="24"/>
      <c r="I92" s="24"/>
      <c r="J92" s="24"/>
      <c r="K92" s="24"/>
      <c r="L92" s="24"/>
      <c r="M92" s="24"/>
      <c r="N92" s="24"/>
      <c r="O92" s="24"/>
      <c r="P92" s="24"/>
      <c r="Q92" s="156"/>
      <c r="R92" s="60" t="s">
        <v>3498</v>
      </c>
      <c r="S92" s="61">
        <f t="shared" ref="S92:AG92" si="102">S91/S84</f>
        <v>0.144950202012916</v>
      </c>
      <c r="T92" s="61">
        <f t="shared" si="102"/>
        <v>0.12721630419563</v>
      </c>
      <c r="U92" s="61">
        <f t="shared" si="102"/>
        <v>0.205089115053772</v>
      </c>
      <c r="V92" s="61">
        <f t="shared" si="102"/>
        <v>-0.502700501967315</v>
      </c>
      <c r="W92" s="61">
        <f t="shared" si="102"/>
        <v>-0.502700501967315</v>
      </c>
      <c r="X92" s="61">
        <f t="shared" si="102"/>
        <v>-0.502700501967315</v>
      </c>
      <c r="Y92" s="61">
        <f t="shared" si="102"/>
        <v>-0.502700501967315</v>
      </c>
      <c r="Z92" s="62">
        <f t="shared" si="102"/>
        <v>-0.502700501967315</v>
      </c>
      <c r="AA92" s="69">
        <f t="shared" si="102"/>
        <v>-0.502700501967315</v>
      </c>
      <c r="AB92" s="69">
        <f t="shared" si="102"/>
        <v>-0.502700501967315</v>
      </c>
      <c r="AC92" s="62">
        <f t="shared" si="102"/>
        <v>-0.502700501967315</v>
      </c>
      <c r="AD92" s="62">
        <f t="shared" si="102"/>
        <v>-0.502700501967315</v>
      </c>
      <c r="AE92" s="62">
        <f t="shared" si="102"/>
        <v>-0.502700501967315</v>
      </c>
      <c r="AF92" s="62">
        <f t="shared" si="102"/>
        <v>-0.502700501967315</v>
      </c>
      <c r="AG92" s="62">
        <f t="shared" si="102"/>
        <v>-0.319090671803912</v>
      </c>
      <c r="AH92" s="82">
        <f>T92-S92</f>
        <v>-0.0177338978172863</v>
      </c>
      <c r="AI92" s="82">
        <f>AF92-S92</f>
        <v>-0.647650703980231</v>
      </c>
      <c r="AJ92" s="24"/>
      <c r="AK92" s="24"/>
      <c r="AL92" s="14"/>
      <c r="AM92" s="24"/>
      <c r="AN92" s="24"/>
      <c r="AO92" s="61" t="e">
        <f t="shared" ref="AO92:AZ92" si="103">AO91/AO84</f>
        <v>#DIV/0!</v>
      </c>
      <c r="AP92" s="61" t="e">
        <f t="shared" si="103"/>
        <v>#DIV/0!</v>
      </c>
      <c r="AQ92" s="61" t="e">
        <f t="shared" si="103"/>
        <v>#DIV/0!</v>
      </c>
      <c r="AR92" s="61" t="e">
        <f t="shared" si="103"/>
        <v>#DIV/0!</v>
      </c>
      <c r="AS92" s="61" t="e">
        <f t="shared" si="103"/>
        <v>#DIV/0!</v>
      </c>
      <c r="AT92" s="61" t="e">
        <f t="shared" si="103"/>
        <v>#DIV/0!</v>
      </c>
      <c r="AU92" s="61" t="e">
        <f t="shared" si="103"/>
        <v>#DIV/0!</v>
      </c>
      <c r="AV92" s="61" t="e">
        <f t="shared" si="103"/>
        <v>#DIV/0!</v>
      </c>
      <c r="AW92" s="61" t="e">
        <f t="shared" si="103"/>
        <v>#DIV/0!</v>
      </c>
      <c r="AX92" s="61" t="e">
        <f t="shared" si="103"/>
        <v>#DIV/0!</v>
      </c>
      <c r="AY92" s="61">
        <f t="shared" si="103"/>
        <v>-0.778903268131597</v>
      </c>
      <c r="AZ92" s="61">
        <f t="shared" si="103"/>
        <v>-0.319090671803912</v>
      </c>
      <c r="BA92" s="62">
        <v>0.0214867858757563</v>
      </c>
      <c r="BB92" s="62">
        <v>0.282401363711126</v>
      </c>
      <c r="BC92" s="62" t="e">
        <f>BC91/BC84</f>
        <v>#DIV/0!</v>
      </c>
      <c r="BD92" s="454"/>
    </row>
    <row r="93" s="2" customFormat="1" ht="12.35" hidden="1" spans="1:56">
      <c r="A93" s="25" t="s">
        <v>597</v>
      </c>
      <c r="B93" s="158" t="s">
        <v>3520</v>
      </c>
      <c r="C93" s="27">
        <v>45658</v>
      </c>
      <c r="D93" s="354">
        <v>46752</v>
      </c>
      <c r="E93" s="26" t="s">
        <v>3521</v>
      </c>
      <c r="F93" s="26" t="s">
        <v>3522</v>
      </c>
      <c r="G93" s="430"/>
      <c r="H93" s="26"/>
      <c r="I93" s="26"/>
      <c r="J93" s="29"/>
      <c r="K93" s="29"/>
      <c r="L93" s="29"/>
      <c r="M93" s="54"/>
      <c r="N93" s="54"/>
      <c r="O93" s="54"/>
      <c r="P93" s="54"/>
      <c r="Q93" s="435" t="s">
        <v>3523</v>
      </c>
      <c r="R93" s="55" t="s">
        <v>3486</v>
      </c>
      <c r="S93" s="56">
        <v>26522100</v>
      </c>
      <c r="T93" s="58">
        <f>SUM(AO93:BC93)</f>
        <v>8119257.36</v>
      </c>
      <c r="U93" s="58">
        <f>SUM(BA93:BC93)</f>
        <v>6939544.64</v>
      </c>
      <c r="V93" s="58">
        <f>SUM(AO93:AZ93)</f>
        <v>1179712.72</v>
      </c>
      <c r="W93" s="58">
        <f>SUM(AP93:AZ93)</f>
        <v>1179712.72</v>
      </c>
      <c r="X93" s="58">
        <f>SUM(AQ93:AZ93)</f>
        <v>1179712.72</v>
      </c>
      <c r="Y93" s="58">
        <f>SUM(AR93:AZ93)</f>
        <v>1179712.72</v>
      </c>
      <c r="Z93" s="70">
        <f>SUM(AS93:AZ93)</f>
        <v>1179712.72</v>
      </c>
      <c r="AA93" s="66">
        <f>SUM(AT93:AZ93)</f>
        <v>1179712.72</v>
      </c>
      <c r="AB93" s="66">
        <f>SUM(AU93:AZ93)</f>
        <v>1179712.72</v>
      </c>
      <c r="AC93" s="70">
        <f>SUM(AV93:AZ93)</f>
        <v>1179712.72</v>
      </c>
      <c r="AD93" s="70">
        <f>SUM(AW93:AZ93)</f>
        <v>1179712.72</v>
      </c>
      <c r="AE93" s="70">
        <f>SUM(AX93:AZ93)</f>
        <v>1179712.72</v>
      </c>
      <c r="AF93" s="70">
        <f>SUM(AY93:AZ93)</f>
        <v>1179712.72</v>
      </c>
      <c r="AG93" s="70">
        <f>SUM(AZ93:AZ93)</f>
        <v>559584.92</v>
      </c>
      <c r="AH93" s="75"/>
      <c r="AI93" s="75"/>
      <c r="AJ93" s="91"/>
      <c r="AK93" s="92" t="s">
        <v>3524</v>
      </c>
      <c r="AL93" s="93" t="s">
        <v>3525</v>
      </c>
      <c r="AM93" s="93" t="s">
        <v>3526</v>
      </c>
      <c r="AN93" s="94"/>
      <c r="AO93" s="58"/>
      <c r="AP93" s="58"/>
      <c r="AQ93" s="58"/>
      <c r="AR93" s="58"/>
      <c r="AS93" s="58"/>
      <c r="AT93" s="58"/>
      <c r="AU93" s="58"/>
      <c r="AV93" s="58"/>
      <c r="AW93" s="58"/>
      <c r="AX93" s="58"/>
      <c r="AY93" s="58">
        <v>620127.8</v>
      </c>
      <c r="AZ93" s="369">
        <v>559584.92</v>
      </c>
      <c r="BA93" s="492">
        <v>6939544.64</v>
      </c>
      <c r="BB93" s="492"/>
      <c r="BC93" s="457"/>
      <c r="BD93" s="454"/>
    </row>
    <row r="94" s="2" customFormat="1" ht="12.35" hidden="1" spans="1:56">
      <c r="A94" s="21"/>
      <c r="B94" s="22"/>
      <c r="C94" s="22"/>
      <c r="D94" s="34"/>
      <c r="E94" s="22"/>
      <c r="F94" s="22"/>
      <c r="G94" s="22"/>
      <c r="H94" s="22"/>
      <c r="I94" s="22"/>
      <c r="J94" s="22"/>
      <c r="K94" s="22"/>
      <c r="L94" s="22"/>
      <c r="M94" s="22"/>
      <c r="N94" s="22"/>
      <c r="O94" s="22"/>
      <c r="P94" s="22"/>
      <c r="Q94" s="35"/>
      <c r="R94" s="55" t="s">
        <v>3490</v>
      </c>
      <c r="S94" s="56">
        <f>20674440.84+1326105</f>
        <v>22000545.84</v>
      </c>
      <c r="T94" s="58">
        <f>SUM(AO94:BC94)</f>
        <v>7430720.38</v>
      </c>
      <c r="U94" s="58">
        <f>SUM(BA94:BC94)</f>
        <v>6063410.2</v>
      </c>
      <c r="V94" s="58">
        <f>SUM(AO94:AZ94)</f>
        <v>1367310.18</v>
      </c>
      <c r="W94" s="58">
        <f>SUM(AP94:AZ94)</f>
        <v>1367310.18</v>
      </c>
      <c r="X94" s="58">
        <f>SUM(AQ94:AZ94)</f>
        <v>1367310.18</v>
      </c>
      <c r="Y94" s="58">
        <f>SUM(AR94:AZ94)</f>
        <v>1367310.18</v>
      </c>
      <c r="Z94" s="70">
        <f>SUM(AS94:AZ94)</f>
        <v>1367310.18</v>
      </c>
      <c r="AA94" s="66">
        <f>SUM(AT94:AZ94)</f>
        <v>1367310.18</v>
      </c>
      <c r="AB94" s="66">
        <f>SUM(AU94:AZ94)</f>
        <v>1367310.18</v>
      </c>
      <c r="AC94" s="70">
        <f>SUM(AV94:AZ94)</f>
        <v>1367310.18</v>
      </c>
      <c r="AD94" s="70">
        <f>SUM(AW94:AZ94)</f>
        <v>1367310.18</v>
      </c>
      <c r="AE94" s="70">
        <f>SUM(AX94:AZ94)</f>
        <v>1367310.18</v>
      </c>
      <c r="AF94" s="70">
        <f>SUM(AY94:AZ94)</f>
        <v>1367310.18</v>
      </c>
      <c r="AG94" s="70">
        <f>SUM(AZ94:AZ94)</f>
        <v>544405.31</v>
      </c>
      <c r="AH94" s="75"/>
      <c r="AI94" s="75"/>
      <c r="AJ94" s="22"/>
      <c r="AK94" s="34"/>
      <c r="AL94" s="13"/>
      <c r="AM94" s="13"/>
      <c r="AN94" s="22"/>
      <c r="AO94" s="58"/>
      <c r="AP94" s="58"/>
      <c r="AQ94" s="58"/>
      <c r="AR94" s="58"/>
      <c r="AS94" s="58"/>
      <c r="AT94" s="58"/>
      <c r="AU94" s="58"/>
      <c r="AV94" s="58"/>
      <c r="AW94" s="58"/>
      <c r="AX94" s="58"/>
      <c r="AY94" s="58">
        <v>822904.87</v>
      </c>
      <c r="AZ94" s="369">
        <v>544405.31</v>
      </c>
      <c r="BA94" s="492">
        <v>6063410.2</v>
      </c>
      <c r="BB94" s="492"/>
      <c r="BC94" s="456"/>
      <c r="BD94" s="454"/>
    </row>
    <row r="95" s="2" customFormat="1" ht="12.35" hidden="1" spans="1:56">
      <c r="A95" s="21"/>
      <c r="B95" s="22"/>
      <c r="C95" s="22"/>
      <c r="D95" s="34"/>
      <c r="E95" s="22"/>
      <c r="F95" s="22"/>
      <c r="G95" s="22"/>
      <c r="H95" s="22"/>
      <c r="I95" s="22"/>
      <c r="J95" s="22"/>
      <c r="K95" s="22"/>
      <c r="L95" s="22"/>
      <c r="M95" s="22"/>
      <c r="N95" s="22"/>
      <c r="O95" s="22"/>
      <c r="P95" s="22"/>
      <c r="Q95" s="35"/>
      <c r="R95" s="55" t="s">
        <v>3492</v>
      </c>
      <c r="S95" s="56">
        <v>67000</v>
      </c>
      <c r="T95" s="58">
        <f>SUM(AO95:BC95)</f>
        <v>0</v>
      </c>
      <c r="U95" s="58">
        <f>SUM(BA95:BC95)</f>
        <v>0</v>
      </c>
      <c r="V95" s="58">
        <f>SUM(AO95:AZ95)</f>
        <v>0</v>
      </c>
      <c r="W95" s="58">
        <f>SUM(AP95:AZ95)</f>
        <v>0</v>
      </c>
      <c r="X95" s="58">
        <f>SUM(AQ95:AZ95)</f>
        <v>0</v>
      </c>
      <c r="Y95" s="58">
        <f>SUM(AR95:AZ95)</f>
        <v>0</v>
      </c>
      <c r="Z95" s="70">
        <f>SUM(AS95:AZ95)</f>
        <v>0</v>
      </c>
      <c r="AA95" s="66">
        <f>SUM(AT95:AZ95)</f>
        <v>0</v>
      </c>
      <c r="AB95" s="66">
        <f>SUM(AU95:AZ95)</f>
        <v>0</v>
      </c>
      <c r="AC95" s="70">
        <f>SUM(AV95:AZ95)</f>
        <v>0</v>
      </c>
      <c r="AD95" s="70">
        <f>SUM(AW95:AZ95)</f>
        <v>0</v>
      </c>
      <c r="AE95" s="70">
        <f>SUM(AX95:AZ95)</f>
        <v>0</v>
      </c>
      <c r="AF95" s="70">
        <f>SUM(AY95:AZ95)</f>
        <v>0</v>
      </c>
      <c r="AG95" s="70">
        <f>SUM(AZ95:AZ95)</f>
        <v>0</v>
      </c>
      <c r="AH95" s="75"/>
      <c r="AI95" s="75"/>
      <c r="AJ95" s="22"/>
      <c r="AK95" s="34"/>
      <c r="AL95" s="13"/>
      <c r="AM95" s="13"/>
      <c r="AN95" s="22"/>
      <c r="AO95" s="58"/>
      <c r="AP95" s="58"/>
      <c r="AQ95" s="58"/>
      <c r="AR95" s="58"/>
      <c r="AS95" s="58"/>
      <c r="AT95" s="58"/>
      <c r="AU95" s="58"/>
      <c r="AV95" s="58"/>
      <c r="AW95" s="58"/>
      <c r="AX95" s="58"/>
      <c r="AY95" s="58">
        <v>0</v>
      </c>
      <c r="AZ95" s="369">
        <v>0</v>
      </c>
      <c r="BA95" s="457">
        <v>0</v>
      </c>
      <c r="BB95" s="457"/>
      <c r="BC95" s="456"/>
      <c r="BD95" s="454"/>
    </row>
    <row r="96" s="2" customFormat="1" ht="12.35" hidden="1" spans="1:56">
      <c r="A96" s="21"/>
      <c r="B96" s="22"/>
      <c r="C96" s="22"/>
      <c r="D96" s="34"/>
      <c r="E96" s="22"/>
      <c r="F96" s="22"/>
      <c r="G96" s="22"/>
      <c r="H96" s="22"/>
      <c r="I96" s="22"/>
      <c r="J96" s="22"/>
      <c r="K96" s="22"/>
      <c r="L96" s="22"/>
      <c r="M96" s="22"/>
      <c r="N96" s="22"/>
      <c r="O96" s="22"/>
      <c r="P96" s="22"/>
      <c r="Q96" s="35"/>
      <c r="R96" s="55" t="s">
        <v>3493</v>
      </c>
      <c r="S96" s="56">
        <f>6300+6200</f>
        <v>12500</v>
      </c>
      <c r="T96" s="58">
        <f>SUM(AO96:BC96)</f>
        <v>115764.51</v>
      </c>
      <c r="U96" s="58">
        <f>SUM(BA96:BC96)</f>
        <v>108789.18</v>
      </c>
      <c r="V96" s="58">
        <f>SUM(AO96:AZ96)</f>
        <v>6975.33</v>
      </c>
      <c r="W96" s="58">
        <f>SUM(AP96:AZ96)</f>
        <v>6975.33</v>
      </c>
      <c r="X96" s="58">
        <f>SUM(AQ96:AZ96)</f>
        <v>6975.33</v>
      </c>
      <c r="Y96" s="58">
        <f>SUM(AR96:AZ96)</f>
        <v>6975.33</v>
      </c>
      <c r="Z96" s="70">
        <f>SUM(AS96:AZ96)</f>
        <v>6975.33</v>
      </c>
      <c r="AA96" s="66">
        <f>SUM(AT96:AZ96)</f>
        <v>6975.33</v>
      </c>
      <c r="AB96" s="66">
        <f>SUM(AU96:AZ96)</f>
        <v>6975.33</v>
      </c>
      <c r="AC96" s="70">
        <f>SUM(AV96:AZ96)</f>
        <v>6975.33</v>
      </c>
      <c r="AD96" s="70">
        <f>SUM(AW96:AZ96)</f>
        <v>6975.33</v>
      </c>
      <c r="AE96" s="70">
        <f>SUM(AX96:AZ96)</f>
        <v>6975.33</v>
      </c>
      <c r="AF96" s="70">
        <f>SUM(AY96:AZ96)</f>
        <v>6975.33</v>
      </c>
      <c r="AG96" s="70">
        <f>SUM(AZ96:AZ96)</f>
        <v>2256.52</v>
      </c>
      <c r="AH96" s="75"/>
      <c r="AI96" s="75"/>
      <c r="AJ96" s="22"/>
      <c r="AK96" s="34"/>
      <c r="AL96" s="13"/>
      <c r="AM96" s="13"/>
      <c r="AN96" s="22"/>
      <c r="AO96" s="58"/>
      <c r="AP96" s="58"/>
      <c r="AQ96" s="58"/>
      <c r="AR96" s="58"/>
      <c r="AS96" s="58"/>
      <c r="AT96" s="58"/>
      <c r="AU96" s="58"/>
      <c r="AV96" s="58"/>
      <c r="AW96" s="58"/>
      <c r="AX96" s="58"/>
      <c r="AY96" s="58">
        <v>4718.81</v>
      </c>
      <c r="AZ96" s="369">
        <v>2256.52</v>
      </c>
      <c r="BA96" s="105">
        <v>108789.18</v>
      </c>
      <c r="BB96" s="105"/>
      <c r="BC96" s="456"/>
      <c r="BD96" s="493"/>
    </row>
    <row r="97" ht="14.25" hidden="1" customHeight="1" spans="1:56">
      <c r="A97" s="21"/>
      <c r="B97" s="22"/>
      <c r="C97" s="22"/>
      <c r="D97" s="34"/>
      <c r="E97" s="22"/>
      <c r="F97" s="22"/>
      <c r="G97" s="22"/>
      <c r="H97" s="22"/>
      <c r="I97" s="22"/>
      <c r="J97" s="22"/>
      <c r="K97" s="22"/>
      <c r="L97" s="22"/>
      <c r="M97" s="22"/>
      <c r="N97" s="22"/>
      <c r="O97" s="22"/>
      <c r="P97" s="22"/>
      <c r="Q97" s="35"/>
      <c r="R97" s="213" t="s">
        <v>3494</v>
      </c>
      <c r="S97" s="214">
        <f t="shared" ref="S97:AI97" si="104">SUM(S94:S96)</f>
        <v>22080045.84</v>
      </c>
      <c r="T97" s="214">
        <f t="shared" si="104"/>
        <v>7546484.89</v>
      </c>
      <c r="U97" s="214">
        <f t="shared" si="104"/>
        <v>6172199.38</v>
      </c>
      <c r="V97" s="214">
        <f t="shared" si="104"/>
        <v>1374285.51</v>
      </c>
      <c r="W97" s="214">
        <f t="shared" si="104"/>
        <v>1374285.51</v>
      </c>
      <c r="X97" s="214">
        <f t="shared" si="104"/>
        <v>1374285.51</v>
      </c>
      <c r="Y97" s="214">
        <f t="shared" si="104"/>
        <v>1374285.51</v>
      </c>
      <c r="Z97" s="214">
        <f t="shared" si="104"/>
        <v>1374285.51</v>
      </c>
      <c r="AA97" s="214">
        <f t="shared" si="104"/>
        <v>1374285.51</v>
      </c>
      <c r="AB97" s="214">
        <f t="shared" si="104"/>
        <v>1374285.51</v>
      </c>
      <c r="AC97" s="214">
        <f t="shared" si="104"/>
        <v>1374285.51</v>
      </c>
      <c r="AD97" s="214">
        <f t="shared" si="104"/>
        <v>1374285.51</v>
      </c>
      <c r="AE97" s="214">
        <f t="shared" si="104"/>
        <v>1374285.51</v>
      </c>
      <c r="AF97" s="214">
        <f t="shared" si="104"/>
        <v>1374285.51</v>
      </c>
      <c r="AG97" s="214">
        <f t="shared" si="104"/>
        <v>546661.83</v>
      </c>
      <c r="AH97" s="214">
        <f t="shared" si="104"/>
        <v>0</v>
      </c>
      <c r="AI97" s="214">
        <f t="shared" si="104"/>
        <v>0</v>
      </c>
      <c r="AJ97" s="22"/>
      <c r="AK97" s="34"/>
      <c r="AL97" s="13"/>
      <c r="AM97" s="13"/>
      <c r="AN97" s="22"/>
      <c r="AO97" s="214">
        <f t="shared" ref="AO97:BA97" si="105">SUM(AO94:AO96)</f>
        <v>0</v>
      </c>
      <c r="AP97" s="214">
        <f t="shared" si="105"/>
        <v>0</v>
      </c>
      <c r="AQ97" s="214">
        <f t="shared" si="105"/>
        <v>0</v>
      </c>
      <c r="AR97" s="214">
        <f t="shared" si="105"/>
        <v>0</v>
      </c>
      <c r="AS97" s="214">
        <f t="shared" si="105"/>
        <v>0</v>
      </c>
      <c r="AT97" s="214">
        <f t="shared" si="105"/>
        <v>0</v>
      </c>
      <c r="AU97" s="214">
        <f t="shared" si="105"/>
        <v>0</v>
      </c>
      <c r="AV97" s="214">
        <f t="shared" si="105"/>
        <v>0</v>
      </c>
      <c r="AW97" s="214">
        <f t="shared" si="105"/>
        <v>0</v>
      </c>
      <c r="AX97" s="214">
        <f t="shared" si="105"/>
        <v>0</v>
      </c>
      <c r="AY97" s="214">
        <f t="shared" si="105"/>
        <v>827623.68</v>
      </c>
      <c r="AZ97" s="450">
        <f t="shared" si="105"/>
        <v>546661.83</v>
      </c>
      <c r="BA97" s="451">
        <f t="shared" si="105"/>
        <v>6172199.38</v>
      </c>
      <c r="BB97" s="57"/>
      <c r="BC97" s="196"/>
      <c r="BD97" s="196"/>
    </row>
    <row r="98" s="2" customFormat="1" ht="13.85" hidden="1" spans="1:57">
      <c r="A98" s="21"/>
      <c r="B98" s="22"/>
      <c r="C98" s="22"/>
      <c r="D98" s="34"/>
      <c r="E98" s="22"/>
      <c r="F98" s="22"/>
      <c r="G98" s="22"/>
      <c r="H98" s="22"/>
      <c r="I98" s="22"/>
      <c r="J98" s="22"/>
      <c r="K98" s="22"/>
      <c r="L98" s="22"/>
      <c r="M98" s="22"/>
      <c r="N98" s="22"/>
      <c r="O98" s="22"/>
      <c r="P98" s="22"/>
      <c r="Q98" s="35"/>
      <c r="R98" s="55" t="s">
        <v>3495</v>
      </c>
      <c r="S98" s="59">
        <f t="shared" ref="S98:AG98" si="106">S93-S94</f>
        <v>4521554.16</v>
      </c>
      <c r="T98" s="58">
        <f t="shared" si="106"/>
        <v>688536.979999999</v>
      </c>
      <c r="U98" s="58">
        <f t="shared" si="106"/>
        <v>876134.439999999</v>
      </c>
      <c r="V98" s="58">
        <f t="shared" si="106"/>
        <v>-187597.46</v>
      </c>
      <c r="W98" s="58">
        <f t="shared" si="106"/>
        <v>-187597.46</v>
      </c>
      <c r="X98" s="58">
        <f t="shared" si="106"/>
        <v>-187597.46</v>
      </c>
      <c r="Y98" s="58">
        <f t="shared" si="106"/>
        <v>-187597.46</v>
      </c>
      <c r="Z98" s="57">
        <f t="shared" si="106"/>
        <v>-187597.46</v>
      </c>
      <c r="AA98" s="68">
        <f t="shared" si="106"/>
        <v>-187597.46</v>
      </c>
      <c r="AB98" s="68">
        <f t="shared" si="106"/>
        <v>-187597.46</v>
      </c>
      <c r="AC98" s="57">
        <f t="shared" si="106"/>
        <v>-187597.46</v>
      </c>
      <c r="AD98" s="57">
        <f t="shared" si="106"/>
        <v>-187597.46</v>
      </c>
      <c r="AE98" s="57">
        <f t="shared" si="106"/>
        <v>-187597.46</v>
      </c>
      <c r="AF98" s="57">
        <f t="shared" si="106"/>
        <v>-187597.46</v>
      </c>
      <c r="AG98" s="57">
        <f t="shared" si="106"/>
        <v>15179.61</v>
      </c>
      <c r="AH98" s="75"/>
      <c r="AI98" s="75"/>
      <c r="AJ98" s="22"/>
      <c r="AK98" s="34"/>
      <c r="AL98" s="13"/>
      <c r="AM98" s="13"/>
      <c r="AN98" s="22"/>
      <c r="AO98" s="58">
        <f t="shared" ref="AO98:AZ98" si="107">AO93-AO94</f>
        <v>0</v>
      </c>
      <c r="AP98" s="58">
        <f t="shared" si="107"/>
        <v>0</v>
      </c>
      <c r="AQ98" s="58">
        <f t="shared" si="107"/>
        <v>0</v>
      </c>
      <c r="AR98" s="58">
        <f t="shared" si="107"/>
        <v>0</v>
      </c>
      <c r="AS98" s="58">
        <f t="shared" si="107"/>
        <v>0</v>
      </c>
      <c r="AT98" s="58">
        <f t="shared" si="107"/>
        <v>0</v>
      </c>
      <c r="AU98" s="58">
        <f t="shared" si="107"/>
        <v>0</v>
      </c>
      <c r="AV98" s="58">
        <f t="shared" si="107"/>
        <v>0</v>
      </c>
      <c r="AW98" s="58">
        <f t="shared" si="107"/>
        <v>0</v>
      </c>
      <c r="AX98" s="58">
        <f t="shared" si="107"/>
        <v>0</v>
      </c>
      <c r="AY98" s="58">
        <f t="shared" si="107"/>
        <v>-202777.07</v>
      </c>
      <c r="AZ98" s="369">
        <f t="shared" si="107"/>
        <v>15179.61</v>
      </c>
      <c r="BA98" s="57">
        <v>876134.439999999</v>
      </c>
      <c r="BB98" s="57"/>
      <c r="BC98" s="57"/>
      <c r="BD98" s="494"/>
      <c r="BE98" s="131"/>
    </row>
    <row r="99" s="2" customFormat="1" ht="14.6" hidden="1" spans="1:57">
      <c r="A99" s="21"/>
      <c r="B99" s="22"/>
      <c r="C99" s="22"/>
      <c r="D99" s="34"/>
      <c r="E99" s="22"/>
      <c r="F99" s="22"/>
      <c r="G99" s="22"/>
      <c r="H99" s="22"/>
      <c r="I99" s="22"/>
      <c r="J99" s="22"/>
      <c r="K99" s="22"/>
      <c r="L99" s="22"/>
      <c r="M99" s="22"/>
      <c r="N99" s="22"/>
      <c r="O99" s="22"/>
      <c r="P99" s="22"/>
      <c r="Q99" s="35"/>
      <c r="R99" s="60" t="s">
        <v>3496</v>
      </c>
      <c r="S99" s="61">
        <f t="shared" ref="S99:AG99" si="108">S98/S93</f>
        <v>0.170482509303562</v>
      </c>
      <c r="T99" s="61">
        <f t="shared" si="108"/>
        <v>0.0848029505003889</v>
      </c>
      <c r="U99" s="61">
        <f t="shared" si="108"/>
        <v>0.126252439526061</v>
      </c>
      <c r="V99" s="61">
        <f t="shared" si="108"/>
        <v>-0.159019612842693</v>
      </c>
      <c r="W99" s="61">
        <f t="shared" si="108"/>
        <v>-0.159019612842693</v>
      </c>
      <c r="X99" s="61">
        <f t="shared" si="108"/>
        <v>-0.159019612842693</v>
      </c>
      <c r="Y99" s="61">
        <f t="shared" si="108"/>
        <v>-0.159019612842693</v>
      </c>
      <c r="Z99" s="62">
        <f t="shared" si="108"/>
        <v>-0.159019612842693</v>
      </c>
      <c r="AA99" s="69">
        <f t="shared" si="108"/>
        <v>-0.159019612842693</v>
      </c>
      <c r="AB99" s="69">
        <f t="shared" si="108"/>
        <v>-0.159019612842693</v>
      </c>
      <c r="AC99" s="62">
        <f t="shared" si="108"/>
        <v>-0.159019612842693</v>
      </c>
      <c r="AD99" s="62">
        <f t="shared" si="108"/>
        <v>-0.159019612842693</v>
      </c>
      <c r="AE99" s="62">
        <f t="shared" si="108"/>
        <v>-0.159019612842693</v>
      </c>
      <c r="AF99" s="62">
        <f t="shared" si="108"/>
        <v>-0.159019612842693</v>
      </c>
      <c r="AG99" s="62">
        <f t="shared" si="108"/>
        <v>0.0271265530171899</v>
      </c>
      <c r="AH99" s="82">
        <f>T99-S99</f>
        <v>-0.085679558803173</v>
      </c>
      <c r="AI99" s="82">
        <f>AF99-S99</f>
        <v>-0.329502122146255</v>
      </c>
      <c r="AJ99" s="22"/>
      <c r="AK99" s="34"/>
      <c r="AL99" s="13"/>
      <c r="AM99" s="13"/>
      <c r="AN99" s="22"/>
      <c r="AO99" s="61" t="e">
        <f t="shared" ref="AO99:AZ99" si="109">AO98/AO93</f>
        <v>#DIV/0!</v>
      </c>
      <c r="AP99" s="61" t="e">
        <f t="shared" si="109"/>
        <v>#DIV/0!</v>
      </c>
      <c r="AQ99" s="61" t="e">
        <f t="shared" si="109"/>
        <v>#DIV/0!</v>
      </c>
      <c r="AR99" s="61" t="e">
        <f t="shared" si="109"/>
        <v>#DIV/0!</v>
      </c>
      <c r="AS99" s="61" t="e">
        <f t="shared" si="109"/>
        <v>#DIV/0!</v>
      </c>
      <c r="AT99" s="61" t="e">
        <f t="shared" si="109"/>
        <v>#DIV/0!</v>
      </c>
      <c r="AU99" s="61" t="e">
        <f t="shared" si="109"/>
        <v>#DIV/0!</v>
      </c>
      <c r="AV99" s="61" t="e">
        <f t="shared" si="109"/>
        <v>#DIV/0!</v>
      </c>
      <c r="AW99" s="61" t="e">
        <f t="shared" si="109"/>
        <v>#DIV/0!</v>
      </c>
      <c r="AX99" s="61" t="e">
        <f t="shared" si="109"/>
        <v>#DIV/0!</v>
      </c>
      <c r="AY99" s="61">
        <f t="shared" si="109"/>
        <v>-0.326992387698149</v>
      </c>
      <c r="AZ99" s="452">
        <f t="shared" si="109"/>
        <v>0.0271265530171899</v>
      </c>
      <c r="BA99" s="62">
        <v>0.126252439526061</v>
      </c>
      <c r="BB99" s="62"/>
      <c r="BC99" s="62"/>
      <c r="BD99" s="495"/>
      <c r="BE99" s="133"/>
    </row>
    <row r="100" s="2" customFormat="1" ht="14.6" hidden="1" spans="1:57">
      <c r="A100" s="21"/>
      <c r="B100" s="22"/>
      <c r="C100" s="22"/>
      <c r="D100" s="34"/>
      <c r="E100" s="22"/>
      <c r="F100" s="22"/>
      <c r="G100" s="22"/>
      <c r="H100" s="22"/>
      <c r="I100" s="22"/>
      <c r="J100" s="22"/>
      <c r="K100" s="22"/>
      <c r="L100" s="22"/>
      <c r="M100" s="22"/>
      <c r="N100" s="22"/>
      <c r="O100" s="22"/>
      <c r="P100" s="22"/>
      <c r="Q100" s="35"/>
      <c r="R100" s="55" t="s">
        <v>3497</v>
      </c>
      <c r="S100" s="58">
        <f t="shared" ref="S100:AG100" si="110">S93-S94-S95-S96</f>
        <v>4442054.16</v>
      </c>
      <c r="T100" s="58">
        <f t="shared" si="110"/>
        <v>572772.469999999</v>
      </c>
      <c r="U100" s="58">
        <f t="shared" si="110"/>
        <v>767345.26</v>
      </c>
      <c r="V100" s="58">
        <f t="shared" si="110"/>
        <v>-194572.79</v>
      </c>
      <c r="W100" s="58">
        <f t="shared" si="110"/>
        <v>-194572.79</v>
      </c>
      <c r="X100" s="58">
        <f t="shared" si="110"/>
        <v>-194572.79</v>
      </c>
      <c r="Y100" s="58">
        <f t="shared" si="110"/>
        <v>-194572.79</v>
      </c>
      <c r="Z100" s="57">
        <f t="shared" si="110"/>
        <v>-194572.79</v>
      </c>
      <c r="AA100" s="68">
        <f t="shared" si="110"/>
        <v>-194572.79</v>
      </c>
      <c r="AB100" s="68">
        <f t="shared" si="110"/>
        <v>-194572.79</v>
      </c>
      <c r="AC100" s="57">
        <f t="shared" si="110"/>
        <v>-194572.79</v>
      </c>
      <c r="AD100" s="57">
        <f t="shared" si="110"/>
        <v>-194572.79</v>
      </c>
      <c r="AE100" s="57">
        <f t="shared" si="110"/>
        <v>-194572.79</v>
      </c>
      <c r="AF100" s="57">
        <f t="shared" si="110"/>
        <v>-194572.79</v>
      </c>
      <c r="AG100" s="57">
        <f t="shared" si="110"/>
        <v>12923.09</v>
      </c>
      <c r="AH100" s="82"/>
      <c r="AI100" s="82"/>
      <c r="AJ100" s="22"/>
      <c r="AK100" s="34"/>
      <c r="AL100" s="13"/>
      <c r="AM100" s="13"/>
      <c r="AN100" s="22"/>
      <c r="AO100" s="58">
        <f t="shared" ref="AO100:AZ100" si="111">AO93-AO94-AO95-AO96</f>
        <v>0</v>
      </c>
      <c r="AP100" s="58">
        <f t="shared" si="111"/>
        <v>0</v>
      </c>
      <c r="AQ100" s="58">
        <f t="shared" si="111"/>
        <v>0</v>
      </c>
      <c r="AR100" s="58">
        <f t="shared" si="111"/>
        <v>0</v>
      </c>
      <c r="AS100" s="58">
        <f t="shared" si="111"/>
        <v>0</v>
      </c>
      <c r="AT100" s="58">
        <f t="shared" si="111"/>
        <v>0</v>
      </c>
      <c r="AU100" s="58">
        <f t="shared" si="111"/>
        <v>0</v>
      </c>
      <c r="AV100" s="58">
        <f t="shared" si="111"/>
        <v>0</v>
      </c>
      <c r="AW100" s="58">
        <f t="shared" si="111"/>
        <v>0</v>
      </c>
      <c r="AX100" s="58">
        <f t="shared" si="111"/>
        <v>0</v>
      </c>
      <c r="AY100" s="58">
        <f t="shared" si="111"/>
        <v>-207495.88</v>
      </c>
      <c r="AZ100" s="369">
        <f t="shared" si="111"/>
        <v>12923.09</v>
      </c>
      <c r="BA100" s="57">
        <v>767345.259999998</v>
      </c>
      <c r="BB100" s="57"/>
      <c r="BC100" s="57"/>
      <c r="BD100" s="454"/>
      <c r="BE100" s="134"/>
    </row>
    <row r="101" s="2" customFormat="1" ht="14.6" hidden="1" spans="1:57">
      <c r="A101" s="23"/>
      <c r="B101" s="24"/>
      <c r="C101" s="24"/>
      <c r="D101" s="83"/>
      <c r="E101" s="24"/>
      <c r="F101" s="24"/>
      <c r="G101" s="24"/>
      <c r="H101" s="24"/>
      <c r="I101" s="24"/>
      <c r="J101" s="24"/>
      <c r="K101" s="24"/>
      <c r="L101" s="24"/>
      <c r="M101" s="24"/>
      <c r="N101" s="24"/>
      <c r="O101" s="24"/>
      <c r="P101" s="24"/>
      <c r="Q101" s="156"/>
      <c r="R101" s="60" t="s">
        <v>3498</v>
      </c>
      <c r="S101" s="61">
        <f t="shared" ref="S101:AG101" si="112">S100/S93</f>
        <v>0.167485009105614</v>
      </c>
      <c r="T101" s="61">
        <f t="shared" si="112"/>
        <v>0.0705449334346508</v>
      </c>
      <c r="U101" s="61">
        <f t="shared" si="112"/>
        <v>0.110575736565908</v>
      </c>
      <c r="V101" s="61">
        <f t="shared" si="112"/>
        <v>-0.164932348953566</v>
      </c>
      <c r="W101" s="61">
        <f t="shared" si="112"/>
        <v>-0.164932348953566</v>
      </c>
      <c r="X101" s="61">
        <f t="shared" si="112"/>
        <v>-0.164932348953566</v>
      </c>
      <c r="Y101" s="61">
        <f t="shared" si="112"/>
        <v>-0.164932348953566</v>
      </c>
      <c r="Z101" s="62">
        <f t="shared" si="112"/>
        <v>-0.164932348953566</v>
      </c>
      <c r="AA101" s="69">
        <f t="shared" si="112"/>
        <v>-0.164932348953566</v>
      </c>
      <c r="AB101" s="69">
        <f t="shared" si="112"/>
        <v>-0.164932348953566</v>
      </c>
      <c r="AC101" s="62">
        <f t="shared" si="112"/>
        <v>-0.164932348953566</v>
      </c>
      <c r="AD101" s="62">
        <f t="shared" si="112"/>
        <v>-0.164932348953566</v>
      </c>
      <c r="AE101" s="62">
        <f t="shared" si="112"/>
        <v>-0.164932348953566</v>
      </c>
      <c r="AF101" s="62">
        <f t="shared" si="112"/>
        <v>-0.164932348953566</v>
      </c>
      <c r="AG101" s="62">
        <f t="shared" si="112"/>
        <v>0.0230940640787818</v>
      </c>
      <c r="AH101" s="82">
        <f>T101-S101</f>
        <v>-0.096940075670963</v>
      </c>
      <c r="AI101" s="82">
        <f>AF101-S101</f>
        <v>-0.332417358059179</v>
      </c>
      <c r="AJ101" s="24"/>
      <c r="AK101" s="83"/>
      <c r="AL101" s="14"/>
      <c r="AM101" s="14"/>
      <c r="AN101" s="24"/>
      <c r="AO101" s="61" t="e">
        <f t="shared" ref="AO101:AZ101" si="113">AO100/AO93</f>
        <v>#DIV/0!</v>
      </c>
      <c r="AP101" s="61" t="e">
        <f t="shared" si="113"/>
        <v>#DIV/0!</v>
      </c>
      <c r="AQ101" s="61" t="e">
        <f t="shared" si="113"/>
        <v>#DIV/0!</v>
      </c>
      <c r="AR101" s="61" t="e">
        <f t="shared" si="113"/>
        <v>#DIV/0!</v>
      </c>
      <c r="AS101" s="61" t="e">
        <f t="shared" si="113"/>
        <v>#DIV/0!</v>
      </c>
      <c r="AT101" s="61" t="e">
        <f t="shared" si="113"/>
        <v>#DIV/0!</v>
      </c>
      <c r="AU101" s="61" t="e">
        <f t="shared" si="113"/>
        <v>#DIV/0!</v>
      </c>
      <c r="AV101" s="61" t="e">
        <f t="shared" si="113"/>
        <v>#DIV/0!</v>
      </c>
      <c r="AW101" s="61" t="e">
        <f t="shared" si="113"/>
        <v>#DIV/0!</v>
      </c>
      <c r="AX101" s="61" t="e">
        <f t="shared" si="113"/>
        <v>#DIV/0!</v>
      </c>
      <c r="AY101" s="61">
        <f t="shared" si="113"/>
        <v>-0.334601803047694</v>
      </c>
      <c r="AZ101" s="452">
        <f t="shared" si="113"/>
        <v>0.0230940640787818</v>
      </c>
      <c r="BA101" s="62">
        <v>0.110575736565908</v>
      </c>
      <c r="BB101" s="62"/>
      <c r="BC101" s="62"/>
      <c r="BD101" s="495"/>
      <c r="BE101" s="133"/>
    </row>
    <row r="102" s="2" customFormat="1" ht="12.35" hidden="1" spans="1:56">
      <c r="A102" s="462" t="s">
        <v>454</v>
      </c>
      <c r="B102" s="463" t="s">
        <v>455</v>
      </c>
      <c r="C102" s="464">
        <v>45658</v>
      </c>
      <c r="D102" s="465">
        <v>46022</v>
      </c>
      <c r="E102" s="466" t="s">
        <v>3484</v>
      </c>
      <c r="F102" s="466" t="s">
        <v>3484</v>
      </c>
      <c r="G102" s="467"/>
      <c r="H102" s="466"/>
      <c r="I102" s="466"/>
      <c r="J102" s="464"/>
      <c r="K102" s="464"/>
      <c r="L102" s="464"/>
      <c r="M102" s="471"/>
      <c r="N102" s="471"/>
      <c r="O102" s="471"/>
      <c r="P102" s="471"/>
      <c r="Q102" s="472" t="s">
        <v>3485</v>
      </c>
      <c r="R102" s="473" t="s">
        <v>3486</v>
      </c>
      <c r="S102" s="474">
        <v>6011239.35</v>
      </c>
      <c r="T102" s="375">
        <f>SUM(AO102:BC102)</f>
        <v>2293604.18</v>
      </c>
      <c r="U102" s="375">
        <f>SUM(BA102:BC102)</f>
        <v>2293604.18</v>
      </c>
      <c r="V102" s="375">
        <f>SUM(AO102:AZ102)</f>
        <v>0</v>
      </c>
      <c r="W102" s="375">
        <f>SUM(AP102:AZ102)</f>
        <v>0</v>
      </c>
      <c r="X102" s="375">
        <f>SUM(AQ102:AZ102)</f>
        <v>0</v>
      </c>
      <c r="Y102" s="375">
        <f>SUM(AR102:AZ102)</f>
        <v>0</v>
      </c>
      <c r="Z102" s="479">
        <f>SUM(AS102:AZ102)</f>
        <v>0</v>
      </c>
      <c r="AA102" s="479">
        <f>SUM(AT102:AZ102)</f>
        <v>0</v>
      </c>
      <c r="AB102" s="479">
        <f>SUM(AU102:AZ102)</f>
        <v>0</v>
      </c>
      <c r="AC102" s="479">
        <f>SUM(AV102:AZ102)</f>
        <v>0</v>
      </c>
      <c r="AD102" s="479">
        <f>SUM(AW102:AZ102)</f>
        <v>0</v>
      </c>
      <c r="AE102" s="479">
        <f>SUM(AX102:AZ102)</f>
        <v>0</v>
      </c>
      <c r="AF102" s="479">
        <f>SUM(AY102:AZ102)</f>
        <v>0</v>
      </c>
      <c r="AG102" s="479">
        <f>SUM(AZ102:AZ102)</f>
        <v>0</v>
      </c>
      <c r="AH102" s="482"/>
      <c r="AI102" s="75"/>
      <c r="AJ102" s="483"/>
      <c r="AK102" s="484" t="s">
        <v>3527</v>
      </c>
      <c r="AL102" s="485"/>
      <c r="AM102" s="484"/>
      <c r="AN102" s="486"/>
      <c r="AO102" s="375"/>
      <c r="AP102" s="375"/>
      <c r="AQ102" s="375"/>
      <c r="AR102" s="375"/>
      <c r="AS102" s="375"/>
      <c r="AT102" s="375"/>
      <c r="AU102" s="375"/>
      <c r="AV102" s="375"/>
      <c r="AW102" s="375"/>
      <c r="AX102" s="375"/>
      <c r="AY102" s="375">
        <v>0</v>
      </c>
      <c r="AZ102" s="496">
        <v>0</v>
      </c>
      <c r="BA102" s="378">
        <v>2293604.18</v>
      </c>
      <c r="BB102" s="378"/>
      <c r="BC102" s="497"/>
      <c r="BD102" s="498"/>
    </row>
    <row r="103" s="2" customFormat="1" ht="12.35" hidden="1" spans="1:56">
      <c r="A103" s="21"/>
      <c r="B103" s="22"/>
      <c r="C103" s="22"/>
      <c r="D103" s="34"/>
      <c r="E103" s="22"/>
      <c r="F103" s="22"/>
      <c r="G103" s="22"/>
      <c r="H103" s="22"/>
      <c r="I103" s="22"/>
      <c r="J103" s="22"/>
      <c r="K103" s="22"/>
      <c r="L103" s="22"/>
      <c r="M103" s="22"/>
      <c r="N103" s="22"/>
      <c r="O103" s="22"/>
      <c r="P103" s="22"/>
      <c r="Q103" s="35"/>
      <c r="R103" s="473" t="s">
        <v>3490</v>
      </c>
      <c r="S103" s="475">
        <f>3072237.8+601123.93</f>
        <v>3673361.73</v>
      </c>
      <c r="T103" s="375">
        <f>SUM(AO103:BC103)</f>
        <v>2363109.59</v>
      </c>
      <c r="U103" s="375">
        <f>SUM(BA103:BC103)</f>
        <v>2363109.59</v>
      </c>
      <c r="V103" s="375">
        <f>SUM(AO103:AZ103)</f>
        <v>0</v>
      </c>
      <c r="W103" s="375">
        <f>SUM(AP103:AZ103)</f>
        <v>0</v>
      </c>
      <c r="X103" s="375">
        <f>SUM(AQ103:AZ103)</f>
        <v>0</v>
      </c>
      <c r="Y103" s="375">
        <f>SUM(AR103:AZ103)</f>
        <v>0</v>
      </c>
      <c r="Z103" s="479">
        <f>SUM(AS103:AZ103)</f>
        <v>0</v>
      </c>
      <c r="AA103" s="479">
        <f>SUM(AT103:AZ103)</f>
        <v>0</v>
      </c>
      <c r="AB103" s="479">
        <f>SUM(AU103:AZ103)</f>
        <v>0</v>
      </c>
      <c r="AC103" s="479">
        <f>SUM(AV103:AZ103)</f>
        <v>0</v>
      </c>
      <c r="AD103" s="479">
        <f>SUM(AW103:AZ103)</f>
        <v>0</v>
      </c>
      <c r="AE103" s="479">
        <f>SUM(AX103:AZ103)</f>
        <v>0</v>
      </c>
      <c r="AF103" s="479">
        <f>SUM(AY103:AZ103)</f>
        <v>0</v>
      </c>
      <c r="AG103" s="479">
        <f>SUM(AZ103:AZ103)</f>
        <v>0</v>
      </c>
      <c r="AH103" s="482"/>
      <c r="AI103" s="75"/>
      <c r="AJ103" s="97"/>
      <c r="AK103" s="22"/>
      <c r="AL103" s="13"/>
      <c r="AM103" s="22"/>
      <c r="AN103" s="22"/>
      <c r="AO103" s="375"/>
      <c r="AP103" s="375"/>
      <c r="AQ103" s="375"/>
      <c r="AR103" s="375"/>
      <c r="AS103" s="375"/>
      <c r="AT103" s="375"/>
      <c r="AU103" s="375"/>
      <c r="AV103" s="375"/>
      <c r="AW103" s="375"/>
      <c r="AX103" s="375"/>
      <c r="AY103" s="375">
        <v>0</v>
      </c>
      <c r="AZ103" s="496"/>
      <c r="BA103" s="364">
        <v>2363109.59</v>
      </c>
      <c r="BB103" s="364"/>
      <c r="BC103" s="499"/>
      <c r="BD103" s="498"/>
    </row>
    <row r="104" s="2" customFormat="1" ht="12.35" hidden="1" spans="1:56">
      <c r="A104" s="21"/>
      <c r="B104" s="22"/>
      <c r="C104" s="22"/>
      <c r="D104" s="34"/>
      <c r="E104" s="22"/>
      <c r="F104" s="22"/>
      <c r="G104" s="22"/>
      <c r="H104" s="22"/>
      <c r="I104" s="22"/>
      <c r="J104" s="22"/>
      <c r="K104" s="22"/>
      <c r="L104" s="22"/>
      <c r="M104" s="22"/>
      <c r="N104" s="22"/>
      <c r="O104" s="22"/>
      <c r="P104" s="22"/>
      <c r="Q104" s="35"/>
      <c r="R104" s="473" t="s">
        <v>3492</v>
      </c>
      <c r="S104" s="475">
        <f>109000</f>
        <v>109000</v>
      </c>
      <c r="T104" s="375">
        <f>SUM(AO104:BC104)</f>
        <v>9935.7</v>
      </c>
      <c r="U104" s="375">
        <f>SUM(BA104:BC104)</f>
        <v>9935.7</v>
      </c>
      <c r="V104" s="375">
        <f>SUM(AO104:AZ104)</f>
        <v>0</v>
      </c>
      <c r="W104" s="375">
        <f>SUM(AP104:AZ104)</f>
        <v>0</v>
      </c>
      <c r="X104" s="375">
        <f>SUM(AQ104:AZ104)</f>
        <v>0</v>
      </c>
      <c r="Y104" s="375">
        <f>SUM(AR104:AZ104)</f>
        <v>0</v>
      </c>
      <c r="Z104" s="479">
        <f>SUM(AS104:AZ104)</f>
        <v>0</v>
      </c>
      <c r="AA104" s="479">
        <f>SUM(AT104:AZ104)</f>
        <v>0</v>
      </c>
      <c r="AB104" s="479">
        <f>SUM(AU104:AZ104)</f>
        <v>0</v>
      </c>
      <c r="AC104" s="479">
        <f>SUM(AV104:AZ104)</f>
        <v>0</v>
      </c>
      <c r="AD104" s="479">
        <f>SUM(AW104:AZ104)</f>
        <v>0</v>
      </c>
      <c r="AE104" s="479">
        <f>SUM(AX104:AZ104)</f>
        <v>0</v>
      </c>
      <c r="AF104" s="479">
        <f>SUM(AY104:AZ104)</f>
        <v>0</v>
      </c>
      <c r="AG104" s="479">
        <f>SUM(AZ104:AZ104)</f>
        <v>0</v>
      </c>
      <c r="AH104" s="482"/>
      <c r="AI104" s="75"/>
      <c r="AJ104" s="97"/>
      <c r="AK104" s="22"/>
      <c r="AL104" s="13"/>
      <c r="AM104" s="22"/>
      <c r="AN104" s="22"/>
      <c r="AO104" s="375"/>
      <c r="AP104" s="375"/>
      <c r="AQ104" s="375"/>
      <c r="AR104" s="375"/>
      <c r="AS104" s="375"/>
      <c r="AT104" s="375"/>
      <c r="AU104" s="375"/>
      <c r="AV104" s="375"/>
      <c r="AW104" s="375"/>
      <c r="AX104" s="375"/>
      <c r="AY104" s="375">
        <v>0</v>
      </c>
      <c r="AZ104" s="496"/>
      <c r="BA104" s="364">
        <v>9935.7</v>
      </c>
      <c r="BB104" s="364"/>
      <c r="BC104" s="499"/>
      <c r="BD104" s="498"/>
    </row>
    <row r="105" s="2" customFormat="1" ht="12.35" hidden="1" spans="1:56">
      <c r="A105" s="21"/>
      <c r="B105" s="22"/>
      <c r="C105" s="22"/>
      <c r="D105" s="34"/>
      <c r="E105" s="22"/>
      <c r="F105" s="22"/>
      <c r="G105" s="22"/>
      <c r="H105" s="22"/>
      <c r="I105" s="22"/>
      <c r="J105" s="22"/>
      <c r="K105" s="22"/>
      <c r="L105" s="22"/>
      <c r="M105" s="22"/>
      <c r="N105" s="22"/>
      <c r="O105" s="22"/>
      <c r="P105" s="22"/>
      <c r="Q105" s="35"/>
      <c r="R105" s="473" t="s">
        <v>3493</v>
      </c>
      <c r="S105" s="475">
        <f>14400+54000</f>
        <v>68400</v>
      </c>
      <c r="T105" s="375">
        <f>SUM(AO105:BC105)</f>
        <v>30986.96</v>
      </c>
      <c r="U105" s="375">
        <f>SUM(BA105:BC105)</f>
        <v>27021.7</v>
      </c>
      <c r="V105" s="375">
        <f>SUM(AO105:AZ105)</f>
        <v>3965.26</v>
      </c>
      <c r="W105" s="375">
        <f>SUM(AP105:AZ105)</f>
        <v>3965.26</v>
      </c>
      <c r="X105" s="375">
        <f>SUM(AQ105:AZ105)</f>
        <v>3965.26</v>
      </c>
      <c r="Y105" s="375">
        <f>SUM(AR105:AZ105)</f>
        <v>3965.26</v>
      </c>
      <c r="Z105" s="479">
        <f>SUM(AS105:AZ105)</f>
        <v>3965.26</v>
      </c>
      <c r="AA105" s="479">
        <f>SUM(AT105:AZ105)</f>
        <v>3965.26</v>
      </c>
      <c r="AB105" s="479">
        <f>SUM(AU105:AZ105)</f>
        <v>3965.26</v>
      </c>
      <c r="AC105" s="479">
        <f>SUM(AV105:AZ105)</f>
        <v>3965.26</v>
      </c>
      <c r="AD105" s="479">
        <f>SUM(AW105:AZ105)</f>
        <v>3965.26</v>
      </c>
      <c r="AE105" s="479">
        <f>SUM(AX105:AZ105)</f>
        <v>3965.26</v>
      </c>
      <c r="AF105" s="479">
        <f>SUM(AY105:AZ105)</f>
        <v>3965.26</v>
      </c>
      <c r="AG105" s="479">
        <f>SUM(AZ105:AZ105)</f>
        <v>1982.63</v>
      </c>
      <c r="AH105" s="482"/>
      <c r="AI105" s="75"/>
      <c r="AJ105" s="97"/>
      <c r="AK105" s="22"/>
      <c r="AL105" s="13"/>
      <c r="AM105" s="22"/>
      <c r="AN105" s="22"/>
      <c r="AO105" s="375"/>
      <c r="AP105" s="375"/>
      <c r="AQ105" s="375"/>
      <c r="AR105" s="375"/>
      <c r="AS105" s="375"/>
      <c r="AT105" s="375"/>
      <c r="AU105" s="375"/>
      <c r="AV105" s="375"/>
      <c r="AW105" s="375"/>
      <c r="AX105" s="375"/>
      <c r="AY105" s="496">
        <v>1982.63</v>
      </c>
      <c r="AZ105" s="496">
        <v>1982.63</v>
      </c>
      <c r="BA105" s="363">
        <v>27021.7</v>
      </c>
      <c r="BB105" s="363"/>
      <c r="BC105" s="499"/>
      <c r="BD105" s="498"/>
    </row>
    <row r="106" ht="14.25" hidden="1" customHeight="1" spans="1:56">
      <c r="A106" s="21"/>
      <c r="B106" s="22"/>
      <c r="C106" s="22"/>
      <c r="D106" s="34"/>
      <c r="E106" s="22"/>
      <c r="F106" s="22"/>
      <c r="G106" s="22"/>
      <c r="H106" s="22"/>
      <c r="I106" s="22"/>
      <c r="J106" s="22"/>
      <c r="K106" s="22"/>
      <c r="L106" s="22"/>
      <c r="M106" s="22"/>
      <c r="N106" s="22"/>
      <c r="O106" s="22"/>
      <c r="P106" s="22"/>
      <c r="Q106" s="35"/>
      <c r="R106" s="476" t="s">
        <v>3494</v>
      </c>
      <c r="S106" s="374">
        <f t="shared" ref="S106:AI106" si="114">SUM(S103:S105)</f>
        <v>3850761.73</v>
      </c>
      <c r="T106" s="374">
        <f t="shared" si="114"/>
        <v>2404032.25</v>
      </c>
      <c r="U106" s="374">
        <f t="shared" si="114"/>
        <v>2400066.99</v>
      </c>
      <c r="V106" s="374">
        <f t="shared" si="114"/>
        <v>3965.26</v>
      </c>
      <c r="W106" s="374">
        <f t="shared" si="114"/>
        <v>3965.26</v>
      </c>
      <c r="X106" s="374">
        <f t="shared" si="114"/>
        <v>3965.26</v>
      </c>
      <c r="Y106" s="374">
        <f t="shared" si="114"/>
        <v>3965.26</v>
      </c>
      <c r="Z106" s="374">
        <f t="shared" si="114"/>
        <v>3965.26</v>
      </c>
      <c r="AA106" s="374">
        <f t="shared" si="114"/>
        <v>3965.26</v>
      </c>
      <c r="AB106" s="374">
        <f t="shared" si="114"/>
        <v>3965.26</v>
      </c>
      <c r="AC106" s="374">
        <f t="shared" si="114"/>
        <v>3965.26</v>
      </c>
      <c r="AD106" s="374">
        <f t="shared" si="114"/>
        <v>3965.26</v>
      </c>
      <c r="AE106" s="374">
        <f t="shared" si="114"/>
        <v>3965.26</v>
      </c>
      <c r="AF106" s="374">
        <f t="shared" si="114"/>
        <v>3965.26</v>
      </c>
      <c r="AG106" s="374">
        <f t="shared" si="114"/>
        <v>1982.63</v>
      </c>
      <c r="AH106" s="374">
        <f t="shared" si="114"/>
        <v>0</v>
      </c>
      <c r="AI106" s="214">
        <f t="shared" si="114"/>
        <v>0</v>
      </c>
      <c r="AJ106" s="97"/>
      <c r="AK106" s="22"/>
      <c r="AL106" s="13"/>
      <c r="AM106" s="22"/>
      <c r="AN106" s="22"/>
      <c r="AO106" s="374">
        <f t="shared" ref="AO106:BA106" si="115">SUM(AO103:AO105)</f>
        <v>0</v>
      </c>
      <c r="AP106" s="374">
        <f t="shared" si="115"/>
        <v>0</v>
      </c>
      <c r="AQ106" s="374">
        <f t="shared" si="115"/>
        <v>0</v>
      </c>
      <c r="AR106" s="374">
        <f t="shared" si="115"/>
        <v>0</v>
      </c>
      <c r="AS106" s="374">
        <f t="shared" si="115"/>
        <v>0</v>
      </c>
      <c r="AT106" s="374">
        <f t="shared" si="115"/>
        <v>0</v>
      </c>
      <c r="AU106" s="374">
        <f t="shared" si="115"/>
        <v>0</v>
      </c>
      <c r="AV106" s="374">
        <f t="shared" si="115"/>
        <v>0</v>
      </c>
      <c r="AW106" s="374">
        <f t="shared" si="115"/>
        <v>0</v>
      </c>
      <c r="AX106" s="374">
        <f t="shared" si="115"/>
        <v>0</v>
      </c>
      <c r="AY106" s="374">
        <f t="shared" si="115"/>
        <v>1982.63</v>
      </c>
      <c r="AZ106" s="500">
        <f t="shared" si="115"/>
        <v>1982.63</v>
      </c>
      <c r="BA106" s="501">
        <f t="shared" si="115"/>
        <v>2400066.99</v>
      </c>
      <c r="BB106" s="367"/>
      <c r="BC106" s="502"/>
      <c r="BD106" s="502"/>
    </row>
    <row r="107" s="2" customFormat="1" ht="12.35" hidden="1" spans="1:56">
      <c r="A107" s="21"/>
      <c r="B107" s="22"/>
      <c r="C107" s="22"/>
      <c r="D107" s="34"/>
      <c r="E107" s="22"/>
      <c r="F107" s="22"/>
      <c r="G107" s="22"/>
      <c r="H107" s="22"/>
      <c r="I107" s="22"/>
      <c r="J107" s="22"/>
      <c r="K107" s="22"/>
      <c r="L107" s="22"/>
      <c r="M107" s="22"/>
      <c r="N107" s="22"/>
      <c r="O107" s="22"/>
      <c r="P107" s="22"/>
      <c r="Q107" s="35"/>
      <c r="R107" s="473" t="s">
        <v>3495</v>
      </c>
      <c r="S107" s="477">
        <f t="shared" ref="S107:AG107" si="116">S102-S103</f>
        <v>2337877.62</v>
      </c>
      <c r="T107" s="375">
        <f t="shared" si="116"/>
        <v>-69505.4099999997</v>
      </c>
      <c r="U107" s="375">
        <f t="shared" si="116"/>
        <v>-69505.4099999997</v>
      </c>
      <c r="V107" s="375">
        <f t="shared" si="116"/>
        <v>0</v>
      </c>
      <c r="W107" s="375">
        <f t="shared" si="116"/>
        <v>0</v>
      </c>
      <c r="X107" s="375">
        <f t="shared" si="116"/>
        <v>0</v>
      </c>
      <c r="Y107" s="375">
        <f t="shared" si="116"/>
        <v>0</v>
      </c>
      <c r="Z107" s="367">
        <f t="shared" si="116"/>
        <v>0</v>
      </c>
      <c r="AA107" s="367">
        <f t="shared" si="116"/>
        <v>0</v>
      </c>
      <c r="AB107" s="367">
        <f t="shared" si="116"/>
        <v>0</v>
      </c>
      <c r="AC107" s="367">
        <f t="shared" si="116"/>
        <v>0</v>
      </c>
      <c r="AD107" s="367">
        <f t="shared" si="116"/>
        <v>0</v>
      </c>
      <c r="AE107" s="367">
        <f t="shared" si="116"/>
        <v>0</v>
      </c>
      <c r="AF107" s="367">
        <f t="shared" si="116"/>
        <v>0</v>
      </c>
      <c r="AG107" s="367">
        <f t="shared" si="116"/>
        <v>0</v>
      </c>
      <c r="AH107" s="482"/>
      <c r="AI107" s="75"/>
      <c r="AJ107" s="97"/>
      <c r="AK107" s="22"/>
      <c r="AL107" s="13"/>
      <c r="AM107" s="22"/>
      <c r="AN107" s="22"/>
      <c r="AO107" s="375">
        <f t="shared" ref="AO107:AZ107" si="117">AO102-AO103</f>
        <v>0</v>
      </c>
      <c r="AP107" s="375">
        <f t="shared" si="117"/>
        <v>0</v>
      </c>
      <c r="AQ107" s="375">
        <f t="shared" si="117"/>
        <v>0</v>
      </c>
      <c r="AR107" s="375">
        <f t="shared" si="117"/>
        <v>0</v>
      </c>
      <c r="AS107" s="375">
        <f t="shared" si="117"/>
        <v>0</v>
      </c>
      <c r="AT107" s="375">
        <f t="shared" si="117"/>
        <v>0</v>
      </c>
      <c r="AU107" s="375">
        <f t="shared" si="117"/>
        <v>0</v>
      </c>
      <c r="AV107" s="375">
        <f t="shared" si="117"/>
        <v>0</v>
      </c>
      <c r="AW107" s="375">
        <f t="shared" si="117"/>
        <v>0</v>
      </c>
      <c r="AX107" s="375">
        <f t="shared" si="117"/>
        <v>0</v>
      </c>
      <c r="AY107" s="375">
        <f t="shared" si="117"/>
        <v>0</v>
      </c>
      <c r="AZ107" s="496">
        <f t="shared" si="117"/>
        <v>0</v>
      </c>
      <c r="BA107" s="367">
        <v>-69505.4099999997</v>
      </c>
      <c r="BB107" s="367"/>
      <c r="BC107" s="367"/>
      <c r="BD107" s="498"/>
    </row>
    <row r="108" s="2" customFormat="1" ht="12.35" hidden="1" spans="1:56">
      <c r="A108" s="21"/>
      <c r="B108" s="22"/>
      <c r="C108" s="22"/>
      <c r="D108" s="34"/>
      <c r="E108" s="22"/>
      <c r="F108" s="22"/>
      <c r="G108" s="22"/>
      <c r="H108" s="22"/>
      <c r="I108" s="22"/>
      <c r="J108" s="22"/>
      <c r="K108" s="22"/>
      <c r="L108" s="22"/>
      <c r="M108" s="22"/>
      <c r="N108" s="22"/>
      <c r="O108" s="22"/>
      <c r="P108" s="22"/>
      <c r="Q108" s="35"/>
      <c r="R108" s="478" t="s">
        <v>3496</v>
      </c>
      <c r="S108" s="376">
        <f t="shared" ref="S108:AG108" si="118">S107/S102</f>
        <v>0.388917739567299</v>
      </c>
      <c r="T108" s="376">
        <f t="shared" si="118"/>
        <v>-0.0303040126130219</v>
      </c>
      <c r="U108" s="376">
        <f t="shared" si="118"/>
        <v>-0.0303040126130219</v>
      </c>
      <c r="V108" s="376" t="e">
        <f t="shared" si="118"/>
        <v>#DIV/0!</v>
      </c>
      <c r="W108" s="376" t="e">
        <f t="shared" si="118"/>
        <v>#DIV/0!</v>
      </c>
      <c r="X108" s="376" t="e">
        <f t="shared" si="118"/>
        <v>#DIV/0!</v>
      </c>
      <c r="Y108" s="376" t="e">
        <f t="shared" si="118"/>
        <v>#DIV/0!</v>
      </c>
      <c r="Z108" s="368" t="e">
        <f t="shared" si="118"/>
        <v>#DIV/0!</v>
      </c>
      <c r="AA108" s="368" t="e">
        <f t="shared" si="118"/>
        <v>#DIV/0!</v>
      </c>
      <c r="AB108" s="368" t="e">
        <f t="shared" si="118"/>
        <v>#DIV/0!</v>
      </c>
      <c r="AC108" s="368" t="e">
        <f t="shared" si="118"/>
        <v>#DIV/0!</v>
      </c>
      <c r="AD108" s="368" t="e">
        <f t="shared" si="118"/>
        <v>#DIV/0!</v>
      </c>
      <c r="AE108" s="368" t="e">
        <f t="shared" si="118"/>
        <v>#DIV/0!</v>
      </c>
      <c r="AF108" s="368" t="e">
        <f t="shared" si="118"/>
        <v>#DIV/0!</v>
      </c>
      <c r="AG108" s="368" t="e">
        <f t="shared" si="118"/>
        <v>#DIV/0!</v>
      </c>
      <c r="AH108" s="487">
        <f>T108-S108</f>
        <v>-0.419221752180321</v>
      </c>
      <c r="AI108" s="82" t="e">
        <f>AF108-S108</f>
        <v>#DIV/0!</v>
      </c>
      <c r="AJ108" s="97"/>
      <c r="AK108" s="22"/>
      <c r="AL108" s="13"/>
      <c r="AM108" s="22"/>
      <c r="AN108" s="22"/>
      <c r="AO108" s="376" t="e">
        <f t="shared" ref="AO108:AZ108" si="119">AO107/AO102</f>
        <v>#DIV/0!</v>
      </c>
      <c r="AP108" s="376" t="e">
        <f t="shared" si="119"/>
        <v>#DIV/0!</v>
      </c>
      <c r="AQ108" s="376" t="e">
        <f t="shared" si="119"/>
        <v>#DIV/0!</v>
      </c>
      <c r="AR108" s="376" t="e">
        <f t="shared" si="119"/>
        <v>#DIV/0!</v>
      </c>
      <c r="AS108" s="376" t="e">
        <f t="shared" si="119"/>
        <v>#DIV/0!</v>
      </c>
      <c r="AT108" s="376" t="e">
        <f t="shared" si="119"/>
        <v>#DIV/0!</v>
      </c>
      <c r="AU108" s="376" t="e">
        <f t="shared" si="119"/>
        <v>#DIV/0!</v>
      </c>
      <c r="AV108" s="376" t="e">
        <f t="shared" si="119"/>
        <v>#DIV/0!</v>
      </c>
      <c r="AW108" s="376" t="e">
        <f t="shared" si="119"/>
        <v>#DIV/0!</v>
      </c>
      <c r="AX108" s="376" t="e">
        <f t="shared" si="119"/>
        <v>#DIV/0!</v>
      </c>
      <c r="AY108" s="376" t="e">
        <f t="shared" si="119"/>
        <v>#DIV/0!</v>
      </c>
      <c r="AZ108" s="503" t="e">
        <f t="shared" si="119"/>
        <v>#DIV/0!</v>
      </c>
      <c r="BA108" s="368">
        <v>-0.0303040126130219</v>
      </c>
      <c r="BB108" s="368"/>
      <c r="BC108" s="368"/>
      <c r="BD108" s="498"/>
    </row>
    <row r="109" s="2" customFormat="1" ht="12.35" hidden="1" spans="1:56">
      <c r="A109" s="21"/>
      <c r="B109" s="22"/>
      <c r="C109" s="22"/>
      <c r="D109" s="34"/>
      <c r="E109" s="22"/>
      <c r="F109" s="22"/>
      <c r="G109" s="22"/>
      <c r="H109" s="22"/>
      <c r="I109" s="22"/>
      <c r="J109" s="22"/>
      <c r="K109" s="22"/>
      <c r="L109" s="22"/>
      <c r="M109" s="22"/>
      <c r="N109" s="22"/>
      <c r="O109" s="22"/>
      <c r="P109" s="22"/>
      <c r="Q109" s="35"/>
      <c r="R109" s="473" t="s">
        <v>3497</v>
      </c>
      <c r="S109" s="375">
        <f t="shared" ref="S109:AG109" si="120">S102-S103-S104-S105</f>
        <v>2160477.62</v>
      </c>
      <c r="T109" s="375">
        <f t="shared" si="120"/>
        <v>-110428.07</v>
      </c>
      <c r="U109" s="375">
        <f t="shared" si="120"/>
        <v>-106462.81</v>
      </c>
      <c r="V109" s="375">
        <f t="shared" si="120"/>
        <v>-3965.26</v>
      </c>
      <c r="W109" s="375">
        <f t="shared" si="120"/>
        <v>-3965.26</v>
      </c>
      <c r="X109" s="375">
        <f t="shared" si="120"/>
        <v>-3965.26</v>
      </c>
      <c r="Y109" s="375">
        <f t="shared" si="120"/>
        <v>-3965.26</v>
      </c>
      <c r="Z109" s="367">
        <f t="shared" si="120"/>
        <v>-3965.26</v>
      </c>
      <c r="AA109" s="367">
        <f t="shared" si="120"/>
        <v>-3965.26</v>
      </c>
      <c r="AB109" s="367">
        <f t="shared" si="120"/>
        <v>-3965.26</v>
      </c>
      <c r="AC109" s="367">
        <f t="shared" si="120"/>
        <v>-3965.26</v>
      </c>
      <c r="AD109" s="367">
        <f t="shared" si="120"/>
        <v>-3965.26</v>
      </c>
      <c r="AE109" s="367">
        <f t="shared" si="120"/>
        <v>-3965.26</v>
      </c>
      <c r="AF109" s="367">
        <f t="shared" si="120"/>
        <v>-3965.26</v>
      </c>
      <c r="AG109" s="367">
        <f t="shared" si="120"/>
        <v>-1982.63</v>
      </c>
      <c r="AH109" s="487"/>
      <c r="AI109" s="82"/>
      <c r="AJ109" s="97"/>
      <c r="AK109" s="22"/>
      <c r="AL109" s="13"/>
      <c r="AM109" s="22"/>
      <c r="AN109" s="22"/>
      <c r="AO109" s="375">
        <f t="shared" ref="AO109:AZ109" si="121">AO102-AO103-AO104-AO105</f>
        <v>0</v>
      </c>
      <c r="AP109" s="375">
        <f t="shared" si="121"/>
        <v>0</v>
      </c>
      <c r="AQ109" s="375">
        <f t="shared" si="121"/>
        <v>0</v>
      </c>
      <c r="AR109" s="375">
        <f t="shared" si="121"/>
        <v>0</v>
      </c>
      <c r="AS109" s="375">
        <f t="shared" si="121"/>
        <v>0</v>
      </c>
      <c r="AT109" s="375">
        <f t="shared" si="121"/>
        <v>0</v>
      </c>
      <c r="AU109" s="375">
        <f t="shared" si="121"/>
        <v>0</v>
      </c>
      <c r="AV109" s="375">
        <f t="shared" si="121"/>
        <v>0</v>
      </c>
      <c r="AW109" s="375">
        <f t="shared" si="121"/>
        <v>0</v>
      </c>
      <c r="AX109" s="375">
        <f t="shared" si="121"/>
        <v>0</v>
      </c>
      <c r="AY109" s="375">
        <f t="shared" si="121"/>
        <v>-1982.63</v>
      </c>
      <c r="AZ109" s="496">
        <f t="shared" si="121"/>
        <v>-1982.63</v>
      </c>
      <c r="BA109" s="367">
        <v>-106462.81</v>
      </c>
      <c r="BB109" s="367"/>
      <c r="BC109" s="367"/>
      <c r="BD109" s="498"/>
    </row>
    <row r="110" s="2" customFormat="1" ht="12.35" hidden="1" spans="1:56">
      <c r="A110" s="23"/>
      <c r="B110" s="24"/>
      <c r="C110" s="24"/>
      <c r="D110" s="83"/>
      <c r="E110" s="24"/>
      <c r="F110" s="24"/>
      <c r="G110" s="24"/>
      <c r="H110" s="24"/>
      <c r="I110" s="24"/>
      <c r="J110" s="24"/>
      <c r="K110" s="24"/>
      <c r="L110" s="24"/>
      <c r="M110" s="24"/>
      <c r="N110" s="24"/>
      <c r="O110" s="24"/>
      <c r="P110" s="24"/>
      <c r="Q110" s="156"/>
      <c r="R110" s="478" t="s">
        <v>3498</v>
      </c>
      <c r="S110" s="376">
        <f t="shared" ref="S110:AG110" si="122">S109/S102</f>
        <v>0.359406354365178</v>
      </c>
      <c r="T110" s="376">
        <f t="shared" si="122"/>
        <v>-0.0481460885722661</v>
      </c>
      <c r="U110" s="376">
        <f t="shared" si="122"/>
        <v>-0.0464172549598334</v>
      </c>
      <c r="V110" s="376" t="e">
        <f t="shared" si="122"/>
        <v>#DIV/0!</v>
      </c>
      <c r="W110" s="376" t="e">
        <f t="shared" si="122"/>
        <v>#DIV/0!</v>
      </c>
      <c r="X110" s="376" t="e">
        <f t="shared" si="122"/>
        <v>#DIV/0!</v>
      </c>
      <c r="Y110" s="376" t="e">
        <f t="shared" si="122"/>
        <v>#DIV/0!</v>
      </c>
      <c r="Z110" s="368" t="e">
        <f t="shared" si="122"/>
        <v>#DIV/0!</v>
      </c>
      <c r="AA110" s="368" t="e">
        <f t="shared" si="122"/>
        <v>#DIV/0!</v>
      </c>
      <c r="AB110" s="368" t="e">
        <f t="shared" si="122"/>
        <v>#DIV/0!</v>
      </c>
      <c r="AC110" s="368" t="e">
        <f t="shared" si="122"/>
        <v>#DIV/0!</v>
      </c>
      <c r="AD110" s="368" t="e">
        <f t="shared" si="122"/>
        <v>#DIV/0!</v>
      </c>
      <c r="AE110" s="368" t="e">
        <f t="shared" si="122"/>
        <v>#DIV/0!</v>
      </c>
      <c r="AF110" s="368" t="e">
        <f t="shared" si="122"/>
        <v>#DIV/0!</v>
      </c>
      <c r="AG110" s="368" t="e">
        <f t="shared" si="122"/>
        <v>#DIV/0!</v>
      </c>
      <c r="AH110" s="487">
        <f>T110-S110</f>
        <v>-0.407552442937444</v>
      </c>
      <c r="AI110" s="82" t="e">
        <f>AF110-S110</f>
        <v>#DIV/0!</v>
      </c>
      <c r="AJ110" s="98"/>
      <c r="AK110" s="24"/>
      <c r="AL110" s="14"/>
      <c r="AM110" s="24"/>
      <c r="AN110" s="24"/>
      <c r="AO110" s="376" t="e">
        <f t="shared" ref="AO110:AZ110" si="123">AO109/AO102</f>
        <v>#DIV/0!</v>
      </c>
      <c r="AP110" s="376" t="e">
        <f t="shared" si="123"/>
        <v>#DIV/0!</v>
      </c>
      <c r="AQ110" s="376" t="e">
        <f t="shared" si="123"/>
        <v>#DIV/0!</v>
      </c>
      <c r="AR110" s="376" t="e">
        <f t="shared" si="123"/>
        <v>#DIV/0!</v>
      </c>
      <c r="AS110" s="376" t="e">
        <f t="shared" si="123"/>
        <v>#DIV/0!</v>
      </c>
      <c r="AT110" s="376" t="e">
        <f t="shared" si="123"/>
        <v>#DIV/0!</v>
      </c>
      <c r="AU110" s="376" t="e">
        <f t="shared" si="123"/>
        <v>#DIV/0!</v>
      </c>
      <c r="AV110" s="376" t="e">
        <f t="shared" si="123"/>
        <v>#DIV/0!</v>
      </c>
      <c r="AW110" s="376" t="e">
        <f t="shared" si="123"/>
        <v>#DIV/0!</v>
      </c>
      <c r="AX110" s="376" t="e">
        <f t="shared" si="123"/>
        <v>#DIV/0!</v>
      </c>
      <c r="AY110" s="376" t="e">
        <f t="shared" si="123"/>
        <v>#DIV/0!</v>
      </c>
      <c r="AZ110" s="503" t="e">
        <f t="shared" si="123"/>
        <v>#DIV/0!</v>
      </c>
      <c r="BA110" s="368">
        <v>-0.0464172549598334</v>
      </c>
      <c r="BB110" s="368"/>
      <c r="BC110" s="368"/>
      <c r="BD110" s="498"/>
    </row>
    <row r="111" s="2" customFormat="1" ht="12.35" hidden="1" spans="1:56">
      <c r="A111" s="462" t="s">
        <v>452</v>
      </c>
      <c r="B111" s="463" t="s">
        <v>453</v>
      </c>
      <c r="C111" s="464">
        <v>45658</v>
      </c>
      <c r="D111" s="465">
        <v>46022</v>
      </c>
      <c r="E111" s="466" t="s">
        <v>3484</v>
      </c>
      <c r="F111" s="466" t="s">
        <v>3484</v>
      </c>
      <c r="G111" s="467"/>
      <c r="H111" s="468"/>
      <c r="I111" s="464"/>
      <c r="J111" s="464"/>
      <c r="K111" s="464"/>
      <c r="L111" s="464"/>
      <c r="M111" s="471"/>
      <c r="N111" s="471"/>
      <c r="O111" s="471"/>
      <c r="P111" s="471"/>
      <c r="Q111" s="472" t="s">
        <v>3485</v>
      </c>
      <c r="R111" s="473" t="s">
        <v>3486</v>
      </c>
      <c r="S111" s="474">
        <f>72000+8000</f>
        <v>80000</v>
      </c>
      <c r="T111" s="375">
        <f>SUM(AO111:BC111)</f>
        <v>-601.44</v>
      </c>
      <c r="U111" s="375">
        <f>SUM(BA111:BC111)</f>
        <v>-120.29</v>
      </c>
      <c r="V111" s="375">
        <f>SUM(AO111:AZ111)</f>
        <v>-481.15</v>
      </c>
      <c r="W111" s="375">
        <f>SUM(AP111:AZ111)</f>
        <v>-481.15</v>
      </c>
      <c r="X111" s="375">
        <f>SUM(AQ111:AZ111)</f>
        <v>-481.15</v>
      </c>
      <c r="Y111" s="375">
        <f>SUM(AR111:AZ111)</f>
        <v>-481.15</v>
      </c>
      <c r="Z111" s="479">
        <f>SUM(AS111:AZ111)</f>
        <v>-481.15</v>
      </c>
      <c r="AA111" s="479">
        <f>SUM(AT111:AZ111)</f>
        <v>-481.15</v>
      </c>
      <c r="AB111" s="479">
        <f>SUM(AU111:AZ111)</f>
        <v>-481.15</v>
      </c>
      <c r="AC111" s="479">
        <f>SUM(AV111:AZ111)</f>
        <v>-481.15</v>
      </c>
      <c r="AD111" s="479">
        <f>SUM(AW111:AZ111)</f>
        <v>-481.15</v>
      </c>
      <c r="AE111" s="479">
        <f>SUM(AX111:AZ111)</f>
        <v>-481.15</v>
      </c>
      <c r="AF111" s="479">
        <f>SUM(AY111:AZ111)</f>
        <v>-481.15</v>
      </c>
      <c r="AG111" s="479">
        <f>SUM(AZ111:AZ111)</f>
        <v>-481.15</v>
      </c>
      <c r="AH111" s="482"/>
      <c r="AI111" s="75"/>
      <c r="AJ111" s="483"/>
      <c r="AK111" s="484" t="s">
        <v>3528</v>
      </c>
      <c r="AL111" s="485"/>
      <c r="AM111" s="484"/>
      <c r="AN111" s="486"/>
      <c r="AO111" s="375"/>
      <c r="AP111" s="375"/>
      <c r="AQ111" s="375"/>
      <c r="AR111" s="375"/>
      <c r="AS111" s="375"/>
      <c r="AT111" s="375"/>
      <c r="AU111" s="375"/>
      <c r="AV111" s="375"/>
      <c r="AW111" s="375"/>
      <c r="AX111" s="375"/>
      <c r="AY111" s="375">
        <v>0</v>
      </c>
      <c r="AZ111" s="496">
        <v>-481.15</v>
      </c>
      <c r="BA111" s="378">
        <v>-120.29</v>
      </c>
      <c r="BB111" s="378"/>
      <c r="BC111" s="497"/>
      <c r="BD111" s="498"/>
    </row>
    <row r="112" s="2" customFormat="1" ht="12.35" hidden="1" spans="1:56">
      <c r="A112" s="21"/>
      <c r="B112" s="22"/>
      <c r="C112" s="22"/>
      <c r="D112" s="34"/>
      <c r="E112" s="22"/>
      <c r="F112" s="22"/>
      <c r="G112" s="22"/>
      <c r="H112" s="22"/>
      <c r="I112" s="22"/>
      <c r="J112" s="22"/>
      <c r="K112" s="22"/>
      <c r="L112" s="22"/>
      <c r="M112" s="22"/>
      <c r="N112" s="22"/>
      <c r="O112" s="22"/>
      <c r="P112" s="22"/>
      <c r="Q112" s="35"/>
      <c r="R112" s="473" t="s">
        <v>3490</v>
      </c>
      <c r="S112" s="475">
        <f>108187.72+8000</f>
        <v>116187.72</v>
      </c>
      <c r="T112" s="375">
        <f>SUM(AO112:BC112)</f>
        <v>0</v>
      </c>
      <c r="U112" s="375">
        <f>SUM(BA112:BC112)</f>
        <v>0</v>
      </c>
      <c r="V112" s="375">
        <f>SUM(AO112:AZ112)</f>
        <v>0</v>
      </c>
      <c r="W112" s="375">
        <f>SUM(AP112:AZ112)</f>
        <v>0</v>
      </c>
      <c r="X112" s="375">
        <f>SUM(AQ112:AZ112)</f>
        <v>0</v>
      </c>
      <c r="Y112" s="375">
        <f>SUM(AR112:AZ112)</f>
        <v>0</v>
      </c>
      <c r="Z112" s="479">
        <f>SUM(AS112:AZ112)</f>
        <v>0</v>
      </c>
      <c r="AA112" s="479">
        <f>SUM(AT112:AZ112)</f>
        <v>0</v>
      </c>
      <c r="AB112" s="479">
        <f>SUM(AU112:AZ112)</f>
        <v>0</v>
      </c>
      <c r="AC112" s="479">
        <f>SUM(AV112:AZ112)</f>
        <v>0</v>
      </c>
      <c r="AD112" s="479">
        <f>SUM(AW112:AZ112)</f>
        <v>0</v>
      </c>
      <c r="AE112" s="479">
        <f>SUM(AX112:AZ112)</f>
        <v>0</v>
      </c>
      <c r="AF112" s="479">
        <f>SUM(AY112:AZ112)</f>
        <v>0</v>
      </c>
      <c r="AG112" s="479">
        <f>SUM(AZ112:AZ112)</f>
        <v>0</v>
      </c>
      <c r="AH112" s="482"/>
      <c r="AI112" s="75"/>
      <c r="AJ112" s="97"/>
      <c r="AK112" s="22"/>
      <c r="AL112" s="13"/>
      <c r="AM112" s="22"/>
      <c r="AN112" s="22"/>
      <c r="AO112" s="375"/>
      <c r="AP112" s="375"/>
      <c r="AQ112" s="375"/>
      <c r="AR112" s="375"/>
      <c r="AS112" s="375"/>
      <c r="AT112" s="375"/>
      <c r="AU112" s="375"/>
      <c r="AV112" s="375"/>
      <c r="AW112" s="375"/>
      <c r="AX112" s="375"/>
      <c r="AY112" s="375">
        <v>0</v>
      </c>
      <c r="AZ112" s="496">
        <v>0</v>
      </c>
      <c r="BA112" s="364">
        <v>0</v>
      </c>
      <c r="BB112" s="364"/>
      <c r="BC112" s="499"/>
      <c r="BD112" s="498"/>
    </row>
    <row r="113" s="2" customFormat="1" ht="12.35" hidden="1" spans="1:56">
      <c r="A113" s="21"/>
      <c r="B113" s="22"/>
      <c r="C113" s="22"/>
      <c r="D113" s="34"/>
      <c r="E113" s="22"/>
      <c r="F113" s="22"/>
      <c r="G113" s="22"/>
      <c r="H113" s="22"/>
      <c r="I113" s="22"/>
      <c r="J113" s="22"/>
      <c r="K113" s="22"/>
      <c r="L113" s="22"/>
      <c r="M113" s="22"/>
      <c r="N113" s="22"/>
      <c r="O113" s="22"/>
      <c r="P113" s="22"/>
      <c r="Q113" s="35"/>
      <c r="R113" s="473" t="s">
        <v>3492</v>
      </c>
      <c r="S113" s="475">
        <v>0</v>
      </c>
      <c r="T113" s="375">
        <f>SUM(AO113:BC113)</f>
        <v>0</v>
      </c>
      <c r="U113" s="375">
        <f>SUM(BA113:BC113)</f>
        <v>0</v>
      </c>
      <c r="V113" s="375">
        <f>SUM(AO113:AZ113)</f>
        <v>0</v>
      </c>
      <c r="W113" s="375">
        <f>SUM(AP113:AZ113)</f>
        <v>0</v>
      </c>
      <c r="X113" s="375">
        <f>SUM(AQ113:AZ113)</f>
        <v>0</v>
      </c>
      <c r="Y113" s="375">
        <f>SUM(AR113:AZ113)</f>
        <v>0</v>
      </c>
      <c r="Z113" s="479">
        <f>SUM(AS113:AZ113)</f>
        <v>0</v>
      </c>
      <c r="AA113" s="479">
        <f>SUM(AT113:AZ113)</f>
        <v>0</v>
      </c>
      <c r="AB113" s="479">
        <f>SUM(AU113:AZ113)</f>
        <v>0</v>
      </c>
      <c r="AC113" s="479">
        <f>SUM(AV113:AZ113)</f>
        <v>0</v>
      </c>
      <c r="AD113" s="479">
        <f>SUM(AW113:AZ113)</f>
        <v>0</v>
      </c>
      <c r="AE113" s="479">
        <f>SUM(AX113:AZ113)</f>
        <v>0</v>
      </c>
      <c r="AF113" s="479">
        <f>SUM(AY113:AZ113)</f>
        <v>0</v>
      </c>
      <c r="AG113" s="479">
        <f>SUM(AZ113:AZ113)</f>
        <v>0</v>
      </c>
      <c r="AH113" s="482"/>
      <c r="AI113" s="75"/>
      <c r="AJ113" s="97"/>
      <c r="AK113" s="22"/>
      <c r="AL113" s="13"/>
      <c r="AM113" s="22"/>
      <c r="AN113" s="22"/>
      <c r="AO113" s="375"/>
      <c r="AP113" s="375"/>
      <c r="AQ113" s="375"/>
      <c r="AR113" s="375"/>
      <c r="AS113" s="375"/>
      <c r="AT113" s="375"/>
      <c r="AU113" s="375"/>
      <c r="AV113" s="375"/>
      <c r="AW113" s="375"/>
      <c r="AX113" s="375"/>
      <c r="AY113" s="375">
        <v>0</v>
      </c>
      <c r="AZ113" s="496">
        <v>0</v>
      </c>
      <c r="BA113" s="364">
        <v>0</v>
      </c>
      <c r="BB113" s="364"/>
      <c r="BC113" s="499"/>
      <c r="BD113" s="498"/>
    </row>
    <row r="114" s="2" customFormat="1" ht="12.35" hidden="1" spans="1:56">
      <c r="A114" s="21"/>
      <c r="B114" s="22"/>
      <c r="C114" s="22"/>
      <c r="D114" s="34"/>
      <c r="E114" s="22"/>
      <c r="F114" s="22"/>
      <c r="G114" s="22"/>
      <c r="H114" s="22"/>
      <c r="I114" s="22"/>
      <c r="J114" s="22"/>
      <c r="K114" s="22"/>
      <c r="L114" s="22"/>
      <c r="M114" s="22"/>
      <c r="N114" s="22"/>
      <c r="O114" s="22"/>
      <c r="P114" s="22"/>
      <c r="Q114" s="35"/>
      <c r="R114" s="473" t="s">
        <v>3493</v>
      </c>
      <c r="S114" s="475">
        <v>2400</v>
      </c>
      <c r="T114" s="375">
        <f>SUM(AO114:BC114)</f>
        <v>-184.32</v>
      </c>
      <c r="U114" s="375">
        <f>SUM(BA114:BC114)</f>
        <v>-160</v>
      </c>
      <c r="V114" s="375">
        <f>SUM(AO114:AZ114)</f>
        <v>-24.32</v>
      </c>
      <c r="W114" s="375">
        <f>SUM(AP114:AZ114)</f>
        <v>-24.32</v>
      </c>
      <c r="X114" s="375">
        <f>SUM(AQ114:AZ114)</f>
        <v>-24.32</v>
      </c>
      <c r="Y114" s="375">
        <f>SUM(AR114:AZ114)</f>
        <v>-24.32</v>
      </c>
      <c r="Z114" s="479">
        <f>SUM(AS114:AZ114)</f>
        <v>-24.32</v>
      </c>
      <c r="AA114" s="479">
        <f>SUM(AT114:AZ114)</f>
        <v>-24.32</v>
      </c>
      <c r="AB114" s="479">
        <f>SUM(AU114:AZ114)</f>
        <v>-24.32</v>
      </c>
      <c r="AC114" s="479">
        <f>SUM(AV114:AZ114)</f>
        <v>-24.32</v>
      </c>
      <c r="AD114" s="479">
        <f>SUM(AW114:AZ114)</f>
        <v>-24.32</v>
      </c>
      <c r="AE114" s="479">
        <f>SUM(AX114:AZ114)</f>
        <v>-24.32</v>
      </c>
      <c r="AF114" s="479">
        <f>SUM(AY114:AZ114)</f>
        <v>-24.32</v>
      </c>
      <c r="AG114" s="479">
        <f>SUM(AZ114:AZ114)</f>
        <v>-12.16</v>
      </c>
      <c r="AH114" s="482"/>
      <c r="AI114" s="75"/>
      <c r="AJ114" s="97"/>
      <c r="AK114" s="22"/>
      <c r="AL114" s="13"/>
      <c r="AM114" s="22"/>
      <c r="AN114" s="22"/>
      <c r="AO114" s="375"/>
      <c r="AP114" s="375"/>
      <c r="AQ114" s="375"/>
      <c r="AR114" s="375"/>
      <c r="AS114" s="375"/>
      <c r="AT114" s="375"/>
      <c r="AU114" s="375"/>
      <c r="AV114" s="375"/>
      <c r="AW114" s="375"/>
      <c r="AX114" s="375"/>
      <c r="AY114" s="375">
        <v>-12.16</v>
      </c>
      <c r="AZ114" s="496">
        <v>-12.16</v>
      </c>
      <c r="BA114" s="363">
        <v>-160</v>
      </c>
      <c r="BB114" s="363"/>
      <c r="BC114" s="499"/>
      <c r="BD114" s="498"/>
    </row>
    <row r="115" ht="14.25" hidden="1" customHeight="1" spans="1:56">
      <c r="A115" s="21"/>
      <c r="B115" s="22"/>
      <c r="C115" s="22"/>
      <c r="D115" s="34"/>
      <c r="E115" s="22"/>
      <c r="F115" s="22"/>
      <c r="G115" s="22"/>
      <c r="H115" s="22"/>
      <c r="I115" s="22"/>
      <c r="J115" s="22"/>
      <c r="K115" s="22"/>
      <c r="L115" s="22"/>
      <c r="M115" s="22"/>
      <c r="N115" s="22"/>
      <c r="O115" s="22"/>
      <c r="P115" s="22"/>
      <c r="Q115" s="35"/>
      <c r="R115" s="476" t="s">
        <v>3494</v>
      </c>
      <c r="S115" s="374">
        <f t="shared" ref="S115:AI115" si="124">SUM(S112:S114)</f>
        <v>118587.72</v>
      </c>
      <c r="T115" s="374">
        <f t="shared" si="124"/>
        <v>-184.32</v>
      </c>
      <c r="U115" s="374">
        <f t="shared" si="124"/>
        <v>-160</v>
      </c>
      <c r="V115" s="374">
        <f t="shared" si="124"/>
        <v>-24.32</v>
      </c>
      <c r="W115" s="374">
        <f t="shared" si="124"/>
        <v>-24.32</v>
      </c>
      <c r="X115" s="374">
        <f t="shared" si="124"/>
        <v>-24.32</v>
      </c>
      <c r="Y115" s="374">
        <f t="shared" si="124"/>
        <v>-24.32</v>
      </c>
      <c r="Z115" s="374">
        <f t="shared" si="124"/>
        <v>-24.32</v>
      </c>
      <c r="AA115" s="374">
        <f t="shared" si="124"/>
        <v>-24.32</v>
      </c>
      <c r="AB115" s="374">
        <f t="shared" si="124"/>
        <v>-24.32</v>
      </c>
      <c r="AC115" s="374">
        <f t="shared" si="124"/>
        <v>-24.32</v>
      </c>
      <c r="AD115" s="374">
        <f t="shared" si="124"/>
        <v>-24.32</v>
      </c>
      <c r="AE115" s="374">
        <f t="shared" si="124"/>
        <v>-24.32</v>
      </c>
      <c r="AF115" s="374">
        <f t="shared" si="124"/>
        <v>-24.32</v>
      </c>
      <c r="AG115" s="374">
        <f t="shared" si="124"/>
        <v>-12.16</v>
      </c>
      <c r="AH115" s="374">
        <f t="shared" si="124"/>
        <v>0</v>
      </c>
      <c r="AI115" s="214">
        <f t="shared" si="124"/>
        <v>0</v>
      </c>
      <c r="AJ115" s="97"/>
      <c r="AK115" s="22"/>
      <c r="AL115" s="13"/>
      <c r="AM115" s="22"/>
      <c r="AN115" s="22"/>
      <c r="AO115" s="374">
        <f t="shared" ref="AO115:BA115" si="125">SUM(AO112:AO114)</f>
        <v>0</v>
      </c>
      <c r="AP115" s="374">
        <f t="shared" si="125"/>
        <v>0</v>
      </c>
      <c r="AQ115" s="374">
        <f t="shared" si="125"/>
        <v>0</v>
      </c>
      <c r="AR115" s="374">
        <f t="shared" si="125"/>
        <v>0</v>
      </c>
      <c r="AS115" s="374">
        <f t="shared" si="125"/>
        <v>0</v>
      </c>
      <c r="AT115" s="374">
        <f t="shared" si="125"/>
        <v>0</v>
      </c>
      <c r="AU115" s="374">
        <f t="shared" si="125"/>
        <v>0</v>
      </c>
      <c r="AV115" s="374">
        <f t="shared" si="125"/>
        <v>0</v>
      </c>
      <c r="AW115" s="374">
        <f t="shared" si="125"/>
        <v>0</v>
      </c>
      <c r="AX115" s="374">
        <f t="shared" si="125"/>
        <v>0</v>
      </c>
      <c r="AY115" s="374">
        <f t="shared" si="125"/>
        <v>-12.16</v>
      </c>
      <c r="AZ115" s="500">
        <f t="shared" si="125"/>
        <v>-12.16</v>
      </c>
      <c r="BA115" s="501">
        <f t="shared" si="125"/>
        <v>-160</v>
      </c>
      <c r="BB115" s="367"/>
      <c r="BC115" s="502"/>
      <c r="BD115" s="502"/>
    </row>
    <row r="116" s="2" customFormat="1" ht="12.35" hidden="1" spans="1:56">
      <c r="A116" s="21"/>
      <c r="B116" s="22"/>
      <c r="C116" s="22"/>
      <c r="D116" s="34"/>
      <c r="E116" s="22"/>
      <c r="F116" s="22"/>
      <c r="G116" s="22"/>
      <c r="H116" s="22"/>
      <c r="I116" s="22"/>
      <c r="J116" s="22"/>
      <c r="K116" s="22"/>
      <c r="L116" s="22"/>
      <c r="M116" s="22"/>
      <c r="N116" s="22"/>
      <c r="O116" s="22"/>
      <c r="P116" s="22"/>
      <c r="Q116" s="35"/>
      <c r="R116" s="473" t="s">
        <v>3495</v>
      </c>
      <c r="S116" s="477">
        <f t="shared" ref="S116:AG116" si="126">S111-S112</f>
        <v>-36187.72</v>
      </c>
      <c r="T116" s="375">
        <f t="shared" si="126"/>
        <v>-601.44</v>
      </c>
      <c r="U116" s="375">
        <f t="shared" si="126"/>
        <v>-120.29</v>
      </c>
      <c r="V116" s="375">
        <f t="shared" si="126"/>
        <v>-481.15</v>
      </c>
      <c r="W116" s="375">
        <f t="shared" si="126"/>
        <v>-481.15</v>
      </c>
      <c r="X116" s="375">
        <f t="shared" si="126"/>
        <v>-481.15</v>
      </c>
      <c r="Y116" s="375">
        <f t="shared" si="126"/>
        <v>-481.15</v>
      </c>
      <c r="Z116" s="367">
        <f t="shared" si="126"/>
        <v>-481.15</v>
      </c>
      <c r="AA116" s="367">
        <f t="shared" si="126"/>
        <v>-481.15</v>
      </c>
      <c r="AB116" s="367">
        <f t="shared" si="126"/>
        <v>-481.15</v>
      </c>
      <c r="AC116" s="367">
        <f t="shared" si="126"/>
        <v>-481.15</v>
      </c>
      <c r="AD116" s="367">
        <f t="shared" si="126"/>
        <v>-481.15</v>
      </c>
      <c r="AE116" s="367">
        <f t="shared" si="126"/>
        <v>-481.15</v>
      </c>
      <c r="AF116" s="367">
        <f t="shared" si="126"/>
        <v>-481.15</v>
      </c>
      <c r="AG116" s="367">
        <f t="shared" si="126"/>
        <v>-481.15</v>
      </c>
      <c r="AH116" s="482"/>
      <c r="AI116" s="75"/>
      <c r="AJ116" s="97"/>
      <c r="AK116" s="22"/>
      <c r="AL116" s="13"/>
      <c r="AM116" s="22"/>
      <c r="AN116" s="22"/>
      <c r="AO116" s="375">
        <f t="shared" ref="AO116:AZ116" si="127">AO111-AO112</f>
        <v>0</v>
      </c>
      <c r="AP116" s="375">
        <f t="shared" si="127"/>
        <v>0</v>
      </c>
      <c r="AQ116" s="375">
        <f t="shared" si="127"/>
        <v>0</v>
      </c>
      <c r="AR116" s="375">
        <f t="shared" si="127"/>
        <v>0</v>
      </c>
      <c r="AS116" s="375">
        <f t="shared" si="127"/>
        <v>0</v>
      </c>
      <c r="AT116" s="375">
        <f t="shared" si="127"/>
        <v>0</v>
      </c>
      <c r="AU116" s="375">
        <f t="shared" si="127"/>
        <v>0</v>
      </c>
      <c r="AV116" s="375">
        <f t="shared" si="127"/>
        <v>0</v>
      </c>
      <c r="AW116" s="375">
        <f t="shared" si="127"/>
        <v>0</v>
      </c>
      <c r="AX116" s="375">
        <f t="shared" si="127"/>
        <v>0</v>
      </c>
      <c r="AY116" s="375">
        <f t="shared" si="127"/>
        <v>0</v>
      </c>
      <c r="AZ116" s="496">
        <f t="shared" si="127"/>
        <v>-481.15</v>
      </c>
      <c r="BA116" s="367">
        <v>-120.29</v>
      </c>
      <c r="BB116" s="367"/>
      <c r="BC116" s="367"/>
      <c r="BD116" s="498"/>
    </row>
    <row r="117" s="2" customFormat="1" ht="12.35" hidden="1" spans="1:56">
      <c r="A117" s="21"/>
      <c r="B117" s="22"/>
      <c r="C117" s="22"/>
      <c r="D117" s="34"/>
      <c r="E117" s="22"/>
      <c r="F117" s="22"/>
      <c r="G117" s="22"/>
      <c r="H117" s="22"/>
      <c r="I117" s="22"/>
      <c r="J117" s="22"/>
      <c r="K117" s="22"/>
      <c r="L117" s="22"/>
      <c r="M117" s="22"/>
      <c r="N117" s="22"/>
      <c r="O117" s="22"/>
      <c r="P117" s="22"/>
      <c r="Q117" s="35"/>
      <c r="R117" s="478" t="s">
        <v>3496</v>
      </c>
      <c r="S117" s="376">
        <f t="shared" ref="S117:AG117" si="128">S116/S111</f>
        <v>-0.4523465</v>
      </c>
      <c r="T117" s="376">
        <f t="shared" si="128"/>
        <v>1</v>
      </c>
      <c r="U117" s="376">
        <f t="shared" si="128"/>
        <v>1</v>
      </c>
      <c r="V117" s="376">
        <f t="shared" si="128"/>
        <v>1</v>
      </c>
      <c r="W117" s="376">
        <f t="shared" si="128"/>
        <v>1</v>
      </c>
      <c r="X117" s="376">
        <f t="shared" si="128"/>
        <v>1</v>
      </c>
      <c r="Y117" s="376">
        <f t="shared" si="128"/>
        <v>1</v>
      </c>
      <c r="Z117" s="368">
        <f t="shared" si="128"/>
        <v>1</v>
      </c>
      <c r="AA117" s="368">
        <f t="shared" si="128"/>
        <v>1</v>
      </c>
      <c r="AB117" s="368">
        <f t="shared" si="128"/>
        <v>1</v>
      </c>
      <c r="AC117" s="368">
        <f t="shared" si="128"/>
        <v>1</v>
      </c>
      <c r="AD117" s="368">
        <f t="shared" si="128"/>
        <v>1</v>
      </c>
      <c r="AE117" s="368">
        <f t="shared" si="128"/>
        <v>1</v>
      </c>
      <c r="AF117" s="368">
        <f t="shared" si="128"/>
        <v>1</v>
      </c>
      <c r="AG117" s="368">
        <f t="shared" si="128"/>
        <v>1</v>
      </c>
      <c r="AH117" s="487">
        <f>T117-S117</f>
        <v>1.4523465</v>
      </c>
      <c r="AI117" s="82">
        <f>AF117-S117</f>
        <v>1.4523465</v>
      </c>
      <c r="AJ117" s="97"/>
      <c r="AK117" s="22"/>
      <c r="AL117" s="13"/>
      <c r="AM117" s="22"/>
      <c r="AN117" s="22"/>
      <c r="AO117" s="376" t="e">
        <f t="shared" ref="AO117:AZ117" si="129">AO116/AO111</f>
        <v>#DIV/0!</v>
      </c>
      <c r="AP117" s="376" t="e">
        <f t="shared" si="129"/>
        <v>#DIV/0!</v>
      </c>
      <c r="AQ117" s="376" t="e">
        <f t="shared" si="129"/>
        <v>#DIV/0!</v>
      </c>
      <c r="AR117" s="376" t="e">
        <f t="shared" si="129"/>
        <v>#DIV/0!</v>
      </c>
      <c r="AS117" s="376" t="e">
        <f t="shared" si="129"/>
        <v>#DIV/0!</v>
      </c>
      <c r="AT117" s="376" t="e">
        <f t="shared" si="129"/>
        <v>#DIV/0!</v>
      </c>
      <c r="AU117" s="376" t="e">
        <f t="shared" si="129"/>
        <v>#DIV/0!</v>
      </c>
      <c r="AV117" s="376" t="e">
        <f t="shared" si="129"/>
        <v>#DIV/0!</v>
      </c>
      <c r="AW117" s="376" t="e">
        <f t="shared" si="129"/>
        <v>#DIV/0!</v>
      </c>
      <c r="AX117" s="376" t="e">
        <f t="shared" si="129"/>
        <v>#DIV/0!</v>
      </c>
      <c r="AY117" s="376" t="e">
        <f t="shared" si="129"/>
        <v>#DIV/0!</v>
      </c>
      <c r="AZ117" s="503">
        <f t="shared" si="129"/>
        <v>1</v>
      </c>
      <c r="BA117" s="368">
        <v>1</v>
      </c>
      <c r="BB117" s="368"/>
      <c r="BC117" s="368"/>
      <c r="BD117" s="498"/>
    </row>
    <row r="118" s="2" customFormat="1" ht="12.35" hidden="1" spans="1:56">
      <c r="A118" s="21"/>
      <c r="B118" s="22"/>
      <c r="C118" s="22"/>
      <c r="D118" s="34"/>
      <c r="E118" s="22"/>
      <c r="F118" s="22"/>
      <c r="G118" s="22"/>
      <c r="H118" s="22"/>
      <c r="I118" s="22"/>
      <c r="J118" s="22"/>
      <c r="K118" s="22"/>
      <c r="L118" s="22"/>
      <c r="M118" s="22"/>
      <c r="N118" s="22"/>
      <c r="O118" s="22"/>
      <c r="P118" s="22"/>
      <c r="Q118" s="35"/>
      <c r="R118" s="473" t="s">
        <v>3497</v>
      </c>
      <c r="S118" s="375">
        <f t="shared" ref="S118:AG118" si="130">S111-S112-S113-S114</f>
        <v>-38587.72</v>
      </c>
      <c r="T118" s="375">
        <f t="shared" si="130"/>
        <v>-417.12</v>
      </c>
      <c r="U118" s="375">
        <f t="shared" si="130"/>
        <v>39.71</v>
      </c>
      <c r="V118" s="375">
        <f t="shared" si="130"/>
        <v>-456.83</v>
      </c>
      <c r="W118" s="375">
        <f t="shared" si="130"/>
        <v>-456.83</v>
      </c>
      <c r="X118" s="375">
        <f t="shared" si="130"/>
        <v>-456.83</v>
      </c>
      <c r="Y118" s="375">
        <f t="shared" si="130"/>
        <v>-456.83</v>
      </c>
      <c r="Z118" s="367">
        <f t="shared" si="130"/>
        <v>-456.83</v>
      </c>
      <c r="AA118" s="367">
        <f t="shared" si="130"/>
        <v>-456.83</v>
      </c>
      <c r="AB118" s="367">
        <f t="shared" si="130"/>
        <v>-456.83</v>
      </c>
      <c r="AC118" s="367">
        <f t="shared" si="130"/>
        <v>-456.83</v>
      </c>
      <c r="AD118" s="367">
        <f t="shared" si="130"/>
        <v>-456.83</v>
      </c>
      <c r="AE118" s="367">
        <f t="shared" si="130"/>
        <v>-456.83</v>
      </c>
      <c r="AF118" s="367">
        <f t="shared" si="130"/>
        <v>-456.83</v>
      </c>
      <c r="AG118" s="367">
        <f t="shared" si="130"/>
        <v>-468.99</v>
      </c>
      <c r="AH118" s="487"/>
      <c r="AI118" s="82"/>
      <c r="AJ118" s="97"/>
      <c r="AK118" s="22"/>
      <c r="AL118" s="13"/>
      <c r="AM118" s="22"/>
      <c r="AN118" s="22"/>
      <c r="AO118" s="375">
        <f t="shared" ref="AO118:AZ118" si="131">AO111-AO112-AO113-AO114</f>
        <v>0</v>
      </c>
      <c r="AP118" s="375">
        <f t="shared" si="131"/>
        <v>0</v>
      </c>
      <c r="AQ118" s="375">
        <f t="shared" si="131"/>
        <v>0</v>
      </c>
      <c r="AR118" s="375">
        <f t="shared" si="131"/>
        <v>0</v>
      </c>
      <c r="AS118" s="375">
        <f t="shared" si="131"/>
        <v>0</v>
      </c>
      <c r="AT118" s="375">
        <f t="shared" si="131"/>
        <v>0</v>
      </c>
      <c r="AU118" s="375">
        <f t="shared" si="131"/>
        <v>0</v>
      </c>
      <c r="AV118" s="375">
        <f t="shared" si="131"/>
        <v>0</v>
      </c>
      <c r="AW118" s="375">
        <f t="shared" si="131"/>
        <v>0</v>
      </c>
      <c r="AX118" s="375">
        <f t="shared" si="131"/>
        <v>0</v>
      </c>
      <c r="AY118" s="375">
        <f t="shared" si="131"/>
        <v>12.16</v>
      </c>
      <c r="AZ118" s="496">
        <f t="shared" si="131"/>
        <v>-468.99</v>
      </c>
      <c r="BA118" s="367">
        <v>39.71</v>
      </c>
      <c r="BB118" s="367"/>
      <c r="BC118" s="367"/>
      <c r="BD118" s="498"/>
    </row>
    <row r="119" s="2" customFormat="1" ht="12.35" hidden="1" spans="1:56">
      <c r="A119" s="23"/>
      <c r="B119" s="24"/>
      <c r="C119" s="24"/>
      <c r="D119" s="83"/>
      <c r="E119" s="24"/>
      <c r="F119" s="24"/>
      <c r="G119" s="24"/>
      <c r="H119" s="24"/>
      <c r="I119" s="24"/>
      <c r="J119" s="24"/>
      <c r="K119" s="24"/>
      <c r="L119" s="24"/>
      <c r="M119" s="24"/>
      <c r="N119" s="24"/>
      <c r="O119" s="24"/>
      <c r="P119" s="24"/>
      <c r="Q119" s="156"/>
      <c r="R119" s="478" t="s">
        <v>3498</v>
      </c>
      <c r="S119" s="376">
        <f t="shared" ref="S119:AG119" si="132">S118/S111</f>
        <v>-0.4823465</v>
      </c>
      <c r="T119" s="376">
        <f t="shared" si="132"/>
        <v>0.693535514764565</v>
      </c>
      <c r="U119" s="376">
        <f t="shared" si="132"/>
        <v>-0.330118879374844</v>
      </c>
      <c r="V119" s="376">
        <f t="shared" si="132"/>
        <v>0.949454432089785</v>
      </c>
      <c r="W119" s="376">
        <f t="shared" si="132"/>
        <v>0.949454432089785</v>
      </c>
      <c r="X119" s="376">
        <f t="shared" si="132"/>
        <v>0.949454432089785</v>
      </c>
      <c r="Y119" s="376">
        <f t="shared" si="132"/>
        <v>0.949454432089785</v>
      </c>
      <c r="Z119" s="368">
        <f t="shared" si="132"/>
        <v>0.949454432089785</v>
      </c>
      <c r="AA119" s="368">
        <f t="shared" si="132"/>
        <v>0.949454432089785</v>
      </c>
      <c r="AB119" s="368">
        <f t="shared" si="132"/>
        <v>0.949454432089785</v>
      </c>
      <c r="AC119" s="368">
        <f t="shared" si="132"/>
        <v>0.949454432089785</v>
      </c>
      <c r="AD119" s="368">
        <f t="shared" si="132"/>
        <v>0.949454432089785</v>
      </c>
      <c r="AE119" s="368">
        <f t="shared" si="132"/>
        <v>0.949454432089785</v>
      </c>
      <c r="AF119" s="368">
        <f t="shared" si="132"/>
        <v>0.949454432089785</v>
      </c>
      <c r="AG119" s="368">
        <f t="shared" si="132"/>
        <v>0.974727216044892</v>
      </c>
      <c r="AH119" s="487">
        <f>T119-S119</f>
        <v>1.17588201476456</v>
      </c>
      <c r="AI119" s="82">
        <f>AF119-S119</f>
        <v>1.43180093208978</v>
      </c>
      <c r="AJ119" s="98"/>
      <c r="AK119" s="24"/>
      <c r="AL119" s="14"/>
      <c r="AM119" s="24"/>
      <c r="AN119" s="24"/>
      <c r="AO119" s="376" t="e">
        <f t="shared" ref="AO119:AZ119" si="133">AO118/AO111</f>
        <v>#DIV/0!</v>
      </c>
      <c r="AP119" s="376" t="e">
        <f t="shared" si="133"/>
        <v>#DIV/0!</v>
      </c>
      <c r="AQ119" s="376" t="e">
        <f t="shared" si="133"/>
        <v>#DIV/0!</v>
      </c>
      <c r="AR119" s="376" t="e">
        <f t="shared" si="133"/>
        <v>#DIV/0!</v>
      </c>
      <c r="AS119" s="376" t="e">
        <f t="shared" si="133"/>
        <v>#DIV/0!</v>
      </c>
      <c r="AT119" s="376" t="e">
        <f t="shared" si="133"/>
        <v>#DIV/0!</v>
      </c>
      <c r="AU119" s="376" t="e">
        <f t="shared" si="133"/>
        <v>#DIV/0!</v>
      </c>
      <c r="AV119" s="376" t="e">
        <f t="shared" si="133"/>
        <v>#DIV/0!</v>
      </c>
      <c r="AW119" s="376" t="e">
        <f t="shared" si="133"/>
        <v>#DIV/0!</v>
      </c>
      <c r="AX119" s="376" t="e">
        <f t="shared" si="133"/>
        <v>#DIV/0!</v>
      </c>
      <c r="AY119" s="376" t="e">
        <f t="shared" si="133"/>
        <v>#DIV/0!</v>
      </c>
      <c r="AZ119" s="503">
        <f t="shared" si="133"/>
        <v>0.974727216044892</v>
      </c>
      <c r="BA119" s="368">
        <v>-0.330118879374844</v>
      </c>
      <c r="BB119" s="368"/>
      <c r="BC119" s="368"/>
      <c r="BD119" s="498"/>
    </row>
    <row r="120" s="2" customFormat="1" ht="12.35" hidden="1" spans="1:56">
      <c r="A120" s="30" t="s">
        <v>2589</v>
      </c>
      <c r="B120" s="469" t="s">
        <v>3529</v>
      </c>
      <c r="C120" s="29">
        <v>45870</v>
      </c>
      <c r="D120" s="470">
        <v>46251</v>
      </c>
      <c r="E120" s="26" t="s">
        <v>3530</v>
      </c>
      <c r="F120" s="26" t="s">
        <v>3531</v>
      </c>
      <c r="G120" s="430"/>
      <c r="H120" s="431"/>
      <c r="I120" s="431"/>
      <c r="J120" s="29"/>
      <c r="K120" s="29"/>
      <c r="L120" s="29"/>
      <c r="M120" s="54"/>
      <c r="N120" s="54"/>
      <c r="O120" s="54"/>
      <c r="P120" s="54"/>
      <c r="Q120" s="435" t="s">
        <v>3485</v>
      </c>
      <c r="R120" s="55" t="s">
        <v>3486</v>
      </c>
      <c r="S120" s="63">
        <f>2412928.8-241292.8</f>
        <v>2171636</v>
      </c>
      <c r="T120" s="58">
        <f>SUM(AO120:BC120)</f>
        <v>1875119.33</v>
      </c>
      <c r="U120" s="58">
        <f>SUM(BA120:BC120)</f>
        <v>1588568.76</v>
      </c>
      <c r="V120" s="58">
        <f>SUM(AO120:AZ120)</f>
        <v>286550.57</v>
      </c>
      <c r="W120" s="58">
        <f>SUM(AP120:AZ120)</f>
        <v>286550.57</v>
      </c>
      <c r="X120" s="58">
        <f>SUM(AQ120:AZ120)</f>
        <v>286550.57</v>
      </c>
      <c r="Y120" s="58">
        <f>SUM(AR120:AZ120)</f>
        <v>286550.57</v>
      </c>
      <c r="Z120" s="70">
        <f>SUM(AS120:AZ120)</f>
        <v>286550.57</v>
      </c>
      <c r="AA120" s="66">
        <f>SUM(AT120:AZ120)</f>
        <v>286550.57</v>
      </c>
      <c r="AB120" s="66">
        <f>SUM(AU120:AZ120)</f>
        <v>286550.57</v>
      </c>
      <c r="AC120" s="70">
        <f>SUM(AV120:AZ120)</f>
        <v>286550.57</v>
      </c>
      <c r="AD120" s="70">
        <f>SUM(AW120:AZ120)</f>
        <v>286550.57</v>
      </c>
      <c r="AE120" s="70">
        <f>SUM(AX120:AZ120)</f>
        <v>286550.57</v>
      </c>
      <c r="AF120" s="70">
        <f>SUM(AY120:AZ120)</f>
        <v>286550.57</v>
      </c>
      <c r="AG120" s="70">
        <f>SUM(AZ120:AZ120)</f>
        <v>215196.89</v>
      </c>
      <c r="AH120" s="75"/>
      <c r="AI120" s="75"/>
      <c r="AJ120" s="95"/>
      <c r="AK120" s="96" t="s">
        <v>3532</v>
      </c>
      <c r="AL120" s="93" t="s">
        <v>3533</v>
      </c>
      <c r="AM120" s="96" t="s">
        <v>3534</v>
      </c>
      <c r="AN120" s="94"/>
      <c r="AO120" s="58"/>
      <c r="AP120" s="58"/>
      <c r="AQ120" s="58"/>
      <c r="AR120" s="58"/>
      <c r="AS120" s="58"/>
      <c r="AT120" s="58"/>
      <c r="AU120" s="58"/>
      <c r="AV120" s="58"/>
      <c r="AW120" s="58"/>
      <c r="AX120" s="58"/>
      <c r="AY120" s="58">
        <v>71353.68</v>
      </c>
      <c r="AZ120" s="369">
        <v>215196.89</v>
      </c>
      <c r="BA120" s="114">
        <v>1588568.76</v>
      </c>
      <c r="BB120" s="114"/>
      <c r="BC120" s="455"/>
      <c r="BD120" s="454"/>
    </row>
    <row r="121" s="2" customFormat="1" ht="12.35" hidden="1" spans="1:56">
      <c r="A121" s="21"/>
      <c r="B121" s="22"/>
      <c r="C121" s="22"/>
      <c r="D121" s="34"/>
      <c r="E121" s="22"/>
      <c r="F121" s="22"/>
      <c r="G121" s="22"/>
      <c r="H121" s="22"/>
      <c r="I121" s="22"/>
      <c r="J121" s="22"/>
      <c r="K121" s="22"/>
      <c r="L121" s="22"/>
      <c r="M121" s="22"/>
      <c r="N121" s="22"/>
      <c r="O121" s="22"/>
      <c r="P121" s="22"/>
      <c r="Q121" s="35"/>
      <c r="R121" s="55" t="s">
        <v>3490</v>
      </c>
      <c r="S121" s="56">
        <v>1693636.97</v>
      </c>
      <c r="T121" s="58">
        <f>SUM(AO121:BC121)</f>
        <v>1965822.49</v>
      </c>
      <c r="U121" s="58">
        <f>SUM(BA121:BC121)</f>
        <v>1641914.59</v>
      </c>
      <c r="V121" s="58">
        <f>SUM(AO121:AZ121)</f>
        <v>323907.9</v>
      </c>
      <c r="W121" s="58">
        <f>SUM(AP121:AZ121)</f>
        <v>323907.9</v>
      </c>
      <c r="X121" s="58">
        <f>SUM(AQ121:AZ121)</f>
        <v>323907.9</v>
      </c>
      <c r="Y121" s="58">
        <f>SUM(AR121:AZ121)</f>
        <v>323907.9</v>
      </c>
      <c r="Z121" s="70">
        <f>SUM(AS121:AZ121)</f>
        <v>323907.9</v>
      </c>
      <c r="AA121" s="66">
        <f>SUM(AT121:AZ121)</f>
        <v>323907.9</v>
      </c>
      <c r="AB121" s="66">
        <f>SUM(AU121:AZ121)</f>
        <v>323907.9</v>
      </c>
      <c r="AC121" s="70">
        <f>SUM(AV121:AZ121)</f>
        <v>323907.9</v>
      </c>
      <c r="AD121" s="70">
        <f>SUM(AW121:AZ121)</f>
        <v>323907.9</v>
      </c>
      <c r="AE121" s="70">
        <f>SUM(AX121:AZ121)</f>
        <v>323907.9</v>
      </c>
      <c r="AF121" s="70">
        <f>SUM(AY121:AZ121)</f>
        <v>323907.9</v>
      </c>
      <c r="AG121" s="70">
        <f>SUM(AZ121:AZ121)</f>
        <v>323707.9</v>
      </c>
      <c r="AH121" s="75"/>
      <c r="AI121" s="75"/>
      <c r="AJ121" s="97"/>
      <c r="AK121" s="22"/>
      <c r="AL121" s="13"/>
      <c r="AM121" s="22"/>
      <c r="AN121" s="22"/>
      <c r="AO121" s="58"/>
      <c r="AP121" s="58"/>
      <c r="AQ121" s="58"/>
      <c r="AR121" s="58"/>
      <c r="AS121" s="58"/>
      <c r="AT121" s="58"/>
      <c r="AU121" s="58"/>
      <c r="AV121" s="58"/>
      <c r="AW121" s="58"/>
      <c r="AX121" s="58"/>
      <c r="AY121" s="58">
        <v>200</v>
      </c>
      <c r="AZ121" s="369">
        <v>323707.9</v>
      </c>
      <c r="BA121" s="115">
        <v>1641914.59</v>
      </c>
      <c r="BB121" s="115"/>
      <c r="BC121" s="456"/>
      <c r="BD121" s="454"/>
    </row>
    <row r="122" s="2" customFormat="1" ht="12.35" hidden="1" spans="1:56">
      <c r="A122" s="21"/>
      <c r="B122" s="22"/>
      <c r="C122" s="22"/>
      <c r="D122" s="34"/>
      <c r="E122" s="22"/>
      <c r="F122" s="22"/>
      <c r="G122" s="22"/>
      <c r="H122" s="22"/>
      <c r="I122" s="22"/>
      <c r="J122" s="22"/>
      <c r="K122" s="22"/>
      <c r="L122" s="22"/>
      <c r="M122" s="22"/>
      <c r="N122" s="22"/>
      <c r="O122" s="22"/>
      <c r="P122" s="22"/>
      <c r="Q122" s="35"/>
      <c r="R122" s="55" t="s">
        <v>3492</v>
      </c>
      <c r="S122" s="56">
        <v>45000</v>
      </c>
      <c r="T122" s="58">
        <f>SUM(AO122:BC122)</f>
        <v>0</v>
      </c>
      <c r="U122" s="58">
        <f>SUM(BA122:BC122)</f>
        <v>0</v>
      </c>
      <c r="V122" s="58">
        <f>SUM(AO122:AZ122)</f>
        <v>0</v>
      </c>
      <c r="W122" s="58">
        <f>SUM(AP122:AZ122)</f>
        <v>0</v>
      </c>
      <c r="X122" s="58">
        <f>SUM(AQ122:AZ122)</f>
        <v>0</v>
      </c>
      <c r="Y122" s="58">
        <f>SUM(AR122:AZ122)</f>
        <v>0</v>
      </c>
      <c r="Z122" s="70">
        <f>SUM(AS122:AZ122)</f>
        <v>0</v>
      </c>
      <c r="AA122" s="66">
        <f>SUM(AT122:AZ122)</f>
        <v>0</v>
      </c>
      <c r="AB122" s="66">
        <f>SUM(AU122:AZ122)</f>
        <v>0</v>
      </c>
      <c r="AC122" s="70">
        <f>SUM(AV122:AZ122)</f>
        <v>0</v>
      </c>
      <c r="AD122" s="70">
        <f>SUM(AW122:AZ122)</f>
        <v>0</v>
      </c>
      <c r="AE122" s="70">
        <f>SUM(AX122:AZ122)</f>
        <v>0</v>
      </c>
      <c r="AF122" s="70">
        <f>SUM(AY122:AZ122)</f>
        <v>0</v>
      </c>
      <c r="AG122" s="70">
        <f>SUM(AZ122:AZ122)</f>
        <v>0</v>
      </c>
      <c r="AH122" s="75"/>
      <c r="AI122" s="75"/>
      <c r="AJ122" s="97"/>
      <c r="AK122" s="22"/>
      <c r="AL122" s="13"/>
      <c r="AM122" s="22"/>
      <c r="AN122" s="22"/>
      <c r="AO122" s="58"/>
      <c r="AP122" s="58"/>
      <c r="AQ122" s="58"/>
      <c r="AR122" s="58"/>
      <c r="AS122" s="58"/>
      <c r="AT122" s="58"/>
      <c r="AU122" s="58"/>
      <c r="AV122" s="58"/>
      <c r="AW122" s="58"/>
      <c r="AX122" s="58"/>
      <c r="AY122" s="58">
        <v>0</v>
      </c>
      <c r="AZ122" s="369">
        <v>0</v>
      </c>
      <c r="BA122" s="115">
        <v>0</v>
      </c>
      <c r="BB122" s="115"/>
      <c r="BC122" s="456"/>
      <c r="BD122" s="454"/>
    </row>
    <row r="123" s="2" customFormat="1" ht="12.35" hidden="1" spans="1:56">
      <c r="A123" s="21"/>
      <c r="B123" s="22"/>
      <c r="C123" s="22"/>
      <c r="D123" s="34"/>
      <c r="E123" s="22"/>
      <c r="F123" s="22"/>
      <c r="G123" s="22"/>
      <c r="H123" s="22"/>
      <c r="I123" s="22"/>
      <c r="J123" s="22"/>
      <c r="K123" s="22"/>
      <c r="L123" s="22"/>
      <c r="M123" s="22"/>
      <c r="N123" s="22"/>
      <c r="O123" s="22"/>
      <c r="P123" s="22"/>
      <c r="Q123" s="35"/>
      <c r="R123" s="55" t="s">
        <v>3493</v>
      </c>
      <c r="S123" s="56">
        <v>25000</v>
      </c>
      <c r="T123" s="58">
        <f>SUM(AO123:BC123)</f>
        <v>9273.52</v>
      </c>
      <c r="U123" s="58">
        <f>SUM(BA123:BC123)</f>
        <v>5344.37</v>
      </c>
      <c r="V123" s="58">
        <f>SUM(AO123:AZ123)</f>
        <v>3929.15</v>
      </c>
      <c r="W123" s="58">
        <f>SUM(AP123:AZ123)</f>
        <v>3929.15</v>
      </c>
      <c r="X123" s="58">
        <f>SUM(AQ123:AZ123)</f>
        <v>3929.15</v>
      </c>
      <c r="Y123" s="58">
        <f>SUM(AR123:AZ123)</f>
        <v>3929.15</v>
      </c>
      <c r="Z123" s="70">
        <f>SUM(AS123:AZ123)</f>
        <v>3929.15</v>
      </c>
      <c r="AA123" s="66">
        <f>SUM(AT123:AZ123)</f>
        <v>3929.15</v>
      </c>
      <c r="AB123" s="66">
        <f>SUM(AU123:AZ123)</f>
        <v>3929.15</v>
      </c>
      <c r="AC123" s="70">
        <f>SUM(AV123:AZ123)</f>
        <v>3929.15</v>
      </c>
      <c r="AD123" s="70">
        <f>SUM(AW123:AZ123)</f>
        <v>3929.15</v>
      </c>
      <c r="AE123" s="70">
        <f>SUM(AX123:AZ123)</f>
        <v>3929.15</v>
      </c>
      <c r="AF123" s="70">
        <f>SUM(AY123:AZ123)</f>
        <v>3929.15</v>
      </c>
      <c r="AG123" s="70">
        <f>SUM(AZ123:AZ123)</f>
        <v>1926.47</v>
      </c>
      <c r="AH123" s="75"/>
      <c r="AI123" s="75"/>
      <c r="AJ123" s="97"/>
      <c r="AK123" s="22"/>
      <c r="AL123" s="13"/>
      <c r="AM123" s="22"/>
      <c r="AN123" s="22"/>
      <c r="AO123" s="58"/>
      <c r="AP123" s="58"/>
      <c r="AQ123" s="58"/>
      <c r="AR123" s="58"/>
      <c r="AS123" s="58"/>
      <c r="AT123" s="58"/>
      <c r="AU123" s="58"/>
      <c r="AV123" s="58"/>
      <c r="AW123" s="58"/>
      <c r="AX123" s="58"/>
      <c r="AY123" s="58">
        <v>2002.68</v>
      </c>
      <c r="AZ123" s="369">
        <v>1926.47</v>
      </c>
      <c r="BA123" s="144">
        <v>5344.37</v>
      </c>
      <c r="BB123" s="144"/>
      <c r="BC123" s="456"/>
      <c r="BD123" s="454"/>
    </row>
    <row r="124" ht="14.25" hidden="1" customHeight="1" spans="1:56">
      <c r="A124" s="21"/>
      <c r="B124" s="22"/>
      <c r="C124" s="22"/>
      <c r="D124" s="34"/>
      <c r="E124" s="22"/>
      <c r="F124" s="22"/>
      <c r="G124" s="22"/>
      <c r="H124" s="22"/>
      <c r="I124" s="22"/>
      <c r="J124" s="22"/>
      <c r="K124" s="22"/>
      <c r="L124" s="22"/>
      <c r="M124" s="22"/>
      <c r="N124" s="22"/>
      <c r="O124" s="22"/>
      <c r="P124" s="22"/>
      <c r="Q124" s="35"/>
      <c r="R124" s="213" t="s">
        <v>3494</v>
      </c>
      <c r="S124" s="214">
        <f t="shared" ref="S124:AI124" si="134">SUM(S121:S123)</f>
        <v>1763636.97</v>
      </c>
      <c r="T124" s="214">
        <f t="shared" si="134"/>
        <v>1975096.01</v>
      </c>
      <c r="U124" s="214">
        <f t="shared" si="134"/>
        <v>1647258.96</v>
      </c>
      <c r="V124" s="214">
        <f t="shared" si="134"/>
        <v>327837.05</v>
      </c>
      <c r="W124" s="214">
        <f t="shared" si="134"/>
        <v>327837.05</v>
      </c>
      <c r="X124" s="214">
        <f t="shared" si="134"/>
        <v>327837.05</v>
      </c>
      <c r="Y124" s="214">
        <f t="shared" si="134"/>
        <v>327837.05</v>
      </c>
      <c r="Z124" s="214">
        <f t="shared" si="134"/>
        <v>327837.05</v>
      </c>
      <c r="AA124" s="214">
        <f t="shared" si="134"/>
        <v>327837.05</v>
      </c>
      <c r="AB124" s="214">
        <f t="shared" si="134"/>
        <v>327837.05</v>
      </c>
      <c r="AC124" s="214">
        <f t="shared" si="134"/>
        <v>327837.05</v>
      </c>
      <c r="AD124" s="214">
        <f t="shared" si="134"/>
        <v>327837.05</v>
      </c>
      <c r="AE124" s="214">
        <f t="shared" si="134"/>
        <v>327837.05</v>
      </c>
      <c r="AF124" s="214">
        <f t="shared" si="134"/>
        <v>327837.05</v>
      </c>
      <c r="AG124" s="214">
        <f t="shared" si="134"/>
        <v>325634.37</v>
      </c>
      <c r="AH124" s="214">
        <f t="shared" si="134"/>
        <v>0</v>
      </c>
      <c r="AI124" s="214">
        <f t="shared" si="134"/>
        <v>0</v>
      </c>
      <c r="AJ124" s="97"/>
      <c r="AK124" s="22"/>
      <c r="AL124" s="13"/>
      <c r="AM124" s="22"/>
      <c r="AN124" s="22"/>
      <c r="AO124" s="214">
        <f t="shared" ref="AO124:BA124" si="135">SUM(AO121:AO123)</f>
        <v>0</v>
      </c>
      <c r="AP124" s="214">
        <f t="shared" si="135"/>
        <v>0</v>
      </c>
      <c r="AQ124" s="214">
        <f t="shared" si="135"/>
        <v>0</v>
      </c>
      <c r="AR124" s="214">
        <f t="shared" si="135"/>
        <v>0</v>
      </c>
      <c r="AS124" s="214">
        <f t="shared" si="135"/>
        <v>0</v>
      </c>
      <c r="AT124" s="214">
        <f t="shared" si="135"/>
        <v>0</v>
      </c>
      <c r="AU124" s="214">
        <f t="shared" si="135"/>
        <v>0</v>
      </c>
      <c r="AV124" s="214">
        <f t="shared" si="135"/>
        <v>0</v>
      </c>
      <c r="AW124" s="214">
        <f t="shared" si="135"/>
        <v>0</v>
      </c>
      <c r="AX124" s="214">
        <f t="shared" si="135"/>
        <v>0</v>
      </c>
      <c r="AY124" s="214">
        <f t="shared" si="135"/>
        <v>2202.68</v>
      </c>
      <c r="AZ124" s="450">
        <f t="shared" si="135"/>
        <v>325634.37</v>
      </c>
      <c r="BA124" s="451">
        <f t="shared" si="135"/>
        <v>1647258.96</v>
      </c>
      <c r="BB124" s="57"/>
      <c r="BC124" s="196"/>
      <c r="BD124" s="196"/>
    </row>
    <row r="125" s="2" customFormat="1" ht="12.35" hidden="1" spans="1:56">
      <c r="A125" s="21"/>
      <c r="B125" s="22"/>
      <c r="C125" s="22"/>
      <c r="D125" s="34"/>
      <c r="E125" s="22"/>
      <c r="F125" s="22"/>
      <c r="G125" s="22"/>
      <c r="H125" s="22"/>
      <c r="I125" s="22"/>
      <c r="J125" s="22"/>
      <c r="K125" s="22"/>
      <c r="L125" s="22"/>
      <c r="M125" s="22"/>
      <c r="N125" s="22"/>
      <c r="O125" s="22"/>
      <c r="P125" s="22"/>
      <c r="Q125" s="35"/>
      <c r="R125" s="55" t="s">
        <v>3495</v>
      </c>
      <c r="S125" s="59">
        <f t="shared" ref="S125:AG125" si="136">S120-S121</f>
        <v>477999.03</v>
      </c>
      <c r="T125" s="58">
        <f t="shared" si="136"/>
        <v>-90703.1600000001</v>
      </c>
      <c r="U125" s="58">
        <f t="shared" si="136"/>
        <v>-53345.8300000001</v>
      </c>
      <c r="V125" s="58">
        <f t="shared" si="136"/>
        <v>-37357.33</v>
      </c>
      <c r="W125" s="58">
        <f t="shared" si="136"/>
        <v>-37357.33</v>
      </c>
      <c r="X125" s="58">
        <f t="shared" si="136"/>
        <v>-37357.33</v>
      </c>
      <c r="Y125" s="58">
        <f t="shared" si="136"/>
        <v>-37357.33</v>
      </c>
      <c r="Z125" s="57">
        <f t="shared" si="136"/>
        <v>-37357.33</v>
      </c>
      <c r="AA125" s="68">
        <f t="shared" si="136"/>
        <v>-37357.33</v>
      </c>
      <c r="AB125" s="68">
        <f t="shared" si="136"/>
        <v>-37357.33</v>
      </c>
      <c r="AC125" s="57">
        <f t="shared" si="136"/>
        <v>-37357.33</v>
      </c>
      <c r="AD125" s="57">
        <f t="shared" si="136"/>
        <v>-37357.33</v>
      </c>
      <c r="AE125" s="57">
        <f t="shared" si="136"/>
        <v>-37357.33</v>
      </c>
      <c r="AF125" s="57">
        <f t="shared" si="136"/>
        <v>-37357.33</v>
      </c>
      <c r="AG125" s="57">
        <f t="shared" si="136"/>
        <v>-108511.01</v>
      </c>
      <c r="AH125" s="75"/>
      <c r="AI125" s="75"/>
      <c r="AJ125" s="97"/>
      <c r="AK125" s="22"/>
      <c r="AL125" s="13"/>
      <c r="AM125" s="22"/>
      <c r="AN125" s="22"/>
      <c r="AO125" s="58">
        <f t="shared" ref="AO125:AZ125" si="137">AO120-AO121</f>
        <v>0</v>
      </c>
      <c r="AP125" s="58">
        <f t="shared" si="137"/>
        <v>0</v>
      </c>
      <c r="AQ125" s="58">
        <f t="shared" si="137"/>
        <v>0</v>
      </c>
      <c r="AR125" s="58">
        <f t="shared" si="137"/>
        <v>0</v>
      </c>
      <c r="AS125" s="58">
        <f t="shared" si="137"/>
        <v>0</v>
      </c>
      <c r="AT125" s="58">
        <f t="shared" si="137"/>
        <v>0</v>
      </c>
      <c r="AU125" s="58">
        <f t="shared" si="137"/>
        <v>0</v>
      </c>
      <c r="AV125" s="58">
        <f t="shared" si="137"/>
        <v>0</v>
      </c>
      <c r="AW125" s="58">
        <f t="shared" si="137"/>
        <v>0</v>
      </c>
      <c r="AX125" s="58">
        <f t="shared" si="137"/>
        <v>0</v>
      </c>
      <c r="AY125" s="58">
        <f t="shared" si="137"/>
        <v>71153.68</v>
      </c>
      <c r="AZ125" s="369">
        <f t="shared" si="137"/>
        <v>-108511.01</v>
      </c>
      <c r="BA125" s="57">
        <v>-53345.8300000001</v>
      </c>
      <c r="BB125" s="57"/>
      <c r="BC125" s="57"/>
      <c r="BD125" s="454"/>
    </row>
    <row r="126" s="2" customFormat="1" ht="12.35" hidden="1" spans="1:56">
      <c r="A126" s="21"/>
      <c r="B126" s="22"/>
      <c r="C126" s="22"/>
      <c r="D126" s="34"/>
      <c r="E126" s="22"/>
      <c r="F126" s="22"/>
      <c r="G126" s="22"/>
      <c r="H126" s="22"/>
      <c r="I126" s="22"/>
      <c r="J126" s="22"/>
      <c r="K126" s="22"/>
      <c r="L126" s="22"/>
      <c r="M126" s="22"/>
      <c r="N126" s="22"/>
      <c r="O126" s="22"/>
      <c r="P126" s="22"/>
      <c r="Q126" s="35"/>
      <c r="R126" s="60" t="s">
        <v>3496</v>
      </c>
      <c r="S126" s="61">
        <f t="shared" ref="S126:AG126" si="138">S125/S120</f>
        <v>0.220110105929355</v>
      </c>
      <c r="T126" s="61">
        <f t="shared" si="138"/>
        <v>-0.0483719401474039</v>
      </c>
      <c r="U126" s="61">
        <f t="shared" si="138"/>
        <v>-0.0335810645048818</v>
      </c>
      <c r="V126" s="61">
        <f t="shared" si="138"/>
        <v>-0.130369065397427</v>
      </c>
      <c r="W126" s="61">
        <f t="shared" si="138"/>
        <v>-0.130369065397427</v>
      </c>
      <c r="X126" s="61">
        <f t="shared" si="138"/>
        <v>-0.130369065397427</v>
      </c>
      <c r="Y126" s="61">
        <f t="shared" si="138"/>
        <v>-0.130369065397427</v>
      </c>
      <c r="Z126" s="62">
        <f t="shared" si="138"/>
        <v>-0.130369065397427</v>
      </c>
      <c r="AA126" s="69">
        <f t="shared" si="138"/>
        <v>-0.130369065397427</v>
      </c>
      <c r="AB126" s="69">
        <f t="shared" si="138"/>
        <v>-0.130369065397427</v>
      </c>
      <c r="AC126" s="62">
        <f t="shared" si="138"/>
        <v>-0.130369065397427</v>
      </c>
      <c r="AD126" s="62">
        <f t="shared" si="138"/>
        <v>-0.130369065397427</v>
      </c>
      <c r="AE126" s="62">
        <f t="shared" si="138"/>
        <v>-0.130369065397427</v>
      </c>
      <c r="AF126" s="62">
        <f t="shared" si="138"/>
        <v>-0.130369065397427</v>
      </c>
      <c r="AG126" s="62">
        <f t="shared" si="138"/>
        <v>-0.504240604964133</v>
      </c>
      <c r="AH126" s="82">
        <f>T126-S126</f>
        <v>-0.268482046076759</v>
      </c>
      <c r="AI126" s="82">
        <f>AF126-S126</f>
        <v>-0.350479171326782</v>
      </c>
      <c r="AJ126" s="97"/>
      <c r="AK126" s="22"/>
      <c r="AL126" s="13"/>
      <c r="AM126" s="22"/>
      <c r="AN126" s="22"/>
      <c r="AO126" s="61" t="e">
        <f t="shared" ref="AO126:AZ126" si="139">AO125/AO120</f>
        <v>#DIV/0!</v>
      </c>
      <c r="AP126" s="61" t="e">
        <f t="shared" si="139"/>
        <v>#DIV/0!</v>
      </c>
      <c r="AQ126" s="61" t="e">
        <f t="shared" si="139"/>
        <v>#DIV/0!</v>
      </c>
      <c r="AR126" s="61" t="e">
        <f t="shared" si="139"/>
        <v>#DIV/0!</v>
      </c>
      <c r="AS126" s="61" t="e">
        <f t="shared" si="139"/>
        <v>#DIV/0!</v>
      </c>
      <c r="AT126" s="61" t="e">
        <f t="shared" si="139"/>
        <v>#DIV/0!</v>
      </c>
      <c r="AU126" s="61" t="e">
        <f t="shared" si="139"/>
        <v>#DIV/0!</v>
      </c>
      <c r="AV126" s="61" t="e">
        <f t="shared" si="139"/>
        <v>#DIV/0!</v>
      </c>
      <c r="AW126" s="61" t="e">
        <f t="shared" si="139"/>
        <v>#DIV/0!</v>
      </c>
      <c r="AX126" s="61" t="e">
        <f t="shared" si="139"/>
        <v>#DIV/0!</v>
      </c>
      <c r="AY126" s="61">
        <f t="shared" si="139"/>
        <v>0.9971970611747</v>
      </c>
      <c r="AZ126" s="452">
        <f t="shared" si="139"/>
        <v>-0.504240604964133</v>
      </c>
      <c r="BA126" s="62">
        <v>-0.0335810645048818</v>
      </c>
      <c r="BB126" s="62"/>
      <c r="BC126" s="62"/>
      <c r="BD126" s="454"/>
    </row>
    <row r="127" s="2" customFormat="1" ht="12.35" hidden="1" spans="1:56">
      <c r="A127" s="21"/>
      <c r="B127" s="22"/>
      <c r="C127" s="22"/>
      <c r="D127" s="34"/>
      <c r="E127" s="22"/>
      <c r="F127" s="22"/>
      <c r="G127" s="22"/>
      <c r="H127" s="22"/>
      <c r="I127" s="22"/>
      <c r="J127" s="22"/>
      <c r="K127" s="22"/>
      <c r="L127" s="22"/>
      <c r="M127" s="22"/>
      <c r="N127" s="22"/>
      <c r="O127" s="22"/>
      <c r="P127" s="22"/>
      <c r="Q127" s="35"/>
      <c r="R127" s="55" t="s">
        <v>3497</v>
      </c>
      <c r="S127" s="58">
        <f t="shared" ref="S127:AG127" si="140">S120-S121-S122-S123</f>
        <v>407999.03</v>
      </c>
      <c r="T127" s="58">
        <f t="shared" si="140"/>
        <v>-99976.6800000002</v>
      </c>
      <c r="U127" s="58">
        <f t="shared" si="140"/>
        <v>-58690.2000000001</v>
      </c>
      <c r="V127" s="58">
        <f t="shared" si="140"/>
        <v>-41286.48</v>
      </c>
      <c r="W127" s="58">
        <f t="shared" si="140"/>
        <v>-41286.48</v>
      </c>
      <c r="X127" s="58">
        <f t="shared" si="140"/>
        <v>-41286.48</v>
      </c>
      <c r="Y127" s="58">
        <f t="shared" si="140"/>
        <v>-41286.48</v>
      </c>
      <c r="Z127" s="57">
        <f t="shared" si="140"/>
        <v>-41286.48</v>
      </c>
      <c r="AA127" s="68">
        <f t="shared" si="140"/>
        <v>-41286.48</v>
      </c>
      <c r="AB127" s="68">
        <f t="shared" si="140"/>
        <v>-41286.48</v>
      </c>
      <c r="AC127" s="57">
        <f t="shared" si="140"/>
        <v>-41286.48</v>
      </c>
      <c r="AD127" s="57">
        <f t="shared" si="140"/>
        <v>-41286.48</v>
      </c>
      <c r="AE127" s="57">
        <f t="shared" si="140"/>
        <v>-41286.48</v>
      </c>
      <c r="AF127" s="57">
        <f t="shared" si="140"/>
        <v>-41286.48</v>
      </c>
      <c r="AG127" s="57">
        <f t="shared" si="140"/>
        <v>-110437.48</v>
      </c>
      <c r="AH127" s="82"/>
      <c r="AI127" s="82"/>
      <c r="AJ127" s="97"/>
      <c r="AK127" s="22"/>
      <c r="AL127" s="13"/>
      <c r="AM127" s="22"/>
      <c r="AN127" s="22"/>
      <c r="AO127" s="58">
        <f t="shared" ref="AO127:AZ127" si="141">AO120-AO121-AO122-AO123</f>
        <v>0</v>
      </c>
      <c r="AP127" s="58">
        <f t="shared" si="141"/>
        <v>0</v>
      </c>
      <c r="AQ127" s="58">
        <f t="shared" si="141"/>
        <v>0</v>
      </c>
      <c r="AR127" s="58">
        <f t="shared" si="141"/>
        <v>0</v>
      </c>
      <c r="AS127" s="58">
        <f t="shared" si="141"/>
        <v>0</v>
      </c>
      <c r="AT127" s="58">
        <f t="shared" si="141"/>
        <v>0</v>
      </c>
      <c r="AU127" s="58">
        <f t="shared" si="141"/>
        <v>0</v>
      </c>
      <c r="AV127" s="58">
        <f t="shared" si="141"/>
        <v>0</v>
      </c>
      <c r="AW127" s="58">
        <f t="shared" si="141"/>
        <v>0</v>
      </c>
      <c r="AX127" s="58">
        <f t="shared" si="141"/>
        <v>0</v>
      </c>
      <c r="AY127" s="58">
        <f t="shared" si="141"/>
        <v>69151</v>
      </c>
      <c r="AZ127" s="369">
        <f t="shared" si="141"/>
        <v>-110437.48</v>
      </c>
      <c r="BA127" s="57">
        <v>-58690.2000000001</v>
      </c>
      <c r="BB127" s="57"/>
      <c r="BC127" s="57"/>
      <c r="BD127" s="454"/>
    </row>
    <row r="128" s="2" customFormat="1" ht="12.35" hidden="1" spans="1:56">
      <c r="A128" s="23"/>
      <c r="B128" s="24"/>
      <c r="C128" s="24"/>
      <c r="D128" s="83"/>
      <c r="E128" s="24"/>
      <c r="F128" s="24"/>
      <c r="G128" s="24"/>
      <c r="H128" s="24"/>
      <c r="I128" s="24"/>
      <c r="J128" s="24"/>
      <c r="K128" s="24"/>
      <c r="L128" s="24"/>
      <c r="M128" s="24"/>
      <c r="N128" s="24"/>
      <c r="O128" s="24"/>
      <c r="P128" s="24"/>
      <c r="Q128" s="156"/>
      <c r="R128" s="60" t="s">
        <v>3498</v>
      </c>
      <c r="S128" s="61">
        <f t="shared" ref="S128:AG128" si="142">S127/S120</f>
        <v>0.187876342996708</v>
      </c>
      <c r="T128" s="61">
        <f t="shared" si="142"/>
        <v>-0.0533175027319462</v>
      </c>
      <c r="U128" s="61">
        <f t="shared" si="142"/>
        <v>-0.0369453318470143</v>
      </c>
      <c r="V128" s="61">
        <f t="shared" si="142"/>
        <v>-0.144080955762887</v>
      </c>
      <c r="W128" s="61">
        <f t="shared" si="142"/>
        <v>-0.144080955762887</v>
      </c>
      <c r="X128" s="61">
        <f t="shared" si="142"/>
        <v>-0.144080955762887</v>
      </c>
      <c r="Y128" s="61">
        <f t="shared" si="142"/>
        <v>-0.144080955762887</v>
      </c>
      <c r="Z128" s="62">
        <f t="shared" si="142"/>
        <v>-0.144080955762887</v>
      </c>
      <c r="AA128" s="69">
        <f t="shared" si="142"/>
        <v>-0.144080955762887</v>
      </c>
      <c r="AB128" s="69">
        <f t="shared" si="142"/>
        <v>-0.144080955762887</v>
      </c>
      <c r="AC128" s="62">
        <f t="shared" si="142"/>
        <v>-0.144080955762887</v>
      </c>
      <c r="AD128" s="62">
        <f t="shared" si="142"/>
        <v>-0.144080955762887</v>
      </c>
      <c r="AE128" s="62">
        <f t="shared" si="142"/>
        <v>-0.144080955762887</v>
      </c>
      <c r="AF128" s="62">
        <f t="shared" si="142"/>
        <v>-0.144080955762887</v>
      </c>
      <c r="AG128" s="62">
        <f t="shared" si="142"/>
        <v>-0.513192732478615</v>
      </c>
      <c r="AH128" s="82">
        <f>T128-S128</f>
        <v>-0.241193845728655</v>
      </c>
      <c r="AI128" s="82">
        <f>AF128-S128</f>
        <v>-0.331957298759595</v>
      </c>
      <c r="AJ128" s="98"/>
      <c r="AK128" s="24"/>
      <c r="AL128" s="14"/>
      <c r="AM128" s="24"/>
      <c r="AN128" s="24"/>
      <c r="AO128" s="61" t="e">
        <f t="shared" ref="AO128:AZ128" si="143">AO127/AO120</f>
        <v>#DIV/0!</v>
      </c>
      <c r="AP128" s="61" t="e">
        <f t="shared" si="143"/>
        <v>#DIV/0!</v>
      </c>
      <c r="AQ128" s="61" t="e">
        <f t="shared" si="143"/>
        <v>#DIV/0!</v>
      </c>
      <c r="AR128" s="61" t="e">
        <f t="shared" si="143"/>
        <v>#DIV/0!</v>
      </c>
      <c r="AS128" s="61" t="e">
        <f t="shared" si="143"/>
        <v>#DIV/0!</v>
      </c>
      <c r="AT128" s="61" t="e">
        <f t="shared" si="143"/>
        <v>#DIV/0!</v>
      </c>
      <c r="AU128" s="61" t="e">
        <f t="shared" si="143"/>
        <v>#DIV/0!</v>
      </c>
      <c r="AV128" s="61" t="e">
        <f t="shared" si="143"/>
        <v>#DIV/0!</v>
      </c>
      <c r="AW128" s="61" t="e">
        <f t="shared" si="143"/>
        <v>#DIV/0!</v>
      </c>
      <c r="AX128" s="61" t="e">
        <f t="shared" si="143"/>
        <v>#DIV/0!</v>
      </c>
      <c r="AY128" s="61">
        <f t="shared" si="143"/>
        <v>0.969130113541446</v>
      </c>
      <c r="AZ128" s="452">
        <f t="shared" si="143"/>
        <v>-0.513192732478615</v>
      </c>
      <c r="BA128" s="62">
        <v>-0.0369453318470143</v>
      </c>
      <c r="BB128" s="62"/>
      <c r="BC128" s="62"/>
      <c r="BD128" s="454"/>
    </row>
    <row r="129" s="2" customFormat="1" ht="12.35" hidden="1" spans="1:56">
      <c r="A129" s="370" t="s">
        <v>377</v>
      </c>
      <c r="B129" s="371" t="s">
        <v>3535</v>
      </c>
      <c r="C129" s="372">
        <v>45870</v>
      </c>
      <c r="D129" s="373">
        <v>46251</v>
      </c>
      <c r="E129" s="430"/>
      <c r="F129" s="26" t="s">
        <v>377</v>
      </c>
      <c r="G129" s="430"/>
      <c r="H129" s="431"/>
      <c r="I129" s="431"/>
      <c r="J129" s="29"/>
      <c r="K129" s="29"/>
      <c r="L129" s="29"/>
      <c r="M129" s="54"/>
      <c r="N129" s="54"/>
      <c r="O129" s="54"/>
      <c r="P129" s="54"/>
      <c r="Q129" s="435" t="s">
        <v>3485</v>
      </c>
      <c r="R129" s="55" t="s">
        <v>3486</v>
      </c>
      <c r="S129" s="63">
        <f t="shared" ref="S129:AF129" si="144">S120+S111+S102</f>
        <v>8262875.35</v>
      </c>
      <c r="T129" s="63">
        <f t="shared" si="144"/>
        <v>4168122.07</v>
      </c>
      <c r="U129" s="63">
        <f t="shared" si="144"/>
        <v>3882052.65</v>
      </c>
      <c r="V129" s="63">
        <f t="shared" si="144"/>
        <v>286069.42</v>
      </c>
      <c r="W129" s="63">
        <f t="shared" si="144"/>
        <v>286069.42</v>
      </c>
      <c r="X129" s="63">
        <f t="shared" si="144"/>
        <v>286069.42</v>
      </c>
      <c r="Y129" s="63">
        <f t="shared" si="144"/>
        <v>286069.42</v>
      </c>
      <c r="Z129" s="63">
        <f t="shared" si="144"/>
        <v>286069.42</v>
      </c>
      <c r="AA129" s="63">
        <f t="shared" si="144"/>
        <v>286069.42</v>
      </c>
      <c r="AB129" s="63">
        <f t="shared" si="144"/>
        <v>286069.42</v>
      </c>
      <c r="AC129" s="63">
        <f t="shared" si="144"/>
        <v>286069.42</v>
      </c>
      <c r="AD129" s="63">
        <f t="shared" si="144"/>
        <v>286069.42</v>
      </c>
      <c r="AE129" s="63">
        <f t="shared" si="144"/>
        <v>286069.42</v>
      </c>
      <c r="AF129" s="63">
        <f t="shared" si="144"/>
        <v>286069.42</v>
      </c>
      <c r="AG129" s="70">
        <f>SUM(AZ129:AZ129)</f>
        <v>214715.74</v>
      </c>
      <c r="AH129" s="75"/>
      <c r="AI129" s="75"/>
      <c r="AJ129" s="95"/>
      <c r="AK129" s="96" t="s">
        <v>3532</v>
      </c>
      <c r="AL129" s="93" t="s">
        <v>3533</v>
      </c>
      <c r="AM129" s="96" t="s">
        <v>3534</v>
      </c>
      <c r="AN129" s="523"/>
      <c r="AO129" s="58"/>
      <c r="AP129" s="58"/>
      <c r="AQ129" s="58"/>
      <c r="AR129" s="58"/>
      <c r="AS129" s="58"/>
      <c r="AT129" s="58"/>
      <c r="AU129" s="58"/>
      <c r="AV129" s="58"/>
      <c r="AW129" s="58"/>
      <c r="AX129" s="58"/>
      <c r="AY129" s="63">
        <f>AY120+AY111+AY102</f>
        <v>71353.68</v>
      </c>
      <c r="AZ129" s="63">
        <f>AZ120+AZ111+AZ102</f>
        <v>214715.74</v>
      </c>
      <c r="BA129" s="63">
        <f>BA120+BA111+BA102</f>
        <v>3882052.65</v>
      </c>
      <c r="BB129" s="532">
        <f>BB120+BB111+BB102+BB93</f>
        <v>0</v>
      </c>
      <c r="BC129" s="532">
        <f>BC120+BC111+BC102+BC93</f>
        <v>0</v>
      </c>
      <c r="BD129" s="454"/>
    </row>
    <row r="130" s="2" customFormat="1" ht="12.35" hidden="1" spans="1:56">
      <c r="A130" s="21"/>
      <c r="B130" s="22"/>
      <c r="C130" s="22"/>
      <c r="D130" s="34"/>
      <c r="E130" s="22"/>
      <c r="F130" s="22"/>
      <c r="G130" s="22"/>
      <c r="H130" s="22"/>
      <c r="I130" s="22"/>
      <c r="J130" s="22"/>
      <c r="K130" s="22"/>
      <c r="L130" s="22"/>
      <c r="M130" s="22"/>
      <c r="N130" s="22"/>
      <c r="O130" s="22"/>
      <c r="P130" s="22"/>
      <c r="Q130" s="35"/>
      <c r="R130" s="55" t="s">
        <v>3490</v>
      </c>
      <c r="S130" s="63">
        <f t="shared" ref="S130:AF130" si="145">S121+S112+S103</f>
        <v>5483186.42</v>
      </c>
      <c r="T130" s="63">
        <f t="shared" si="145"/>
        <v>4328932.08</v>
      </c>
      <c r="U130" s="63">
        <f t="shared" si="145"/>
        <v>4005024.18</v>
      </c>
      <c r="V130" s="63">
        <f t="shared" si="145"/>
        <v>323907.9</v>
      </c>
      <c r="W130" s="63">
        <f t="shared" si="145"/>
        <v>323907.9</v>
      </c>
      <c r="X130" s="63">
        <f t="shared" si="145"/>
        <v>323907.9</v>
      </c>
      <c r="Y130" s="63">
        <f t="shared" si="145"/>
        <v>323907.9</v>
      </c>
      <c r="Z130" s="63">
        <f t="shared" si="145"/>
        <v>323907.9</v>
      </c>
      <c r="AA130" s="63">
        <f t="shared" si="145"/>
        <v>323907.9</v>
      </c>
      <c r="AB130" s="63">
        <f t="shared" si="145"/>
        <v>323907.9</v>
      </c>
      <c r="AC130" s="63">
        <f t="shared" si="145"/>
        <v>323907.9</v>
      </c>
      <c r="AD130" s="63">
        <f t="shared" si="145"/>
        <v>323907.9</v>
      </c>
      <c r="AE130" s="63">
        <f t="shared" si="145"/>
        <v>323907.9</v>
      </c>
      <c r="AF130" s="63">
        <f t="shared" si="145"/>
        <v>323907.9</v>
      </c>
      <c r="AG130" s="70">
        <f>SUM(AZ130:AZ130)</f>
        <v>323707.9</v>
      </c>
      <c r="AH130" s="75"/>
      <c r="AI130" s="75"/>
      <c r="AJ130" s="97"/>
      <c r="AK130" s="22"/>
      <c r="AL130" s="13"/>
      <c r="AM130" s="22"/>
      <c r="AN130" s="22"/>
      <c r="AO130" s="58"/>
      <c r="AP130" s="58"/>
      <c r="AQ130" s="58"/>
      <c r="AR130" s="58"/>
      <c r="AS130" s="58"/>
      <c r="AT130" s="58"/>
      <c r="AU130" s="58"/>
      <c r="AV130" s="58"/>
      <c r="AW130" s="58"/>
      <c r="AX130" s="58"/>
      <c r="AY130" s="63">
        <f>AY121+AY112+AY103</f>
        <v>200</v>
      </c>
      <c r="AZ130" s="63">
        <f>AZ121+AZ112+AZ103</f>
        <v>323707.9</v>
      </c>
      <c r="BA130" s="63">
        <f>BA121+BA112+BA103</f>
        <v>4005024.18</v>
      </c>
      <c r="BB130" s="532">
        <f>BB121+BB112+BB103+BB94</f>
        <v>0</v>
      </c>
      <c r="BC130" s="532">
        <f>BC121+BC112+BC103+BC94</f>
        <v>0</v>
      </c>
      <c r="BD130" s="454"/>
    </row>
    <row r="131" s="2" customFormat="1" ht="12.35" hidden="1" spans="1:56">
      <c r="A131" s="21"/>
      <c r="B131" s="22"/>
      <c r="C131" s="22"/>
      <c r="D131" s="34"/>
      <c r="E131" s="22"/>
      <c r="F131" s="22"/>
      <c r="G131" s="22"/>
      <c r="H131" s="22"/>
      <c r="I131" s="22"/>
      <c r="J131" s="22"/>
      <c r="K131" s="22"/>
      <c r="L131" s="22"/>
      <c r="M131" s="22"/>
      <c r="N131" s="22"/>
      <c r="O131" s="22"/>
      <c r="P131" s="22"/>
      <c r="Q131" s="35"/>
      <c r="R131" s="55" t="s">
        <v>3492</v>
      </c>
      <c r="S131" s="63">
        <f t="shared" ref="S131:AF131" si="146">S122+S113+S104</f>
        <v>154000</v>
      </c>
      <c r="T131" s="63">
        <f t="shared" si="146"/>
        <v>9935.7</v>
      </c>
      <c r="U131" s="63">
        <f t="shared" si="146"/>
        <v>9935.7</v>
      </c>
      <c r="V131" s="63">
        <f t="shared" si="146"/>
        <v>0</v>
      </c>
      <c r="W131" s="63">
        <f t="shared" si="146"/>
        <v>0</v>
      </c>
      <c r="X131" s="63">
        <f t="shared" si="146"/>
        <v>0</v>
      </c>
      <c r="Y131" s="63">
        <f t="shared" si="146"/>
        <v>0</v>
      </c>
      <c r="Z131" s="63">
        <f t="shared" si="146"/>
        <v>0</v>
      </c>
      <c r="AA131" s="63">
        <f t="shared" si="146"/>
        <v>0</v>
      </c>
      <c r="AB131" s="63">
        <f t="shared" si="146"/>
        <v>0</v>
      </c>
      <c r="AC131" s="63">
        <f t="shared" si="146"/>
        <v>0</v>
      </c>
      <c r="AD131" s="63">
        <f t="shared" si="146"/>
        <v>0</v>
      </c>
      <c r="AE131" s="63">
        <f t="shared" si="146"/>
        <v>0</v>
      </c>
      <c r="AF131" s="63">
        <f t="shared" si="146"/>
        <v>0</v>
      </c>
      <c r="AG131" s="70">
        <f>SUM(AZ131:AZ131)</f>
        <v>0</v>
      </c>
      <c r="AH131" s="75"/>
      <c r="AI131" s="75"/>
      <c r="AJ131" s="97"/>
      <c r="AK131" s="22"/>
      <c r="AL131" s="13"/>
      <c r="AM131" s="22"/>
      <c r="AN131" s="22"/>
      <c r="AO131" s="58"/>
      <c r="AP131" s="58"/>
      <c r="AQ131" s="58"/>
      <c r="AR131" s="58"/>
      <c r="AS131" s="58"/>
      <c r="AT131" s="58"/>
      <c r="AU131" s="58"/>
      <c r="AV131" s="58"/>
      <c r="AW131" s="58"/>
      <c r="AX131" s="58"/>
      <c r="AY131" s="63">
        <f>AY122+AY113+AY104</f>
        <v>0</v>
      </c>
      <c r="AZ131" s="63">
        <f>AZ122+AZ113+AZ104</f>
        <v>0</v>
      </c>
      <c r="BA131" s="63">
        <f>BA122+BA113+BA104</f>
        <v>9935.7</v>
      </c>
      <c r="BB131" s="532">
        <f>BB122+BB113+BB104+BB95</f>
        <v>0</v>
      </c>
      <c r="BC131" s="532">
        <f>BC122+BC113+BC104+BC95</f>
        <v>0</v>
      </c>
      <c r="BD131" s="454"/>
    </row>
    <row r="132" s="2" customFormat="1" ht="12.35" hidden="1" spans="1:56">
      <c r="A132" s="21"/>
      <c r="B132" s="22"/>
      <c r="C132" s="22"/>
      <c r="D132" s="34"/>
      <c r="E132" s="22"/>
      <c r="F132" s="22"/>
      <c r="G132" s="22"/>
      <c r="H132" s="22"/>
      <c r="I132" s="22"/>
      <c r="J132" s="22"/>
      <c r="K132" s="22"/>
      <c r="L132" s="22"/>
      <c r="M132" s="22"/>
      <c r="N132" s="22"/>
      <c r="O132" s="22"/>
      <c r="P132" s="22"/>
      <c r="Q132" s="35"/>
      <c r="R132" s="55" t="s">
        <v>3493</v>
      </c>
      <c r="S132" s="63">
        <f t="shared" ref="S132:AF132" si="147">S123+S114+S105</f>
        <v>95800</v>
      </c>
      <c r="T132" s="63">
        <f t="shared" si="147"/>
        <v>40076.16</v>
      </c>
      <c r="U132" s="63">
        <f t="shared" si="147"/>
        <v>32206.07</v>
      </c>
      <c r="V132" s="63">
        <f t="shared" si="147"/>
        <v>7870.09</v>
      </c>
      <c r="W132" s="63">
        <f t="shared" si="147"/>
        <v>7870.09</v>
      </c>
      <c r="X132" s="63">
        <f t="shared" si="147"/>
        <v>7870.09</v>
      </c>
      <c r="Y132" s="63">
        <f t="shared" si="147"/>
        <v>7870.09</v>
      </c>
      <c r="Z132" s="63">
        <f t="shared" si="147"/>
        <v>7870.09</v>
      </c>
      <c r="AA132" s="63">
        <f t="shared" si="147"/>
        <v>7870.09</v>
      </c>
      <c r="AB132" s="63">
        <f t="shared" si="147"/>
        <v>7870.09</v>
      </c>
      <c r="AC132" s="63">
        <f t="shared" si="147"/>
        <v>7870.09</v>
      </c>
      <c r="AD132" s="63">
        <f t="shared" si="147"/>
        <v>7870.09</v>
      </c>
      <c r="AE132" s="63">
        <f t="shared" si="147"/>
        <v>7870.09</v>
      </c>
      <c r="AF132" s="63">
        <f t="shared" si="147"/>
        <v>7870.09</v>
      </c>
      <c r="AG132" s="70">
        <f>SUM(AZ132:AZ132)</f>
        <v>3896.94</v>
      </c>
      <c r="AH132" s="75"/>
      <c r="AI132" s="75"/>
      <c r="AJ132" s="97"/>
      <c r="AK132" s="22"/>
      <c r="AL132" s="13"/>
      <c r="AM132" s="22"/>
      <c r="AN132" s="22"/>
      <c r="AO132" s="58"/>
      <c r="AP132" s="58"/>
      <c r="AQ132" s="58"/>
      <c r="AR132" s="58"/>
      <c r="AS132" s="58"/>
      <c r="AT132" s="58"/>
      <c r="AU132" s="58"/>
      <c r="AV132" s="58"/>
      <c r="AW132" s="58"/>
      <c r="AX132" s="58"/>
      <c r="AY132" s="63">
        <f>AY123+AY114+AY105</f>
        <v>3973.15</v>
      </c>
      <c r="AZ132" s="63">
        <f>AZ123+AZ114+AZ105</f>
        <v>3896.94</v>
      </c>
      <c r="BA132" s="63">
        <f>BA123+BA114+BA105</f>
        <v>32206.07</v>
      </c>
      <c r="BB132" s="532">
        <f>BB123+BB114+BB105+BB96</f>
        <v>0</v>
      </c>
      <c r="BC132" s="532">
        <f>BC123+BC114+BC105+BC96</f>
        <v>0</v>
      </c>
      <c r="BD132" s="454"/>
    </row>
    <row r="133" ht="14.25" hidden="1" customHeight="1" spans="1:56">
      <c r="A133" s="21"/>
      <c r="B133" s="22"/>
      <c r="C133" s="22"/>
      <c r="D133" s="34"/>
      <c r="E133" s="22"/>
      <c r="F133" s="22"/>
      <c r="G133" s="22"/>
      <c r="H133" s="22"/>
      <c r="I133" s="22"/>
      <c r="J133" s="22"/>
      <c r="K133" s="22"/>
      <c r="L133" s="22"/>
      <c r="M133" s="22"/>
      <c r="N133" s="22"/>
      <c r="O133" s="22"/>
      <c r="P133" s="22"/>
      <c r="Q133" s="35"/>
      <c r="R133" s="213" t="s">
        <v>3494</v>
      </c>
      <c r="S133" s="214">
        <f t="shared" ref="S133:AI133" si="148">SUM(S130:S132)</f>
        <v>5732986.42</v>
      </c>
      <c r="T133" s="214">
        <f t="shared" si="148"/>
        <v>4378943.94</v>
      </c>
      <c r="U133" s="214">
        <f t="shared" si="148"/>
        <v>4047165.95</v>
      </c>
      <c r="V133" s="214">
        <f t="shared" si="148"/>
        <v>331777.99</v>
      </c>
      <c r="W133" s="214">
        <f t="shared" si="148"/>
        <v>331777.99</v>
      </c>
      <c r="X133" s="214">
        <f t="shared" si="148"/>
        <v>331777.99</v>
      </c>
      <c r="Y133" s="214">
        <f t="shared" si="148"/>
        <v>331777.99</v>
      </c>
      <c r="Z133" s="214">
        <f t="shared" si="148"/>
        <v>331777.99</v>
      </c>
      <c r="AA133" s="214">
        <f t="shared" si="148"/>
        <v>331777.99</v>
      </c>
      <c r="AB133" s="214">
        <f t="shared" si="148"/>
        <v>331777.99</v>
      </c>
      <c r="AC133" s="214">
        <f t="shared" si="148"/>
        <v>331777.99</v>
      </c>
      <c r="AD133" s="214">
        <f t="shared" si="148"/>
        <v>331777.99</v>
      </c>
      <c r="AE133" s="214">
        <f t="shared" si="148"/>
        <v>331777.99</v>
      </c>
      <c r="AF133" s="214">
        <f t="shared" si="148"/>
        <v>331777.99</v>
      </c>
      <c r="AG133" s="214">
        <f t="shared" si="148"/>
        <v>327604.84</v>
      </c>
      <c r="AH133" s="214">
        <f t="shared" si="148"/>
        <v>0</v>
      </c>
      <c r="AI133" s="214">
        <f t="shared" si="148"/>
        <v>0</v>
      </c>
      <c r="AJ133" s="97"/>
      <c r="AK133" s="22"/>
      <c r="AL133" s="13"/>
      <c r="AM133" s="22"/>
      <c r="AN133" s="22"/>
      <c r="AO133" s="214">
        <f t="shared" ref="AO133:BA133" si="149">SUM(AO130:AO132)</f>
        <v>0</v>
      </c>
      <c r="AP133" s="214">
        <f t="shared" si="149"/>
        <v>0</v>
      </c>
      <c r="AQ133" s="214">
        <f t="shared" si="149"/>
        <v>0</v>
      </c>
      <c r="AR133" s="214">
        <f t="shared" si="149"/>
        <v>0</v>
      </c>
      <c r="AS133" s="214">
        <f t="shared" si="149"/>
        <v>0</v>
      </c>
      <c r="AT133" s="214">
        <f t="shared" si="149"/>
        <v>0</v>
      </c>
      <c r="AU133" s="214">
        <f t="shared" si="149"/>
        <v>0</v>
      </c>
      <c r="AV133" s="214">
        <f t="shared" si="149"/>
        <v>0</v>
      </c>
      <c r="AW133" s="214">
        <f t="shared" si="149"/>
        <v>0</v>
      </c>
      <c r="AX133" s="214">
        <f t="shared" si="149"/>
        <v>0</v>
      </c>
      <c r="AY133" s="214">
        <f t="shared" si="149"/>
        <v>4173.15</v>
      </c>
      <c r="AZ133" s="214">
        <f t="shared" si="149"/>
        <v>327604.84</v>
      </c>
      <c r="BA133" s="451">
        <f t="shared" si="149"/>
        <v>4047165.95</v>
      </c>
      <c r="BB133" s="57"/>
      <c r="BC133" s="196"/>
      <c r="BD133" s="196"/>
    </row>
    <row r="134" s="2" customFormat="1" ht="12.35" hidden="1" spans="1:56">
      <c r="A134" s="21"/>
      <c r="B134" s="22"/>
      <c r="C134" s="22"/>
      <c r="D134" s="34"/>
      <c r="E134" s="22"/>
      <c r="F134" s="22"/>
      <c r="G134" s="22"/>
      <c r="H134" s="22"/>
      <c r="I134" s="22"/>
      <c r="J134" s="22"/>
      <c r="K134" s="22"/>
      <c r="L134" s="22"/>
      <c r="M134" s="22"/>
      <c r="N134" s="22"/>
      <c r="O134" s="22"/>
      <c r="P134" s="22"/>
      <c r="Q134" s="35"/>
      <c r="R134" s="55" t="s">
        <v>3495</v>
      </c>
      <c r="S134" s="59">
        <f t="shared" ref="S134:AG134" si="150">S129-S130</f>
        <v>2779688.93</v>
      </c>
      <c r="T134" s="59">
        <f t="shared" si="150"/>
        <v>-160810.01</v>
      </c>
      <c r="U134" s="59">
        <f t="shared" si="150"/>
        <v>-122971.529999999</v>
      </c>
      <c r="V134" s="58">
        <f t="shared" si="150"/>
        <v>-37838.48</v>
      </c>
      <c r="W134" s="58">
        <f t="shared" si="150"/>
        <v>-37838.48</v>
      </c>
      <c r="X134" s="58">
        <f t="shared" si="150"/>
        <v>-37838.48</v>
      </c>
      <c r="Y134" s="58">
        <f t="shared" si="150"/>
        <v>-37838.48</v>
      </c>
      <c r="Z134" s="57">
        <f t="shared" si="150"/>
        <v>-37838.48</v>
      </c>
      <c r="AA134" s="68">
        <f t="shared" si="150"/>
        <v>-37838.48</v>
      </c>
      <c r="AB134" s="68">
        <f t="shared" si="150"/>
        <v>-37838.48</v>
      </c>
      <c r="AC134" s="57">
        <f t="shared" si="150"/>
        <v>-37838.48</v>
      </c>
      <c r="AD134" s="57">
        <f t="shared" si="150"/>
        <v>-37838.48</v>
      </c>
      <c r="AE134" s="57">
        <f t="shared" si="150"/>
        <v>-37838.48</v>
      </c>
      <c r="AF134" s="57">
        <f t="shared" si="150"/>
        <v>-37838.48</v>
      </c>
      <c r="AG134" s="57">
        <f t="shared" si="150"/>
        <v>-108992.16</v>
      </c>
      <c r="AH134" s="75"/>
      <c r="AI134" s="75"/>
      <c r="AJ134" s="97"/>
      <c r="AK134" s="22"/>
      <c r="AL134" s="13"/>
      <c r="AM134" s="22"/>
      <c r="AN134" s="22"/>
      <c r="AO134" s="58">
        <f t="shared" ref="AO134:AZ134" si="151">AO129-AO130</f>
        <v>0</v>
      </c>
      <c r="AP134" s="58">
        <f t="shared" si="151"/>
        <v>0</v>
      </c>
      <c r="AQ134" s="58">
        <f t="shared" si="151"/>
        <v>0</v>
      </c>
      <c r="AR134" s="58">
        <f t="shared" si="151"/>
        <v>0</v>
      </c>
      <c r="AS134" s="58">
        <f t="shared" si="151"/>
        <v>0</v>
      </c>
      <c r="AT134" s="58">
        <f t="shared" si="151"/>
        <v>0</v>
      </c>
      <c r="AU134" s="58">
        <f t="shared" si="151"/>
        <v>0</v>
      </c>
      <c r="AV134" s="58">
        <f t="shared" si="151"/>
        <v>0</v>
      </c>
      <c r="AW134" s="58">
        <f t="shared" si="151"/>
        <v>0</v>
      </c>
      <c r="AX134" s="58">
        <f t="shared" si="151"/>
        <v>0</v>
      </c>
      <c r="AY134" s="58">
        <f t="shared" si="151"/>
        <v>71153.68</v>
      </c>
      <c r="AZ134" s="59">
        <f t="shared" si="151"/>
        <v>-108992.16</v>
      </c>
      <c r="BA134" s="57">
        <v>753162.909999998</v>
      </c>
      <c r="BB134" s="57"/>
      <c r="BC134" s="57"/>
      <c r="BD134" s="454"/>
    </row>
    <row r="135" s="2" customFormat="1" ht="12.35" hidden="1" spans="1:56">
      <c r="A135" s="21"/>
      <c r="B135" s="22"/>
      <c r="C135" s="22"/>
      <c r="D135" s="34"/>
      <c r="E135" s="22"/>
      <c r="F135" s="22"/>
      <c r="G135" s="22"/>
      <c r="H135" s="22"/>
      <c r="I135" s="22"/>
      <c r="J135" s="22"/>
      <c r="K135" s="22"/>
      <c r="L135" s="22"/>
      <c r="M135" s="22"/>
      <c r="N135" s="22"/>
      <c r="O135" s="22"/>
      <c r="P135" s="22"/>
      <c r="Q135" s="35"/>
      <c r="R135" s="60" t="s">
        <v>3496</v>
      </c>
      <c r="S135" s="61">
        <f t="shared" ref="S135:AG135" si="152">S134/S129</f>
        <v>0.336406978473904</v>
      </c>
      <c r="T135" s="61">
        <f t="shared" si="152"/>
        <v>-0.0385809262059352</v>
      </c>
      <c r="U135" s="61">
        <f t="shared" si="152"/>
        <v>-0.0316769351389398</v>
      </c>
      <c r="V135" s="61">
        <f t="shared" si="152"/>
        <v>-0.132270272019987</v>
      </c>
      <c r="W135" s="61">
        <f t="shared" si="152"/>
        <v>-0.132270272019987</v>
      </c>
      <c r="X135" s="61">
        <f t="shared" si="152"/>
        <v>-0.132270272019987</v>
      </c>
      <c r="Y135" s="61">
        <f t="shared" si="152"/>
        <v>-0.132270272019987</v>
      </c>
      <c r="Z135" s="62">
        <f t="shared" si="152"/>
        <v>-0.132270272019987</v>
      </c>
      <c r="AA135" s="69">
        <f t="shared" si="152"/>
        <v>-0.132270272019987</v>
      </c>
      <c r="AB135" s="69">
        <f t="shared" si="152"/>
        <v>-0.132270272019987</v>
      </c>
      <c r="AC135" s="62">
        <f t="shared" si="152"/>
        <v>-0.132270272019987</v>
      </c>
      <c r="AD135" s="62">
        <f t="shared" si="152"/>
        <v>-0.132270272019987</v>
      </c>
      <c r="AE135" s="62">
        <f t="shared" si="152"/>
        <v>-0.132270272019987</v>
      </c>
      <c r="AF135" s="62">
        <f t="shared" si="152"/>
        <v>-0.132270272019987</v>
      </c>
      <c r="AG135" s="62">
        <f t="shared" si="152"/>
        <v>-0.507611412186177</v>
      </c>
      <c r="AH135" s="82">
        <f>T135-S135</f>
        <v>-0.374987904679839</v>
      </c>
      <c r="AI135" s="82">
        <f>AF135-S135</f>
        <v>-0.468677250493891</v>
      </c>
      <c r="AJ135" s="97"/>
      <c r="AK135" s="22"/>
      <c r="AL135" s="13"/>
      <c r="AM135" s="22"/>
      <c r="AN135" s="22"/>
      <c r="AO135" s="61" t="e">
        <f t="shared" ref="AO135:AZ135" si="153">AO134/AO129</f>
        <v>#DIV/0!</v>
      </c>
      <c r="AP135" s="61" t="e">
        <f t="shared" si="153"/>
        <v>#DIV/0!</v>
      </c>
      <c r="AQ135" s="61" t="e">
        <f t="shared" si="153"/>
        <v>#DIV/0!</v>
      </c>
      <c r="AR135" s="61" t="e">
        <f t="shared" si="153"/>
        <v>#DIV/0!</v>
      </c>
      <c r="AS135" s="61" t="e">
        <f t="shared" si="153"/>
        <v>#DIV/0!</v>
      </c>
      <c r="AT135" s="61" t="e">
        <f t="shared" si="153"/>
        <v>#DIV/0!</v>
      </c>
      <c r="AU135" s="61" t="e">
        <f t="shared" si="153"/>
        <v>#DIV/0!</v>
      </c>
      <c r="AV135" s="61" t="e">
        <f t="shared" si="153"/>
        <v>#DIV/0!</v>
      </c>
      <c r="AW135" s="61" t="e">
        <f t="shared" si="153"/>
        <v>#DIV/0!</v>
      </c>
      <c r="AX135" s="61" t="e">
        <f t="shared" si="153"/>
        <v>#DIV/0!</v>
      </c>
      <c r="AY135" s="61">
        <f t="shared" si="153"/>
        <v>0.9971970611747</v>
      </c>
      <c r="AZ135" s="61">
        <f t="shared" si="153"/>
        <v>-0.507611412186177</v>
      </c>
      <c r="BA135" s="62">
        <v>0.0695981276900758</v>
      </c>
      <c r="BB135" s="62"/>
      <c r="BC135" s="62"/>
      <c r="BD135" s="454"/>
    </row>
    <row r="136" s="2" customFormat="1" ht="12.35" hidden="1" spans="1:56">
      <c r="A136" s="21"/>
      <c r="B136" s="22"/>
      <c r="C136" s="22"/>
      <c r="D136" s="34"/>
      <c r="E136" s="22"/>
      <c r="F136" s="22"/>
      <c r="G136" s="22"/>
      <c r="H136" s="22"/>
      <c r="I136" s="22"/>
      <c r="J136" s="22"/>
      <c r="K136" s="22"/>
      <c r="L136" s="22"/>
      <c r="M136" s="22"/>
      <c r="N136" s="22"/>
      <c r="O136" s="22"/>
      <c r="P136" s="22"/>
      <c r="Q136" s="35"/>
      <c r="R136" s="55" t="s">
        <v>3497</v>
      </c>
      <c r="S136" s="58">
        <f t="shared" ref="S136:AG136" si="154">S129-S130-S131-S132</f>
        <v>2529888.93</v>
      </c>
      <c r="T136" s="58">
        <f t="shared" si="154"/>
        <v>-210821.87</v>
      </c>
      <c r="U136" s="58">
        <f t="shared" si="154"/>
        <v>-165113.299999999</v>
      </c>
      <c r="V136" s="58">
        <f t="shared" si="154"/>
        <v>-45708.57</v>
      </c>
      <c r="W136" s="58">
        <f t="shared" si="154"/>
        <v>-45708.57</v>
      </c>
      <c r="X136" s="58">
        <f t="shared" si="154"/>
        <v>-45708.57</v>
      </c>
      <c r="Y136" s="58">
        <f t="shared" si="154"/>
        <v>-45708.57</v>
      </c>
      <c r="Z136" s="57">
        <f t="shared" si="154"/>
        <v>-45708.57</v>
      </c>
      <c r="AA136" s="68">
        <f t="shared" si="154"/>
        <v>-45708.57</v>
      </c>
      <c r="AB136" s="68">
        <f t="shared" si="154"/>
        <v>-45708.57</v>
      </c>
      <c r="AC136" s="57">
        <f t="shared" si="154"/>
        <v>-45708.57</v>
      </c>
      <c r="AD136" s="57">
        <f t="shared" si="154"/>
        <v>-45708.57</v>
      </c>
      <c r="AE136" s="57">
        <f t="shared" si="154"/>
        <v>-45708.57</v>
      </c>
      <c r="AF136" s="57">
        <f t="shared" si="154"/>
        <v>-45708.57</v>
      </c>
      <c r="AG136" s="57">
        <f t="shared" si="154"/>
        <v>-112889.1</v>
      </c>
      <c r="AH136" s="82"/>
      <c r="AI136" s="82"/>
      <c r="AJ136" s="97"/>
      <c r="AK136" s="22"/>
      <c r="AL136" s="13"/>
      <c r="AM136" s="22"/>
      <c r="AN136" s="22"/>
      <c r="AO136" s="58">
        <f t="shared" ref="AO136:AZ136" si="155">AO129-AO130-AO131-AO132</f>
        <v>0</v>
      </c>
      <c r="AP136" s="58">
        <f t="shared" si="155"/>
        <v>0</v>
      </c>
      <c r="AQ136" s="58">
        <f t="shared" si="155"/>
        <v>0</v>
      </c>
      <c r="AR136" s="58">
        <f t="shared" si="155"/>
        <v>0</v>
      </c>
      <c r="AS136" s="58">
        <f t="shared" si="155"/>
        <v>0</v>
      </c>
      <c r="AT136" s="58">
        <f t="shared" si="155"/>
        <v>0</v>
      </c>
      <c r="AU136" s="58">
        <f t="shared" si="155"/>
        <v>0</v>
      </c>
      <c r="AV136" s="58">
        <f t="shared" si="155"/>
        <v>0</v>
      </c>
      <c r="AW136" s="58">
        <f t="shared" si="155"/>
        <v>0</v>
      </c>
      <c r="AX136" s="58">
        <f t="shared" si="155"/>
        <v>0</v>
      </c>
      <c r="AY136" s="58">
        <f t="shared" si="155"/>
        <v>67180.53</v>
      </c>
      <c r="AZ136" s="58">
        <f t="shared" si="155"/>
        <v>-112889.1</v>
      </c>
      <c r="BA136" s="57">
        <v>602231.959999998</v>
      </c>
      <c r="BB136" s="57"/>
      <c r="BC136" s="57"/>
      <c r="BD136" s="454"/>
    </row>
    <row r="137" s="2" customFormat="1" ht="12.35" hidden="1" spans="1:56">
      <c r="A137" s="23"/>
      <c r="B137" s="177"/>
      <c r="C137" s="24"/>
      <c r="D137" s="83"/>
      <c r="E137" s="24"/>
      <c r="F137" s="24"/>
      <c r="G137" s="24"/>
      <c r="H137" s="24"/>
      <c r="I137" s="24"/>
      <c r="J137" s="24"/>
      <c r="K137" s="24"/>
      <c r="L137" s="24"/>
      <c r="M137" s="24"/>
      <c r="N137" s="24"/>
      <c r="O137" s="24"/>
      <c r="P137" s="24"/>
      <c r="Q137" s="156"/>
      <c r="R137" s="60" t="s">
        <v>3498</v>
      </c>
      <c r="S137" s="61">
        <f t="shared" ref="S137:AG137" si="156">S136/S129</f>
        <v>0.306175371506724</v>
      </c>
      <c r="T137" s="61">
        <f t="shared" si="156"/>
        <v>-0.0505795815140318</v>
      </c>
      <c r="U137" s="61">
        <f t="shared" si="156"/>
        <v>-0.0425324731234646</v>
      </c>
      <c r="V137" s="61">
        <f t="shared" si="156"/>
        <v>-0.159781391523778</v>
      </c>
      <c r="W137" s="61">
        <f t="shared" si="156"/>
        <v>-0.159781391523778</v>
      </c>
      <c r="X137" s="61">
        <f t="shared" si="156"/>
        <v>-0.159781391523778</v>
      </c>
      <c r="Y137" s="61">
        <f t="shared" si="156"/>
        <v>-0.159781391523778</v>
      </c>
      <c r="Z137" s="62">
        <f t="shared" si="156"/>
        <v>-0.159781391523778</v>
      </c>
      <c r="AA137" s="69">
        <f t="shared" si="156"/>
        <v>-0.159781391523778</v>
      </c>
      <c r="AB137" s="69">
        <f t="shared" si="156"/>
        <v>-0.159781391523778</v>
      </c>
      <c r="AC137" s="62">
        <f t="shared" si="156"/>
        <v>-0.159781391523778</v>
      </c>
      <c r="AD137" s="62">
        <f t="shared" si="156"/>
        <v>-0.159781391523778</v>
      </c>
      <c r="AE137" s="62">
        <f t="shared" si="156"/>
        <v>-0.159781391523778</v>
      </c>
      <c r="AF137" s="62">
        <f t="shared" si="156"/>
        <v>-0.159781391523778</v>
      </c>
      <c r="AG137" s="62">
        <f t="shared" si="156"/>
        <v>-0.525760710416479</v>
      </c>
      <c r="AH137" s="82">
        <f>T137-S137</f>
        <v>-0.356754953020755</v>
      </c>
      <c r="AI137" s="82">
        <f>AF137-S137</f>
        <v>-0.465956763030502</v>
      </c>
      <c r="AJ137" s="98"/>
      <c r="AK137" s="24"/>
      <c r="AL137" s="14"/>
      <c r="AM137" s="24"/>
      <c r="AN137" s="22"/>
      <c r="AO137" s="61" t="e">
        <f t="shared" ref="AO137:AZ137" si="157">AO136/AO129</f>
        <v>#DIV/0!</v>
      </c>
      <c r="AP137" s="61" t="e">
        <f t="shared" si="157"/>
        <v>#DIV/0!</v>
      </c>
      <c r="AQ137" s="61" t="e">
        <f t="shared" si="157"/>
        <v>#DIV/0!</v>
      </c>
      <c r="AR137" s="61" t="e">
        <f t="shared" si="157"/>
        <v>#DIV/0!</v>
      </c>
      <c r="AS137" s="61" t="e">
        <f t="shared" si="157"/>
        <v>#DIV/0!</v>
      </c>
      <c r="AT137" s="61" t="e">
        <f t="shared" si="157"/>
        <v>#DIV/0!</v>
      </c>
      <c r="AU137" s="61" t="e">
        <f t="shared" si="157"/>
        <v>#DIV/0!</v>
      </c>
      <c r="AV137" s="61" t="e">
        <f t="shared" si="157"/>
        <v>#DIV/0!</v>
      </c>
      <c r="AW137" s="61" t="e">
        <f t="shared" si="157"/>
        <v>#DIV/0!</v>
      </c>
      <c r="AX137" s="61" t="e">
        <f t="shared" si="157"/>
        <v>#DIV/0!</v>
      </c>
      <c r="AY137" s="61">
        <f t="shared" si="157"/>
        <v>0.941514579206006</v>
      </c>
      <c r="AZ137" s="61">
        <f t="shared" si="157"/>
        <v>-0.525760710416479</v>
      </c>
      <c r="BA137" s="62">
        <v>0.0556509306215366</v>
      </c>
      <c r="BB137" s="62"/>
      <c r="BC137" s="62"/>
      <c r="BD137" s="454"/>
    </row>
    <row r="138" s="2" customFormat="1" ht="17.85" hidden="1" customHeight="1" spans="1:56">
      <c r="A138" s="30" t="s">
        <v>2042</v>
      </c>
      <c r="B138" s="31" t="s">
        <v>3373</v>
      </c>
      <c r="C138" s="29">
        <v>45931</v>
      </c>
      <c r="D138" s="470">
        <v>46081</v>
      </c>
      <c r="E138" s="26" t="s">
        <v>3536</v>
      </c>
      <c r="F138" s="26" t="s">
        <v>3536</v>
      </c>
      <c r="G138" s="430"/>
      <c r="H138" s="431"/>
      <c r="I138" s="431"/>
      <c r="J138" s="29"/>
      <c r="K138" s="29"/>
      <c r="L138" s="29"/>
      <c r="M138" s="54"/>
      <c r="N138" s="54"/>
      <c r="O138" s="54"/>
      <c r="P138" s="54"/>
      <c r="Q138" s="435" t="s">
        <v>3485</v>
      </c>
      <c r="R138" s="55" t="s">
        <v>3486</v>
      </c>
      <c r="S138" s="63">
        <v>141509.43</v>
      </c>
      <c r="T138" s="58">
        <f>SUM(AO138:BC138)</f>
        <v>106736.69</v>
      </c>
      <c r="U138" s="58">
        <f>SUM(BA138:BC138)</f>
        <v>74906.79</v>
      </c>
      <c r="V138" s="58">
        <f>SUM(AO138:AZ138)</f>
        <v>31829.9</v>
      </c>
      <c r="W138" s="58">
        <f>SUM(AP138:AZ138)</f>
        <v>31829.9</v>
      </c>
      <c r="X138" s="58">
        <f>SUM(AQ138:AZ138)</f>
        <v>31829.9</v>
      </c>
      <c r="Y138" s="58">
        <f>SUM(AR138:AZ138)</f>
        <v>31829.9</v>
      </c>
      <c r="Z138" s="70">
        <f>SUM(AS138:AZ138)</f>
        <v>31829.9</v>
      </c>
      <c r="AA138" s="66">
        <f>SUM(AT138:AZ138)</f>
        <v>31829.9</v>
      </c>
      <c r="AB138" s="66">
        <f>SUM(AU138:AZ138)</f>
        <v>31829.9</v>
      </c>
      <c r="AC138" s="70">
        <f>SUM(AV138:AZ138)</f>
        <v>31829.9</v>
      </c>
      <c r="AD138" s="70">
        <f>SUM(AW138:AZ138)</f>
        <v>31829.9</v>
      </c>
      <c r="AE138" s="70">
        <f>SUM(AX138:AZ138)</f>
        <v>31829.9</v>
      </c>
      <c r="AF138" s="70">
        <f>SUM(AY138:AZ138)</f>
        <v>31829.9</v>
      </c>
      <c r="AG138" s="70">
        <f>SUM(AZ138:AZ138)</f>
        <v>15448.73</v>
      </c>
      <c r="AH138" s="75"/>
      <c r="AI138" s="75"/>
      <c r="AJ138" s="95"/>
      <c r="AK138" s="96" t="s">
        <v>3537</v>
      </c>
      <c r="AL138" s="93" t="s">
        <v>3538</v>
      </c>
      <c r="AM138" s="524" t="s">
        <v>3539</v>
      </c>
      <c r="AN138" s="233"/>
      <c r="AO138" s="58"/>
      <c r="AP138" s="58"/>
      <c r="AQ138" s="58"/>
      <c r="AR138" s="58"/>
      <c r="AS138" s="58"/>
      <c r="AT138" s="58"/>
      <c r="AU138" s="58"/>
      <c r="AV138" s="58"/>
      <c r="AW138" s="58"/>
      <c r="AX138" s="58"/>
      <c r="AY138" s="58">
        <v>16381.17</v>
      </c>
      <c r="AZ138" s="369">
        <v>15448.73</v>
      </c>
      <c r="BA138" s="114">
        <v>74906.79</v>
      </c>
      <c r="BB138" s="114"/>
      <c r="BC138" s="455"/>
      <c r="BD138" s="454"/>
    </row>
    <row r="139" s="2" customFormat="1" ht="17.85" hidden="1" customHeight="1" spans="1:56">
      <c r="A139" s="21"/>
      <c r="B139" s="22"/>
      <c r="C139" s="22"/>
      <c r="D139" s="34"/>
      <c r="E139" s="22"/>
      <c r="F139" s="22"/>
      <c r="G139" s="22"/>
      <c r="H139" s="22"/>
      <c r="I139" s="22"/>
      <c r="J139" s="22"/>
      <c r="K139" s="22"/>
      <c r="L139" s="22"/>
      <c r="M139" s="22"/>
      <c r="N139" s="22"/>
      <c r="O139" s="22"/>
      <c r="P139" s="22"/>
      <c r="Q139" s="35"/>
      <c r="R139" s="55" t="s">
        <v>3490</v>
      </c>
      <c r="S139" s="56">
        <v>110467.5</v>
      </c>
      <c r="T139" s="58">
        <f>SUM(AO139:BC139)</f>
        <v>92113.72</v>
      </c>
      <c r="U139" s="58">
        <f>SUM(BA139:BC139)</f>
        <v>71517.86</v>
      </c>
      <c r="V139" s="58">
        <f>SUM(AO139:AZ139)</f>
        <v>20595.86</v>
      </c>
      <c r="W139" s="58">
        <f>SUM(AP139:AZ139)</f>
        <v>20595.86</v>
      </c>
      <c r="X139" s="58">
        <f>SUM(AQ139:AZ139)</f>
        <v>20595.86</v>
      </c>
      <c r="Y139" s="58">
        <f>SUM(AR139:AZ139)</f>
        <v>20595.86</v>
      </c>
      <c r="Z139" s="70">
        <f>SUM(AS139:AZ139)</f>
        <v>20595.86</v>
      </c>
      <c r="AA139" s="66">
        <f>SUM(AT139:AZ139)</f>
        <v>20595.86</v>
      </c>
      <c r="AB139" s="66">
        <f>SUM(AU139:AZ139)</f>
        <v>20595.86</v>
      </c>
      <c r="AC139" s="70">
        <f>SUM(AV139:AZ139)</f>
        <v>20595.86</v>
      </c>
      <c r="AD139" s="70">
        <f>SUM(AW139:AZ139)</f>
        <v>20595.86</v>
      </c>
      <c r="AE139" s="70">
        <f>SUM(AX139:AZ139)</f>
        <v>20595.86</v>
      </c>
      <c r="AF139" s="70">
        <f>SUM(AY139:AZ139)</f>
        <v>20595.86</v>
      </c>
      <c r="AG139" s="70">
        <f>SUM(AZ139:AZ139)</f>
        <v>10297.93</v>
      </c>
      <c r="AH139" s="75"/>
      <c r="AI139" s="75"/>
      <c r="AJ139" s="97"/>
      <c r="AK139" s="22"/>
      <c r="AL139" s="13"/>
      <c r="AM139" s="34"/>
      <c r="AN139" s="13"/>
      <c r="AO139" s="58"/>
      <c r="AP139" s="58"/>
      <c r="AQ139" s="58"/>
      <c r="AR139" s="58"/>
      <c r="AS139" s="58"/>
      <c r="AT139" s="58"/>
      <c r="AU139" s="58"/>
      <c r="AV139" s="58"/>
      <c r="AW139" s="58"/>
      <c r="AX139" s="58"/>
      <c r="AY139" s="58">
        <v>10297.93</v>
      </c>
      <c r="AZ139" s="369">
        <v>10297.93</v>
      </c>
      <c r="BA139" s="115">
        <v>71517.86</v>
      </c>
      <c r="BB139" s="115"/>
      <c r="BC139" s="456"/>
      <c r="BD139" s="454"/>
    </row>
    <row r="140" s="2" customFormat="1" ht="17.85" hidden="1" customHeight="1" spans="1:56">
      <c r="A140" s="21"/>
      <c r="B140" s="22"/>
      <c r="C140" s="22"/>
      <c r="D140" s="34"/>
      <c r="E140" s="22"/>
      <c r="F140" s="22"/>
      <c r="G140" s="22"/>
      <c r="H140" s="22"/>
      <c r="I140" s="22"/>
      <c r="J140" s="22"/>
      <c r="K140" s="22"/>
      <c r="L140" s="22"/>
      <c r="M140" s="22"/>
      <c r="N140" s="22"/>
      <c r="O140" s="22"/>
      <c r="P140" s="22"/>
      <c r="Q140" s="35"/>
      <c r="R140" s="55" t="s">
        <v>3492</v>
      </c>
      <c r="S140" s="56">
        <v>1500</v>
      </c>
      <c r="T140" s="58">
        <f>SUM(AO140:BC140)</f>
        <v>0</v>
      </c>
      <c r="U140" s="58">
        <f>SUM(BA140:BC140)</f>
        <v>0</v>
      </c>
      <c r="V140" s="58">
        <f>SUM(AO140:AZ140)</f>
        <v>0</v>
      </c>
      <c r="W140" s="58">
        <f>SUM(AP140:AZ140)</f>
        <v>0</v>
      </c>
      <c r="X140" s="58">
        <f>SUM(AQ140:AZ140)</f>
        <v>0</v>
      </c>
      <c r="Y140" s="58">
        <f>SUM(AR140:AZ140)</f>
        <v>0</v>
      </c>
      <c r="Z140" s="70">
        <f>SUM(AS140:AZ140)</f>
        <v>0</v>
      </c>
      <c r="AA140" s="66">
        <f>SUM(AT140:AZ140)</f>
        <v>0</v>
      </c>
      <c r="AB140" s="66">
        <f>SUM(AU140:AZ140)</f>
        <v>0</v>
      </c>
      <c r="AC140" s="70">
        <f>SUM(AV140:AZ140)</f>
        <v>0</v>
      </c>
      <c r="AD140" s="70">
        <f>SUM(AW140:AZ140)</f>
        <v>0</v>
      </c>
      <c r="AE140" s="70">
        <f>SUM(AX140:AZ140)</f>
        <v>0</v>
      </c>
      <c r="AF140" s="70">
        <f>SUM(AY140:AZ140)</f>
        <v>0</v>
      </c>
      <c r="AG140" s="70">
        <f>SUM(AZ140:AZ140)</f>
        <v>0</v>
      </c>
      <c r="AH140" s="75"/>
      <c r="AI140" s="75"/>
      <c r="AJ140" s="97"/>
      <c r="AK140" s="22"/>
      <c r="AL140" s="13"/>
      <c r="AM140" s="34"/>
      <c r="AN140" s="13"/>
      <c r="AO140" s="58"/>
      <c r="AP140" s="58"/>
      <c r="AQ140" s="58"/>
      <c r="AR140" s="58"/>
      <c r="AS140" s="58"/>
      <c r="AT140" s="58"/>
      <c r="AU140" s="58"/>
      <c r="AV140" s="58"/>
      <c r="AW140" s="58"/>
      <c r="AX140" s="58"/>
      <c r="AY140" s="58">
        <v>0</v>
      </c>
      <c r="AZ140" s="369">
        <v>0</v>
      </c>
      <c r="BA140" s="115">
        <v>0</v>
      </c>
      <c r="BB140" s="115"/>
      <c r="BC140" s="456"/>
      <c r="BD140" s="454"/>
    </row>
    <row r="141" s="2" customFormat="1" ht="17.85" hidden="1" customHeight="1" spans="1:56">
      <c r="A141" s="21"/>
      <c r="B141" s="22"/>
      <c r="C141" s="22"/>
      <c r="D141" s="34"/>
      <c r="E141" s="22"/>
      <c r="F141" s="22"/>
      <c r="G141" s="22"/>
      <c r="H141" s="22"/>
      <c r="I141" s="22"/>
      <c r="J141" s="22"/>
      <c r="K141" s="22"/>
      <c r="L141" s="22"/>
      <c r="M141" s="22"/>
      <c r="N141" s="22"/>
      <c r="O141" s="22"/>
      <c r="P141" s="22"/>
      <c r="Q141" s="35"/>
      <c r="R141" s="55" t="s">
        <v>3493</v>
      </c>
      <c r="S141" s="56">
        <v>0</v>
      </c>
      <c r="T141" s="58">
        <f>SUM(AO141:BC141)</f>
        <v>284.64</v>
      </c>
      <c r="U141" s="58">
        <f>SUM(BA141:BC141)</f>
        <v>213.14</v>
      </c>
      <c r="V141" s="58">
        <f>SUM(AO141:AZ141)</f>
        <v>71.5</v>
      </c>
      <c r="W141" s="58">
        <f>SUM(AP141:AZ141)</f>
        <v>71.5</v>
      </c>
      <c r="X141" s="58">
        <f>SUM(AQ141:AZ141)</f>
        <v>71.5</v>
      </c>
      <c r="Y141" s="58">
        <f>SUM(AR141:AZ141)</f>
        <v>71.5</v>
      </c>
      <c r="Z141" s="70">
        <f>SUM(AS141:AZ141)</f>
        <v>71.5</v>
      </c>
      <c r="AA141" s="66">
        <f>SUM(AT141:AZ141)</f>
        <v>71.5</v>
      </c>
      <c r="AB141" s="66">
        <f>SUM(AU141:AZ141)</f>
        <v>71.5</v>
      </c>
      <c r="AC141" s="70">
        <f>SUM(AV141:AZ141)</f>
        <v>71.5</v>
      </c>
      <c r="AD141" s="70">
        <f>SUM(AW141:AZ141)</f>
        <v>71.5</v>
      </c>
      <c r="AE141" s="70">
        <f>SUM(AX141:AZ141)</f>
        <v>71.5</v>
      </c>
      <c r="AF141" s="70">
        <f>SUM(AY141:AZ141)</f>
        <v>71.5</v>
      </c>
      <c r="AG141" s="70">
        <f>SUM(AZ141:AZ141)</f>
        <v>27</v>
      </c>
      <c r="AH141" s="75"/>
      <c r="AI141" s="75"/>
      <c r="AJ141" s="97"/>
      <c r="AK141" s="22"/>
      <c r="AL141" s="13"/>
      <c r="AM141" s="34"/>
      <c r="AN141" s="13"/>
      <c r="AO141" s="58"/>
      <c r="AP141" s="58"/>
      <c r="AQ141" s="58"/>
      <c r="AR141" s="58"/>
      <c r="AS141" s="58"/>
      <c r="AT141" s="58"/>
      <c r="AU141" s="58"/>
      <c r="AV141" s="58"/>
      <c r="AW141" s="58"/>
      <c r="AX141" s="58"/>
      <c r="AY141" s="58">
        <v>44.5</v>
      </c>
      <c r="AZ141" s="369">
        <v>27</v>
      </c>
      <c r="BA141" s="144">
        <v>213.14</v>
      </c>
      <c r="BB141" s="144"/>
      <c r="BC141" s="456"/>
      <c r="BD141" s="454"/>
    </row>
    <row r="142" ht="14.25" hidden="1" customHeight="1" spans="1:56">
      <c r="A142" s="21"/>
      <c r="B142" s="22"/>
      <c r="C142" s="22"/>
      <c r="D142" s="34"/>
      <c r="E142" s="22"/>
      <c r="F142" s="22"/>
      <c r="G142" s="22"/>
      <c r="H142" s="22"/>
      <c r="I142" s="22"/>
      <c r="J142" s="22"/>
      <c r="K142" s="22"/>
      <c r="L142" s="22"/>
      <c r="M142" s="22"/>
      <c r="N142" s="22"/>
      <c r="O142" s="22"/>
      <c r="P142" s="22"/>
      <c r="Q142" s="35"/>
      <c r="R142" s="213" t="s">
        <v>3494</v>
      </c>
      <c r="S142" s="214">
        <f t="shared" ref="S142:AI142" si="158">SUM(S139:S141)</f>
        <v>111967.5</v>
      </c>
      <c r="T142" s="214">
        <f t="shared" si="158"/>
        <v>92398.36</v>
      </c>
      <c r="U142" s="214">
        <f t="shared" si="158"/>
        <v>71731</v>
      </c>
      <c r="V142" s="214">
        <f t="shared" si="158"/>
        <v>20667.36</v>
      </c>
      <c r="W142" s="214">
        <f t="shared" si="158"/>
        <v>20667.36</v>
      </c>
      <c r="X142" s="214">
        <f t="shared" si="158"/>
        <v>20667.36</v>
      </c>
      <c r="Y142" s="214">
        <f t="shared" si="158"/>
        <v>20667.36</v>
      </c>
      <c r="Z142" s="214">
        <f t="shared" si="158"/>
        <v>20667.36</v>
      </c>
      <c r="AA142" s="214">
        <f t="shared" si="158"/>
        <v>20667.36</v>
      </c>
      <c r="AB142" s="214">
        <f t="shared" si="158"/>
        <v>20667.36</v>
      </c>
      <c r="AC142" s="214">
        <f t="shared" si="158"/>
        <v>20667.36</v>
      </c>
      <c r="AD142" s="214">
        <f t="shared" si="158"/>
        <v>20667.36</v>
      </c>
      <c r="AE142" s="214">
        <f t="shared" si="158"/>
        <v>20667.36</v>
      </c>
      <c r="AF142" s="214">
        <f t="shared" si="158"/>
        <v>20667.36</v>
      </c>
      <c r="AG142" s="214">
        <f t="shared" si="158"/>
        <v>10324.93</v>
      </c>
      <c r="AH142" s="214">
        <f t="shared" si="158"/>
        <v>0</v>
      </c>
      <c r="AI142" s="214">
        <f t="shared" si="158"/>
        <v>0</v>
      </c>
      <c r="AJ142" s="97"/>
      <c r="AK142" s="22"/>
      <c r="AL142" s="13"/>
      <c r="AM142" s="34"/>
      <c r="AN142" s="13"/>
      <c r="AO142" s="214">
        <f t="shared" ref="AO142:BA142" si="159">SUM(AO139:AO141)</f>
        <v>0</v>
      </c>
      <c r="AP142" s="214">
        <f t="shared" si="159"/>
        <v>0</v>
      </c>
      <c r="AQ142" s="214">
        <f t="shared" si="159"/>
        <v>0</v>
      </c>
      <c r="AR142" s="214">
        <f t="shared" si="159"/>
        <v>0</v>
      </c>
      <c r="AS142" s="214">
        <f t="shared" si="159"/>
        <v>0</v>
      </c>
      <c r="AT142" s="214">
        <f t="shared" si="159"/>
        <v>0</v>
      </c>
      <c r="AU142" s="214">
        <f t="shared" si="159"/>
        <v>0</v>
      </c>
      <c r="AV142" s="214">
        <f t="shared" si="159"/>
        <v>0</v>
      </c>
      <c r="AW142" s="214">
        <f t="shared" si="159"/>
        <v>0</v>
      </c>
      <c r="AX142" s="214">
        <f t="shared" si="159"/>
        <v>0</v>
      </c>
      <c r="AY142" s="214">
        <f t="shared" si="159"/>
        <v>10342.43</v>
      </c>
      <c r="AZ142" s="450">
        <f t="shared" si="159"/>
        <v>10324.93</v>
      </c>
      <c r="BA142" s="451">
        <f t="shared" si="159"/>
        <v>71731</v>
      </c>
      <c r="BB142" s="57"/>
      <c r="BC142" s="196"/>
      <c r="BD142" s="196"/>
    </row>
    <row r="143" s="2" customFormat="1" ht="17.85" hidden="1" customHeight="1" spans="1:56">
      <c r="A143" s="21"/>
      <c r="B143" s="22"/>
      <c r="C143" s="22"/>
      <c r="D143" s="34"/>
      <c r="E143" s="22"/>
      <c r="F143" s="22"/>
      <c r="G143" s="22"/>
      <c r="H143" s="22"/>
      <c r="I143" s="22"/>
      <c r="J143" s="22"/>
      <c r="K143" s="22"/>
      <c r="L143" s="22"/>
      <c r="M143" s="22"/>
      <c r="N143" s="22"/>
      <c r="O143" s="22"/>
      <c r="P143" s="22"/>
      <c r="Q143" s="35"/>
      <c r="R143" s="55" t="s">
        <v>3495</v>
      </c>
      <c r="S143" s="59">
        <f t="shared" ref="S143:AG143" si="160">S138-S139</f>
        <v>31041.93</v>
      </c>
      <c r="T143" s="58">
        <f t="shared" si="160"/>
        <v>14622.97</v>
      </c>
      <c r="U143" s="58">
        <f t="shared" si="160"/>
        <v>3388.92999999999</v>
      </c>
      <c r="V143" s="58">
        <f t="shared" si="160"/>
        <v>11234.04</v>
      </c>
      <c r="W143" s="58">
        <f t="shared" si="160"/>
        <v>11234.04</v>
      </c>
      <c r="X143" s="58">
        <f t="shared" si="160"/>
        <v>11234.04</v>
      </c>
      <c r="Y143" s="58">
        <f t="shared" si="160"/>
        <v>11234.04</v>
      </c>
      <c r="Z143" s="57">
        <f t="shared" si="160"/>
        <v>11234.04</v>
      </c>
      <c r="AA143" s="68">
        <f t="shared" si="160"/>
        <v>11234.04</v>
      </c>
      <c r="AB143" s="68">
        <f t="shared" si="160"/>
        <v>11234.04</v>
      </c>
      <c r="AC143" s="57">
        <f t="shared" si="160"/>
        <v>11234.04</v>
      </c>
      <c r="AD143" s="57">
        <f t="shared" si="160"/>
        <v>11234.04</v>
      </c>
      <c r="AE143" s="57">
        <f t="shared" si="160"/>
        <v>11234.04</v>
      </c>
      <c r="AF143" s="57">
        <f t="shared" si="160"/>
        <v>11234.04</v>
      </c>
      <c r="AG143" s="57">
        <f t="shared" si="160"/>
        <v>5150.8</v>
      </c>
      <c r="AH143" s="75"/>
      <c r="AI143" s="75"/>
      <c r="AJ143" s="97"/>
      <c r="AK143" s="22"/>
      <c r="AL143" s="13"/>
      <c r="AM143" s="34"/>
      <c r="AN143" s="13"/>
      <c r="AO143" s="58">
        <f t="shared" ref="AO143:AZ143" si="161">AO138-AO139</f>
        <v>0</v>
      </c>
      <c r="AP143" s="58">
        <f t="shared" si="161"/>
        <v>0</v>
      </c>
      <c r="AQ143" s="58">
        <f t="shared" si="161"/>
        <v>0</v>
      </c>
      <c r="AR143" s="58">
        <f t="shared" si="161"/>
        <v>0</v>
      </c>
      <c r="AS143" s="58">
        <f t="shared" si="161"/>
        <v>0</v>
      </c>
      <c r="AT143" s="58">
        <f t="shared" si="161"/>
        <v>0</v>
      </c>
      <c r="AU143" s="58">
        <f t="shared" si="161"/>
        <v>0</v>
      </c>
      <c r="AV143" s="58">
        <f t="shared" si="161"/>
        <v>0</v>
      </c>
      <c r="AW143" s="58">
        <f t="shared" si="161"/>
        <v>0</v>
      </c>
      <c r="AX143" s="58">
        <f t="shared" si="161"/>
        <v>0</v>
      </c>
      <c r="AY143" s="58">
        <f t="shared" si="161"/>
        <v>6083.24</v>
      </c>
      <c r="AZ143" s="369">
        <f t="shared" si="161"/>
        <v>5150.8</v>
      </c>
      <c r="BA143" s="57">
        <v>3388.92999999999</v>
      </c>
      <c r="BB143" s="57"/>
      <c r="BC143" s="57"/>
      <c r="BD143" s="454"/>
    </row>
    <row r="144" s="2" customFormat="1" ht="17.85" hidden="1" customHeight="1" spans="1:56">
      <c r="A144" s="21"/>
      <c r="B144" s="22"/>
      <c r="C144" s="22"/>
      <c r="D144" s="34"/>
      <c r="E144" s="22"/>
      <c r="F144" s="22"/>
      <c r="G144" s="22"/>
      <c r="H144" s="22"/>
      <c r="I144" s="22"/>
      <c r="J144" s="22"/>
      <c r="K144" s="22"/>
      <c r="L144" s="22"/>
      <c r="M144" s="22"/>
      <c r="N144" s="22"/>
      <c r="O144" s="22"/>
      <c r="P144" s="22"/>
      <c r="Q144" s="35"/>
      <c r="R144" s="60" t="s">
        <v>3496</v>
      </c>
      <c r="S144" s="61">
        <f t="shared" ref="S144:AG144" si="162">S143/S138</f>
        <v>0.219362978142163</v>
      </c>
      <c r="T144" s="61">
        <f t="shared" si="162"/>
        <v>0.137000407263894</v>
      </c>
      <c r="U144" s="61">
        <f t="shared" si="162"/>
        <v>0.0452419600412725</v>
      </c>
      <c r="V144" s="61">
        <f t="shared" si="162"/>
        <v>0.352939845868193</v>
      </c>
      <c r="W144" s="61">
        <f t="shared" si="162"/>
        <v>0.352939845868193</v>
      </c>
      <c r="X144" s="61">
        <f t="shared" si="162"/>
        <v>0.352939845868193</v>
      </c>
      <c r="Y144" s="61">
        <f t="shared" si="162"/>
        <v>0.352939845868193</v>
      </c>
      <c r="Z144" s="62">
        <f t="shared" si="162"/>
        <v>0.352939845868193</v>
      </c>
      <c r="AA144" s="69">
        <f t="shared" si="162"/>
        <v>0.352939845868193</v>
      </c>
      <c r="AB144" s="69">
        <f t="shared" si="162"/>
        <v>0.352939845868193</v>
      </c>
      <c r="AC144" s="62">
        <f t="shared" si="162"/>
        <v>0.352939845868193</v>
      </c>
      <c r="AD144" s="62">
        <f t="shared" si="162"/>
        <v>0.352939845868193</v>
      </c>
      <c r="AE144" s="62">
        <f t="shared" si="162"/>
        <v>0.352939845868193</v>
      </c>
      <c r="AF144" s="62">
        <f t="shared" si="162"/>
        <v>0.352939845868193</v>
      </c>
      <c r="AG144" s="62">
        <f t="shared" si="162"/>
        <v>0.333412519993553</v>
      </c>
      <c r="AH144" s="82">
        <f>T144-S144</f>
        <v>-0.0823625708782694</v>
      </c>
      <c r="AI144" s="82">
        <f>AF144-S144</f>
        <v>0.13357686772603</v>
      </c>
      <c r="AJ144" s="97"/>
      <c r="AK144" s="22"/>
      <c r="AL144" s="13"/>
      <c r="AM144" s="34"/>
      <c r="AN144" s="13"/>
      <c r="AO144" s="61" t="e">
        <f t="shared" ref="AO144:AZ144" si="163">AO143/AO138</f>
        <v>#DIV/0!</v>
      </c>
      <c r="AP144" s="61" t="e">
        <f t="shared" si="163"/>
        <v>#DIV/0!</v>
      </c>
      <c r="AQ144" s="61" t="e">
        <f t="shared" si="163"/>
        <v>#DIV/0!</v>
      </c>
      <c r="AR144" s="61" t="e">
        <f t="shared" si="163"/>
        <v>#DIV/0!</v>
      </c>
      <c r="AS144" s="61" t="e">
        <f t="shared" si="163"/>
        <v>#DIV/0!</v>
      </c>
      <c r="AT144" s="61" t="e">
        <f t="shared" si="163"/>
        <v>#DIV/0!</v>
      </c>
      <c r="AU144" s="61" t="e">
        <f t="shared" si="163"/>
        <v>#DIV/0!</v>
      </c>
      <c r="AV144" s="61" t="e">
        <f t="shared" si="163"/>
        <v>#DIV/0!</v>
      </c>
      <c r="AW144" s="61" t="e">
        <f t="shared" si="163"/>
        <v>#DIV/0!</v>
      </c>
      <c r="AX144" s="61" t="e">
        <f t="shared" si="163"/>
        <v>#DIV/0!</v>
      </c>
      <c r="AY144" s="61">
        <f t="shared" si="163"/>
        <v>0.371355647978746</v>
      </c>
      <c r="AZ144" s="452">
        <f t="shared" si="163"/>
        <v>0.333412519993553</v>
      </c>
      <c r="BA144" s="62">
        <v>0.0452419600412725</v>
      </c>
      <c r="BB144" s="62"/>
      <c r="BC144" s="62"/>
      <c r="BD144" s="454"/>
    </row>
    <row r="145" s="2" customFormat="1" ht="17.85" hidden="1" customHeight="1" spans="1:56">
      <c r="A145" s="21"/>
      <c r="B145" s="22"/>
      <c r="C145" s="22"/>
      <c r="D145" s="34"/>
      <c r="E145" s="22"/>
      <c r="F145" s="22"/>
      <c r="G145" s="22"/>
      <c r="H145" s="22"/>
      <c r="I145" s="22"/>
      <c r="J145" s="22"/>
      <c r="K145" s="22"/>
      <c r="L145" s="22"/>
      <c r="M145" s="22"/>
      <c r="N145" s="22"/>
      <c r="O145" s="22"/>
      <c r="P145" s="22"/>
      <c r="Q145" s="35"/>
      <c r="R145" s="55" t="s">
        <v>3497</v>
      </c>
      <c r="S145" s="58">
        <f t="shared" ref="S145:AG145" si="164">S138-S139-S140-S141</f>
        <v>29541.93</v>
      </c>
      <c r="T145" s="58">
        <f t="shared" si="164"/>
        <v>14338.33</v>
      </c>
      <c r="U145" s="58">
        <f t="shared" si="164"/>
        <v>3175.78999999999</v>
      </c>
      <c r="V145" s="58">
        <f t="shared" si="164"/>
        <v>11162.54</v>
      </c>
      <c r="W145" s="58">
        <f t="shared" si="164"/>
        <v>11162.54</v>
      </c>
      <c r="X145" s="58">
        <f t="shared" si="164"/>
        <v>11162.54</v>
      </c>
      <c r="Y145" s="58">
        <f t="shared" si="164"/>
        <v>11162.54</v>
      </c>
      <c r="Z145" s="57">
        <f t="shared" si="164"/>
        <v>11162.54</v>
      </c>
      <c r="AA145" s="68">
        <f t="shared" si="164"/>
        <v>11162.54</v>
      </c>
      <c r="AB145" s="68">
        <f t="shared" si="164"/>
        <v>11162.54</v>
      </c>
      <c r="AC145" s="57">
        <f t="shared" si="164"/>
        <v>11162.54</v>
      </c>
      <c r="AD145" s="57">
        <f t="shared" si="164"/>
        <v>11162.54</v>
      </c>
      <c r="AE145" s="57">
        <f t="shared" si="164"/>
        <v>11162.54</v>
      </c>
      <c r="AF145" s="57">
        <f t="shared" si="164"/>
        <v>11162.54</v>
      </c>
      <c r="AG145" s="57">
        <f t="shared" si="164"/>
        <v>5123.8</v>
      </c>
      <c r="AH145" s="82"/>
      <c r="AI145" s="82"/>
      <c r="AJ145" s="97"/>
      <c r="AK145" s="22"/>
      <c r="AL145" s="13"/>
      <c r="AM145" s="34"/>
      <c r="AN145" s="13"/>
      <c r="AO145" s="58">
        <f t="shared" ref="AO145:AZ145" si="165">AO138-AO139-AO140-AO141</f>
        <v>0</v>
      </c>
      <c r="AP145" s="58">
        <f t="shared" si="165"/>
        <v>0</v>
      </c>
      <c r="AQ145" s="58">
        <f t="shared" si="165"/>
        <v>0</v>
      </c>
      <c r="AR145" s="58">
        <f t="shared" si="165"/>
        <v>0</v>
      </c>
      <c r="AS145" s="58">
        <f t="shared" si="165"/>
        <v>0</v>
      </c>
      <c r="AT145" s="58">
        <f t="shared" si="165"/>
        <v>0</v>
      </c>
      <c r="AU145" s="58">
        <f t="shared" si="165"/>
        <v>0</v>
      </c>
      <c r="AV145" s="58">
        <f t="shared" si="165"/>
        <v>0</v>
      </c>
      <c r="AW145" s="58">
        <f t="shared" si="165"/>
        <v>0</v>
      </c>
      <c r="AX145" s="58">
        <f t="shared" si="165"/>
        <v>0</v>
      </c>
      <c r="AY145" s="58">
        <f t="shared" si="165"/>
        <v>6038.74</v>
      </c>
      <c r="AZ145" s="369">
        <f t="shared" si="165"/>
        <v>5123.8</v>
      </c>
      <c r="BA145" s="57">
        <v>3175.78999999999</v>
      </c>
      <c r="BB145" s="57"/>
      <c r="BC145" s="57"/>
      <c r="BD145" s="454"/>
    </row>
    <row r="146" s="2" customFormat="1" ht="17.85" hidden="1" customHeight="1" spans="1:56">
      <c r="A146" s="23"/>
      <c r="B146" s="24"/>
      <c r="C146" s="24"/>
      <c r="D146" s="83"/>
      <c r="E146" s="24"/>
      <c r="F146" s="24"/>
      <c r="G146" s="24"/>
      <c r="H146" s="24"/>
      <c r="I146" s="24"/>
      <c r="J146" s="24"/>
      <c r="K146" s="24"/>
      <c r="L146" s="24"/>
      <c r="M146" s="24"/>
      <c r="N146" s="24"/>
      <c r="O146" s="24"/>
      <c r="P146" s="24"/>
      <c r="Q146" s="156"/>
      <c r="R146" s="60" t="s">
        <v>3498</v>
      </c>
      <c r="S146" s="61">
        <f t="shared" ref="S146:AG146" si="166">S145/S138</f>
        <v>0.208762977845363</v>
      </c>
      <c r="T146" s="61">
        <f t="shared" si="166"/>
        <v>0.134333657901514</v>
      </c>
      <c r="U146" s="61">
        <f t="shared" si="166"/>
        <v>0.0423965571078402</v>
      </c>
      <c r="V146" s="61">
        <f t="shared" si="166"/>
        <v>0.350693530296985</v>
      </c>
      <c r="W146" s="61">
        <f t="shared" si="166"/>
        <v>0.350693530296985</v>
      </c>
      <c r="X146" s="61">
        <f t="shared" si="166"/>
        <v>0.350693530296985</v>
      </c>
      <c r="Y146" s="61">
        <f t="shared" si="166"/>
        <v>0.350693530296985</v>
      </c>
      <c r="Z146" s="62">
        <f t="shared" si="166"/>
        <v>0.350693530296985</v>
      </c>
      <c r="AA146" s="69">
        <f t="shared" si="166"/>
        <v>0.350693530296985</v>
      </c>
      <c r="AB146" s="69">
        <f t="shared" si="166"/>
        <v>0.350693530296985</v>
      </c>
      <c r="AC146" s="62">
        <f t="shared" si="166"/>
        <v>0.350693530296985</v>
      </c>
      <c r="AD146" s="62">
        <f t="shared" si="166"/>
        <v>0.350693530296985</v>
      </c>
      <c r="AE146" s="62">
        <f t="shared" si="166"/>
        <v>0.350693530296985</v>
      </c>
      <c r="AF146" s="62">
        <f t="shared" si="166"/>
        <v>0.350693530296985</v>
      </c>
      <c r="AG146" s="62">
        <f t="shared" si="166"/>
        <v>0.331664803514593</v>
      </c>
      <c r="AH146" s="82">
        <f>T146-S146</f>
        <v>-0.0744293199438489</v>
      </c>
      <c r="AI146" s="82">
        <f>AF146-S146</f>
        <v>0.141930552451622</v>
      </c>
      <c r="AJ146" s="98"/>
      <c r="AK146" s="24"/>
      <c r="AL146" s="14"/>
      <c r="AM146" s="83"/>
      <c r="AN146" s="14"/>
      <c r="AO146" s="61" t="e">
        <f t="shared" ref="AO146:AZ146" si="167">AO145/AO138</f>
        <v>#DIV/0!</v>
      </c>
      <c r="AP146" s="61" t="e">
        <f t="shared" si="167"/>
        <v>#DIV/0!</v>
      </c>
      <c r="AQ146" s="61" t="e">
        <f t="shared" si="167"/>
        <v>#DIV/0!</v>
      </c>
      <c r="AR146" s="61" t="e">
        <f t="shared" si="167"/>
        <v>#DIV/0!</v>
      </c>
      <c r="AS146" s="61" t="e">
        <f t="shared" si="167"/>
        <v>#DIV/0!</v>
      </c>
      <c r="AT146" s="61" t="e">
        <f t="shared" si="167"/>
        <v>#DIV/0!</v>
      </c>
      <c r="AU146" s="61" t="e">
        <f t="shared" si="167"/>
        <v>#DIV/0!</v>
      </c>
      <c r="AV146" s="61" t="e">
        <f t="shared" si="167"/>
        <v>#DIV/0!</v>
      </c>
      <c r="AW146" s="61" t="e">
        <f t="shared" si="167"/>
        <v>#DIV/0!</v>
      </c>
      <c r="AX146" s="61" t="e">
        <f t="shared" si="167"/>
        <v>#DIV/0!</v>
      </c>
      <c r="AY146" s="61">
        <f t="shared" si="167"/>
        <v>0.368639114300139</v>
      </c>
      <c r="AZ146" s="452">
        <f t="shared" si="167"/>
        <v>0.331664803514593</v>
      </c>
      <c r="BA146" s="62">
        <v>0.0423965571078402</v>
      </c>
      <c r="BB146" s="62"/>
      <c r="BC146" s="62"/>
      <c r="BD146" s="454"/>
    </row>
    <row r="147" s="2" customFormat="1" ht="17.85" hidden="1" customHeight="1" spans="1:56">
      <c r="A147" s="30" t="s">
        <v>579</v>
      </c>
      <c r="B147" s="31" t="s">
        <v>580</v>
      </c>
      <c r="C147" s="29">
        <v>46023</v>
      </c>
      <c r="D147" s="470">
        <v>46203</v>
      </c>
      <c r="E147" s="26" t="s">
        <v>3540</v>
      </c>
      <c r="F147" s="26" t="s">
        <v>3541</v>
      </c>
      <c r="G147" s="430"/>
      <c r="H147" s="431"/>
      <c r="I147" s="431"/>
      <c r="J147" s="29"/>
      <c r="K147" s="29"/>
      <c r="L147" s="29"/>
      <c r="M147" s="54"/>
      <c r="N147" s="54"/>
      <c r="O147" s="54"/>
      <c r="P147" s="54"/>
      <c r="Q147" s="435" t="s">
        <v>3499</v>
      </c>
      <c r="R147" s="55" t="s">
        <v>3486</v>
      </c>
      <c r="S147" s="63">
        <v>482075.47</v>
      </c>
      <c r="T147" s="58">
        <f>SUM(AO147:BC147)</f>
        <v>199988.98</v>
      </c>
      <c r="U147" s="58">
        <f>SUM(BA147:BC147)</f>
        <v>0</v>
      </c>
      <c r="V147" s="58">
        <f>SUM(AO147:AZ147)</f>
        <v>199988.98</v>
      </c>
      <c r="W147" s="58">
        <f>SUM(AP147:AZ147)</f>
        <v>199988.98</v>
      </c>
      <c r="X147" s="58">
        <f>SUM(AQ147:AZ147)</f>
        <v>199988.98</v>
      </c>
      <c r="Y147" s="58">
        <f>SUM(AR147:AZ147)</f>
        <v>199988.98</v>
      </c>
      <c r="Z147" s="70">
        <f>SUM(AS147:AZ147)</f>
        <v>199988.98</v>
      </c>
      <c r="AA147" s="66">
        <f>SUM(AT147:AZ147)</f>
        <v>199988.98</v>
      </c>
      <c r="AB147" s="66">
        <f>SUM(AU147:AZ147)</f>
        <v>199988.98</v>
      </c>
      <c r="AC147" s="70">
        <f>SUM(AV147:AZ147)</f>
        <v>199988.98</v>
      </c>
      <c r="AD147" s="70">
        <f>SUM(AW147:AZ147)</f>
        <v>199988.98</v>
      </c>
      <c r="AE147" s="70">
        <f>SUM(AX147:AZ147)</f>
        <v>199988.98</v>
      </c>
      <c r="AF147" s="70">
        <f>SUM(AY147:AZ147)</f>
        <v>199988.98</v>
      </c>
      <c r="AG147" s="70">
        <f>SUM(AZ147:AZ147)</f>
        <v>104300.47</v>
      </c>
      <c r="AH147" s="75"/>
      <c r="AI147" s="75"/>
      <c r="AJ147" s="525"/>
      <c r="AK147" s="333" t="s">
        <v>3542</v>
      </c>
      <c r="AL147" s="333" t="s">
        <v>3543</v>
      </c>
      <c r="AM147" s="333" t="s">
        <v>3544</v>
      </c>
      <c r="AN147" s="233"/>
      <c r="AO147" s="58"/>
      <c r="AP147" s="58"/>
      <c r="AQ147" s="58"/>
      <c r="AR147" s="58"/>
      <c r="AS147" s="58"/>
      <c r="AT147" s="58"/>
      <c r="AU147" s="58"/>
      <c r="AV147" s="58"/>
      <c r="AW147" s="58"/>
      <c r="AX147" s="58"/>
      <c r="AY147" s="58">
        <v>95688.51</v>
      </c>
      <c r="AZ147" s="369">
        <v>104300.47</v>
      </c>
      <c r="BA147" s="114"/>
      <c r="BB147" s="114"/>
      <c r="BC147" s="455"/>
      <c r="BD147" s="454"/>
    </row>
    <row r="148" s="2" customFormat="1" ht="17.85" hidden="1" customHeight="1" spans="1:56">
      <c r="A148" s="21"/>
      <c r="B148" s="22"/>
      <c r="C148" s="22"/>
      <c r="D148" s="34"/>
      <c r="E148" s="22"/>
      <c r="F148" s="22"/>
      <c r="G148" s="22"/>
      <c r="H148" s="22"/>
      <c r="I148" s="22"/>
      <c r="J148" s="22"/>
      <c r="K148" s="22"/>
      <c r="L148" s="22"/>
      <c r="M148" s="22"/>
      <c r="N148" s="22"/>
      <c r="O148" s="22"/>
      <c r="P148" s="22"/>
      <c r="Q148" s="35"/>
      <c r="R148" s="55" t="s">
        <v>3490</v>
      </c>
      <c r="S148" s="56">
        <v>294348.73</v>
      </c>
      <c r="T148" s="58">
        <f>SUM(AO148:BC148)</f>
        <v>174068.38</v>
      </c>
      <c r="U148" s="58">
        <f>SUM(BA148:BC148)</f>
        <v>0</v>
      </c>
      <c r="V148" s="58">
        <f>SUM(AO148:AZ148)</f>
        <v>174068.38</v>
      </c>
      <c r="W148" s="58">
        <f>SUM(AP148:AZ148)</f>
        <v>174068.38</v>
      </c>
      <c r="X148" s="58">
        <f>SUM(AQ148:AZ148)</f>
        <v>174068.38</v>
      </c>
      <c r="Y148" s="58">
        <f>SUM(AR148:AZ148)</f>
        <v>174068.38</v>
      </c>
      <c r="Z148" s="70">
        <f>SUM(AS148:AZ148)</f>
        <v>174068.38</v>
      </c>
      <c r="AA148" s="66">
        <f>SUM(AT148:AZ148)</f>
        <v>174068.38</v>
      </c>
      <c r="AB148" s="66">
        <f>SUM(AU148:AZ148)</f>
        <v>174068.38</v>
      </c>
      <c r="AC148" s="70">
        <f>SUM(AV148:AZ148)</f>
        <v>174068.38</v>
      </c>
      <c r="AD148" s="70">
        <f>SUM(AW148:AZ148)</f>
        <v>174068.38</v>
      </c>
      <c r="AE148" s="70">
        <f>SUM(AX148:AZ148)</f>
        <v>174068.38</v>
      </c>
      <c r="AF148" s="70">
        <f>SUM(AY148:AZ148)</f>
        <v>174068.38</v>
      </c>
      <c r="AG148" s="70">
        <f>SUM(AZ148:AZ148)</f>
        <v>75108.82</v>
      </c>
      <c r="AH148" s="75"/>
      <c r="AI148" s="75"/>
      <c r="AJ148" s="81"/>
      <c r="AK148" s="13"/>
      <c r="AL148" s="13"/>
      <c r="AM148" s="13"/>
      <c r="AN148" s="13"/>
      <c r="AO148" s="58"/>
      <c r="AP148" s="58"/>
      <c r="AQ148" s="58"/>
      <c r="AR148" s="58"/>
      <c r="AS148" s="58"/>
      <c r="AT148" s="58"/>
      <c r="AU148" s="58"/>
      <c r="AV148" s="58"/>
      <c r="AW148" s="58"/>
      <c r="AX148" s="58"/>
      <c r="AY148" s="58">
        <v>98959.56</v>
      </c>
      <c r="AZ148" s="369">
        <v>75108.82</v>
      </c>
      <c r="BA148" s="115"/>
      <c r="BB148" s="115"/>
      <c r="BC148" s="456"/>
      <c r="BD148" s="454"/>
    </row>
    <row r="149" s="2" customFormat="1" ht="17.85" hidden="1" customHeight="1" spans="1:56">
      <c r="A149" s="21"/>
      <c r="B149" s="22"/>
      <c r="C149" s="22"/>
      <c r="D149" s="34"/>
      <c r="E149" s="22"/>
      <c r="F149" s="22"/>
      <c r="G149" s="22"/>
      <c r="H149" s="22"/>
      <c r="I149" s="22"/>
      <c r="J149" s="22"/>
      <c r="K149" s="22"/>
      <c r="L149" s="22"/>
      <c r="M149" s="22"/>
      <c r="N149" s="22"/>
      <c r="O149" s="22"/>
      <c r="P149" s="22"/>
      <c r="Q149" s="35"/>
      <c r="R149" s="55" t="s">
        <v>3492</v>
      </c>
      <c r="S149" s="56">
        <v>60000</v>
      </c>
      <c r="T149" s="58">
        <f>SUM(AO149:BC149)</f>
        <v>3364.13</v>
      </c>
      <c r="U149" s="58">
        <f>SUM(BA149:BC149)</f>
        <v>0</v>
      </c>
      <c r="V149" s="58">
        <f>SUM(AO149:AZ149)</f>
        <v>3364.13</v>
      </c>
      <c r="W149" s="58">
        <f>SUM(AP149:AZ149)</f>
        <v>3364.13</v>
      </c>
      <c r="X149" s="58">
        <f>SUM(AQ149:AZ149)</f>
        <v>3364.13</v>
      </c>
      <c r="Y149" s="58">
        <f>SUM(AR149:AZ149)</f>
        <v>3364.13</v>
      </c>
      <c r="Z149" s="70">
        <f>SUM(AS149:AZ149)</f>
        <v>3364.13</v>
      </c>
      <c r="AA149" s="66">
        <f>SUM(AT149:AZ149)</f>
        <v>3364.13</v>
      </c>
      <c r="AB149" s="66">
        <f>SUM(AU149:AZ149)</f>
        <v>3364.13</v>
      </c>
      <c r="AC149" s="70">
        <f>SUM(AV149:AZ149)</f>
        <v>3364.13</v>
      </c>
      <c r="AD149" s="70">
        <f>SUM(AW149:AZ149)</f>
        <v>3364.13</v>
      </c>
      <c r="AE149" s="70">
        <f>SUM(AX149:AZ149)</f>
        <v>3364.13</v>
      </c>
      <c r="AF149" s="70">
        <f>SUM(AY149:AZ149)</f>
        <v>3364.13</v>
      </c>
      <c r="AG149" s="70">
        <f>SUM(AZ149:AZ149)</f>
        <v>0</v>
      </c>
      <c r="AH149" s="75"/>
      <c r="AI149" s="75"/>
      <c r="AJ149" s="81"/>
      <c r="AK149" s="13"/>
      <c r="AL149" s="13"/>
      <c r="AM149" s="13"/>
      <c r="AN149" s="13"/>
      <c r="AO149" s="58"/>
      <c r="AP149" s="58"/>
      <c r="AQ149" s="58"/>
      <c r="AR149" s="58"/>
      <c r="AS149" s="58"/>
      <c r="AT149" s="58"/>
      <c r="AU149" s="58"/>
      <c r="AV149" s="58"/>
      <c r="AW149" s="58"/>
      <c r="AX149" s="58"/>
      <c r="AY149" s="58">
        <v>3364.13</v>
      </c>
      <c r="AZ149" s="369">
        <v>0</v>
      </c>
      <c r="BA149" s="115"/>
      <c r="BB149" s="115"/>
      <c r="BC149" s="456"/>
      <c r="BD149" s="454"/>
    </row>
    <row r="150" s="2" customFormat="1" ht="17.85" hidden="1" customHeight="1" spans="1:56">
      <c r="A150" s="21"/>
      <c r="B150" s="22"/>
      <c r="C150" s="22"/>
      <c r="D150" s="34"/>
      <c r="E150" s="22"/>
      <c r="F150" s="22"/>
      <c r="G150" s="22"/>
      <c r="H150" s="22"/>
      <c r="I150" s="22"/>
      <c r="J150" s="22"/>
      <c r="K150" s="22"/>
      <c r="L150" s="22"/>
      <c r="M150" s="22"/>
      <c r="N150" s="22"/>
      <c r="O150" s="22"/>
      <c r="P150" s="22"/>
      <c r="Q150" s="35"/>
      <c r="R150" s="55" t="s">
        <v>3493</v>
      </c>
      <c r="S150" s="56">
        <v>12000</v>
      </c>
      <c r="T150" s="58">
        <f>SUM(AO150:BC150)</f>
        <v>680</v>
      </c>
      <c r="U150" s="58">
        <f>SUM(BA150:BC150)</f>
        <v>0</v>
      </c>
      <c r="V150" s="58">
        <f>SUM(AO150:AZ150)</f>
        <v>680</v>
      </c>
      <c r="W150" s="58">
        <f>SUM(AP150:AZ150)</f>
        <v>680</v>
      </c>
      <c r="X150" s="58">
        <f>SUM(AQ150:AZ150)</f>
        <v>680</v>
      </c>
      <c r="Y150" s="58">
        <f>SUM(AR150:AZ150)</f>
        <v>680</v>
      </c>
      <c r="Z150" s="70">
        <f>SUM(AS150:AZ150)</f>
        <v>680</v>
      </c>
      <c r="AA150" s="66">
        <f>SUM(AT150:AZ150)</f>
        <v>680</v>
      </c>
      <c r="AB150" s="66">
        <f>SUM(AU150:AZ150)</f>
        <v>680</v>
      </c>
      <c r="AC150" s="70">
        <f>SUM(AV150:AZ150)</f>
        <v>680</v>
      </c>
      <c r="AD150" s="70">
        <f>SUM(AW150:AZ150)</f>
        <v>680</v>
      </c>
      <c r="AE150" s="70">
        <f>SUM(AX150:AZ150)</f>
        <v>680</v>
      </c>
      <c r="AF150" s="70">
        <f>SUM(AY150:AZ150)</f>
        <v>680</v>
      </c>
      <c r="AG150" s="70">
        <f>SUM(AZ150:AZ150)</f>
        <v>111.4</v>
      </c>
      <c r="AH150" s="75"/>
      <c r="AI150" s="75"/>
      <c r="AJ150" s="81"/>
      <c r="AK150" s="13"/>
      <c r="AL150" s="13"/>
      <c r="AM150" s="13"/>
      <c r="AN150" s="13"/>
      <c r="AO150" s="58"/>
      <c r="AP150" s="58"/>
      <c r="AQ150" s="58"/>
      <c r="AR150" s="58"/>
      <c r="AS150" s="58"/>
      <c r="AT150" s="58"/>
      <c r="AU150" s="58"/>
      <c r="AV150" s="58"/>
      <c r="AW150" s="58"/>
      <c r="AX150" s="58"/>
      <c r="AY150" s="58">
        <v>568.6</v>
      </c>
      <c r="AZ150" s="369">
        <v>111.4</v>
      </c>
      <c r="BA150" s="144"/>
      <c r="BB150" s="144"/>
      <c r="BC150" s="456"/>
      <c r="BD150" s="454"/>
    </row>
    <row r="151" ht="14.25" hidden="1" customHeight="1" spans="1:56">
      <c r="A151" s="21"/>
      <c r="B151" s="22"/>
      <c r="C151" s="22"/>
      <c r="D151" s="34"/>
      <c r="E151" s="22"/>
      <c r="F151" s="22"/>
      <c r="G151" s="22"/>
      <c r="H151" s="22"/>
      <c r="I151" s="22"/>
      <c r="J151" s="22"/>
      <c r="K151" s="22"/>
      <c r="L151" s="22"/>
      <c r="M151" s="22"/>
      <c r="N151" s="22"/>
      <c r="O151" s="22"/>
      <c r="P151" s="22"/>
      <c r="Q151" s="35"/>
      <c r="R151" s="213" t="s">
        <v>3494</v>
      </c>
      <c r="S151" s="214">
        <f t="shared" ref="S151:AI151" si="168">SUM(S148:S150)</f>
        <v>366348.73</v>
      </c>
      <c r="T151" s="214">
        <f t="shared" si="168"/>
        <v>178112.51</v>
      </c>
      <c r="U151" s="214">
        <f t="shared" si="168"/>
        <v>0</v>
      </c>
      <c r="V151" s="214">
        <f t="shared" si="168"/>
        <v>178112.51</v>
      </c>
      <c r="W151" s="214">
        <f t="shared" si="168"/>
        <v>178112.51</v>
      </c>
      <c r="X151" s="214">
        <f t="shared" si="168"/>
        <v>178112.51</v>
      </c>
      <c r="Y151" s="214">
        <f t="shared" si="168"/>
        <v>178112.51</v>
      </c>
      <c r="Z151" s="214">
        <f t="shared" si="168"/>
        <v>178112.51</v>
      </c>
      <c r="AA151" s="214">
        <f t="shared" si="168"/>
        <v>178112.51</v>
      </c>
      <c r="AB151" s="214">
        <f t="shared" si="168"/>
        <v>178112.51</v>
      </c>
      <c r="AC151" s="214">
        <f t="shared" si="168"/>
        <v>178112.51</v>
      </c>
      <c r="AD151" s="214">
        <f t="shared" si="168"/>
        <v>178112.51</v>
      </c>
      <c r="AE151" s="214">
        <f t="shared" si="168"/>
        <v>178112.51</v>
      </c>
      <c r="AF151" s="214">
        <f t="shared" si="168"/>
        <v>178112.51</v>
      </c>
      <c r="AG151" s="214">
        <f t="shared" si="168"/>
        <v>75220.22</v>
      </c>
      <c r="AH151" s="214">
        <f t="shared" si="168"/>
        <v>0</v>
      </c>
      <c r="AI151" s="214">
        <f t="shared" si="168"/>
        <v>0</v>
      </c>
      <c r="AJ151" s="81"/>
      <c r="AK151" s="13"/>
      <c r="AL151" s="13"/>
      <c r="AM151" s="13"/>
      <c r="AN151" s="13"/>
      <c r="AO151" s="214">
        <f t="shared" ref="AO151:AZ151" si="169">SUM(AO148:AO150)</f>
        <v>0</v>
      </c>
      <c r="AP151" s="214">
        <f t="shared" si="169"/>
        <v>0</v>
      </c>
      <c r="AQ151" s="214">
        <f t="shared" si="169"/>
        <v>0</v>
      </c>
      <c r="AR151" s="214">
        <f t="shared" si="169"/>
        <v>0</v>
      </c>
      <c r="AS151" s="214">
        <f t="shared" si="169"/>
        <v>0</v>
      </c>
      <c r="AT151" s="214">
        <f t="shared" si="169"/>
        <v>0</v>
      </c>
      <c r="AU151" s="214">
        <f t="shared" si="169"/>
        <v>0</v>
      </c>
      <c r="AV151" s="214">
        <f t="shared" si="169"/>
        <v>0</v>
      </c>
      <c r="AW151" s="214">
        <f t="shared" si="169"/>
        <v>0</v>
      </c>
      <c r="AX151" s="214">
        <f t="shared" si="169"/>
        <v>0</v>
      </c>
      <c r="AY151" s="214">
        <f t="shared" si="169"/>
        <v>102892.29</v>
      </c>
      <c r="AZ151" s="450">
        <f t="shared" si="169"/>
        <v>75220.22</v>
      </c>
      <c r="BA151" s="451"/>
      <c r="BB151" s="57"/>
      <c r="BC151" s="196"/>
      <c r="BD151" s="196"/>
    </row>
    <row r="152" s="2" customFormat="1" ht="17.85" hidden="1" customHeight="1" spans="1:56">
      <c r="A152" s="21"/>
      <c r="B152" s="22"/>
      <c r="C152" s="22"/>
      <c r="D152" s="34"/>
      <c r="E152" s="22"/>
      <c r="F152" s="22"/>
      <c r="G152" s="22"/>
      <c r="H152" s="22"/>
      <c r="I152" s="22"/>
      <c r="J152" s="22"/>
      <c r="K152" s="22"/>
      <c r="L152" s="22"/>
      <c r="M152" s="22"/>
      <c r="N152" s="22"/>
      <c r="O152" s="22"/>
      <c r="P152" s="22"/>
      <c r="Q152" s="35"/>
      <c r="R152" s="55" t="s">
        <v>3495</v>
      </c>
      <c r="S152" s="59">
        <f t="shared" ref="S152:AG152" si="170">S147-S148</f>
        <v>187726.74</v>
      </c>
      <c r="T152" s="58">
        <f t="shared" si="170"/>
        <v>25920.6</v>
      </c>
      <c r="U152" s="58">
        <f t="shared" si="170"/>
        <v>0</v>
      </c>
      <c r="V152" s="58">
        <f t="shared" si="170"/>
        <v>25920.6</v>
      </c>
      <c r="W152" s="58">
        <f t="shared" si="170"/>
        <v>25920.6</v>
      </c>
      <c r="X152" s="58">
        <f t="shared" si="170"/>
        <v>25920.6</v>
      </c>
      <c r="Y152" s="58">
        <f t="shared" si="170"/>
        <v>25920.6</v>
      </c>
      <c r="Z152" s="57">
        <f t="shared" si="170"/>
        <v>25920.6</v>
      </c>
      <c r="AA152" s="68">
        <f t="shared" si="170"/>
        <v>25920.6</v>
      </c>
      <c r="AB152" s="68">
        <f t="shared" si="170"/>
        <v>25920.6</v>
      </c>
      <c r="AC152" s="57">
        <f t="shared" si="170"/>
        <v>25920.6</v>
      </c>
      <c r="AD152" s="57">
        <f t="shared" si="170"/>
        <v>25920.6</v>
      </c>
      <c r="AE152" s="57">
        <f t="shared" si="170"/>
        <v>25920.6</v>
      </c>
      <c r="AF152" s="57">
        <f t="shared" si="170"/>
        <v>25920.6</v>
      </c>
      <c r="AG152" s="57">
        <f t="shared" si="170"/>
        <v>29191.65</v>
      </c>
      <c r="AH152" s="75"/>
      <c r="AI152" s="75"/>
      <c r="AJ152" s="81"/>
      <c r="AK152" s="13"/>
      <c r="AL152" s="13"/>
      <c r="AM152" s="13"/>
      <c r="AN152" s="13"/>
      <c r="AO152" s="58">
        <f t="shared" ref="AO152:AZ152" si="171">AO147-AO148</f>
        <v>0</v>
      </c>
      <c r="AP152" s="58">
        <f t="shared" si="171"/>
        <v>0</v>
      </c>
      <c r="AQ152" s="58">
        <f t="shared" si="171"/>
        <v>0</v>
      </c>
      <c r="AR152" s="58">
        <f t="shared" si="171"/>
        <v>0</v>
      </c>
      <c r="AS152" s="58">
        <f t="shared" si="171"/>
        <v>0</v>
      </c>
      <c r="AT152" s="58">
        <f t="shared" si="171"/>
        <v>0</v>
      </c>
      <c r="AU152" s="58">
        <f t="shared" si="171"/>
        <v>0</v>
      </c>
      <c r="AV152" s="58">
        <f t="shared" si="171"/>
        <v>0</v>
      </c>
      <c r="AW152" s="58">
        <f t="shared" si="171"/>
        <v>0</v>
      </c>
      <c r="AX152" s="58">
        <f t="shared" si="171"/>
        <v>0</v>
      </c>
      <c r="AY152" s="58">
        <f t="shared" si="171"/>
        <v>-3271.05</v>
      </c>
      <c r="AZ152" s="369">
        <f t="shared" si="171"/>
        <v>29191.65</v>
      </c>
      <c r="BA152" s="57"/>
      <c r="BB152" s="57"/>
      <c r="BC152" s="57"/>
      <c r="BD152" s="454"/>
    </row>
    <row r="153" s="2" customFormat="1" ht="17.85" hidden="1" customHeight="1" spans="1:56">
      <c r="A153" s="21"/>
      <c r="B153" s="22"/>
      <c r="C153" s="22"/>
      <c r="D153" s="34"/>
      <c r="E153" s="22"/>
      <c r="F153" s="22"/>
      <c r="G153" s="22"/>
      <c r="H153" s="22"/>
      <c r="I153" s="22"/>
      <c r="J153" s="22"/>
      <c r="K153" s="22"/>
      <c r="L153" s="22"/>
      <c r="M153" s="22"/>
      <c r="N153" s="22"/>
      <c r="O153" s="22"/>
      <c r="P153" s="22"/>
      <c r="Q153" s="35"/>
      <c r="R153" s="60" t="s">
        <v>3496</v>
      </c>
      <c r="S153" s="61">
        <f t="shared" ref="S153:AG153" si="172">S152/S147</f>
        <v>0.389413591195586</v>
      </c>
      <c r="T153" s="61">
        <f t="shared" si="172"/>
        <v>0.129610141518798</v>
      </c>
      <c r="U153" s="61" t="e">
        <f t="shared" si="172"/>
        <v>#DIV/0!</v>
      </c>
      <c r="V153" s="61">
        <f t="shared" si="172"/>
        <v>0.129610141518798</v>
      </c>
      <c r="W153" s="61">
        <f t="shared" si="172"/>
        <v>0.129610141518798</v>
      </c>
      <c r="X153" s="61">
        <f t="shared" si="172"/>
        <v>0.129610141518798</v>
      </c>
      <c r="Y153" s="61">
        <f t="shared" si="172"/>
        <v>0.129610141518798</v>
      </c>
      <c r="Z153" s="62">
        <f t="shared" si="172"/>
        <v>0.129610141518798</v>
      </c>
      <c r="AA153" s="69">
        <f t="shared" si="172"/>
        <v>0.129610141518798</v>
      </c>
      <c r="AB153" s="69">
        <f t="shared" si="172"/>
        <v>0.129610141518798</v>
      </c>
      <c r="AC153" s="62">
        <f t="shared" si="172"/>
        <v>0.129610141518798</v>
      </c>
      <c r="AD153" s="62">
        <f t="shared" si="172"/>
        <v>0.129610141518798</v>
      </c>
      <c r="AE153" s="62">
        <f t="shared" si="172"/>
        <v>0.129610141518798</v>
      </c>
      <c r="AF153" s="62">
        <f t="shared" si="172"/>
        <v>0.129610141518798</v>
      </c>
      <c r="AG153" s="62">
        <f t="shared" si="172"/>
        <v>0.279880330357092</v>
      </c>
      <c r="AH153" s="82">
        <f>T153-S153</f>
        <v>-0.259803449676788</v>
      </c>
      <c r="AI153" s="82">
        <f>AF153-S153</f>
        <v>-0.259803449676788</v>
      </c>
      <c r="AJ153" s="81"/>
      <c r="AK153" s="13"/>
      <c r="AL153" s="13"/>
      <c r="AM153" s="13"/>
      <c r="AN153" s="13"/>
      <c r="AO153" s="61" t="e">
        <f t="shared" ref="AO153:AZ153" si="173">AO152/AO147</f>
        <v>#DIV/0!</v>
      </c>
      <c r="AP153" s="61" t="e">
        <f t="shared" si="173"/>
        <v>#DIV/0!</v>
      </c>
      <c r="AQ153" s="61" t="e">
        <f t="shared" si="173"/>
        <v>#DIV/0!</v>
      </c>
      <c r="AR153" s="61" t="e">
        <f t="shared" si="173"/>
        <v>#DIV/0!</v>
      </c>
      <c r="AS153" s="61" t="e">
        <f t="shared" si="173"/>
        <v>#DIV/0!</v>
      </c>
      <c r="AT153" s="61" t="e">
        <f t="shared" si="173"/>
        <v>#DIV/0!</v>
      </c>
      <c r="AU153" s="61" t="e">
        <f t="shared" si="173"/>
        <v>#DIV/0!</v>
      </c>
      <c r="AV153" s="61" t="e">
        <f t="shared" si="173"/>
        <v>#DIV/0!</v>
      </c>
      <c r="AW153" s="61" t="e">
        <f t="shared" si="173"/>
        <v>#DIV/0!</v>
      </c>
      <c r="AX153" s="61" t="e">
        <f t="shared" si="173"/>
        <v>#DIV/0!</v>
      </c>
      <c r="AY153" s="61">
        <f t="shared" si="173"/>
        <v>-0.0341843550495248</v>
      </c>
      <c r="AZ153" s="452">
        <f t="shared" si="173"/>
        <v>0.279880330357092</v>
      </c>
      <c r="BA153" s="62"/>
      <c r="BB153" s="62"/>
      <c r="BC153" s="62"/>
      <c r="BD153" s="454"/>
    </row>
    <row r="154" s="2" customFormat="1" ht="17.85" hidden="1" customHeight="1" spans="1:56">
      <c r="A154" s="21"/>
      <c r="B154" s="22"/>
      <c r="C154" s="22"/>
      <c r="D154" s="34"/>
      <c r="E154" s="22"/>
      <c r="F154" s="22"/>
      <c r="G154" s="22"/>
      <c r="H154" s="22"/>
      <c r="I154" s="22"/>
      <c r="J154" s="22"/>
      <c r="K154" s="22"/>
      <c r="L154" s="22"/>
      <c r="M154" s="22"/>
      <c r="N154" s="22"/>
      <c r="O154" s="22"/>
      <c r="P154" s="22"/>
      <c r="Q154" s="35"/>
      <c r="R154" s="55" t="s">
        <v>3497</v>
      </c>
      <c r="S154" s="58">
        <f t="shared" ref="S154:AG154" si="174">S147-S148-S149-S150</f>
        <v>115726.74</v>
      </c>
      <c r="T154" s="58">
        <f t="shared" si="174"/>
        <v>21876.47</v>
      </c>
      <c r="U154" s="58">
        <f t="shared" si="174"/>
        <v>0</v>
      </c>
      <c r="V154" s="58">
        <f t="shared" si="174"/>
        <v>21876.47</v>
      </c>
      <c r="W154" s="58">
        <f t="shared" si="174"/>
        <v>21876.47</v>
      </c>
      <c r="X154" s="58">
        <f t="shared" si="174"/>
        <v>21876.47</v>
      </c>
      <c r="Y154" s="58">
        <f t="shared" si="174"/>
        <v>21876.47</v>
      </c>
      <c r="Z154" s="57">
        <f t="shared" si="174"/>
        <v>21876.47</v>
      </c>
      <c r="AA154" s="68">
        <f t="shared" si="174"/>
        <v>21876.47</v>
      </c>
      <c r="AB154" s="68">
        <f t="shared" si="174"/>
        <v>21876.47</v>
      </c>
      <c r="AC154" s="57">
        <f t="shared" si="174"/>
        <v>21876.47</v>
      </c>
      <c r="AD154" s="57">
        <f t="shared" si="174"/>
        <v>21876.47</v>
      </c>
      <c r="AE154" s="57">
        <f t="shared" si="174"/>
        <v>21876.47</v>
      </c>
      <c r="AF154" s="57">
        <f t="shared" si="174"/>
        <v>21876.47</v>
      </c>
      <c r="AG154" s="57">
        <f t="shared" si="174"/>
        <v>29080.25</v>
      </c>
      <c r="AH154" s="82"/>
      <c r="AI154" s="82"/>
      <c r="AJ154" s="81"/>
      <c r="AK154" s="13"/>
      <c r="AL154" s="13"/>
      <c r="AM154" s="13"/>
      <c r="AN154" s="13"/>
      <c r="AO154" s="58">
        <f t="shared" ref="AO154:AZ154" si="175">AO147-AO148-AO149-AO150</f>
        <v>0</v>
      </c>
      <c r="AP154" s="58">
        <f t="shared" si="175"/>
        <v>0</v>
      </c>
      <c r="AQ154" s="58">
        <f t="shared" si="175"/>
        <v>0</v>
      </c>
      <c r="AR154" s="58">
        <f t="shared" si="175"/>
        <v>0</v>
      </c>
      <c r="AS154" s="58">
        <f t="shared" si="175"/>
        <v>0</v>
      </c>
      <c r="AT154" s="58">
        <f t="shared" si="175"/>
        <v>0</v>
      </c>
      <c r="AU154" s="58">
        <f t="shared" si="175"/>
        <v>0</v>
      </c>
      <c r="AV154" s="58">
        <f t="shared" si="175"/>
        <v>0</v>
      </c>
      <c r="AW154" s="58">
        <f t="shared" si="175"/>
        <v>0</v>
      </c>
      <c r="AX154" s="58">
        <f t="shared" si="175"/>
        <v>0</v>
      </c>
      <c r="AY154" s="58">
        <f t="shared" si="175"/>
        <v>-7203.78</v>
      </c>
      <c r="AZ154" s="369">
        <f t="shared" si="175"/>
        <v>29080.25</v>
      </c>
      <c r="BA154" s="57"/>
      <c r="BB154" s="57"/>
      <c r="BC154" s="57"/>
      <c r="BD154" s="454"/>
    </row>
    <row r="155" s="2" customFormat="1" ht="17.85" hidden="1" customHeight="1" spans="1:56">
      <c r="A155" s="23"/>
      <c r="B155" s="24"/>
      <c r="C155" s="24"/>
      <c r="D155" s="83"/>
      <c r="E155" s="24"/>
      <c r="F155" s="24"/>
      <c r="G155" s="24"/>
      <c r="H155" s="24"/>
      <c r="I155" s="24"/>
      <c r="J155" s="24"/>
      <c r="K155" s="24"/>
      <c r="L155" s="24"/>
      <c r="M155" s="24"/>
      <c r="N155" s="24"/>
      <c r="O155" s="24"/>
      <c r="P155" s="24"/>
      <c r="Q155" s="156"/>
      <c r="R155" s="60" t="s">
        <v>3498</v>
      </c>
      <c r="S155" s="61">
        <f t="shared" ref="S155:AG155" si="176">S154/S147</f>
        <v>0.240059383233086</v>
      </c>
      <c r="T155" s="61">
        <f t="shared" si="176"/>
        <v>0.109388377299589</v>
      </c>
      <c r="U155" s="61" t="e">
        <f t="shared" si="176"/>
        <v>#DIV/0!</v>
      </c>
      <c r="V155" s="61">
        <f t="shared" si="176"/>
        <v>0.109388377299589</v>
      </c>
      <c r="W155" s="61">
        <f t="shared" si="176"/>
        <v>0.109388377299589</v>
      </c>
      <c r="X155" s="61">
        <f t="shared" si="176"/>
        <v>0.109388377299589</v>
      </c>
      <c r="Y155" s="61">
        <f t="shared" si="176"/>
        <v>0.109388377299589</v>
      </c>
      <c r="Z155" s="62">
        <f t="shared" si="176"/>
        <v>0.109388377299589</v>
      </c>
      <c r="AA155" s="69">
        <f t="shared" si="176"/>
        <v>0.109388377299589</v>
      </c>
      <c r="AB155" s="69">
        <f t="shared" si="176"/>
        <v>0.109388377299589</v>
      </c>
      <c r="AC155" s="62">
        <f t="shared" si="176"/>
        <v>0.109388377299589</v>
      </c>
      <c r="AD155" s="62">
        <f t="shared" si="176"/>
        <v>0.109388377299589</v>
      </c>
      <c r="AE155" s="62">
        <f t="shared" si="176"/>
        <v>0.109388377299589</v>
      </c>
      <c r="AF155" s="62">
        <f t="shared" si="176"/>
        <v>0.109388377299589</v>
      </c>
      <c r="AG155" s="62">
        <f t="shared" si="176"/>
        <v>0.278812262303324</v>
      </c>
      <c r="AH155" s="82">
        <f>T155-S155</f>
        <v>-0.130671005933497</v>
      </c>
      <c r="AI155" s="82">
        <f>AF155-S155</f>
        <v>-0.130671005933497</v>
      </c>
      <c r="AJ155" s="526"/>
      <c r="AK155" s="14"/>
      <c r="AL155" s="14"/>
      <c r="AM155" s="14"/>
      <c r="AN155" s="14"/>
      <c r="AO155" s="61" t="e">
        <f t="shared" ref="AO155:AZ155" si="177">AO154/AO147</f>
        <v>#DIV/0!</v>
      </c>
      <c r="AP155" s="61" t="e">
        <f t="shared" si="177"/>
        <v>#DIV/0!</v>
      </c>
      <c r="AQ155" s="61" t="e">
        <f t="shared" si="177"/>
        <v>#DIV/0!</v>
      </c>
      <c r="AR155" s="61" t="e">
        <f t="shared" si="177"/>
        <v>#DIV/0!</v>
      </c>
      <c r="AS155" s="61" t="e">
        <f t="shared" si="177"/>
        <v>#DIV/0!</v>
      </c>
      <c r="AT155" s="61" t="e">
        <f t="shared" si="177"/>
        <v>#DIV/0!</v>
      </c>
      <c r="AU155" s="61" t="e">
        <f t="shared" si="177"/>
        <v>#DIV/0!</v>
      </c>
      <c r="AV155" s="61" t="e">
        <f t="shared" si="177"/>
        <v>#DIV/0!</v>
      </c>
      <c r="AW155" s="61" t="e">
        <f t="shared" si="177"/>
        <v>#DIV/0!</v>
      </c>
      <c r="AX155" s="61" t="e">
        <f t="shared" si="177"/>
        <v>#DIV/0!</v>
      </c>
      <c r="AY155" s="61">
        <f t="shared" si="177"/>
        <v>-0.0752836469080771</v>
      </c>
      <c r="AZ155" s="452">
        <f t="shared" si="177"/>
        <v>0.278812262303324</v>
      </c>
      <c r="BA155" s="62"/>
      <c r="BB155" s="62"/>
      <c r="BC155" s="62"/>
      <c r="BD155" s="454"/>
    </row>
    <row r="156" s="2" customFormat="1" ht="17.85" hidden="1" customHeight="1" spans="1:56">
      <c r="A156" s="30" t="s">
        <v>583</v>
      </c>
      <c r="B156" s="31" t="s">
        <v>584</v>
      </c>
      <c r="C156" s="29">
        <v>46023</v>
      </c>
      <c r="D156" s="470">
        <v>46387</v>
      </c>
      <c r="E156" s="26" t="s">
        <v>3545</v>
      </c>
      <c r="F156" s="26" t="s">
        <v>3546</v>
      </c>
      <c r="G156" s="430"/>
      <c r="H156" s="431"/>
      <c r="I156" s="431"/>
      <c r="J156" s="29"/>
      <c r="K156" s="29"/>
      <c r="L156" s="29"/>
      <c r="M156" s="54"/>
      <c r="N156" s="54"/>
      <c r="O156" s="54"/>
      <c r="P156" s="54"/>
      <c r="Q156" s="435" t="s">
        <v>3485</v>
      </c>
      <c r="R156" s="55" t="s">
        <v>3486</v>
      </c>
      <c r="S156" s="63">
        <v>4716981.13</v>
      </c>
      <c r="T156" s="58">
        <f>SUM(AO156:BC156)</f>
        <v>589876.59</v>
      </c>
      <c r="U156" s="58">
        <f>SUM(BA156:BC156)</f>
        <v>0</v>
      </c>
      <c r="V156" s="58">
        <f>SUM(AO156:AZ156)</f>
        <v>589876.59</v>
      </c>
      <c r="W156" s="58">
        <f>SUM(AP156:AZ156)</f>
        <v>589876.59</v>
      </c>
      <c r="X156" s="58">
        <f>SUM(AQ156:AZ156)</f>
        <v>589876.59</v>
      </c>
      <c r="Y156" s="58">
        <f>SUM(AR156:AZ156)</f>
        <v>589876.59</v>
      </c>
      <c r="Z156" s="70">
        <f>SUM(AS156:AZ156)</f>
        <v>589876.59</v>
      </c>
      <c r="AA156" s="66">
        <f>SUM(AT156:AZ156)</f>
        <v>589876.59</v>
      </c>
      <c r="AB156" s="66">
        <f>SUM(AU156:AZ156)</f>
        <v>589876.59</v>
      </c>
      <c r="AC156" s="70">
        <f>SUM(AV156:AZ156)</f>
        <v>589876.59</v>
      </c>
      <c r="AD156" s="70">
        <f>SUM(AW156:AZ156)</f>
        <v>589876.59</v>
      </c>
      <c r="AE156" s="70">
        <f>SUM(AX156:AZ156)</f>
        <v>589876.59</v>
      </c>
      <c r="AF156" s="70">
        <f>SUM(AY156:AZ156)</f>
        <v>589876.59</v>
      </c>
      <c r="AG156" s="70">
        <f>SUM(AZ156:AZ156)</f>
        <v>205986.83</v>
      </c>
      <c r="AH156" s="75"/>
      <c r="AI156" s="75"/>
      <c r="AJ156" s="525"/>
      <c r="AK156" s="333" t="s">
        <v>585</v>
      </c>
      <c r="AL156" s="333" t="s">
        <v>582</v>
      </c>
      <c r="AM156" s="333" t="s">
        <v>582</v>
      </c>
      <c r="AN156" s="233"/>
      <c r="AO156" s="58"/>
      <c r="AP156" s="58"/>
      <c r="AQ156" s="58"/>
      <c r="AR156" s="58"/>
      <c r="AS156" s="58"/>
      <c r="AT156" s="58"/>
      <c r="AU156" s="58"/>
      <c r="AV156" s="58"/>
      <c r="AW156" s="58"/>
      <c r="AX156" s="58"/>
      <c r="AY156" s="58">
        <v>383889.76</v>
      </c>
      <c r="AZ156" s="369">
        <v>205986.83</v>
      </c>
      <c r="BA156" s="114"/>
      <c r="BB156" s="114"/>
      <c r="BC156" s="455"/>
      <c r="BD156" s="454"/>
    </row>
    <row r="157" s="2" customFormat="1" ht="17.85" hidden="1" customHeight="1" spans="1:56">
      <c r="A157" s="21"/>
      <c r="B157" s="22"/>
      <c r="C157" s="22"/>
      <c r="D157" s="34"/>
      <c r="E157" s="22"/>
      <c r="F157" s="22"/>
      <c r="G157" s="22"/>
      <c r="H157" s="22"/>
      <c r="I157" s="22"/>
      <c r="J157" s="22"/>
      <c r="K157" s="22"/>
      <c r="L157" s="22"/>
      <c r="M157" s="22"/>
      <c r="N157" s="22"/>
      <c r="O157" s="22"/>
      <c r="P157" s="22"/>
      <c r="Q157" s="35"/>
      <c r="R157" s="55" t="s">
        <v>3490</v>
      </c>
      <c r="S157" s="56">
        <v>3680253.93</v>
      </c>
      <c r="T157" s="58">
        <f>SUM(AO157:BC157)</f>
        <v>483650.53</v>
      </c>
      <c r="U157" s="58">
        <f>SUM(BA157:BC157)</f>
        <v>0</v>
      </c>
      <c r="V157" s="58">
        <f>SUM(AO157:AZ157)</f>
        <v>483650.53</v>
      </c>
      <c r="W157" s="58">
        <f>SUM(AP157:AZ157)</f>
        <v>483650.53</v>
      </c>
      <c r="X157" s="58">
        <f>SUM(AQ157:AZ157)</f>
        <v>483650.53</v>
      </c>
      <c r="Y157" s="58">
        <f>SUM(AR157:AZ157)</f>
        <v>483650.53</v>
      </c>
      <c r="Z157" s="70">
        <f>SUM(AS157:AZ157)</f>
        <v>483650.53</v>
      </c>
      <c r="AA157" s="66">
        <f>SUM(AT157:AZ157)</f>
        <v>483650.53</v>
      </c>
      <c r="AB157" s="66">
        <f>SUM(AU157:AZ157)</f>
        <v>483650.53</v>
      </c>
      <c r="AC157" s="70">
        <f>SUM(AV157:AZ157)</f>
        <v>483650.53</v>
      </c>
      <c r="AD157" s="70">
        <f>SUM(AW157:AZ157)</f>
        <v>483650.53</v>
      </c>
      <c r="AE157" s="70">
        <f>SUM(AX157:AZ157)</f>
        <v>483650.53</v>
      </c>
      <c r="AF157" s="70">
        <f>SUM(AY157:AZ157)</f>
        <v>483650.53</v>
      </c>
      <c r="AG157" s="70">
        <f>SUM(AZ157:AZ157)</f>
        <v>154208.67</v>
      </c>
      <c r="AH157" s="75"/>
      <c r="AI157" s="75"/>
      <c r="AJ157" s="81"/>
      <c r="AK157" s="13"/>
      <c r="AL157" s="13"/>
      <c r="AM157" s="13"/>
      <c r="AN157" s="13"/>
      <c r="AO157" s="58"/>
      <c r="AP157" s="58"/>
      <c r="AQ157" s="58"/>
      <c r="AR157" s="58"/>
      <c r="AS157" s="58"/>
      <c r="AT157" s="58"/>
      <c r="AU157" s="58"/>
      <c r="AV157" s="58"/>
      <c r="AW157" s="58"/>
      <c r="AX157" s="58"/>
      <c r="AY157" s="58">
        <v>329441.86</v>
      </c>
      <c r="AZ157" s="369">
        <v>154208.67</v>
      </c>
      <c r="BA157" s="115"/>
      <c r="BB157" s="115"/>
      <c r="BC157" s="456"/>
      <c r="BD157" s="454"/>
    </row>
    <row r="158" s="2" customFormat="1" ht="17.85" hidden="1" customHeight="1" spans="1:56">
      <c r="A158" s="21"/>
      <c r="B158" s="22"/>
      <c r="C158" s="22"/>
      <c r="D158" s="34"/>
      <c r="E158" s="22"/>
      <c r="F158" s="22"/>
      <c r="G158" s="22"/>
      <c r="H158" s="22"/>
      <c r="I158" s="22"/>
      <c r="J158" s="22"/>
      <c r="K158" s="22"/>
      <c r="L158" s="22"/>
      <c r="M158" s="22"/>
      <c r="N158" s="22"/>
      <c r="O158" s="22"/>
      <c r="P158" s="22"/>
      <c r="Q158" s="35"/>
      <c r="R158" s="55" t="s">
        <v>3492</v>
      </c>
      <c r="S158" s="56">
        <v>120000</v>
      </c>
      <c r="T158" s="58">
        <f>SUM(AO158:BC158)</f>
        <v>19865.07</v>
      </c>
      <c r="U158" s="58">
        <f>SUM(BA158:BC158)</f>
        <v>0</v>
      </c>
      <c r="V158" s="58">
        <f>SUM(AO158:AZ158)</f>
        <v>19865.07</v>
      </c>
      <c r="W158" s="58">
        <f>SUM(AP158:AZ158)</f>
        <v>19865.07</v>
      </c>
      <c r="X158" s="58">
        <f>SUM(AQ158:AZ158)</f>
        <v>19865.07</v>
      </c>
      <c r="Y158" s="58">
        <f>SUM(AR158:AZ158)</f>
        <v>19865.07</v>
      </c>
      <c r="Z158" s="70">
        <f>SUM(AS158:AZ158)</f>
        <v>19865.07</v>
      </c>
      <c r="AA158" s="66">
        <f>SUM(AT158:AZ158)</f>
        <v>19865.07</v>
      </c>
      <c r="AB158" s="66">
        <f>SUM(AU158:AZ158)</f>
        <v>19865.07</v>
      </c>
      <c r="AC158" s="70">
        <f>SUM(AV158:AZ158)</f>
        <v>19865.07</v>
      </c>
      <c r="AD158" s="70">
        <f>SUM(AW158:AZ158)</f>
        <v>19865.07</v>
      </c>
      <c r="AE158" s="70">
        <f>SUM(AX158:AZ158)</f>
        <v>19865.07</v>
      </c>
      <c r="AF158" s="70">
        <f>SUM(AY158:AZ158)</f>
        <v>19865.07</v>
      </c>
      <c r="AG158" s="70">
        <f>SUM(AZ158:AZ158)</f>
        <v>0</v>
      </c>
      <c r="AH158" s="75"/>
      <c r="AI158" s="75"/>
      <c r="AJ158" s="81"/>
      <c r="AK158" s="13"/>
      <c r="AL158" s="13"/>
      <c r="AM158" s="13"/>
      <c r="AN158" s="13"/>
      <c r="AO158" s="58"/>
      <c r="AP158" s="58"/>
      <c r="AQ158" s="58"/>
      <c r="AR158" s="58"/>
      <c r="AS158" s="58"/>
      <c r="AT158" s="58"/>
      <c r="AU158" s="58"/>
      <c r="AV158" s="58"/>
      <c r="AW158" s="58"/>
      <c r="AX158" s="58"/>
      <c r="AY158" s="58">
        <v>19865.07</v>
      </c>
      <c r="AZ158" s="369">
        <v>0</v>
      </c>
      <c r="BA158" s="115"/>
      <c r="BB158" s="115"/>
      <c r="BC158" s="456"/>
      <c r="BD158" s="454"/>
    </row>
    <row r="159" s="2" customFormat="1" ht="17.85" hidden="1" customHeight="1" spans="1:56">
      <c r="A159" s="21"/>
      <c r="B159" s="22"/>
      <c r="C159" s="22"/>
      <c r="D159" s="34"/>
      <c r="E159" s="22"/>
      <c r="F159" s="22"/>
      <c r="G159" s="22"/>
      <c r="H159" s="22"/>
      <c r="I159" s="22"/>
      <c r="J159" s="22"/>
      <c r="K159" s="22"/>
      <c r="L159" s="22"/>
      <c r="M159" s="22"/>
      <c r="N159" s="22"/>
      <c r="O159" s="22"/>
      <c r="P159" s="22"/>
      <c r="Q159" s="35"/>
      <c r="R159" s="55" t="s">
        <v>3493</v>
      </c>
      <c r="S159" s="56">
        <v>60000</v>
      </c>
      <c r="T159" s="58">
        <f>SUM(AO159:BC159)</f>
        <v>850</v>
      </c>
      <c r="U159" s="58">
        <f>SUM(BA159:BC159)</f>
        <v>0</v>
      </c>
      <c r="V159" s="58">
        <f>SUM(AO159:AZ159)</f>
        <v>850</v>
      </c>
      <c r="W159" s="58">
        <f>SUM(AP159:AZ159)</f>
        <v>850</v>
      </c>
      <c r="X159" s="58">
        <f>SUM(AQ159:AZ159)</f>
        <v>850</v>
      </c>
      <c r="Y159" s="58">
        <f>SUM(AR159:AZ159)</f>
        <v>850</v>
      </c>
      <c r="Z159" s="70">
        <f>SUM(AS159:AZ159)</f>
        <v>850</v>
      </c>
      <c r="AA159" s="66">
        <f>SUM(AT159:AZ159)</f>
        <v>850</v>
      </c>
      <c r="AB159" s="66">
        <f>SUM(AU159:AZ159)</f>
        <v>850</v>
      </c>
      <c r="AC159" s="70">
        <f>SUM(AV159:AZ159)</f>
        <v>850</v>
      </c>
      <c r="AD159" s="70">
        <f>SUM(AW159:AZ159)</f>
        <v>850</v>
      </c>
      <c r="AE159" s="70">
        <f>SUM(AX159:AZ159)</f>
        <v>850</v>
      </c>
      <c r="AF159" s="70">
        <f>SUM(AY159:AZ159)</f>
        <v>850</v>
      </c>
      <c r="AG159" s="70">
        <f>SUM(AZ159:AZ159)</f>
        <v>220</v>
      </c>
      <c r="AH159" s="75"/>
      <c r="AI159" s="75"/>
      <c r="AJ159" s="81"/>
      <c r="AK159" s="13"/>
      <c r="AL159" s="13"/>
      <c r="AM159" s="13"/>
      <c r="AN159" s="13"/>
      <c r="AO159" s="58"/>
      <c r="AP159" s="58"/>
      <c r="AQ159" s="58"/>
      <c r="AR159" s="58"/>
      <c r="AS159" s="58"/>
      <c r="AT159" s="58"/>
      <c r="AU159" s="58"/>
      <c r="AV159" s="58"/>
      <c r="AW159" s="58"/>
      <c r="AX159" s="58"/>
      <c r="AY159" s="58">
        <v>630</v>
      </c>
      <c r="AZ159" s="369">
        <v>220</v>
      </c>
      <c r="BA159" s="144"/>
      <c r="BB159" s="144"/>
      <c r="BC159" s="456"/>
      <c r="BD159" s="454"/>
    </row>
    <row r="160" ht="14.25" hidden="1" customHeight="1" spans="1:56">
      <c r="A160" s="21"/>
      <c r="B160" s="22"/>
      <c r="C160" s="22"/>
      <c r="D160" s="34"/>
      <c r="E160" s="22"/>
      <c r="F160" s="22"/>
      <c r="G160" s="22"/>
      <c r="H160" s="22"/>
      <c r="I160" s="22"/>
      <c r="J160" s="22"/>
      <c r="K160" s="22"/>
      <c r="L160" s="22"/>
      <c r="M160" s="22"/>
      <c r="N160" s="22"/>
      <c r="O160" s="22"/>
      <c r="P160" s="22"/>
      <c r="Q160" s="35"/>
      <c r="R160" s="213" t="s">
        <v>3494</v>
      </c>
      <c r="S160" s="214">
        <f t="shared" ref="S160:AI160" si="178">SUM(S157:S159)</f>
        <v>3860253.93</v>
      </c>
      <c r="T160" s="214">
        <f t="shared" si="178"/>
        <v>504365.6</v>
      </c>
      <c r="U160" s="214">
        <f t="shared" si="178"/>
        <v>0</v>
      </c>
      <c r="V160" s="214">
        <f t="shared" si="178"/>
        <v>504365.6</v>
      </c>
      <c r="W160" s="214">
        <f t="shared" si="178"/>
        <v>504365.6</v>
      </c>
      <c r="X160" s="214">
        <f t="shared" si="178"/>
        <v>504365.6</v>
      </c>
      <c r="Y160" s="214">
        <f t="shared" si="178"/>
        <v>504365.6</v>
      </c>
      <c r="Z160" s="214">
        <f t="shared" si="178"/>
        <v>504365.6</v>
      </c>
      <c r="AA160" s="214">
        <f t="shared" si="178"/>
        <v>504365.6</v>
      </c>
      <c r="AB160" s="214">
        <f t="shared" si="178"/>
        <v>504365.6</v>
      </c>
      <c r="AC160" s="214">
        <f t="shared" si="178"/>
        <v>504365.6</v>
      </c>
      <c r="AD160" s="214">
        <f t="shared" si="178"/>
        <v>504365.6</v>
      </c>
      <c r="AE160" s="214">
        <f t="shared" si="178"/>
        <v>504365.6</v>
      </c>
      <c r="AF160" s="214">
        <f t="shared" si="178"/>
        <v>504365.6</v>
      </c>
      <c r="AG160" s="214">
        <f t="shared" si="178"/>
        <v>154428.67</v>
      </c>
      <c r="AH160" s="214">
        <f t="shared" si="178"/>
        <v>0</v>
      </c>
      <c r="AI160" s="214">
        <f t="shared" si="178"/>
        <v>0</v>
      </c>
      <c r="AJ160" s="81"/>
      <c r="AK160" s="13"/>
      <c r="AL160" s="13"/>
      <c r="AM160" s="13"/>
      <c r="AN160" s="13"/>
      <c r="AO160" s="214">
        <f t="shared" ref="AO160:AZ160" si="179">SUM(AO157:AO159)</f>
        <v>0</v>
      </c>
      <c r="AP160" s="214">
        <f t="shared" si="179"/>
        <v>0</v>
      </c>
      <c r="AQ160" s="214">
        <f t="shared" si="179"/>
        <v>0</v>
      </c>
      <c r="AR160" s="214">
        <f t="shared" si="179"/>
        <v>0</v>
      </c>
      <c r="AS160" s="214">
        <f t="shared" si="179"/>
        <v>0</v>
      </c>
      <c r="AT160" s="214">
        <f t="shared" si="179"/>
        <v>0</v>
      </c>
      <c r="AU160" s="214">
        <f t="shared" si="179"/>
        <v>0</v>
      </c>
      <c r="AV160" s="214">
        <f t="shared" si="179"/>
        <v>0</v>
      </c>
      <c r="AW160" s="214">
        <f t="shared" si="179"/>
        <v>0</v>
      </c>
      <c r="AX160" s="214">
        <f t="shared" si="179"/>
        <v>0</v>
      </c>
      <c r="AY160" s="214">
        <f t="shared" si="179"/>
        <v>349936.93</v>
      </c>
      <c r="AZ160" s="450">
        <f t="shared" si="179"/>
        <v>154428.67</v>
      </c>
      <c r="BA160" s="451"/>
      <c r="BB160" s="57"/>
      <c r="BC160" s="196"/>
      <c r="BD160" s="196"/>
    </row>
    <row r="161" s="2" customFormat="1" ht="17.85" hidden="1" customHeight="1" spans="1:56">
      <c r="A161" s="21"/>
      <c r="B161" s="22"/>
      <c r="C161" s="22"/>
      <c r="D161" s="34"/>
      <c r="E161" s="22"/>
      <c r="F161" s="22"/>
      <c r="G161" s="22"/>
      <c r="H161" s="22"/>
      <c r="I161" s="22"/>
      <c r="J161" s="22"/>
      <c r="K161" s="22"/>
      <c r="L161" s="22"/>
      <c r="M161" s="22"/>
      <c r="N161" s="22"/>
      <c r="O161" s="22"/>
      <c r="P161" s="22"/>
      <c r="Q161" s="35"/>
      <c r="R161" s="55" t="s">
        <v>3495</v>
      </c>
      <c r="S161" s="59">
        <f t="shared" ref="S161:AG161" si="180">S156-S157</f>
        <v>1036727.2</v>
      </c>
      <c r="T161" s="58">
        <f t="shared" si="180"/>
        <v>106226.06</v>
      </c>
      <c r="U161" s="58">
        <f t="shared" si="180"/>
        <v>0</v>
      </c>
      <c r="V161" s="58">
        <f t="shared" si="180"/>
        <v>106226.06</v>
      </c>
      <c r="W161" s="58">
        <f t="shared" si="180"/>
        <v>106226.06</v>
      </c>
      <c r="X161" s="58">
        <f t="shared" si="180"/>
        <v>106226.06</v>
      </c>
      <c r="Y161" s="58">
        <f t="shared" si="180"/>
        <v>106226.06</v>
      </c>
      <c r="Z161" s="57">
        <f t="shared" si="180"/>
        <v>106226.06</v>
      </c>
      <c r="AA161" s="68">
        <f t="shared" si="180"/>
        <v>106226.06</v>
      </c>
      <c r="AB161" s="68">
        <f t="shared" si="180"/>
        <v>106226.06</v>
      </c>
      <c r="AC161" s="57">
        <f t="shared" si="180"/>
        <v>106226.06</v>
      </c>
      <c r="AD161" s="57">
        <f t="shared" si="180"/>
        <v>106226.06</v>
      </c>
      <c r="AE161" s="57">
        <f t="shared" si="180"/>
        <v>106226.06</v>
      </c>
      <c r="AF161" s="57">
        <f t="shared" si="180"/>
        <v>106226.06</v>
      </c>
      <c r="AG161" s="57">
        <f t="shared" si="180"/>
        <v>51778.16</v>
      </c>
      <c r="AH161" s="75"/>
      <c r="AI161" s="75"/>
      <c r="AJ161" s="81"/>
      <c r="AK161" s="13"/>
      <c r="AL161" s="13"/>
      <c r="AM161" s="13"/>
      <c r="AN161" s="13"/>
      <c r="AO161" s="58">
        <f t="shared" ref="AO161:AZ161" si="181">AO156-AO157</f>
        <v>0</v>
      </c>
      <c r="AP161" s="58">
        <f t="shared" si="181"/>
        <v>0</v>
      </c>
      <c r="AQ161" s="58">
        <f t="shared" si="181"/>
        <v>0</v>
      </c>
      <c r="AR161" s="58">
        <f t="shared" si="181"/>
        <v>0</v>
      </c>
      <c r="AS161" s="58">
        <f t="shared" si="181"/>
        <v>0</v>
      </c>
      <c r="AT161" s="58">
        <f t="shared" si="181"/>
        <v>0</v>
      </c>
      <c r="AU161" s="58">
        <f t="shared" si="181"/>
        <v>0</v>
      </c>
      <c r="AV161" s="58">
        <f t="shared" si="181"/>
        <v>0</v>
      </c>
      <c r="AW161" s="58">
        <f t="shared" si="181"/>
        <v>0</v>
      </c>
      <c r="AX161" s="58">
        <f t="shared" si="181"/>
        <v>0</v>
      </c>
      <c r="AY161" s="58">
        <f t="shared" si="181"/>
        <v>54447.9</v>
      </c>
      <c r="AZ161" s="369">
        <f t="shared" si="181"/>
        <v>51778.16</v>
      </c>
      <c r="BA161" s="57"/>
      <c r="BB161" s="57"/>
      <c r="BC161" s="57"/>
      <c r="BD161" s="454"/>
    </row>
    <row r="162" s="2" customFormat="1" ht="17.85" hidden="1" customHeight="1" spans="1:56">
      <c r="A162" s="21"/>
      <c r="B162" s="22"/>
      <c r="C162" s="22"/>
      <c r="D162" s="34"/>
      <c r="E162" s="22"/>
      <c r="F162" s="22"/>
      <c r="G162" s="22"/>
      <c r="H162" s="22"/>
      <c r="I162" s="22"/>
      <c r="J162" s="22"/>
      <c r="K162" s="22"/>
      <c r="L162" s="22"/>
      <c r="M162" s="22"/>
      <c r="N162" s="22"/>
      <c r="O162" s="22"/>
      <c r="P162" s="22"/>
      <c r="Q162" s="35"/>
      <c r="R162" s="60" t="s">
        <v>3496</v>
      </c>
      <c r="S162" s="61">
        <f t="shared" ref="S162:AG162" si="182">S161/S156</f>
        <v>0.219786166496706</v>
      </c>
      <c r="T162" s="61">
        <f t="shared" si="182"/>
        <v>0.180081837117828</v>
      </c>
      <c r="U162" s="61" t="e">
        <f t="shared" si="182"/>
        <v>#DIV/0!</v>
      </c>
      <c r="V162" s="61">
        <f t="shared" si="182"/>
        <v>0.180081837117828</v>
      </c>
      <c r="W162" s="61">
        <f t="shared" si="182"/>
        <v>0.180081837117828</v>
      </c>
      <c r="X162" s="61">
        <f t="shared" si="182"/>
        <v>0.180081837117828</v>
      </c>
      <c r="Y162" s="61">
        <f t="shared" si="182"/>
        <v>0.180081837117828</v>
      </c>
      <c r="Z162" s="62">
        <f t="shared" si="182"/>
        <v>0.180081837117828</v>
      </c>
      <c r="AA162" s="69">
        <f t="shared" si="182"/>
        <v>0.180081837117828</v>
      </c>
      <c r="AB162" s="69">
        <f t="shared" si="182"/>
        <v>0.180081837117828</v>
      </c>
      <c r="AC162" s="62">
        <f t="shared" si="182"/>
        <v>0.180081837117828</v>
      </c>
      <c r="AD162" s="62">
        <f t="shared" si="182"/>
        <v>0.180081837117828</v>
      </c>
      <c r="AE162" s="62">
        <f t="shared" si="182"/>
        <v>0.180081837117828</v>
      </c>
      <c r="AF162" s="62">
        <f t="shared" si="182"/>
        <v>0.180081837117828</v>
      </c>
      <c r="AG162" s="62">
        <f t="shared" si="182"/>
        <v>0.251366361626129</v>
      </c>
      <c r="AH162" s="82">
        <f>T162-S162</f>
        <v>-0.0397043293788776</v>
      </c>
      <c r="AI162" s="82">
        <f>AF162-S162</f>
        <v>-0.0397043293788776</v>
      </c>
      <c r="AJ162" s="81"/>
      <c r="AK162" s="13"/>
      <c r="AL162" s="13"/>
      <c r="AM162" s="13"/>
      <c r="AN162" s="13"/>
      <c r="AO162" s="61" t="e">
        <f t="shared" ref="AO162:AZ162" si="183">AO161/AO156</f>
        <v>#DIV/0!</v>
      </c>
      <c r="AP162" s="61" t="e">
        <f t="shared" si="183"/>
        <v>#DIV/0!</v>
      </c>
      <c r="AQ162" s="61" t="e">
        <f t="shared" si="183"/>
        <v>#DIV/0!</v>
      </c>
      <c r="AR162" s="61" t="e">
        <f t="shared" si="183"/>
        <v>#DIV/0!</v>
      </c>
      <c r="AS162" s="61" t="e">
        <f t="shared" si="183"/>
        <v>#DIV/0!</v>
      </c>
      <c r="AT162" s="61" t="e">
        <f t="shared" si="183"/>
        <v>#DIV/0!</v>
      </c>
      <c r="AU162" s="61" t="e">
        <f t="shared" si="183"/>
        <v>#DIV/0!</v>
      </c>
      <c r="AV162" s="61" t="e">
        <f t="shared" si="183"/>
        <v>#DIV/0!</v>
      </c>
      <c r="AW162" s="61" t="e">
        <f t="shared" si="183"/>
        <v>#DIV/0!</v>
      </c>
      <c r="AX162" s="61" t="e">
        <f t="shared" si="183"/>
        <v>#DIV/0!</v>
      </c>
      <c r="AY162" s="61">
        <f t="shared" si="183"/>
        <v>0.1418321238889</v>
      </c>
      <c r="AZ162" s="452">
        <f t="shared" si="183"/>
        <v>0.251366361626129</v>
      </c>
      <c r="BA162" s="62"/>
      <c r="BB162" s="62"/>
      <c r="BC162" s="62"/>
      <c r="BD162" s="454"/>
    </row>
    <row r="163" s="2" customFormat="1" ht="17.85" hidden="1" customHeight="1" spans="1:56">
      <c r="A163" s="21"/>
      <c r="B163" s="22"/>
      <c r="C163" s="22"/>
      <c r="D163" s="34"/>
      <c r="E163" s="22"/>
      <c r="F163" s="22"/>
      <c r="G163" s="22"/>
      <c r="H163" s="22"/>
      <c r="I163" s="22"/>
      <c r="J163" s="22"/>
      <c r="K163" s="22"/>
      <c r="L163" s="22"/>
      <c r="M163" s="22"/>
      <c r="N163" s="22"/>
      <c r="O163" s="22"/>
      <c r="P163" s="22"/>
      <c r="Q163" s="35"/>
      <c r="R163" s="55" t="s">
        <v>3497</v>
      </c>
      <c r="S163" s="58">
        <f t="shared" ref="S163:AG163" si="184">S156-S157-S158-S159</f>
        <v>856727.2</v>
      </c>
      <c r="T163" s="58">
        <f t="shared" si="184"/>
        <v>85510.9899999999</v>
      </c>
      <c r="U163" s="58">
        <f t="shared" si="184"/>
        <v>0</v>
      </c>
      <c r="V163" s="58">
        <f t="shared" si="184"/>
        <v>85510.9899999999</v>
      </c>
      <c r="W163" s="58">
        <f t="shared" si="184"/>
        <v>85510.9899999999</v>
      </c>
      <c r="X163" s="58">
        <f t="shared" si="184"/>
        <v>85510.9899999999</v>
      </c>
      <c r="Y163" s="58">
        <f t="shared" si="184"/>
        <v>85510.9899999999</v>
      </c>
      <c r="Z163" s="57">
        <f t="shared" si="184"/>
        <v>85510.9899999999</v>
      </c>
      <c r="AA163" s="68">
        <f t="shared" si="184"/>
        <v>85510.9899999999</v>
      </c>
      <c r="AB163" s="68">
        <f t="shared" si="184"/>
        <v>85510.9899999999</v>
      </c>
      <c r="AC163" s="57">
        <f t="shared" si="184"/>
        <v>85510.9899999999</v>
      </c>
      <c r="AD163" s="57">
        <f t="shared" si="184"/>
        <v>85510.9899999999</v>
      </c>
      <c r="AE163" s="57">
        <f t="shared" si="184"/>
        <v>85510.9899999999</v>
      </c>
      <c r="AF163" s="57">
        <f t="shared" si="184"/>
        <v>85510.9899999999</v>
      </c>
      <c r="AG163" s="57">
        <f t="shared" si="184"/>
        <v>51558.16</v>
      </c>
      <c r="AH163" s="82"/>
      <c r="AI163" s="82"/>
      <c r="AJ163" s="81"/>
      <c r="AK163" s="13"/>
      <c r="AL163" s="13"/>
      <c r="AM163" s="13"/>
      <c r="AN163" s="13"/>
      <c r="AO163" s="58">
        <f t="shared" ref="AO163:AZ163" si="185">AO156-AO157-AO158-AO159</f>
        <v>0</v>
      </c>
      <c r="AP163" s="58">
        <f t="shared" si="185"/>
        <v>0</v>
      </c>
      <c r="AQ163" s="58">
        <f t="shared" si="185"/>
        <v>0</v>
      </c>
      <c r="AR163" s="58">
        <f t="shared" si="185"/>
        <v>0</v>
      </c>
      <c r="AS163" s="58">
        <f t="shared" si="185"/>
        <v>0</v>
      </c>
      <c r="AT163" s="58">
        <f t="shared" si="185"/>
        <v>0</v>
      </c>
      <c r="AU163" s="58">
        <f t="shared" si="185"/>
        <v>0</v>
      </c>
      <c r="AV163" s="58">
        <f t="shared" si="185"/>
        <v>0</v>
      </c>
      <c r="AW163" s="58">
        <f t="shared" si="185"/>
        <v>0</v>
      </c>
      <c r="AX163" s="58">
        <f t="shared" si="185"/>
        <v>0</v>
      </c>
      <c r="AY163" s="58">
        <f t="shared" si="185"/>
        <v>33952.83</v>
      </c>
      <c r="AZ163" s="369">
        <f t="shared" si="185"/>
        <v>51558.16</v>
      </c>
      <c r="BA163" s="57"/>
      <c r="BB163" s="57"/>
      <c r="BC163" s="57"/>
      <c r="BD163" s="454"/>
    </row>
    <row r="164" s="2" customFormat="1" ht="17.85" hidden="1" customHeight="1" spans="1:56">
      <c r="A164" s="23"/>
      <c r="B164" s="24"/>
      <c r="C164" s="24"/>
      <c r="D164" s="83"/>
      <c r="E164" s="24"/>
      <c r="F164" s="24"/>
      <c r="G164" s="24"/>
      <c r="H164" s="24"/>
      <c r="I164" s="24"/>
      <c r="J164" s="24"/>
      <c r="K164" s="24"/>
      <c r="L164" s="24"/>
      <c r="M164" s="24"/>
      <c r="N164" s="24"/>
      <c r="O164" s="24"/>
      <c r="P164" s="24"/>
      <c r="Q164" s="156"/>
      <c r="R164" s="60" t="s">
        <v>3498</v>
      </c>
      <c r="S164" s="61">
        <f t="shared" ref="S164:AG164" si="186">S163/S156</f>
        <v>0.181626166479915</v>
      </c>
      <c r="T164" s="61">
        <f t="shared" si="186"/>
        <v>0.144964203444656</v>
      </c>
      <c r="U164" s="61" t="e">
        <f t="shared" si="186"/>
        <v>#DIV/0!</v>
      </c>
      <c r="V164" s="61">
        <f t="shared" si="186"/>
        <v>0.144964203444656</v>
      </c>
      <c r="W164" s="61">
        <f t="shared" si="186"/>
        <v>0.144964203444656</v>
      </c>
      <c r="X164" s="61">
        <f t="shared" si="186"/>
        <v>0.144964203444656</v>
      </c>
      <c r="Y164" s="61">
        <f t="shared" si="186"/>
        <v>0.144964203444656</v>
      </c>
      <c r="Z164" s="62">
        <f t="shared" si="186"/>
        <v>0.144964203444656</v>
      </c>
      <c r="AA164" s="69">
        <f t="shared" si="186"/>
        <v>0.144964203444656</v>
      </c>
      <c r="AB164" s="69">
        <f t="shared" si="186"/>
        <v>0.144964203444656</v>
      </c>
      <c r="AC164" s="62">
        <f t="shared" si="186"/>
        <v>0.144964203444656</v>
      </c>
      <c r="AD164" s="62">
        <f t="shared" si="186"/>
        <v>0.144964203444656</v>
      </c>
      <c r="AE164" s="62">
        <f t="shared" si="186"/>
        <v>0.144964203444656</v>
      </c>
      <c r="AF164" s="62">
        <f t="shared" si="186"/>
        <v>0.144964203444656</v>
      </c>
      <c r="AG164" s="62">
        <f t="shared" si="186"/>
        <v>0.250298332179781</v>
      </c>
      <c r="AH164" s="82">
        <f>T164-S164</f>
        <v>-0.0366619630352595</v>
      </c>
      <c r="AI164" s="82">
        <f>AF164-S164</f>
        <v>-0.0366619630352595</v>
      </c>
      <c r="AJ164" s="526"/>
      <c r="AK164" s="14"/>
      <c r="AL164" s="14"/>
      <c r="AM164" s="14"/>
      <c r="AN164" s="14"/>
      <c r="AO164" s="61" t="e">
        <f t="shared" ref="AO164:AZ164" si="187">AO163/AO156</f>
        <v>#DIV/0!</v>
      </c>
      <c r="AP164" s="61" t="e">
        <f t="shared" si="187"/>
        <v>#DIV/0!</v>
      </c>
      <c r="AQ164" s="61" t="e">
        <f t="shared" si="187"/>
        <v>#DIV/0!</v>
      </c>
      <c r="AR164" s="61" t="e">
        <f t="shared" si="187"/>
        <v>#DIV/0!</v>
      </c>
      <c r="AS164" s="61" t="e">
        <f t="shared" si="187"/>
        <v>#DIV/0!</v>
      </c>
      <c r="AT164" s="61" t="e">
        <f t="shared" si="187"/>
        <v>#DIV/0!</v>
      </c>
      <c r="AU164" s="61" t="e">
        <f t="shared" si="187"/>
        <v>#DIV/0!</v>
      </c>
      <c r="AV164" s="61" t="e">
        <f t="shared" si="187"/>
        <v>#DIV/0!</v>
      </c>
      <c r="AW164" s="61" t="e">
        <f t="shared" si="187"/>
        <v>#DIV/0!</v>
      </c>
      <c r="AX164" s="61" t="e">
        <f t="shared" si="187"/>
        <v>#DIV/0!</v>
      </c>
      <c r="AY164" s="61">
        <f t="shared" si="187"/>
        <v>0.0884442189862007</v>
      </c>
      <c r="AZ164" s="452">
        <f t="shared" si="187"/>
        <v>0.250298332179781</v>
      </c>
      <c r="BA164" s="62"/>
      <c r="BB164" s="62"/>
      <c r="BC164" s="62"/>
      <c r="BD164" s="454"/>
    </row>
    <row r="165" ht="14.25" hidden="1" customHeight="1" spans="1:56">
      <c r="A165" s="504" t="s">
        <v>460</v>
      </c>
      <c r="B165" s="357" t="s">
        <v>461</v>
      </c>
      <c r="C165" s="505">
        <v>45658</v>
      </c>
      <c r="D165" s="506">
        <v>46387</v>
      </c>
      <c r="E165" s="26" t="s">
        <v>3484</v>
      </c>
      <c r="F165" s="26" t="s">
        <v>3484</v>
      </c>
      <c r="G165" s="507"/>
      <c r="H165" s="196"/>
      <c r="I165" s="196"/>
      <c r="J165" s="196"/>
      <c r="K165" s="196"/>
      <c r="L165" s="196"/>
      <c r="M165" s="196"/>
      <c r="N165" s="196"/>
      <c r="O165" s="196"/>
      <c r="P165" s="512"/>
      <c r="Q165" s="514" t="s">
        <v>3485</v>
      </c>
      <c r="R165" s="55" t="s">
        <v>3486</v>
      </c>
      <c r="S165" s="515">
        <v>283018.87</v>
      </c>
      <c r="T165" s="58">
        <f>SUM(AO165:BC165)</f>
        <v>232552.96</v>
      </c>
      <c r="U165" s="58">
        <f>SUM(BA165:BC165)</f>
        <v>232562.3</v>
      </c>
      <c r="V165" s="58">
        <f>SUM(AO165:AZ165)</f>
        <v>-9.34</v>
      </c>
      <c r="W165" s="58">
        <f>SUM(AP165:AZ165)</f>
        <v>-9.34</v>
      </c>
      <c r="X165" s="58">
        <f>SUM(AQ165:AZ165)</f>
        <v>-9.34</v>
      </c>
      <c r="Y165" s="58">
        <f>SUM(AR165:AZ165)</f>
        <v>-9.34</v>
      </c>
      <c r="Z165" s="70">
        <f>SUM(AS165:AZ165)</f>
        <v>-9.34</v>
      </c>
      <c r="AA165" s="66">
        <f>SUM(AT165:AZ165)</f>
        <v>-9.34</v>
      </c>
      <c r="AB165" s="66">
        <f>SUM(AU165:AZ165)</f>
        <v>-9.34</v>
      </c>
      <c r="AC165" s="70">
        <f>SUM(AV165:AZ165)</f>
        <v>-9.34</v>
      </c>
      <c r="AD165" s="70">
        <f>SUM(AW165:AZ165)</f>
        <v>-9.34</v>
      </c>
      <c r="AE165" s="70">
        <f>SUM(AX165:AZ165)</f>
        <v>-9.34</v>
      </c>
      <c r="AF165" s="70">
        <f>SUM(AY165:AZ165)</f>
        <v>-9.34</v>
      </c>
      <c r="AG165" s="70">
        <f>SUM(AZ165:AZ165)</f>
        <v>-9.34</v>
      </c>
      <c r="AH165" s="75"/>
      <c r="AI165" s="75"/>
      <c r="AJ165" s="525"/>
      <c r="AK165" s="333" t="s">
        <v>3547</v>
      </c>
      <c r="AL165" s="333" t="s">
        <v>3548</v>
      </c>
      <c r="AM165" s="333" t="s">
        <v>3549</v>
      </c>
      <c r="AN165" s="527"/>
      <c r="AO165" s="58"/>
      <c r="AP165" s="58"/>
      <c r="AQ165" s="58"/>
      <c r="AR165" s="58"/>
      <c r="AS165" s="58"/>
      <c r="AT165" s="58"/>
      <c r="AU165" s="58"/>
      <c r="AV165" s="58"/>
      <c r="AW165" s="58"/>
      <c r="AX165" s="58"/>
      <c r="AY165" s="58">
        <v>0</v>
      </c>
      <c r="AZ165" s="369">
        <v>-9.34</v>
      </c>
      <c r="BA165" s="114">
        <v>232562.3</v>
      </c>
      <c r="BB165" s="533"/>
      <c r="BC165" s="114"/>
      <c r="BD165" s="114"/>
    </row>
    <row r="166" ht="14.25" hidden="1" customHeight="1" spans="1:56">
      <c r="A166" s="13"/>
      <c r="B166" s="13"/>
      <c r="C166" s="13"/>
      <c r="D166" s="81"/>
      <c r="E166" s="22"/>
      <c r="F166" s="22"/>
      <c r="G166" s="507"/>
      <c r="H166" s="196"/>
      <c r="I166" s="196"/>
      <c r="J166" s="196"/>
      <c r="K166" s="196"/>
      <c r="L166" s="196"/>
      <c r="M166" s="196"/>
      <c r="N166" s="196"/>
      <c r="O166" s="196"/>
      <c r="P166" s="22"/>
      <c r="Q166" s="35"/>
      <c r="R166" s="55" t="s">
        <v>3490</v>
      </c>
      <c r="S166" s="516">
        <v>736780</v>
      </c>
      <c r="T166" s="58">
        <f>SUM(AO166:BC166)</f>
        <v>165177.69</v>
      </c>
      <c r="U166" s="58">
        <f>SUM(BA166:BC166)</f>
        <v>165177.69</v>
      </c>
      <c r="V166" s="58">
        <f>SUM(AO166:AZ166)</f>
        <v>0</v>
      </c>
      <c r="W166" s="58">
        <f>SUM(AP166:AZ166)</f>
        <v>0</v>
      </c>
      <c r="X166" s="58">
        <f>SUM(AQ166:AZ166)</f>
        <v>0</v>
      </c>
      <c r="Y166" s="58">
        <f>SUM(AR166:AZ166)</f>
        <v>0</v>
      </c>
      <c r="Z166" s="70">
        <f>SUM(AS166:AZ166)</f>
        <v>0</v>
      </c>
      <c r="AA166" s="66">
        <f>SUM(AT166:AZ166)</f>
        <v>0</v>
      </c>
      <c r="AB166" s="66">
        <f>SUM(AU166:AZ166)</f>
        <v>0</v>
      </c>
      <c r="AC166" s="70">
        <f>SUM(AV166:AZ166)</f>
        <v>0</v>
      </c>
      <c r="AD166" s="70">
        <f>SUM(AW166:AZ166)</f>
        <v>0</v>
      </c>
      <c r="AE166" s="70">
        <f>SUM(AX166:AZ166)</f>
        <v>0</v>
      </c>
      <c r="AF166" s="70">
        <f>SUM(AY166:AZ166)</f>
        <v>0</v>
      </c>
      <c r="AG166" s="70">
        <f>SUM(AZ166:AZ166)</f>
        <v>0</v>
      </c>
      <c r="AH166" s="75"/>
      <c r="AI166" s="75"/>
      <c r="AJ166" s="81"/>
      <c r="AK166" s="13"/>
      <c r="AL166" s="13"/>
      <c r="AM166" s="13"/>
      <c r="AN166" s="528"/>
      <c r="AO166" s="58"/>
      <c r="AP166" s="58"/>
      <c r="AQ166" s="58"/>
      <c r="AR166" s="58"/>
      <c r="AS166" s="58"/>
      <c r="AT166" s="58"/>
      <c r="AU166" s="58"/>
      <c r="AV166" s="58"/>
      <c r="AW166" s="58"/>
      <c r="AX166" s="58"/>
      <c r="AY166" s="58">
        <v>0</v>
      </c>
      <c r="AZ166" s="369">
        <v>0</v>
      </c>
      <c r="BA166" s="115">
        <v>165177.69</v>
      </c>
      <c r="BB166" s="115"/>
      <c r="BC166" s="115"/>
      <c r="BD166" s="115"/>
    </row>
    <row r="167" ht="14.25" hidden="1" customHeight="1" spans="1:56">
      <c r="A167" s="13"/>
      <c r="B167" s="13"/>
      <c r="C167" s="13"/>
      <c r="D167" s="81"/>
      <c r="E167" s="22"/>
      <c r="F167" s="22"/>
      <c r="G167" s="507"/>
      <c r="H167" s="196"/>
      <c r="I167" s="196"/>
      <c r="J167" s="196"/>
      <c r="K167" s="196"/>
      <c r="L167" s="196"/>
      <c r="M167" s="196"/>
      <c r="N167" s="196"/>
      <c r="O167" s="196"/>
      <c r="P167" s="22"/>
      <c r="Q167" s="35"/>
      <c r="R167" s="55" t="s">
        <v>3492</v>
      </c>
      <c r="S167" s="517">
        <v>0</v>
      </c>
      <c r="T167" s="58">
        <f>SUM(AO167:BC167)</f>
        <v>0</v>
      </c>
      <c r="U167" s="58">
        <f>SUM(BA167:BC167)</f>
        <v>0</v>
      </c>
      <c r="V167" s="58">
        <f>SUM(AO167:AZ167)</f>
        <v>0</v>
      </c>
      <c r="W167" s="58">
        <f>SUM(AP167:AZ167)</f>
        <v>0</v>
      </c>
      <c r="X167" s="58">
        <f>SUM(AQ167:AZ167)</f>
        <v>0</v>
      </c>
      <c r="Y167" s="58">
        <f>SUM(AR167:AZ167)</f>
        <v>0</v>
      </c>
      <c r="Z167" s="70">
        <f>SUM(AS167:AZ167)</f>
        <v>0</v>
      </c>
      <c r="AA167" s="66">
        <f>SUM(AT167:AZ167)</f>
        <v>0</v>
      </c>
      <c r="AB167" s="66">
        <f>SUM(AU167:AZ167)</f>
        <v>0</v>
      </c>
      <c r="AC167" s="70">
        <f>SUM(AV167:AZ167)</f>
        <v>0</v>
      </c>
      <c r="AD167" s="70">
        <f>SUM(AW167:AZ167)</f>
        <v>0</v>
      </c>
      <c r="AE167" s="70">
        <f>SUM(AX167:AZ167)</f>
        <v>0</v>
      </c>
      <c r="AF167" s="70">
        <f>SUM(AY167:AZ167)</f>
        <v>0</v>
      </c>
      <c r="AG167" s="70">
        <f>SUM(AZ167:AZ167)</f>
        <v>0</v>
      </c>
      <c r="AH167" s="75"/>
      <c r="AI167" s="75"/>
      <c r="AJ167" s="81"/>
      <c r="AK167" s="13"/>
      <c r="AL167" s="13"/>
      <c r="AM167" s="13"/>
      <c r="AN167" s="528"/>
      <c r="AO167" s="58"/>
      <c r="AP167" s="58"/>
      <c r="AQ167" s="58"/>
      <c r="AR167" s="58"/>
      <c r="AS167" s="58"/>
      <c r="AT167" s="58"/>
      <c r="AU167" s="58"/>
      <c r="AV167" s="58"/>
      <c r="AW167" s="58"/>
      <c r="AX167" s="58"/>
      <c r="AY167" s="58">
        <v>0</v>
      </c>
      <c r="AZ167" s="369">
        <v>0</v>
      </c>
      <c r="BA167" s="115">
        <v>0</v>
      </c>
      <c r="BB167" s="115"/>
      <c r="BC167" s="115"/>
      <c r="BD167" s="115"/>
    </row>
    <row r="168" ht="14.25" hidden="1" customHeight="1" spans="1:56">
      <c r="A168" s="13"/>
      <c r="B168" s="13"/>
      <c r="C168" s="13"/>
      <c r="D168" s="81"/>
      <c r="E168" s="22"/>
      <c r="F168" s="22"/>
      <c r="G168" s="507"/>
      <c r="H168" s="196"/>
      <c r="I168" s="196"/>
      <c r="J168" s="196"/>
      <c r="K168" s="196"/>
      <c r="L168" s="196"/>
      <c r="M168" s="196"/>
      <c r="N168" s="196"/>
      <c r="O168" s="196"/>
      <c r="P168" s="22"/>
      <c r="Q168" s="35"/>
      <c r="R168" s="55" t="s">
        <v>3493</v>
      </c>
      <c r="S168" s="517">
        <v>0</v>
      </c>
      <c r="T168" s="58">
        <f>SUM(AO168:BC168)</f>
        <v>1598.4</v>
      </c>
      <c r="U168" s="58">
        <f>SUM(BA168:BC168)</f>
        <v>1580.55</v>
      </c>
      <c r="V168" s="58">
        <f>SUM(AO168:AZ168)</f>
        <v>17.85</v>
      </c>
      <c r="W168" s="58">
        <f>SUM(AP168:AZ168)</f>
        <v>17.85</v>
      </c>
      <c r="X168" s="58">
        <f>SUM(AQ168:AZ168)</f>
        <v>17.85</v>
      </c>
      <c r="Y168" s="58">
        <f>SUM(AR168:AZ168)</f>
        <v>17.85</v>
      </c>
      <c r="Z168" s="70">
        <f>SUM(AS168:AZ168)</f>
        <v>17.85</v>
      </c>
      <c r="AA168" s="66">
        <f>SUM(AT168:AZ168)</f>
        <v>17.85</v>
      </c>
      <c r="AB168" s="66">
        <f>SUM(AU168:AZ168)</f>
        <v>17.85</v>
      </c>
      <c r="AC168" s="70">
        <f>SUM(AV168:AZ168)</f>
        <v>17.85</v>
      </c>
      <c r="AD168" s="70">
        <f>SUM(AW168:AZ168)</f>
        <v>17.85</v>
      </c>
      <c r="AE168" s="70">
        <f>SUM(AX168:AZ168)</f>
        <v>17.85</v>
      </c>
      <c r="AF168" s="70">
        <f>SUM(AY168:AZ168)</f>
        <v>17.85</v>
      </c>
      <c r="AG168" s="70">
        <f>SUM(AZ168:AZ168)</f>
        <v>17.85</v>
      </c>
      <c r="AH168" s="75"/>
      <c r="AI168" s="75"/>
      <c r="AJ168" s="81"/>
      <c r="AK168" s="13"/>
      <c r="AL168" s="13"/>
      <c r="AM168" s="13"/>
      <c r="AN168" s="528"/>
      <c r="AO168" s="58"/>
      <c r="AP168" s="58"/>
      <c r="AQ168" s="58"/>
      <c r="AR168" s="58"/>
      <c r="AS168" s="58"/>
      <c r="AT168" s="58"/>
      <c r="AU168" s="58"/>
      <c r="AV168" s="58"/>
      <c r="AW168" s="58"/>
      <c r="AX168" s="58"/>
      <c r="AY168" s="58">
        <v>0</v>
      </c>
      <c r="AZ168" s="369">
        <v>17.85</v>
      </c>
      <c r="BA168" s="144">
        <v>1580.55</v>
      </c>
      <c r="BB168" s="144"/>
      <c r="BC168" s="144"/>
      <c r="BD168" s="144"/>
    </row>
    <row r="169" ht="14.25" hidden="1" customHeight="1" spans="1:56">
      <c r="A169" s="13"/>
      <c r="B169" s="13"/>
      <c r="C169" s="13"/>
      <c r="D169" s="81"/>
      <c r="E169" s="22"/>
      <c r="F169" s="22"/>
      <c r="G169" s="26"/>
      <c r="H169" s="26"/>
      <c r="I169" s="26"/>
      <c r="J169" s="26"/>
      <c r="K169" s="26"/>
      <c r="L169" s="26"/>
      <c r="M169" s="513"/>
      <c r="N169" s="513"/>
      <c r="O169" s="513"/>
      <c r="P169" s="22"/>
      <c r="Q169" s="35"/>
      <c r="R169" s="213" t="s">
        <v>3494</v>
      </c>
      <c r="S169" s="214">
        <f t="shared" ref="S169:AI169" si="188">SUM(S166:S168)</f>
        <v>736780</v>
      </c>
      <c r="T169" s="214">
        <f t="shared" si="188"/>
        <v>166776.09</v>
      </c>
      <c r="U169" s="214">
        <f t="shared" si="188"/>
        <v>166758.24</v>
      </c>
      <c r="V169" s="214">
        <f t="shared" si="188"/>
        <v>17.85</v>
      </c>
      <c r="W169" s="214">
        <f t="shared" si="188"/>
        <v>17.85</v>
      </c>
      <c r="X169" s="214">
        <f t="shared" si="188"/>
        <v>17.85</v>
      </c>
      <c r="Y169" s="214">
        <f t="shared" si="188"/>
        <v>17.85</v>
      </c>
      <c r="Z169" s="214">
        <f t="shared" si="188"/>
        <v>17.85</v>
      </c>
      <c r="AA169" s="214">
        <f t="shared" si="188"/>
        <v>17.85</v>
      </c>
      <c r="AB169" s="214">
        <f t="shared" si="188"/>
        <v>17.85</v>
      </c>
      <c r="AC169" s="214">
        <f t="shared" si="188"/>
        <v>17.85</v>
      </c>
      <c r="AD169" s="214">
        <f t="shared" si="188"/>
        <v>17.85</v>
      </c>
      <c r="AE169" s="214">
        <f t="shared" si="188"/>
        <v>17.85</v>
      </c>
      <c r="AF169" s="214">
        <f t="shared" si="188"/>
        <v>17.85</v>
      </c>
      <c r="AG169" s="214">
        <f t="shared" si="188"/>
        <v>17.85</v>
      </c>
      <c r="AH169" s="214">
        <f t="shared" si="188"/>
        <v>0</v>
      </c>
      <c r="AI169" s="214">
        <f t="shared" si="188"/>
        <v>0</v>
      </c>
      <c r="AJ169" s="81"/>
      <c r="AK169" s="13"/>
      <c r="AL169" s="13"/>
      <c r="AM169" s="13"/>
      <c r="AN169" s="528"/>
      <c r="AO169" s="214">
        <f t="shared" ref="AO169:BA169" si="189">SUM(AO166:AO168)</f>
        <v>0</v>
      </c>
      <c r="AP169" s="214">
        <f t="shared" si="189"/>
        <v>0</v>
      </c>
      <c r="AQ169" s="214">
        <f t="shared" si="189"/>
        <v>0</v>
      </c>
      <c r="AR169" s="214">
        <f t="shared" si="189"/>
        <v>0</v>
      </c>
      <c r="AS169" s="214">
        <f t="shared" si="189"/>
        <v>0</v>
      </c>
      <c r="AT169" s="214">
        <f t="shared" si="189"/>
        <v>0</v>
      </c>
      <c r="AU169" s="214">
        <f t="shared" si="189"/>
        <v>0</v>
      </c>
      <c r="AV169" s="214">
        <f t="shared" si="189"/>
        <v>0</v>
      </c>
      <c r="AW169" s="214">
        <f t="shared" si="189"/>
        <v>0</v>
      </c>
      <c r="AX169" s="214">
        <f t="shared" si="189"/>
        <v>0</v>
      </c>
      <c r="AY169" s="214">
        <f t="shared" si="189"/>
        <v>0</v>
      </c>
      <c r="AZ169" s="450">
        <f t="shared" si="189"/>
        <v>17.85</v>
      </c>
      <c r="BA169" s="450">
        <f t="shared" si="189"/>
        <v>166758.24</v>
      </c>
      <c r="BB169" s="196"/>
      <c r="BC169" s="196"/>
      <c r="BD169" s="196"/>
    </row>
    <row r="170" ht="14.25" hidden="1" customHeight="1" spans="1:56">
      <c r="A170" s="13"/>
      <c r="B170" s="13"/>
      <c r="C170" s="13"/>
      <c r="D170" s="81"/>
      <c r="E170" s="22"/>
      <c r="F170" s="22"/>
      <c r="G170" s="507"/>
      <c r="H170" s="196"/>
      <c r="I170" s="196"/>
      <c r="J170" s="196"/>
      <c r="K170" s="196"/>
      <c r="L170" s="196"/>
      <c r="M170" s="196"/>
      <c r="N170" s="196"/>
      <c r="O170" s="196"/>
      <c r="P170" s="22"/>
      <c r="Q170" s="35"/>
      <c r="R170" s="55" t="s">
        <v>3495</v>
      </c>
      <c r="S170" s="59">
        <f t="shared" ref="S170:AG170" si="190">S165-S166</f>
        <v>-453761.13</v>
      </c>
      <c r="T170" s="58">
        <f t="shared" si="190"/>
        <v>67375.27</v>
      </c>
      <c r="U170" s="58">
        <f t="shared" si="190"/>
        <v>67384.61</v>
      </c>
      <c r="V170" s="58">
        <f t="shared" si="190"/>
        <v>-9.34</v>
      </c>
      <c r="W170" s="58">
        <f t="shared" si="190"/>
        <v>-9.34</v>
      </c>
      <c r="X170" s="58">
        <f t="shared" si="190"/>
        <v>-9.34</v>
      </c>
      <c r="Y170" s="58">
        <f t="shared" si="190"/>
        <v>-9.34</v>
      </c>
      <c r="Z170" s="57">
        <f t="shared" si="190"/>
        <v>-9.34</v>
      </c>
      <c r="AA170" s="68">
        <f t="shared" si="190"/>
        <v>-9.34</v>
      </c>
      <c r="AB170" s="68">
        <f t="shared" si="190"/>
        <v>-9.34</v>
      </c>
      <c r="AC170" s="57">
        <f t="shared" si="190"/>
        <v>-9.34</v>
      </c>
      <c r="AD170" s="57">
        <f t="shared" si="190"/>
        <v>-9.34</v>
      </c>
      <c r="AE170" s="57">
        <f t="shared" si="190"/>
        <v>-9.34</v>
      </c>
      <c r="AF170" s="57">
        <f t="shared" si="190"/>
        <v>-9.34</v>
      </c>
      <c r="AG170" s="57">
        <f t="shared" si="190"/>
        <v>-9.34</v>
      </c>
      <c r="AH170" s="75"/>
      <c r="AI170" s="75"/>
      <c r="AJ170" s="81"/>
      <c r="AK170" s="13"/>
      <c r="AL170" s="13"/>
      <c r="AM170" s="13"/>
      <c r="AN170" s="528"/>
      <c r="AO170" s="58">
        <f t="shared" ref="AO170:AZ170" si="191">AO165-AO166</f>
        <v>0</v>
      </c>
      <c r="AP170" s="58">
        <f t="shared" si="191"/>
        <v>0</v>
      </c>
      <c r="AQ170" s="58">
        <f t="shared" si="191"/>
        <v>0</v>
      </c>
      <c r="AR170" s="58">
        <f t="shared" si="191"/>
        <v>0</v>
      </c>
      <c r="AS170" s="58">
        <f t="shared" si="191"/>
        <v>0</v>
      </c>
      <c r="AT170" s="58">
        <f t="shared" si="191"/>
        <v>0</v>
      </c>
      <c r="AU170" s="58">
        <f t="shared" si="191"/>
        <v>0</v>
      </c>
      <c r="AV170" s="58">
        <f t="shared" si="191"/>
        <v>0</v>
      </c>
      <c r="AW170" s="58">
        <f t="shared" si="191"/>
        <v>0</v>
      </c>
      <c r="AX170" s="58">
        <f t="shared" si="191"/>
        <v>0</v>
      </c>
      <c r="AY170" s="58">
        <f t="shared" si="191"/>
        <v>0</v>
      </c>
      <c r="AZ170" s="369">
        <f t="shared" si="191"/>
        <v>-9.34</v>
      </c>
      <c r="BA170" s="57">
        <v>67446.9</v>
      </c>
      <c r="BB170" s="57"/>
      <c r="BC170" s="57"/>
      <c r="BD170" s="57"/>
    </row>
    <row r="171" ht="14.25" hidden="1" customHeight="1" spans="1:56">
      <c r="A171" s="13"/>
      <c r="B171" s="13"/>
      <c r="C171" s="13"/>
      <c r="D171" s="81"/>
      <c r="E171" s="22"/>
      <c r="F171" s="22"/>
      <c r="G171" s="507"/>
      <c r="H171" s="196"/>
      <c r="I171" s="196"/>
      <c r="J171" s="196"/>
      <c r="K171" s="196"/>
      <c r="L171" s="196"/>
      <c r="M171" s="196"/>
      <c r="N171" s="196"/>
      <c r="O171" s="196"/>
      <c r="P171" s="22"/>
      <c r="Q171" s="35"/>
      <c r="R171" s="60" t="s">
        <v>3496</v>
      </c>
      <c r="S171" s="61">
        <f t="shared" ref="S171:AG171" si="192">S170/S165</f>
        <v>-1.60328931424255</v>
      </c>
      <c r="T171" s="61">
        <f t="shared" si="192"/>
        <v>0.289720113646371</v>
      </c>
      <c r="U171" s="61">
        <f t="shared" si="192"/>
        <v>0.289748639396841</v>
      </c>
      <c r="V171" s="61">
        <f t="shared" si="192"/>
        <v>1</v>
      </c>
      <c r="W171" s="61">
        <f t="shared" si="192"/>
        <v>1</v>
      </c>
      <c r="X171" s="61">
        <f t="shared" si="192"/>
        <v>1</v>
      </c>
      <c r="Y171" s="61">
        <f t="shared" si="192"/>
        <v>1</v>
      </c>
      <c r="Z171" s="62">
        <f t="shared" si="192"/>
        <v>1</v>
      </c>
      <c r="AA171" s="69">
        <f t="shared" si="192"/>
        <v>1</v>
      </c>
      <c r="AB171" s="69">
        <f t="shared" si="192"/>
        <v>1</v>
      </c>
      <c r="AC171" s="62">
        <f t="shared" si="192"/>
        <v>1</v>
      </c>
      <c r="AD171" s="62">
        <f t="shared" si="192"/>
        <v>1</v>
      </c>
      <c r="AE171" s="62">
        <f t="shared" si="192"/>
        <v>1</v>
      </c>
      <c r="AF171" s="62">
        <f t="shared" si="192"/>
        <v>1</v>
      </c>
      <c r="AG171" s="62">
        <f t="shared" si="192"/>
        <v>1</v>
      </c>
      <c r="AH171" s="82">
        <f>T171-S171</f>
        <v>1.89300942788892</v>
      </c>
      <c r="AI171" s="82">
        <f>AF171-S171</f>
        <v>2.60328931424254</v>
      </c>
      <c r="AJ171" s="81"/>
      <c r="AK171" s="13"/>
      <c r="AL171" s="13"/>
      <c r="AM171" s="13"/>
      <c r="AN171" s="528"/>
      <c r="AO171" s="61" t="e">
        <f t="shared" ref="AO171:AZ171" si="193">AO170/AO165</f>
        <v>#DIV/0!</v>
      </c>
      <c r="AP171" s="61" t="e">
        <f t="shared" si="193"/>
        <v>#DIV/0!</v>
      </c>
      <c r="AQ171" s="61" t="e">
        <f t="shared" si="193"/>
        <v>#DIV/0!</v>
      </c>
      <c r="AR171" s="61" t="e">
        <f t="shared" si="193"/>
        <v>#DIV/0!</v>
      </c>
      <c r="AS171" s="61" t="e">
        <f t="shared" si="193"/>
        <v>#DIV/0!</v>
      </c>
      <c r="AT171" s="61" t="e">
        <f t="shared" si="193"/>
        <v>#DIV/0!</v>
      </c>
      <c r="AU171" s="61" t="e">
        <f t="shared" si="193"/>
        <v>#DIV/0!</v>
      </c>
      <c r="AV171" s="61" t="e">
        <f t="shared" si="193"/>
        <v>#DIV/0!</v>
      </c>
      <c r="AW171" s="61" t="e">
        <f t="shared" si="193"/>
        <v>#DIV/0!</v>
      </c>
      <c r="AX171" s="61" t="e">
        <f t="shared" si="193"/>
        <v>#DIV/0!</v>
      </c>
      <c r="AY171" s="61" t="e">
        <f t="shared" si="193"/>
        <v>#DIV/0!</v>
      </c>
      <c r="AZ171" s="452">
        <f t="shared" si="193"/>
        <v>1</v>
      </c>
      <c r="BA171" s="62">
        <v>0.290016369370817</v>
      </c>
      <c r="BB171" s="62"/>
      <c r="BC171" s="62"/>
      <c r="BD171" s="62"/>
    </row>
    <row r="172" ht="14.25" hidden="1" customHeight="1" spans="1:56">
      <c r="A172" s="13"/>
      <c r="B172" s="13"/>
      <c r="C172" s="13"/>
      <c r="D172" s="81"/>
      <c r="E172" s="22"/>
      <c r="F172" s="22"/>
      <c r="G172" s="507"/>
      <c r="H172" s="196"/>
      <c r="I172" s="196"/>
      <c r="J172" s="196"/>
      <c r="K172" s="196"/>
      <c r="L172" s="196"/>
      <c r="M172" s="196"/>
      <c r="N172" s="196"/>
      <c r="O172" s="196"/>
      <c r="P172" s="22"/>
      <c r="Q172" s="35"/>
      <c r="R172" s="55" t="s">
        <v>3497</v>
      </c>
      <c r="S172" s="58">
        <f t="shared" ref="S172:AG172" si="194">S165-S166-S167-S168</f>
        <v>-453761.13</v>
      </c>
      <c r="T172" s="58">
        <f t="shared" si="194"/>
        <v>65776.87</v>
      </c>
      <c r="U172" s="58">
        <f t="shared" si="194"/>
        <v>65804.06</v>
      </c>
      <c r="V172" s="58">
        <f t="shared" si="194"/>
        <v>-27.19</v>
      </c>
      <c r="W172" s="58">
        <f t="shared" si="194"/>
        <v>-27.19</v>
      </c>
      <c r="X172" s="58">
        <f t="shared" si="194"/>
        <v>-27.19</v>
      </c>
      <c r="Y172" s="58">
        <f t="shared" si="194"/>
        <v>-27.19</v>
      </c>
      <c r="Z172" s="57">
        <f t="shared" si="194"/>
        <v>-27.19</v>
      </c>
      <c r="AA172" s="68">
        <f t="shared" si="194"/>
        <v>-27.19</v>
      </c>
      <c r="AB172" s="68">
        <f t="shared" si="194"/>
        <v>-27.19</v>
      </c>
      <c r="AC172" s="57">
        <f t="shared" si="194"/>
        <v>-27.19</v>
      </c>
      <c r="AD172" s="57">
        <f t="shared" si="194"/>
        <v>-27.19</v>
      </c>
      <c r="AE172" s="57">
        <f t="shared" si="194"/>
        <v>-27.19</v>
      </c>
      <c r="AF172" s="57">
        <f t="shared" si="194"/>
        <v>-27.19</v>
      </c>
      <c r="AG172" s="57">
        <f t="shared" si="194"/>
        <v>-27.19</v>
      </c>
      <c r="AH172" s="82"/>
      <c r="AI172" s="82"/>
      <c r="AJ172" s="81"/>
      <c r="AK172" s="13"/>
      <c r="AL172" s="13"/>
      <c r="AM172" s="13"/>
      <c r="AN172" s="528"/>
      <c r="AO172" s="58">
        <f t="shared" ref="AO172:AZ172" si="195">AO165-AO166-AO167-AO168</f>
        <v>0</v>
      </c>
      <c r="AP172" s="58">
        <f t="shared" si="195"/>
        <v>0</v>
      </c>
      <c r="AQ172" s="58">
        <f t="shared" si="195"/>
        <v>0</v>
      </c>
      <c r="AR172" s="58">
        <f t="shared" si="195"/>
        <v>0</v>
      </c>
      <c r="AS172" s="58">
        <f t="shared" si="195"/>
        <v>0</v>
      </c>
      <c r="AT172" s="58">
        <f t="shared" si="195"/>
        <v>0</v>
      </c>
      <c r="AU172" s="58">
        <f t="shared" si="195"/>
        <v>0</v>
      </c>
      <c r="AV172" s="58">
        <f t="shared" si="195"/>
        <v>0</v>
      </c>
      <c r="AW172" s="58">
        <f t="shared" si="195"/>
        <v>0</v>
      </c>
      <c r="AX172" s="58">
        <f t="shared" si="195"/>
        <v>0</v>
      </c>
      <c r="AY172" s="58">
        <f t="shared" si="195"/>
        <v>0</v>
      </c>
      <c r="AZ172" s="369">
        <f t="shared" si="195"/>
        <v>-27.19</v>
      </c>
      <c r="BA172" s="57">
        <v>65866.35</v>
      </c>
      <c r="BB172" s="57"/>
      <c r="BC172" s="57"/>
      <c r="BD172" s="57"/>
    </row>
    <row r="173" ht="14.25" hidden="1" customHeight="1" spans="1:56">
      <c r="A173" s="14"/>
      <c r="B173" s="14"/>
      <c r="C173" s="14"/>
      <c r="D173" s="84"/>
      <c r="E173" s="24"/>
      <c r="F173" s="24"/>
      <c r="G173" s="508"/>
      <c r="H173" s="509"/>
      <c r="I173" s="509"/>
      <c r="J173" s="509"/>
      <c r="K173" s="509"/>
      <c r="L173" s="509"/>
      <c r="M173" s="509"/>
      <c r="N173" s="509"/>
      <c r="O173" s="509"/>
      <c r="P173" s="24"/>
      <c r="Q173" s="518"/>
      <c r="R173" s="519" t="s">
        <v>3498</v>
      </c>
      <c r="S173" s="61">
        <f t="shared" ref="S173:AG173" si="196">S172/S165</f>
        <v>-1.60328931424255</v>
      </c>
      <c r="T173" s="268">
        <f t="shared" si="196"/>
        <v>0.282846840564833</v>
      </c>
      <c r="U173" s="268">
        <f t="shared" si="196"/>
        <v>0.282952395981636</v>
      </c>
      <c r="V173" s="268">
        <f t="shared" si="196"/>
        <v>2.91113490364026</v>
      </c>
      <c r="W173" s="268">
        <f t="shared" si="196"/>
        <v>2.91113490364026</v>
      </c>
      <c r="X173" s="268">
        <f t="shared" si="196"/>
        <v>2.91113490364026</v>
      </c>
      <c r="Y173" s="268">
        <f t="shared" si="196"/>
        <v>2.91113490364026</v>
      </c>
      <c r="Z173" s="269">
        <f t="shared" si="196"/>
        <v>2.91113490364026</v>
      </c>
      <c r="AA173" s="522">
        <f t="shared" si="196"/>
        <v>2.91113490364026</v>
      </c>
      <c r="AB173" s="522">
        <f t="shared" si="196"/>
        <v>2.91113490364026</v>
      </c>
      <c r="AC173" s="269">
        <f t="shared" si="196"/>
        <v>2.91113490364026</v>
      </c>
      <c r="AD173" s="269">
        <f t="shared" si="196"/>
        <v>2.91113490364026</v>
      </c>
      <c r="AE173" s="269">
        <f t="shared" si="196"/>
        <v>2.91113490364026</v>
      </c>
      <c r="AF173" s="269">
        <f t="shared" si="196"/>
        <v>2.91113490364026</v>
      </c>
      <c r="AG173" s="269">
        <f t="shared" si="196"/>
        <v>2.91113490364026</v>
      </c>
      <c r="AH173" s="270">
        <f>T173-S173</f>
        <v>1.88613615480738</v>
      </c>
      <c r="AI173" s="82">
        <f>AF173-S173</f>
        <v>4.5144242178828</v>
      </c>
      <c r="AJ173" s="526"/>
      <c r="AK173" s="14"/>
      <c r="AL173" s="14"/>
      <c r="AM173" s="14"/>
      <c r="AN173" s="529"/>
      <c r="AO173" s="61" t="e">
        <f t="shared" ref="AO173:AZ173" si="197">AO172/AO165</f>
        <v>#DIV/0!</v>
      </c>
      <c r="AP173" s="61" t="e">
        <f t="shared" si="197"/>
        <v>#DIV/0!</v>
      </c>
      <c r="AQ173" s="61" t="e">
        <f t="shared" si="197"/>
        <v>#DIV/0!</v>
      </c>
      <c r="AR173" s="61" t="e">
        <f t="shared" si="197"/>
        <v>#DIV/0!</v>
      </c>
      <c r="AS173" s="61" t="e">
        <f t="shared" si="197"/>
        <v>#DIV/0!</v>
      </c>
      <c r="AT173" s="61" t="e">
        <f t="shared" si="197"/>
        <v>#DIV/0!</v>
      </c>
      <c r="AU173" s="61" t="e">
        <f t="shared" si="197"/>
        <v>#DIV/0!</v>
      </c>
      <c r="AV173" s="61" t="e">
        <f t="shared" si="197"/>
        <v>#DIV/0!</v>
      </c>
      <c r="AW173" s="61" t="e">
        <f t="shared" si="197"/>
        <v>#DIV/0!</v>
      </c>
      <c r="AX173" s="61" t="e">
        <f t="shared" si="197"/>
        <v>#DIV/0!</v>
      </c>
      <c r="AY173" s="61" t="e">
        <f t="shared" si="197"/>
        <v>#DIV/0!</v>
      </c>
      <c r="AZ173" s="452">
        <f t="shared" si="197"/>
        <v>2.91113490364026</v>
      </c>
      <c r="BA173" s="62">
        <v>0.28322012858571</v>
      </c>
      <c r="BB173" s="62"/>
      <c r="BC173" s="62"/>
      <c r="BD173" s="62"/>
    </row>
    <row r="174" ht="14.25" hidden="1" customHeight="1" spans="1:56">
      <c r="A174" s="510" t="s">
        <v>3550</v>
      </c>
      <c r="B174" s="431" t="s">
        <v>463</v>
      </c>
      <c r="C174" s="511">
        <v>45658</v>
      </c>
      <c r="D174" s="511">
        <v>46387</v>
      </c>
      <c r="E174" s="26" t="s">
        <v>3484</v>
      </c>
      <c r="F174" s="26" t="s">
        <v>3484</v>
      </c>
      <c r="G174" s="507"/>
      <c r="H174" s="196"/>
      <c r="I174" s="196"/>
      <c r="J174" s="196"/>
      <c r="K174" s="196"/>
      <c r="L174" s="196"/>
      <c r="M174" s="196"/>
      <c r="N174" s="196"/>
      <c r="O174" s="196"/>
      <c r="P174" s="512"/>
      <c r="Q174" s="372" t="s">
        <v>3485</v>
      </c>
      <c r="R174" s="55" t="s">
        <v>3486</v>
      </c>
      <c r="S174" s="520">
        <v>754716.98</v>
      </c>
      <c r="T174" s="57">
        <f>SUM(AO174:BC174)</f>
        <v>715349.52</v>
      </c>
      <c r="U174" s="57">
        <f>SUM(BA174:BC174)</f>
        <v>715349.52</v>
      </c>
      <c r="V174" s="57">
        <f>SUM(AO174:AZ174)</f>
        <v>0</v>
      </c>
      <c r="W174" s="57">
        <f>SUM(AP174:AZ174)</f>
        <v>0</v>
      </c>
      <c r="X174" s="57">
        <f>SUM(AQ174:AZ174)</f>
        <v>0</v>
      </c>
      <c r="Y174" s="57">
        <f>SUM(AR174:AZ174)</f>
        <v>0</v>
      </c>
      <c r="Z174" s="70">
        <f>SUM(AS174:AZ174)</f>
        <v>0</v>
      </c>
      <c r="AA174" s="66">
        <f>SUM(AT174:AZ174)</f>
        <v>0</v>
      </c>
      <c r="AB174" s="66">
        <f>SUM(AU174:AZ174)</f>
        <v>0</v>
      </c>
      <c r="AC174" s="70">
        <f>SUM(AV174:AZ174)</f>
        <v>0</v>
      </c>
      <c r="AD174" s="70">
        <f>SUM(AW174:AZ174)</f>
        <v>0</v>
      </c>
      <c r="AE174" s="70">
        <f>SUM(AX174:AZ174)</f>
        <v>0</v>
      </c>
      <c r="AF174" s="70">
        <f>SUM(AY174:AZ174)</f>
        <v>0</v>
      </c>
      <c r="AG174" s="70">
        <f>SUM(AZ174:AZ174)</f>
        <v>0</v>
      </c>
      <c r="AH174" s="530"/>
      <c r="AI174" s="75"/>
      <c r="AJ174" s="26"/>
      <c r="AK174" s="333" t="s">
        <v>3551</v>
      </c>
      <c r="AL174" s="333" t="s">
        <v>3552</v>
      </c>
      <c r="AM174" s="333" t="s">
        <v>3549</v>
      </c>
      <c r="AN174" s="527"/>
      <c r="AO174" s="58"/>
      <c r="AP174" s="58"/>
      <c r="AQ174" s="58"/>
      <c r="AR174" s="58"/>
      <c r="AS174" s="58"/>
      <c r="AT174" s="58"/>
      <c r="AU174" s="58"/>
      <c r="AV174" s="58"/>
      <c r="AW174" s="58"/>
      <c r="AX174" s="58"/>
      <c r="AY174" s="58">
        <v>0</v>
      </c>
      <c r="AZ174" s="369">
        <v>0</v>
      </c>
      <c r="BA174" s="114">
        <v>715349.52</v>
      </c>
      <c r="BB174" s="114"/>
      <c r="BC174" s="114"/>
      <c r="BD174" s="114"/>
    </row>
    <row r="175" ht="14.25" hidden="1" customHeight="1" spans="1:56">
      <c r="A175" s="22"/>
      <c r="B175" s="22"/>
      <c r="C175" s="22"/>
      <c r="D175" s="22"/>
      <c r="E175" s="22"/>
      <c r="F175" s="22"/>
      <c r="G175" s="507"/>
      <c r="H175" s="196"/>
      <c r="I175" s="196"/>
      <c r="J175" s="196"/>
      <c r="K175" s="196"/>
      <c r="L175" s="196"/>
      <c r="M175" s="196"/>
      <c r="N175" s="196"/>
      <c r="O175" s="196"/>
      <c r="P175" s="22"/>
      <c r="Q175" s="22"/>
      <c r="R175" s="55" t="s">
        <v>3490</v>
      </c>
      <c r="S175" s="521">
        <v>736780</v>
      </c>
      <c r="T175" s="57">
        <f>SUM(AO175:BC175)</f>
        <v>400044.34</v>
      </c>
      <c r="U175" s="57">
        <f>SUM(BA175:BC175)</f>
        <v>400044.34</v>
      </c>
      <c r="V175" s="57">
        <f>SUM(AO175:AZ175)</f>
        <v>0</v>
      </c>
      <c r="W175" s="57">
        <f>SUM(AP175:AZ175)</f>
        <v>0</v>
      </c>
      <c r="X175" s="57">
        <f>SUM(AQ175:AZ175)</f>
        <v>0</v>
      </c>
      <c r="Y175" s="57">
        <f>SUM(AR175:AZ175)</f>
        <v>0</v>
      </c>
      <c r="Z175" s="70">
        <f>SUM(AS175:AZ175)</f>
        <v>0</v>
      </c>
      <c r="AA175" s="66">
        <f>SUM(AT175:AZ175)</f>
        <v>0</v>
      </c>
      <c r="AB175" s="66">
        <f>SUM(AU175:AZ175)</f>
        <v>0</v>
      </c>
      <c r="AC175" s="70">
        <f>SUM(AV175:AZ175)</f>
        <v>0</v>
      </c>
      <c r="AD175" s="70">
        <f>SUM(AW175:AZ175)</f>
        <v>0</v>
      </c>
      <c r="AE175" s="70">
        <f>SUM(AX175:AZ175)</f>
        <v>0</v>
      </c>
      <c r="AF175" s="70">
        <f>SUM(AY175:AZ175)</f>
        <v>0</v>
      </c>
      <c r="AG175" s="70">
        <f>SUM(AZ175:AZ175)</f>
        <v>0</v>
      </c>
      <c r="AH175" s="530"/>
      <c r="AI175" s="75"/>
      <c r="AJ175" s="22"/>
      <c r="AK175" s="13"/>
      <c r="AL175" s="13"/>
      <c r="AM175" s="13"/>
      <c r="AN175" s="528"/>
      <c r="AO175" s="58"/>
      <c r="AP175" s="58"/>
      <c r="AQ175" s="58"/>
      <c r="AR175" s="58"/>
      <c r="AS175" s="58"/>
      <c r="AT175" s="58"/>
      <c r="AU175" s="58"/>
      <c r="AV175" s="58"/>
      <c r="AW175" s="58"/>
      <c r="AX175" s="58"/>
      <c r="AY175" s="58">
        <v>0</v>
      </c>
      <c r="AZ175" s="369">
        <v>0</v>
      </c>
      <c r="BA175" s="115">
        <v>400044.34</v>
      </c>
      <c r="BB175" s="115"/>
      <c r="BC175" s="115"/>
      <c r="BD175" s="115"/>
    </row>
    <row r="176" ht="14.25" hidden="1" customHeight="1" spans="1:56">
      <c r="A176" s="22"/>
      <c r="B176" s="22"/>
      <c r="C176" s="22"/>
      <c r="D176" s="22"/>
      <c r="E176" s="22"/>
      <c r="F176" s="22"/>
      <c r="G176" s="507"/>
      <c r="H176" s="196"/>
      <c r="I176" s="196"/>
      <c r="J176" s="196"/>
      <c r="K176" s="196"/>
      <c r="L176" s="196"/>
      <c r="M176" s="196"/>
      <c r="N176" s="196"/>
      <c r="O176" s="196"/>
      <c r="P176" s="22"/>
      <c r="Q176" s="22"/>
      <c r="R176" s="55" t="s">
        <v>3492</v>
      </c>
      <c r="S176" s="520">
        <v>0</v>
      </c>
      <c r="T176" s="57">
        <f>SUM(AO176:BC176)</f>
        <v>0</v>
      </c>
      <c r="U176" s="57">
        <f>SUM(BA176:BC176)</f>
        <v>0</v>
      </c>
      <c r="V176" s="57">
        <f>SUM(AO176:AZ176)</f>
        <v>0</v>
      </c>
      <c r="W176" s="57">
        <f>SUM(AP176:AZ176)</f>
        <v>0</v>
      </c>
      <c r="X176" s="57">
        <f>SUM(AQ176:AZ176)</f>
        <v>0</v>
      </c>
      <c r="Y176" s="57">
        <f>SUM(AR176:AZ176)</f>
        <v>0</v>
      </c>
      <c r="Z176" s="70">
        <f>SUM(AS176:AZ176)</f>
        <v>0</v>
      </c>
      <c r="AA176" s="66">
        <f>SUM(AT176:AZ176)</f>
        <v>0</v>
      </c>
      <c r="AB176" s="66">
        <f>SUM(AU176:AZ176)</f>
        <v>0</v>
      </c>
      <c r="AC176" s="70">
        <f>SUM(AV176:AZ176)</f>
        <v>0</v>
      </c>
      <c r="AD176" s="70">
        <f>SUM(AW176:AZ176)</f>
        <v>0</v>
      </c>
      <c r="AE176" s="70">
        <f>SUM(AX176:AZ176)</f>
        <v>0</v>
      </c>
      <c r="AF176" s="70">
        <f>SUM(AY176:AZ176)</f>
        <v>0</v>
      </c>
      <c r="AG176" s="70">
        <f>SUM(AZ176:AZ176)</f>
        <v>0</v>
      </c>
      <c r="AH176" s="530"/>
      <c r="AI176" s="75"/>
      <c r="AJ176" s="22"/>
      <c r="AK176" s="13"/>
      <c r="AL176" s="13"/>
      <c r="AM176" s="13"/>
      <c r="AN176" s="528"/>
      <c r="AO176" s="58"/>
      <c r="AP176" s="58"/>
      <c r="AQ176" s="58"/>
      <c r="AR176" s="58"/>
      <c r="AS176" s="58"/>
      <c r="AT176" s="58"/>
      <c r="AU176" s="58"/>
      <c r="AV176" s="58"/>
      <c r="AW176" s="58"/>
      <c r="AX176" s="58"/>
      <c r="AY176" s="58">
        <v>0</v>
      </c>
      <c r="AZ176" s="369">
        <v>0</v>
      </c>
      <c r="BA176" s="115">
        <v>0</v>
      </c>
      <c r="BB176" s="115"/>
      <c r="BC176" s="115"/>
      <c r="BD176" s="115"/>
    </row>
    <row r="177" ht="14.25" hidden="1" customHeight="1" spans="1:56">
      <c r="A177" s="22"/>
      <c r="B177" s="22"/>
      <c r="C177" s="22"/>
      <c r="D177" s="22"/>
      <c r="E177" s="22"/>
      <c r="F177" s="22"/>
      <c r="G177" s="507"/>
      <c r="H177" s="196"/>
      <c r="I177" s="196"/>
      <c r="J177" s="196"/>
      <c r="K177" s="196"/>
      <c r="L177" s="196"/>
      <c r="M177" s="196"/>
      <c r="N177" s="196"/>
      <c r="O177" s="196"/>
      <c r="P177" s="22"/>
      <c r="Q177" s="22"/>
      <c r="R177" s="55" t="s">
        <v>3493</v>
      </c>
      <c r="S177" s="520">
        <v>0</v>
      </c>
      <c r="T177" s="57">
        <f>SUM(AO177:BC177)</f>
        <v>4652.44</v>
      </c>
      <c r="U177" s="57">
        <f>SUM(BA177:BC177)</f>
        <v>4364.03</v>
      </c>
      <c r="V177" s="57">
        <f>SUM(AO177:AZ177)</f>
        <v>288.41</v>
      </c>
      <c r="W177" s="57">
        <f>SUM(AP177:AZ177)</f>
        <v>288.41</v>
      </c>
      <c r="X177" s="57">
        <f>SUM(AQ177:AZ177)</f>
        <v>288.41</v>
      </c>
      <c r="Y177" s="57">
        <f>SUM(AR177:AZ177)</f>
        <v>288.41</v>
      </c>
      <c r="Z177" s="70">
        <f>SUM(AS177:AZ177)</f>
        <v>288.41</v>
      </c>
      <c r="AA177" s="66">
        <f>SUM(AT177:AZ177)</f>
        <v>288.41</v>
      </c>
      <c r="AB177" s="66">
        <f>SUM(AU177:AZ177)</f>
        <v>288.41</v>
      </c>
      <c r="AC177" s="70">
        <f>SUM(AV177:AZ177)</f>
        <v>288.41</v>
      </c>
      <c r="AD177" s="70">
        <f>SUM(AW177:AZ177)</f>
        <v>288.41</v>
      </c>
      <c r="AE177" s="70">
        <f>SUM(AX177:AZ177)</f>
        <v>288.41</v>
      </c>
      <c r="AF177" s="70">
        <f>SUM(AY177:AZ177)</f>
        <v>288.41</v>
      </c>
      <c r="AG177" s="70">
        <f>SUM(AZ177:AZ177)</f>
        <v>288.41</v>
      </c>
      <c r="AH177" s="530"/>
      <c r="AI177" s="75"/>
      <c r="AJ177" s="22"/>
      <c r="AK177" s="13"/>
      <c r="AL177" s="13"/>
      <c r="AM177" s="13"/>
      <c r="AN177" s="528"/>
      <c r="AO177" s="58"/>
      <c r="AP177" s="58"/>
      <c r="AQ177" s="58"/>
      <c r="AR177" s="58"/>
      <c r="AS177" s="58"/>
      <c r="AT177" s="58"/>
      <c r="AU177" s="58"/>
      <c r="AV177" s="58"/>
      <c r="AW177" s="58"/>
      <c r="AX177" s="58"/>
      <c r="AY177" s="58">
        <v>0</v>
      </c>
      <c r="AZ177" s="369">
        <v>288.41</v>
      </c>
      <c r="BA177" s="144">
        <v>4364.03</v>
      </c>
      <c r="BB177" s="144"/>
      <c r="BC177" s="144"/>
      <c r="BD177" s="144"/>
    </row>
    <row r="178" ht="14.25" hidden="1" customHeight="1" spans="1:56">
      <c r="A178" s="22"/>
      <c r="B178" s="22"/>
      <c r="C178" s="22"/>
      <c r="D178" s="22"/>
      <c r="E178" s="22"/>
      <c r="F178" s="22"/>
      <c r="G178" s="26"/>
      <c r="H178" s="26"/>
      <c r="I178" s="26"/>
      <c r="J178" s="26"/>
      <c r="K178" s="26"/>
      <c r="L178" s="26"/>
      <c r="M178" s="513"/>
      <c r="N178" s="513"/>
      <c r="O178" s="513"/>
      <c r="P178" s="22"/>
      <c r="Q178" s="22"/>
      <c r="R178" s="55" t="s">
        <v>3494</v>
      </c>
      <c r="S178" s="214">
        <f t="shared" ref="S178:AI178" si="198">SUM(S175:S177)</f>
        <v>736780</v>
      </c>
      <c r="T178" s="451">
        <f t="shared" si="198"/>
        <v>404696.78</v>
      </c>
      <c r="U178" s="451">
        <f t="shared" si="198"/>
        <v>404408.37</v>
      </c>
      <c r="V178" s="451">
        <f t="shared" si="198"/>
        <v>288.41</v>
      </c>
      <c r="W178" s="451">
        <f t="shared" si="198"/>
        <v>288.41</v>
      </c>
      <c r="X178" s="451">
        <f t="shared" si="198"/>
        <v>288.41</v>
      </c>
      <c r="Y178" s="451">
        <f t="shared" si="198"/>
        <v>288.41</v>
      </c>
      <c r="Z178" s="451">
        <f t="shared" si="198"/>
        <v>288.41</v>
      </c>
      <c r="AA178" s="451">
        <f t="shared" si="198"/>
        <v>288.41</v>
      </c>
      <c r="AB178" s="451">
        <f t="shared" si="198"/>
        <v>288.41</v>
      </c>
      <c r="AC178" s="451">
        <f t="shared" si="198"/>
        <v>288.41</v>
      </c>
      <c r="AD178" s="451">
        <f t="shared" si="198"/>
        <v>288.41</v>
      </c>
      <c r="AE178" s="451">
        <f t="shared" si="198"/>
        <v>288.41</v>
      </c>
      <c r="AF178" s="451">
        <f t="shared" si="198"/>
        <v>288.41</v>
      </c>
      <c r="AG178" s="451">
        <f t="shared" si="198"/>
        <v>288.41</v>
      </c>
      <c r="AH178" s="451">
        <f t="shared" si="198"/>
        <v>0</v>
      </c>
      <c r="AI178" s="214">
        <f t="shared" si="198"/>
        <v>0</v>
      </c>
      <c r="AJ178" s="22"/>
      <c r="AK178" s="13"/>
      <c r="AL178" s="13"/>
      <c r="AM178" s="13"/>
      <c r="AN178" s="528"/>
      <c r="AO178" s="214">
        <f t="shared" ref="AO178:BA178" si="199">SUM(AO175:AO177)</f>
        <v>0</v>
      </c>
      <c r="AP178" s="214">
        <f t="shared" si="199"/>
        <v>0</v>
      </c>
      <c r="AQ178" s="214">
        <f t="shared" si="199"/>
        <v>0</v>
      </c>
      <c r="AR178" s="214">
        <f t="shared" si="199"/>
        <v>0</v>
      </c>
      <c r="AS178" s="214">
        <f t="shared" si="199"/>
        <v>0</v>
      </c>
      <c r="AT178" s="214">
        <f t="shared" si="199"/>
        <v>0</v>
      </c>
      <c r="AU178" s="214">
        <f t="shared" si="199"/>
        <v>0</v>
      </c>
      <c r="AV178" s="214">
        <f t="shared" si="199"/>
        <v>0</v>
      </c>
      <c r="AW178" s="214">
        <f t="shared" si="199"/>
        <v>0</v>
      </c>
      <c r="AX178" s="214">
        <f t="shared" si="199"/>
        <v>0</v>
      </c>
      <c r="AY178" s="214">
        <f t="shared" si="199"/>
        <v>0</v>
      </c>
      <c r="AZ178" s="450">
        <f t="shared" si="199"/>
        <v>288.41</v>
      </c>
      <c r="BA178" s="450">
        <f t="shared" si="199"/>
        <v>404408.37</v>
      </c>
      <c r="BB178" s="196"/>
      <c r="BC178" s="196"/>
      <c r="BD178" s="196"/>
    </row>
    <row r="179" ht="14.25" hidden="1" customHeight="1" spans="1:56">
      <c r="A179" s="22"/>
      <c r="B179" s="22"/>
      <c r="C179" s="22"/>
      <c r="D179" s="22"/>
      <c r="E179" s="22"/>
      <c r="F179" s="22"/>
      <c r="G179" s="507"/>
      <c r="H179" s="196"/>
      <c r="I179" s="196"/>
      <c r="J179" s="196"/>
      <c r="K179" s="196"/>
      <c r="L179" s="196"/>
      <c r="M179" s="196"/>
      <c r="N179" s="196"/>
      <c r="O179" s="196"/>
      <c r="P179" s="22"/>
      <c r="Q179" s="22"/>
      <c r="R179" s="55" t="s">
        <v>3495</v>
      </c>
      <c r="S179" s="59">
        <f t="shared" ref="S179:AG179" si="200">S174-S175</f>
        <v>17936.98</v>
      </c>
      <c r="T179" s="57">
        <f t="shared" si="200"/>
        <v>315305.18</v>
      </c>
      <c r="U179" s="57">
        <f t="shared" si="200"/>
        <v>315305.18</v>
      </c>
      <c r="V179" s="57">
        <f t="shared" si="200"/>
        <v>0</v>
      </c>
      <c r="W179" s="57">
        <f t="shared" si="200"/>
        <v>0</v>
      </c>
      <c r="X179" s="57">
        <f t="shared" si="200"/>
        <v>0</v>
      </c>
      <c r="Y179" s="57">
        <f t="shared" si="200"/>
        <v>0</v>
      </c>
      <c r="Z179" s="57">
        <f t="shared" si="200"/>
        <v>0</v>
      </c>
      <c r="AA179" s="68">
        <f t="shared" si="200"/>
        <v>0</v>
      </c>
      <c r="AB179" s="68">
        <f t="shared" si="200"/>
        <v>0</v>
      </c>
      <c r="AC179" s="57">
        <f t="shared" si="200"/>
        <v>0</v>
      </c>
      <c r="AD179" s="57">
        <f t="shared" si="200"/>
        <v>0</v>
      </c>
      <c r="AE179" s="57">
        <f t="shared" si="200"/>
        <v>0</v>
      </c>
      <c r="AF179" s="57">
        <f t="shared" si="200"/>
        <v>0</v>
      </c>
      <c r="AG179" s="57">
        <f t="shared" si="200"/>
        <v>0</v>
      </c>
      <c r="AH179" s="530"/>
      <c r="AI179" s="75"/>
      <c r="AJ179" s="22"/>
      <c r="AK179" s="13"/>
      <c r="AL179" s="13"/>
      <c r="AM179" s="13"/>
      <c r="AN179" s="528"/>
      <c r="AO179" s="58">
        <f t="shared" ref="AO179:AZ179" si="201">AO174-AO175</f>
        <v>0</v>
      </c>
      <c r="AP179" s="58">
        <f t="shared" si="201"/>
        <v>0</v>
      </c>
      <c r="AQ179" s="58">
        <f t="shared" si="201"/>
        <v>0</v>
      </c>
      <c r="AR179" s="58">
        <f t="shared" si="201"/>
        <v>0</v>
      </c>
      <c r="AS179" s="58">
        <f t="shared" si="201"/>
        <v>0</v>
      </c>
      <c r="AT179" s="58">
        <f t="shared" si="201"/>
        <v>0</v>
      </c>
      <c r="AU179" s="58">
        <f t="shared" si="201"/>
        <v>0</v>
      </c>
      <c r="AV179" s="58">
        <f t="shared" si="201"/>
        <v>0</v>
      </c>
      <c r="AW179" s="58">
        <f t="shared" si="201"/>
        <v>0</v>
      </c>
      <c r="AX179" s="58">
        <f t="shared" si="201"/>
        <v>0</v>
      </c>
      <c r="AY179" s="58">
        <f t="shared" si="201"/>
        <v>0</v>
      </c>
      <c r="AZ179" s="369">
        <f t="shared" si="201"/>
        <v>0</v>
      </c>
      <c r="BA179" s="57">
        <v>315305.18</v>
      </c>
      <c r="BB179" s="57"/>
      <c r="BC179" s="57"/>
      <c r="BD179" s="57"/>
    </row>
    <row r="180" ht="14.25" hidden="1" customHeight="1" spans="1:56">
      <c r="A180" s="22"/>
      <c r="B180" s="22"/>
      <c r="C180" s="22"/>
      <c r="D180" s="22"/>
      <c r="E180" s="22"/>
      <c r="F180" s="22"/>
      <c r="G180" s="507"/>
      <c r="H180" s="196"/>
      <c r="I180" s="196"/>
      <c r="J180" s="196"/>
      <c r="K180" s="196"/>
      <c r="L180" s="196"/>
      <c r="M180" s="196"/>
      <c r="N180" s="196"/>
      <c r="O180" s="196"/>
      <c r="P180" s="22"/>
      <c r="Q180" s="22"/>
      <c r="R180" s="60" t="s">
        <v>3496</v>
      </c>
      <c r="S180" s="61">
        <f t="shared" ref="S180:AG180" si="202">S179/S174</f>
        <v>0.0237664985356497</v>
      </c>
      <c r="T180" s="62">
        <f t="shared" si="202"/>
        <v>0.440770799706415</v>
      </c>
      <c r="U180" s="62">
        <f t="shared" si="202"/>
        <v>0.440770799706415</v>
      </c>
      <c r="V180" s="62" t="e">
        <f t="shared" si="202"/>
        <v>#DIV/0!</v>
      </c>
      <c r="W180" s="62" t="e">
        <f t="shared" si="202"/>
        <v>#DIV/0!</v>
      </c>
      <c r="X180" s="62" t="e">
        <f t="shared" si="202"/>
        <v>#DIV/0!</v>
      </c>
      <c r="Y180" s="62" t="e">
        <f t="shared" si="202"/>
        <v>#DIV/0!</v>
      </c>
      <c r="Z180" s="62" t="e">
        <f t="shared" si="202"/>
        <v>#DIV/0!</v>
      </c>
      <c r="AA180" s="69" t="e">
        <f t="shared" si="202"/>
        <v>#DIV/0!</v>
      </c>
      <c r="AB180" s="69" t="e">
        <f t="shared" si="202"/>
        <v>#DIV/0!</v>
      </c>
      <c r="AC180" s="62" t="e">
        <f t="shared" si="202"/>
        <v>#DIV/0!</v>
      </c>
      <c r="AD180" s="62" t="e">
        <f t="shared" si="202"/>
        <v>#DIV/0!</v>
      </c>
      <c r="AE180" s="62" t="e">
        <f t="shared" si="202"/>
        <v>#DIV/0!</v>
      </c>
      <c r="AF180" s="62" t="e">
        <f t="shared" si="202"/>
        <v>#DIV/0!</v>
      </c>
      <c r="AG180" s="62" t="e">
        <f t="shared" si="202"/>
        <v>#DIV/0!</v>
      </c>
      <c r="AH180" s="531">
        <f>T180-S180</f>
        <v>0.417004301170765</v>
      </c>
      <c r="AI180" s="82" t="e">
        <f>AF180-S180</f>
        <v>#DIV/0!</v>
      </c>
      <c r="AJ180" s="22"/>
      <c r="AK180" s="13"/>
      <c r="AL180" s="13"/>
      <c r="AM180" s="13"/>
      <c r="AN180" s="528"/>
      <c r="AO180" s="61" t="e">
        <f t="shared" ref="AO180:AZ180" si="203">AO179/AO174</f>
        <v>#DIV/0!</v>
      </c>
      <c r="AP180" s="61" t="e">
        <f t="shared" si="203"/>
        <v>#DIV/0!</v>
      </c>
      <c r="AQ180" s="61" t="e">
        <f t="shared" si="203"/>
        <v>#DIV/0!</v>
      </c>
      <c r="AR180" s="61" t="e">
        <f t="shared" si="203"/>
        <v>#DIV/0!</v>
      </c>
      <c r="AS180" s="61" t="e">
        <f t="shared" si="203"/>
        <v>#DIV/0!</v>
      </c>
      <c r="AT180" s="61" t="e">
        <f t="shared" si="203"/>
        <v>#DIV/0!</v>
      </c>
      <c r="AU180" s="61" t="e">
        <f t="shared" si="203"/>
        <v>#DIV/0!</v>
      </c>
      <c r="AV180" s="61" t="e">
        <f t="shared" si="203"/>
        <v>#DIV/0!</v>
      </c>
      <c r="AW180" s="61" t="e">
        <f t="shared" si="203"/>
        <v>#DIV/0!</v>
      </c>
      <c r="AX180" s="61" t="e">
        <f t="shared" si="203"/>
        <v>#DIV/0!</v>
      </c>
      <c r="AY180" s="61" t="e">
        <f t="shared" si="203"/>
        <v>#DIV/0!</v>
      </c>
      <c r="AZ180" s="452" t="e">
        <f t="shared" si="203"/>
        <v>#DIV/0!</v>
      </c>
      <c r="BA180" s="62">
        <v>0.440770799706415</v>
      </c>
      <c r="BB180" s="62"/>
      <c r="BC180" s="62"/>
      <c r="BD180" s="62"/>
    </row>
    <row r="181" ht="14.25" hidden="1" customHeight="1" spans="1:56">
      <c r="A181" s="22"/>
      <c r="B181" s="22"/>
      <c r="C181" s="22"/>
      <c r="D181" s="22"/>
      <c r="E181" s="22"/>
      <c r="F181" s="22"/>
      <c r="G181" s="507"/>
      <c r="H181" s="196"/>
      <c r="I181" s="196"/>
      <c r="J181" s="196"/>
      <c r="K181" s="196"/>
      <c r="L181" s="196"/>
      <c r="M181" s="196"/>
      <c r="N181" s="196"/>
      <c r="O181" s="196"/>
      <c r="P181" s="22"/>
      <c r="Q181" s="22"/>
      <c r="R181" s="55" t="s">
        <v>3497</v>
      </c>
      <c r="S181" s="58">
        <f t="shared" ref="S181:AG181" si="204">S174-S175-S176-S177</f>
        <v>17936.98</v>
      </c>
      <c r="T181" s="57">
        <f t="shared" si="204"/>
        <v>310652.74</v>
      </c>
      <c r="U181" s="57">
        <f t="shared" si="204"/>
        <v>310941.15</v>
      </c>
      <c r="V181" s="57">
        <f t="shared" si="204"/>
        <v>-288.41</v>
      </c>
      <c r="W181" s="57">
        <f t="shared" si="204"/>
        <v>-288.41</v>
      </c>
      <c r="X181" s="57">
        <f t="shared" si="204"/>
        <v>-288.41</v>
      </c>
      <c r="Y181" s="57">
        <f t="shared" si="204"/>
        <v>-288.41</v>
      </c>
      <c r="Z181" s="57">
        <f t="shared" si="204"/>
        <v>-288.41</v>
      </c>
      <c r="AA181" s="68">
        <f t="shared" si="204"/>
        <v>-288.41</v>
      </c>
      <c r="AB181" s="68">
        <f t="shared" si="204"/>
        <v>-288.41</v>
      </c>
      <c r="AC181" s="57">
        <f t="shared" si="204"/>
        <v>-288.41</v>
      </c>
      <c r="AD181" s="57">
        <f t="shared" si="204"/>
        <v>-288.41</v>
      </c>
      <c r="AE181" s="57">
        <f t="shared" si="204"/>
        <v>-288.41</v>
      </c>
      <c r="AF181" s="57">
        <f t="shared" si="204"/>
        <v>-288.41</v>
      </c>
      <c r="AG181" s="57">
        <f t="shared" si="204"/>
        <v>-288.41</v>
      </c>
      <c r="AH181" s="531"/>
      <c r="AI181" s="82"/>
      <c r="AJ181" s="22"/>
      <c r="AK181" s="13"/>
      <c r="AL181" s="13"/>
      <c r="AM181" s="13"/>
      <c r="AN181" s="528"/>
      <c r="AO181" s="58">
        <f t="shared" ref="AO181:AZ181" si="205">AO174-AO175-AO176-AO177</f>
        <v>0</v>
      </c>
      <c r="AP181" s="58">
        <f t="shared" si="205"/>
        <v>0</v>
      </c>
      <c r="AQ181" s="58">
        <f t="shared" si="205"/>
        <v>0</v>
      </c>
      <c r="AR181" s="58">
        <f t="shared" si="205"/>
        <v>0</v>
      </c>
      <c r="AS181" s="58">
        <f t="shared" si="205"/>
        <v>0</v>
      </c>
      <c r="AT181" s="58">
        <f t="shared" si="205"/>
        <v>0</v>
      </c>
      <c r="AU181" s="58">
        <f t="shared" si="205"/>
        <v>0</v>
      </c>
      <c r="AV181" s="58">
        <f t="shared" si="205"/>
        <v>0</v>
      </c>
      <c r="AW181" s="58">
        <f t="shared" si="205"/>
        <v>0</v>
      </c>
      <c r="AX181" s="58">
        <f t="shared" si="205"/>
        <v>0</v>
      </c>
      <c r="AY181" s="58">
        <f t="shared" si="205"/>
        <v>0</v>
      </c>
      <c r="AZ181" s="369">
        <f t="shared" si="205"/>
        <v>-288.41</v>
      </c>
      <c r="BA181" s="57">
        <v>310909.65</v>
      </c>
      <c r="BB181" s="57"/>
      <c r="BC181" s="57"/>
      <c r="BD181" s="57"/>
    </row>
    <row r="182" ht="14.25" hidden="1" customHeight="1" spans="1:56">
      <c r="A182" s="24"/>
      <c r="B182" s="24"/>
      <c r="C182" s="24"/>
      <c r="D182" s="24"/>
      <c r="E182" s="24"/>
      <c r="F182" s="24"/>
      <c r="G182" s="507"/>
      <c r="H182" s="196"/>
      <c r="I182" s="196"/>
      <c r="J182" s="196"/>
      <c r="K182" s="196"/>
      <c r="L182" s="196"/>
      <c r="M182" s="196"/>
      <c r="N182" s="196"/>
      <c r="O182" s="196"/>
      <c r="P182" s="24"/>
      <c r="Q182" s="24"/>
      <c r="R182" s="60" t="s">
        <v>3498</v>
      </c>
      <c r="S182" s="61">
        <f t="shared" ref="S182:AG182" si="206">S181/S174</f>
        <v>0.0237664985356497</v>
      </c>
      <c r="T182" s="62">
        <f t="shared" si="206"/>
        <v>0.43426706989333</v>
      </c>
      <c r="U182" s="62">
        <f t="shared" si="206"/>
        <v>0.434670243435684</v>
      </c>
      <c r="V182" s="62" t="e">
        <f t="shared" si="206"/>
        <v>#DIV/0!</v>
      </c>
      <c r="W182" s="62" t="e">
        <f t="shared" si="206"/>
        <v>#DIV/0!</v>
      </c>
      <c r="X182" s="62" t="e">
        <f t="shared" si="206"/>
        <v>#DIV/0!</v>
      </c>
      <c r="Y182" s="62" t="e">
        <f t="shared" si="206"/>
        <v>#DIV/0!</v>
      </c>
      <c r="Z182" s="62" t="e">
        <f t="shared" si="206"/>
        <v>#DIV/0!</v>
      </c>
      <c r="AA182" s="69" t="e">
        <f t="shared" si="206"/>
        <v>#DIV/0!</v>
      </c>
      <c r="AB182" s="69" t="e">
        <f t="shared" si="206"/>
        <v>#DIV/0!</v>
      </c>
      <c r="AC182" s="62" t="e">
        <f t="shared" si="206"/>
        <v>#DIV/0!</v>
      </c>
      <c r="AD182" s="62" t="e">
        <f t="shared" si="206"/>
        <v>#DIV/0!</v>
      </c>
      <c r="AE182" s="62" t="e">
        <f t="shared" si="206"/>
        <v>#DIV/0!</v>
      </c>
      <c r="AF182" s="62" t="e">
        <f t="shared" si="206"/>
        <v>#DIV/0!</v>
      </c>
      <c r="AG182" s="62" t="e">
        <f t="shared" si="206"/>
        <v>#DIV/0!</v>
      </c>
      <c r="AH182" s="531">
        <f>T182-S182</f>
        <v>0.41050057135768</v>
      </c>
      <c r="AI182" s="82" t="e">
        <f>AF182-S182</f>
        <v>#DIV/0!</v>
      </c>
      <c r="AJ182" s="24"/>
      <c r="AK182" s="14"/>
      <c r="AL182" s="14"/>
      <c r="AM182" s="14"/>
      <c r="AN182" s="529"/>
      <c r="AO182" s="61" t="e">
        <f t="shared" ref="AO182:AZ182" si="207">AO181/AO174</f>
        <v>#DIV/0!</v>
      </c>
      <c r="AP182" s="61" t="e">
        <f t="shared" si="207"/>
        <v>#DIV/0!</v>
      </c>
      <c r="AQ182" s="61" t="e">
        <f t="shared" si="207"/>
        <v>#DIV/0!</v>
      </c>
      <c r="AR182" s="61" t="e">
        <f t="shared" si="207"/>
        <v>#DIV/0!</v>
      </c>
      <c r="AS182" s="61" t="e">
        <f t="shared" si="207"/>
        <v>#DIV/0!</v>
      </c>
      <c r="AT182" s="61" t="e">
        <f t="shared" si="207"/>
        <v>#DIV/0!</v>
      </c>
      <c r="AU182" s="61" t="e">
        <f t="shared" si="207"/>
        <v>#DIV/0!</v>
      </c>
      <c r="AV182" s="61" t="e">
        <f t="shared" si="207"/>
        <v>#DIV/0!</v>
      </c>
      <c r="AW182" s="61" t="e">
        <f t="shared" si="207"/>
        <v>#DIV/0!</v>
      </c>
      <c r="AX182" s="61" t="e">
        <f t="shared" si="207"/>
        <v>#DIV/0!</v>
      </c>
      <c r="AY182" s="61" t="e">
        <f t="shared" si="207"/>
        <v>#DIV/0!</v>
      </c>
      <c r="AZ182" s="452" t="e">
        <f t="shared" si="207"/>
        <v>#DIV/0!</v>
      </c>
      <c r="BA182" s="62">
        <v>0.434626209017377</v>
      </c>
      <c r="BB182" s="62"/>
      <c r="BC182" s="62"/>
      <c r="BD182" s="62"/>
    </row>
  </sheetData>
  <autoFilter xmlns:etc="http://www.wps.cn/officeDocument/2017/etCustomData" ref="A1:BD182" etc:filterBottomFollowUsedRange="0">
    <filterColumn colId="0">
      <customFilters>
        <customFilter operator="equal" val="P202502000351"/>
      </customFilters>
    </filterColumn>
    <extLst/>
  </autoFilter>
  <mergeCells count="422">
    <mergeCell ref="A2:A11"/>
    <mergeCell ref="A12:A20"/>
    <mergeCell ref="A21:A29"/>
    <mergeCell ref="A30:A38"/>
    <mergeCell ref="A39:A47"/>
    <mergeCell ref="A48:A56"/>
    <mergeCell ref="A57:A65"/>
    <mergeCell ref="A66:A74"/>
    <mergeCell ref="A75:A83"/>
    <mergeCell ref="A84:A92"/>
    <mergeCell ref="A93:A101"/>
    <mergeCell ref="A102:A110"/>
    <mergeCell ref="A111:A119"/>
    <mergeCell ref="A120:A128"/>
    <mergeCell ref="A129:A137"/>
    <mergeCell ref="A138:A146"/>
    <mergeCell ref="A147:A155"/>
    <mergeCell ref="A156:A164"/>
    <mergeCell ref="A165:A173"/>
    <mergeCell ref="A174:A182"/>
    <mergeCell ref="B2:B11"/>
    <mergeCell ref="B12:B20"/>
    <mergeCell ref="B21:B29"/>
    <mergeCell ref="B30:B38"/>
    <mergeCell ref="B39:B47"/>
    <mergeCell ref="B48:B56"/>
    <mergeCell ref="B57:B65"/>
    <mergeCell ref="B66:B74"/>
    <mergeCell ref="B75:B83"/>
    <mergeCell ref="B84:B92"/>
    <mergeCell ref="B93:B101"/>
    <mergeCell ref="B102:B110"/>
    <mergeCell ref="B111:B119"/>
    <mergeCell ref="B120:B128"/>
    <mergeCell ref="B129:B137"/>
    <mergeCell ref="B138:B146"/>
    <mergeCell ref="B147:B155"/>
    <mergeCell ref="B156:B164"/>
    <mergeCell ref="B165:B173"/>
    <mergeCell ref="B174:B182"/>
    <mergeCell ref="C2:C11"/>
    <mergeCell ref="C12:C20"/>
    <mergeCell ref="C21:C29"/>
    <mergeCell ref="C30:C38"/>
    <mergeCell ref="C39:C47"/>
    <mergeCell ref="C48:C56"/>
    <mergeCell ref="C57:C65"/>
    <mergeCell ref="C66:C74"/>
    <mergeCell ref="C75:C83"/>
    <mergeCell ref="C84:C92"/>
    <mergeCell ref="C93:C101"/>
    <mergeCell ref="C102:C110"/>
    <mergeCell ref="C111:C119"/>
    <mergeCell ref="C120:C128"/>
    <mergeCell ref="C129:C137"/>
    <mergeCell ref="C138:C146"/>
    <mergeCell ref="C147:C155"/>
    <mergeCell ref="C156:C164"/>
    <mergeCell ref="C165:C173"/>
    <mergeCell ref="C174:C182"/>
    <mergeCell ref="D2:D11"/>
    <mergeCell ref="D12:D20"/>
    <mergeCell ref="D21:D29"/>
    <mergeCell ref="D30:D38"/>
    <mergeCell ref="D39:D47"/>
    <mergeCell ref="D48:D56"/>
    <mergeCell ref="D57:D65"/>
    <mergeCell ref="D66:D74"/>
    <mergeCell ref="D75:D83"/>
    <mergeCell ref="D84:D92"/>
    <mergeCell ref="D93:D101"/>
    <mergeCell ref="D102:D110"/>
    <mergeCell ref="D111:D119"/>
    <mergeCell ref="D120:D128"/>
    <mergeCell ref="D129:D137"/>
    <mergeCell ref="D138:D146"/>
    <mergeCell ref="D147:D155"/>
    <mergeCell ref="D156:D164"/>
    <mergeCell ref="D165:D173"/>
    <mergeCell ref="D174:D182"/>
    <mergeCell ref="E2:E11"/>
    <mergeCell ref="E12:E20"/>
    <mergeCell ref="E21:E29"/>
    <mergeCell ref="E30:E38"/>
    <mergeCell ref="E39:E47"/>
    <mergeCell ref="E48:E56"/>
    <mergeCell ref="E57:E65"/>
    <mergeCell ref="E66:E74"/>
    <mergeCell ref="E75:E83"/>
    <mergeCell ref="E84:E92"/>
    <mergeCell ref="E93:E101"/>
    <mergeCell ref="E102:E110"/>
    <mergeCell ref="E111:E119"/>
    <mergeCell ref="E120:E128"/>
    <mergeCell ref="E129:E137"/>
    <mergeCell ref="E138:E146"/>
    <mergeCell ref="E147:E155"/>
    <mergeCell ref="E156:E164"/>
    <mergeCell ref="E165:E173"/>
    <mergeCell ref="E174:E182"/>
    <mergeCell ref="F2:F11"/>
    <mergeCell ref="F12:F20"/>
    <mergeCell ref="F21:F29"/>
    <mergeCell ref="F30:F38"/>
    <mergeCell ref="F39:F47"/>
    <mergeCell ref="F48:F56"/>
    <mergeCell ref="F57:F65"/>
    <mergeCell ref="F66:F74"/>
    <mergeCell ref="F75:F83"/>
    <mergeCell ref="F84:F92"/>
    <mergeCell ref="F93:F101"/>
    <mergeCell ref="F102:F110"/>
    <mergeCell ref="F111:F119"/>
    <mergeCell ref="F120:F128"/>
    <mergeCell ref="F129:F137"/>
    <mergeCell ref="F138:F146"/>
    <mergeCell ref="F147:F155"/>
    <mergeCell ref="F156:F164"/>
    <mergeCell ref="F165:F173"/>
    <mergeCell ref="F174:F182"/>
    <mergeCell ref="G2:G11"/>
    <mergeCell ref="G12:G20"/>
    <mergeCell ref="G21:G29"/>
    <mergeCell ref="G30:G38"/>
    <mergeCell ref="G39:G47"/>
    <mergeCell ref="G48:G56"/>
    <mergeCell ref="G57:G65"/>
    <mergeCell ref="G66:G74"/>
    <mergeCell ref="G75:G83"/>
    <mergeCell ref="G84:G92"/>
    <mergeCell ref="G93:G101"/>
    <mergeCell ref="G102:G110"/>
    <mergeCell ref="G111:G119"/>
    <mergeCell ref="G120:G128"/>
    <mergeCell ref="G129:G137"/>
    <mergeCell ref="G138:G146"/>
    <mergeCell ref="G147:G155"/>
    <mergeCell ref="G156:G164"/>
    <mergeCell ref="H2:H11"/>
    <mergeCell ref="H12:H20"/>
    <mergeCell ref="H21:H29"/>
    <mergeCell ref="H30:H38"/>
    <mergeCell ref="H39:H47"/>
    <mergeCell ref="H48:H56"/>
    <mergeCell ref="H57:H65"/>
    <mergeCell ref="H66:H74"/>
    <mergeCell ref="H75:H83"/>
    <mergeCell ref="H84:H92"/>
    <mergeCell ref="H93:H101"/>
    <mergeCell ref="H102:H110"/>
    <mergeCell ref="H111:H119"/>
    <mergeCell ref="H120:H128"/>
    <mergeCell ref="H129:H137"/>
    <mergeCell ref="H138:H146"/>
    <mergeCell ref="H147:H155"/>
    <mergeCell ref="H156:H164"/>
    <mergeCell ref="I2:I11"/>
    <mergeCell ref="I12:I20"/>
    <mergeCell ref="I21:I29"/>
    <mergeCell ref="I30:I38"/>
    <mergeCell ref="I39:I47"/>
    <mergeCell ref="I48:I56"/>
    <mergeCell ref="I57:I65"/>
    <mergeCell ref="I66:I74"/>
    <mergeCell ref="I75:I83"/>
    <mergeCell ref="I84:I92"/>
    <mergeCell ref="I93:I101"/>
    <mergeCell ref="I102:I110"/>
    <mergeCell ref="I111:I119"/>
    <mergeCell ref="I120:I128"/>
    <mergeCell ref="I129:I137"/>
    <mergeCell ref="I138:I146"/>
    <mergeCell ref="I147:I155"/>
    <mergeCell ref="I156:I164"/>
    <mergeCell ref="J2:J11"/>
    <mergeCell ref="J12:J20"/>
    <mergeCell ref="J21:J29"/>
    <mergeCell ref="J30:J38"/>
    <mergeCell ref="J39:J47"/>
    <mergeCell ref="J48:J56"/>
    <mergeCell ref="J57:J65"/>
    <mergeCell ref="J66:J74"/>
    <mergeCell ref="J75:J83"/>
    <mergeCell ref="J84:J92"/>
    <mergeCell ref="J93:J101"/>
    <mergeCell ref="J102:J110"/>
    <mergeCell ref="J111:J119"/>
    <mergeCell ref="J120:J128"/>
    <mergeCell ref="J129:J137"/>
    <mergeCell ref="J138:J146"/>
    <mergeCell ref="J147:J155"/>
    <mergeCell ref="J156:J164"/>
    <mergeCell ref="K2:K11"/>
    <mergeCell ref="K12:K20"/>
    <mergeCell ref="K21:K29"/>
    <mergeCell ref="K30:K38"/>
    <mergeCell ref="K39:K47"/>
    <mergeCell ref="K48:K56"/>
    <mergeCell ref="K57:K65"/>
    <mergeCell ref="K66:K74"/>
    <mergeCell ref="K75:K83"/>
    <mergeCell ref="K84:K92"/>
    <mergeCell ref="K93:K101"/>
    <mergeCell ref="K102:K110"/>
    <mergeCell ref="K111:K119"/>
    <mergeCell ref="K120:K128"/>
    <mergeCell ref="K129:K137"/>
    <mergeCell ref="K138:K146"/>
    <mergeCell ref="K147:K155"/>
    <mergeCell ref="K156:K164"/>
    <mergeCell ref="L2:L11"/>
    <mergeCell ref="L12:L20"/>
    <mergeCell ref="L21:L29"/>
    <mergeCell ref="L30:L38"/>
    <mergeCell ref="L39:L47"/>
    <mergeCell ref="L48:L56"/>
    <mergeCell ref="L57:L65"/>
    <mergeCell ref="L66:L74"/>
    <mergeCell ref="L75:L83"/>
    <mergeCell ref="L84:L92"/>
    <mergeCell ref="L93:L101"/>
    <mergeCell ref="L102:L110"/>
    <mergeCell ref="L111:L119"/>
    <mergeCell ref="L120:L128"/>
    <mergeCell ref="L129:L137"/>
    <mergeCell ref="L138:L146"/>
    <mergeCell ref="L147:L155"/>
    <mergeCell ref="L156:L164"/>
    <mergeCell ref="M2:M11"/>
    <mergeCell ref="M12:M20"/>
    <mergeCell ref="M21:M29"/>
    <mergeCell ref="M30:M38"/>
    <mergeCell ref="M39:M47"/>
    <mergeCell ref="M48:M56"/>
    <mergeCell ref="M57:M65"/>
    <mergeCell ref="M66:M74"/>
    <mergeCell ref="M75:M83"/>
    <mergeCell ref="M84:M92"/>
    <mergeCell ref="M93:M101"/>
    <mergeCell ref="M102:M110"/>
    <mergeCell ref="M111:M119"/>
    <mergeCell ref="M120:M128"/>
    <mergeCell ref="M129:M137"/>
    <mergeCell ref="M138:M146"/>
    <mergeCell ref="M147:M155"/>
    <mergeCell ref="M156:M164"/>
    <mergeCell ref="N2:N11"/>
    <mergeCell ref="N12:N20"/>
    <mergeCell ref="N21:N29"/>
    <mergeCell ref="N30:N38"/>
    <mergeCell ref="N39:N47"/>
    <mergeCell ref="N48:N56"/>
    <mergeCell ref="N57:N65"/>
    <mergeCell ref="N66:N74"/>
    <mergeCell ref="N75:N83"/>
    <mergeCell ref="N84:N92"/>
    <mergeCell ref="N93:N101"/>
    <mergeCell ref="N102:N110"/>
    <mergeCell ref="N111:N119"/>
    <mergeCell ref="N120:N128"/>
    <mergeCell ref="N129:N137"/>
    <mergeCell ref="N138:N146"/>
    <mergeCell ref="N147:N155"/>
    <mergeCell ref="N156:N164"/>
    <mergeCell ref="O2:O11"/>
    <mergeCell ref="O12:O20"/>
    <mergeCell ref="O21:O29"/>
    <mergeCell ref="O30:O38"/>
    <mergeCell ref="O39:O47"/>
    <mergeCell ref="O48:O56"/>
    <mergeCell ref="O57:O65"/>
    <mergeCell ref="O66:O74"/>
    <mergeCell ref="O75:O83"/>
    <mergeCell ref="O84:O92"/>
    <mergeCell ref="O93:O101"/>
    <mergeCell ref="O102:O110"/>
    <mergeCell ref="O111:O119"/>
    <mergeCell ref="O120:O128"/>
    <mergeCell ref="O129:O137"/>
    <mergeCell ref="O138:O146"/>
    <mergeCell ref="O147:O155"/>
    <mergeCell ref="O156:O164"/>
    <mergeCell ref="P2:P11"/>
    <mergeCell ref="P12:P20"/>
    <mergeCell ref="P21:P29"/>
    <mergeCell ref="P30:P38"/>
    <mergeCell ref="P39:P47"/>
    <mergeCell ref="P48:P56"/>
    <mergeCell ref="P57:P65"/>
    <mergeCell ref="P66:P74"/>
    <mergeCell ref="P75:P83"/>
    <mergeCell ref="P84:P92"/>
    <mergeCell ref="P93:P101"/>
    <mergeCell ref="P102:P110"/>
    <mergeCell ref="P111:P119"/>
    <mergeCell ref="P120:P128"/>
    <mergeCell ref="P129:P137"/>
    <mergeCell ref="P138:P146"/>
    <mergeCell ref="P147:P155"/>
    <mergeCell ref="P156:P164"/>
    <mergeCell ref="P165:P173"/>
    <mergeCell ref="P174:P182"/>
    <mergeCell ref="Q2:Q11"/>
    <mergeCell ref="Q12:Q20"/>
    <mergeCell ref="Q21:Q29"/>
    <mergeCell ref="Q30:Q38"/>
    <mergeCell ref="Q39:Q47"/>
    <mergeCell ref="Q48:Q56"/>
    <mergeCell ref="Q57:Q65"/>
    <mergeCell ref="Q66:Q74"/>
    <mergeCell ref="Q75:Q83"/>
    <mergeCell ref="Q84:Q92"/>
    <mergeCell ref="Q93:Q101"/>
    <mergeCell ref="Q102:Q110"/>
    <mergeCell ref="Q111:Q119"/>
    <mergeCell ref="Q120:Q128"/>
    <mergeCell ref="Q129:Q137"/>
    <mergeCell ref="Q138:Q146"/>
    <mergeCell ref="Q147:Q155"/>
    <mergeCell ref="Q156:Q164"/>
    <mergeCell ref="Q165:Q173"/>
    <mergeCell ref="Q174:Q182"/>
    <mergeCell ref="AJ2:AJ11"/>
    <mergeCell ref="AJ12:AJ20"/>
    <mergeCell ref="AJ21:AJ29"/>
    <mergeCell ref="AJ30:AJ38"/>
    <mergeCell ref="AJ39:AJ47"/>
    <mergeCell ref="AJ48:AJ56"/>
    <mergeCell ref="AJ57:AJ65"/>
    <mergeCell ref="AJ66:AJ74"/>
    <mergeCell ref="AJ75:AJ83"/>
    <mergeCell ref="AJ84:AJ92"/>
    <mergeCell ref="AJ93:AJ101"/>
    <mergeCell ref="AJ102:AJ110"/>
    <mergeCell ref="AJ111:AJ119"/>
    <mergeCell ref="AJ120:AJ128"/>
    <mergeCell ref="AJ129:AJ137"/>
    <mergeCell ref="AJ138:AJ146"/>
    <mergeCell ref="AJ147:AJ155"/>
    <mergeCell ref="AJ156:AJ164"/>
    <mergeCell ref="AJ165:AJ173"/>
    <mergeCell ref="AJ174:AJ182"/>
    <mergeCell ref="AK2:AK11"/>
    <mergeCell ref="AK12:AK20"/>
    <mergeCell ref="AK21:AK29"/>
    <mergeCell ref="AK30:AK38"/>
    <mergeCell ref="AK39:AK47"/>
    <mergeCell ref="AK48:AK56"/>
    <mergeCell ref="AK57:AK65"/>
    <mergeCell ref="AK66:AK74"/>
    <mergeCell ref="AK75:AK83"/>
    <mergeCell ref="AK84:AK92"/>
    <mergeCell ref="AK93:AK101"/>
    <mergeCell ref="AK102:AK110"/>
    <mergeCell ref="AK111:AK119"/>
    <mergeCell ref="AK120:AK128"/>
    <mergeCell ref="AK129:AK137"/>
    <mergeCell ref="AK138:AK146"/>
    <mergeCell ref="AK147:AK155"/>
    <mergeCell ref="AK156:AK164"/>
    <mergeCell ref="AK165:AK173"/>
    <mergeCell ref="AK174:AK182"/>
    <mergeCell ref="AL2:AL11"/>
    <mergeCell ref="AL12:AL20"/>
    <mergeCell ref="AL21:AL29"/>
    <mergeCell ref="AL30:AL38"/>
    <mergeCell ref="AL39:AL47"/>
    <mergeCell ref="AL48:AL56"/>
    <mergeCell ref="AL57:AL65"/>
    <mergeCell ref="AL66:AL74"/>
    <mergeCell ref="AL75:AL83"/>
    <mergeCell ref="AL84:AL92"/>
    <mergeCell ref="AL93:AL101"/>
    <mergeCell ref="AL102:AL110"/>
    <mergeCell ref="AL111:AL119"/>
    <mergeCell ref="AL120:AL128"/>
    <mergeCell ref="AL129:AL137"/>
    <mergeCell ref="AL138:AL146"/>
    <mergeCell ref="AL147:AL155"/>
    <mergeCell ref="AL156:AL164"/>
    <mergeCell ref="AL165:AL173"/>
    <mergeCell ref="AL174:AL182"/>
    <mergeCell ref="AM2:AM11"/>
    <mergeCell ref="AM12:AM20"/>
    <mergeCell ref="AM21:AM29"/>
    <mergeCell ref="AM30:AM38"/>
    <mergeCell ref="AM39:AM47"/>
    <mergeCell ref="AM48:AM56"/>
    <mergeCell ref="AM57:AM65"/>
    <mergeCell ref="AM66:AM74"/>
    <mergeCell ref="AM75:AM83"/>
    <mergeCell ref="AM84:AM92"/>
    <mergeCell ref="AM93:AM101"/>
    <mergeCell ref="AM102:AM110"/>
    <mergeCell ref="AM111:AM119"/>
    <mergeCell ref="AM120:AM128"/>
    <mergeCell ref="AM129:AM137"/>
    <mergeCell ref="AM138:AM146"/>
    <mergeCell ref="AM147:AM155"/>
    <mergeCell ref="AM156:AM164"/>
    <mergeCell ref="AM165:AM173"/>
    <mergeCell ref="AM174:AM182"/>
    <mergeCell ref="AN2:AN11"/>
    <mergeCell ref="AN12:AN20"/>
    <mergeCell ref="AN21:AN29"/>
    <mergeCell ref="AN30:AN38"/>
    <mergeCell ref="AN39:AN47"/>
    <mergeCell ref="AN48:AN56"/>
    <mergeCell ref="AN57:AN65"/>
    <mergeCell ref="AN66:AN74"/>
    <mergeCell ref="AN75:AN83"/>
    <mergeCell ref="AN84:AN92"/>
    <mergeCell ref="AN93:AN101"/>
    <mergeCell ref="AN102:AN110"/>
    <mergeCell ref="AN111:AN119"/>
    <mergeCell ref="AN120:AN128"/>
    <mergeCell ref="AN129:AN137"/>
    <mergeCell ref="AN138:AN146"/>
    <mergeCell ref="AN147:AN155"/>
    <mergeCell ref="AN156:AN164"/>
    <mergeCell ref="AN165:AN173"/>
    <mergeCell ref="AN174:AN182"/>
  </mergeCells>
  <conditionalFormatting sqref="AZ88">
    <cfRule type="cellIs" dxfId="4" priority="8" operator="lessThan">
      <formula>0</formula>
    </cfRule>
    <cfRule type="cellIs" dxfId="5" priority="9" operator="lessThan">
      <formula>0</formula>
    </cfRule>
  </conditionalFormatting>
  <conditionalFormatting sqref="AZ133">
    <cfRule type="cellIs" dxfId="4" priority="109" operator="lessThan">
      <formula>0</formula>
    </cfRule>
    <cfRule type="cellIs" dxfId="5" priority="110" operator="lessThan">
      <formula>0</formula>
    </cfRule>
  </conditionalFormatting>
  <conditionalFormatting sqref="T151:U151">
    <cfRule type="cellIs" dxfId="4" priority="61" operator="lessThan">
      <formula>0</formula>
    </cfRule>
    <cfRule type="cellIs" dxfId="5" priority="62" operator="lessThan">
      <formula>0</formula>
    </cfRule>
  </conditionalFormatting>
  <conditionalFormatting sqref="AM151">
    <cfRule type="cellIs" dxfId="4" priority="5" operator="lessThan">
      <formula>0</formula>
    </cfRule>
    <cfRule type="cellIs" dxfId="5" priority="6" operator="lessThan">
      <formula>0</formula>
    </cfRule>
  </conditionalFormatting>
  <conditionalFormatting sqref="AO151">
    <cfRule type="cellIs" dxfId="4" priority="84" operator="lessThan">
      <formula>0</formula>
    </cfRule>
    <cfRule type="cellIs" dxfId="5" priority="95" operator="lessThan">
      <formula>0</formula>
    </cfRule>
  </conditionalFormatting>
  <conditionalFormatting sqref="AP151">
    <cfRule type="cellIs" dxfId="4" priority="83" operator="lessThan">
      <formula>0</formula>
    </cfRule>
    <cfRule type="cellIs" dxfId="5" priority="94" operator="lessThan">
      <formula>0</formula>
    </cfRule>
  </conditionalFormatting>
  <conditionalFormatting sqref="AQ151">
    <cfRule type="cellIs" dxfId="4" priority="82" operator="lessThan">
      <formula>0</formula>
    </cfRule>
    <cfRule type="cellIs" dxfId="5" priority="93" operator="lessThan">
      <formula>0</formula>
    </cfRule>
  </conditionalFormatting>
  <conditionalFormatting sqref="AR151">
    <cfRule type="cellIs" dxfId="4" priority="81" operator="lessThan">
      <formula>0</formula>
    </cfRule>
    <cfRule type="cellIs" dxfId="5" priority="92" operator="lessThan">
      <formula>0</formula>
    </cfRule>
  </conditionalFormatting>
  <conditionalFormatting sqref="AS151">
    <cfRule type="cellIs" dxfId="4" priority="80" operator="lessThan">
      <formula>0</formula>
    </cfRule>
    <cfRule type="cellIs" dxfId="5" priority="91" operator="lessThan">
      <formula>0</formula>
    </cfRule>
  </conditionalFormatting>
  <conditionalFormatting sqref="AT151">
    <cfRule type="cellIs" dxfId="4" priority="79" operator="lessThan">
      <formula>0</formula>
    </cfRule>
    <cfRule type="cellIs" dxfId="5" priority="90" operator="lessThan">
      <formula>0</formula>
    </cfRule>
  </conditionalFormatting>
  <conditionalFormatting sqref="AU151">
    <cfRule type="cellIs" dxfId="4" priority="78" operator="lessThan">
      <formula>0</formula>
    </cfRule>
    <cfRule type="cellIs" dxfId="5" priority="89" operator="lessThan">
      <formula>0</formula>
    </cfRule>
  </conditionalFormatting>
  <conditionalFormatting sqref="AV151">
    <cfRule type="cellIs" dxfId="4" priority="77" operator="lessThan">
      <formula>0</formula>
    </cfRule>
    <cfRule type="cellIs" dxfId="5" priority="88" operator="lessThan">
      <formula>0</formula>
    </cfRule>
  </conditionalFormatting>
  <conditionalFormatting sqref="AW151">
    <cfRule type="cellIs" dxfId="4" priority="76" operator="lessThan">
      <formula>0</formula>
    </cfRule>
    <cfRule type="cellIs" dxfId="5" priority="87" operator="lessThan">
      <formula>0</formula>
    </cfRule>
  </conditionalFormatting>
  <conditionalFormatting sqref="AX151">
    <cfRule type="cellIs" dxfId="4" priority="75" operator="lessThan">
      <formula>0</formula>
    </cfRule>
    <cfRule type="cellIs" dxfId="5" priority="86" operator="lessThan">
      <formula>0</formula>
    </cfRule>
  </conditionalFormatting>
  <conditionalFormatting sqref="AY151">
    <cfRule type="cellIs" dxfId="4" priority="74" operator="lessThan">
      <formula>0</formula>
    </cfRule>
    <cfRule type="cellIs" dxfId="5" priority="85" operator="lessThan">
      <formula>0</formula>
    </cfRule>
  </conditionalFormatting>
  <conditionalFormatting sqref="T160:U160">
    <cfRule type="cellIs" dxfId="4" priority="12" operator="lessThan">
      <formula>0</formula>
    </cfRule>
    <cfRule type="cellIs" dxfId="5" priority="13" operator="lessThan">
      <formula>0</formula>
    </cfRule>
  </conditionalFormatting>
  <conditionalFormatting sqref="AL160">
    <cfRule type="cellIs" dxfId="4" priority="3" operator="lessThan">
      <formula>0</formula>
    </cfRule>
    <cfRule type="cellIs" dxfId="5" priority="4" operator="lessThan">
      <formula>0</formula>
    </cfRule>
  </conditionalFormatting>
  <conditionalFormatting sqref="AM160">
    <cfRule type="cellIs" dxfId="4" priority="1" operator="lessThan">
      <formula>0</formula>
    </cfRule>
    <cfRule type="cellIs" dxfId="5" priority="2" operator="lessThan">
      <formula>0</formula>
    </cfRule>
  </conditionalFormatting>
  <conditionalFormatting sqref="AO160">
    <cfRule type="cellIs" dxfId="4" priority="35" operator="lessThan">
      <formula>0</formula>
    </cfRule>
    <cfRule type="cellIs" dxfId="5" priority="46" operator="lessThan">
      <formula>0</formula>
    </cfRule>
  </conditionalFormatting>
  <conditionalFormatting sqref="AP160">
    <cfRule type="cellIs" dxfId="4" priority="34" operator="lessThan">
      <formula>0</formula>
    </cfRule>
    <cfRule type="cellIs" dxfId="5" priority="45" operator="lessThan">
      <formula>0</formula>
    </cfRule>
  </conditionalFormatting>
  <conditionalFormatting sqref="AQ160">
    <cfRule type="cellIs" dxfId="4" priority="33" operator="lessThan">
      <formula>0</formula>
    </cfRule>
    <cfRule type="cellIs" dxfId="5" priority="44" operator="lessThan">
      <formula>0</formula>
    </cfRule>
  </conditionalFormatting>
  <conditionalFormatting sqref="AR160">
    <cfRule type="cellIs" dxfId="4" priority="32" operator="lessThan">
      <formula>0</formula>
    </cfRule>
    <cfRule type="cellIs" dxfId="5" priority="43" operator="lessThan">
      <formula>0</formula>
    </cfRule>
  </conditionalFormatting>
  <conditionalFormatting sqref="AS160">
    <cfRule type="cellIs" dxfId="4" priority="31" operator="lessThan">
      <formula>0</formula>
    </cfRule>
    <cfRule type="cellIs" dxfId="5" priority="42" operator="lessThan">
      <formula>0</formula>
    </cfRule>
  </conditionalFormatting>
  <conditionalFormatting sqref="AT160">
    <cfRule type="cellIs" dxfId="4" priority="30" operator="lessThan">
      <formula>0</formula>
    </cfRule>
    <cfRule type="cellIs" dxfId="5" priority="41" operator="lessThan">
      <formula>0</formula>
    </cfRule>
  </conditionalFormatting>
  <conditionalFormatting sqref="AU160">
    <cfRule type="cellIs" dxfId="4" priority="29" operator="lessThan">
      <formula>0</formula>
    </cfRule>
    <cfRule type="cellIs" dxfId="5" priority="40" operator="lessThan">
      <formula>0</formula>
    </cfRule>
  </conditionalFormatting>
  <conditionalFormatting sqref="AV160">
    <cfRule type="cellIs" dxfId="4" priority="28" operator="lessThan">
      <formula>0</formula>
    </cfRule>
    <cfRule type="cellIs" dxfId="5" priority="39" operator="lessThan">
      <formula>0</formula>
    </cfRule>
  </conditionalFormatting>
  <conditionalFormatting sqref="AW160">
    <cfRule type="cellIs" dxfId="4" priority="27" operator="lessThan">
      <formula>0</formula>
    </cfRule>
    <cfRule type="cellIs" dxfId="5" priority="38" operator="lessThan">
      <formula>0</formula>
    </cfRule>
  </conditionalFormatting>
  <conditionalFormatting sqref="AX160">
    <cfRule type="cellIs" dxfId="4" priority="26" operator="lessThan">
      <formula>0</formula>
    </cfRule>
    <cfRule type="cellIs" dxfId="5" priority="37" operator="lessThan">
      <formula>0</formula>
    </cfRule>
  </conditionalFormatting>
  <conditionalFormatting sqref="AY160">
    <cfRule type="cellIs" dxfId="4" priority="25" operator="lessThan">
      <formula>0</formula>
    </cfRule>
    <cfRule type="cellIs" dxfId="5" priority="36" operator="lessThan">
      <formula>0</formula>
    </cfRule>
  </conditionalFormatting>
  <conditionalFormatting sqref="S169">
    <cfRule type="cellIs" dxfId="4" priority="115" operator="lessThan">
      <formula>0</formula>
    </cfRule>
    <cfRule type="cellIs" dxfId="5" priority="116" operator="lessThan">
      <formula>0</formula>
    </cfRule>
  </conditionalFormatting>
  <conditionalFormatting sqref="AK169:AM169">
    <cfRule type="cellIs" dxfId="4" priority="120" operator="lessThan">
      <formula>0</formula>
    </cfRule>
    <cfRule type="cellIs" dxfId="5" priority="121" operator="lessThan">
      <formula>0</formula>
    </cfRule>
  </conditionalFormatting>
  <conditionalFormatting sqref="S178">
    <cfRule type="cellIs" dxfId="4" priority="112" operator="lessThan">
      <formula>0</formula>
    </cfRule>
    <cfRule type="cellIs" dxfId="5" priority="113" operator="lessThan">
      <formula>0</formula>
    </cfRule>
  </conditionalFormatting>
  <conditionalFormatting sqref="AK178:AM178">
    <cfRule type="cellIs" dxfId="4" priority="118" operator="lessThan">
      <formula>0</formula>
    </cfRule>
    <cfRule type="cellIs" dxfId="5" priority="119" operator="lessThan">
      <formula>0</formula>
    </cfRule>
  </conditionalFormatting>
  <conditionalFormatting sqref="S12:S15">
    <cfRule type="cellIs" dxfId="4" priority="819" operator="lessThan">
      <formula>0</formula>
    </cfRule>
    <cfRule type="cellIs" dxfId="5" priority="820" operator="lessThan">
      <formula>0</formula>
    </cfRule>
  </conditionalFormatting>
  <conditionalFormatting sqref="S21:S24">
    <cfRule type="cellIs" dxfId="4" priority="678" operator="lessThan">
      <formula>0</formula>
    </cfRule>
    <cfRule type="cellIs" dxfId="5" priority="679" operator="lessThan">
      <formula>0</formula>
    </cfRule>
  </conditionalFormatting>
  <conditionalFormatting sqref="S30:S33">
    <cfRule type="cellIs" dxfId="4" priority="593" operator="lessThan">
      <formula>0</formula>
    </cfRule>
    <cfRule type="cellIs" dxfId="5" priority="594" operator="lessThan">
      <formula>0</formula>
    </cfRule>
  </conditionalFormatting>
  <conditionalFormatting sqref="S171:S173">
    <cfRule type="cellIs" dxfId="4" priority="117" operator="lessThan">
      <formula>0</formula>
    </cfRule>
  </conditionalFormatting>
  <conditionalFormatting sqref="S180:S182">
    <cfRule type="cellIs" dxfId="4" priority="114" operator="lessThan">
      <formula>0</formula>
    </cfRule>
  </conditionalFormatting>
  <conditionalFormatting sqref="AO152:AO155">
    <cfRule type="cellIs" dxfId="4" priority="73" operator="lessThan">
      <formula>0</formula>
    </cfRule>
  </conditionalFormatting>
  <conditionalFormatting sqref="AO161:AO164">
    <cfRule type="cellIs" dxfId="4" priority="24" operator="lessThan">
      <formula>0</formula>
    </cfRule>
  </conditionalFormatting>
  <conditionalFormatting sqref="AP152:AP155">
    <cfRule type="cellIs" dxfId="4" priority="72" operator="lessThan">
      <formula>0</formula>
    </cfRule>
  </conditionalFormatting>
  <conditionalFormatting sqref="AP161:AP164">
    <cfRule type="cellIs" dxfId="4" priority="23" operator="lessThan">
      <formula>0</formula>
    </cfRule>
  </conditionalFormatting>
  <conditionalFormatting sqref="AQ152:AQ155">
    <cfRule type="cellIs" dxfId="4" priority="71" operator="lessThan">
      <formula>0</formula>
    </cfRule>
  </conditionalFormatting>
  <conditionalFormatting sqref="AQ161:AQ164">
    <cfRule type="cellIs" dxfId="4" priority="22" operator="lessThan">
      <formula>0</formula>
    </cfRule>
  </conditionalFormatting>
  <conditionalFormatting sqref="AR152:AR155">
    <cfRule type="cellIs" dxfId="4" priority="70" operator="lessThan">
      <formula>0</formula>
    </cfRule>
  </conditionalFormatting>
  <conditionalFormatting sqref="AR161:AR164">
    <cfRule type="cellIs" dxfId="4" priority="21" operator="lessThan">
      <formula>0</formula>
    </cfRule>
  </conditionalFormatting>
  <conditionalFormatting sqref="AS152:AS155">
    <cfRule type="cellIs" dxfId="4" priority="69" operator="lessThan">
      <formula>0</formula>
    </cfRule>
  </conditionalFormatting>
  <conditionalFormatting sqref="AS161:AS164">
    <cfRule type="cellIs" dxfId="4" priority="20" operator="lessThan">
      <formula>0</formula>
    </cfRule>
  </conditionalFormatting>
  <conditionalFormatting sqref="AT152:AT155">
    <cfRule type="cellIs" dxfId="4" priority="68" operator="lessThan">
      <formula>0</formula>
    </cfRule>
  </conditionalFormatting>
  <conditionalFormatting sqref="AT161:AT164">
    <cfRule type="cellIs" dxfId="4" priority="19" operator="lessThan">
      <formula>0</formula>
    </cfRule>
  </conditionalFormatting>
  <conditionalFormatting sqref="AU152:AU155">
    <cfRule type="cellIs" dxfId="4" priority="67" operator="lessThan">
      <formula>0</formula>
    </cfRule>
  </conditionalFormatting>
  <conditionalFormatting sqref="AU161:AU164">
    <cfRule type="cellIs" dxfId="4" priority="18" operator="lessThan">
      <formula>0</formula>
    </cfRule>
  </conditionalFormatting>
  <conditionalFormatting sqref="AV152:AV155">
    <cfRule type="cellIs" dxfId="4" priority="66" operator="lessThan">
      <formula>0</formula>
    </cfRule>
  </conditionalFormatting>
  <conditionalFormatting sqref="AV161:AV164">
    <cfRule type="cellIs" dxfId="4" priority="17" operator="lessThan">
      <formula>0</formula>
    </cfRule>
  </conditionalFormatting>
  <conditionalFormatting sqref="AW152:AW155">
    <cfRule type="cellIs" dxfId="4" priority="65" operator="lessThan">
      <formula>0</formula>
    </cfRule>
  </conditionalFormatting>
  <conditionalFormatting sqref="AW161:AW164">
    <cfRule type="cellIs" dxfId="4" priority="16" operator="lessThan">
      <formula>0</formula>
    </cfRule>
  </conditionalFormatting>
  <conditionalFormatting sqref="AX152:AX155">
    <cfRule type="cellIs" dxfId="4" priority="64" operator="lessThan">
      <formula>0</formula>
    </cfRule>
  </conditionalFormatting>
  <conditionalFormatting sqref="AX161:AX164">
    <cfRule type="cellIs" dxfId="4" priority="15" operator="lessThan">
      <formula>0</formula>
    </cfRule>
  </conditionalFormatting>
  <conditionalFormatting sqref="AY152:AY155">
    <cfRule type="cellIs" dxfId="4" priority="63" operator="lessThan">
      <formula>0</formula>
    </cfRule>
  </conditionalFormatting>
  <conditionalFormatting sqref="AY161:AY164">
    <cfRule type="cellIs" dxfId="4" priority="14" operator="lessThan">
      <formula>0</formula>
    </cfRule>
  </conditionalFormatting>
  <conditionalFormatting sqref="AZ90:AZ92">
    <cfRule type="cellIs" dxfId="4" priority="10" operator="lessThan">
      <formula>0</formula>
    </cfRule>
  </conditionalFormatting>
  <conditionalFormatting sqref="AZ135:AZ137">
    <cfRule type="cellIs" dxfId="4" priority="111" operator="lessThan">
      <formula>0</formula>
    </cfRule>
  </conditionalFormatting>
  <conditionalFormatting sqref="AZ152:AZ155">
    <cfRule type="cellIs" dxfId="4" priority="101" operator="lessThan">
      <formula>0</formula>
    </cfRule>
  </conditionalFormatting>
  <conditionalFormatting sqref="AZ161:AZ164">
    <cfRule type="cellIs" dxfId="4" priority="52" operator="lessThan">
      <formula>0</formula>
    </cfRule>
  </conditionalFormatting>
  <conditionalFormatting sqref="BA9:BA11">
    <cfRule type="cellIs" dxfId="4" priority="217" operator="lessThan">
      <formula>0</formula>
    </cfRule>
  </conditionalFormatting>
  <conditionalFormatting sqref="BA18:BA20">
    <cfRule type="cellIs" dxfId="4" priority="218" operator="lessThan">
      <formula>0</formula>
    </cfRule>
  </conditionalFormatting>
  <conditionalFormatting sqref="BA27:BA29">
    <cfRule type="cellIs" dxfId="4" priority="216" operator="lessThan">
      <formula>0</formula>
    </cfRule>
  </conditionalFormatting>
  <conditionalFormatting sqref="BA36:BA38">
    <cfRule type="cellIs" dxfId="4" priority="215" operator="lessThan">
      <formula>0</formula>
    </cfRule>
  </conditionalFormatting>
  <conditionalFormatting sqref="BA44:BA47">
    <cfRule type="cellIs" dxfId="4" priority="214" operator="lessThan">
      <formula>0</formula>
    </cfRule>
  </conditionalFormatting>
  <conditionalFormatting sqref="BA89:BA92">
    <cfRule type="cellIs" dxfId="4" priority="212" operator="lessThan">
      <formula>0</formula>
    </cfRule>
  </conditionalFormatting>
  <conditionalFormatting sqref="BA152:BA155">
    <cfRule type="cellIs" dxfId="4" priority="100" operator="lessThan">
      <formula>0</formula>
    </cfRule>
  </conditionalFormatting>
  <conditionalFormatting sqref="BA161:BA164">
    <cfRule type="cellIs" dxfId="4" priority="51" operator="lessThan">
      <formula>0</formula>
    </cfRule>
  </conditionalFormatting>
  <conditionalFormatting sqref="BA170:BA173">
    <cfRule type="cellIs" dxfId="4" priority="210" operator="lessThan">
      <formula>0</formula>
    </cfRule>
  </conditionalFormatting>
  <conditionalFormatting sqref="BA179:BA182">
    <cfRule type="cellIs" dxfId="4" priority="206" operator="lessThan">
      <formula>0</formula>
    </cfRule>
  </conditionalFormatting>
  <conditionalFormatting sqref="BB9:BB11">
    <cfRule type="cellIs" dxfId="4" priority="787" operator="lessThan">
      <formula>0</formula>
    </cfRule>
  </conditionalFormatting>
  <conditionalFormatting sqref="BB18:BB20">
    <cfRule type="cellIs" dxfId="4" priority="983" operator="lessThan">
      <formula>0</formula>
    </cfRule>
  </conditionalFormatting>
  <conditionalFormatting sqref="BB27:BB29">
    <cfRule type="cellIs" dxfId="4" priority="682" operator="lessThan">
      <formula>0</formula>
    </cfRule>
  </conditionalFormatting>
  <conditionalFormatting sqref="BB36:BB38">
    <cfRule type="cellIs" dxfId="4" priority="597" operator="lessThan">
      <formula>0</formula>
    </cfRule>
  </conditionalFormatting>
  <conditionalFormatting sqref="BB170:BB173">
    <cfRule type="cellIs" dxfId="4" priority="209" operator="lessThan">
      <formula>0</formula>
    </cfRule>
  </conditionalFormatting>
  <conditionalFormatting sqref="BB179:BB182">
    <cfRule type="cellIs" dxfId="4" priority="205" operator="lessThan">
      <formula>0</formula>
    </cfRule>
  </conditionalFormatting>
  <conditionalFormatting sqref="BC170:BC173">
    <cfRule type="cellIs" dxfId="4" priority="208" operator="lessThan">
      <formula>0</formula>
    </cfRule>
  </conditionalFormatting>
  <conditionalFormatting sqref="BC179:BC182">
    <cfRule type="cellIs" dxfId="4" priority="204" operator="lessThan">
      <formula>0</formula>
    </cfRule>
  </conditionalFormatting>
  <conditionalFormatting sqref="BD170:BD173">
    <cfRule type="cellIs" dxfId="4" priority="207" operator="lessThan">
      <formula>0</formula>
    </cfRule>
  </conditionalFormatting>
  <conditionalFormatting sqref="BD179:BD182">
    <cfRule type="cellIs" dxfId="4" priority="203" operator="lessThan">
      <formula>0</formula>
    </cfRule>
  </conditionalFormatting>
  <conditionalFormatting sqref="S2:S7 T7:AI7 T16:U16 T25:U25 T34:U34 T43:U43 T52:U52 T61:U61 T70:U70 T79:U79 AH16:AI16 AH25:AI25 AH34:AI34 AH43:AI43 AH52:AI52 AH61:AI61 AH70:AI70 AH79:AI79 AH88:AI88 AH97:AI97 AH106:AI106 AH115:AI115 AH124:AI124 AH133:AI133 AH142:AI142 AH169:AI169 AH178:AI178 AI151 AI160 AZ7:BA7 AZ16 AZ25 AZ34 AZ43 AZ52 AZ61 AZ70 AZ79 AZ97 AZ106 AZ115 AZ124 AZ142 AZ169:BA169 AZ178:BA178">
    <cfRule type="cellIs" dxfId="4" priority="782" operator="lessThan">
      <formula>0</formula>
    </cfRule>
    <cfRule type="cellIs" dxfId="5" priority="783" operator="lessThan">
      <formula>0</formula>
    </cfRule>
  </conditionalFormatting>
  <conditionalFormatting sqref="AO7 AO16 AO25 AO34 AO43 AO52 AO61 AO70 AO79 AO88 AO97 AO106 AO115 AO124 AO133 AO142 AO169 AO178">
    <cfRule type="cellIs" dxfId="4" priority="149" operator="lessThan">
      <formula>0</formula>
    </cfRule>
    <cfRule type="cellIs" dxfId="5" priority="160" operator="lessThan">
      <formula>0</formula>
    </cfRule>
  </conditionalFormatting>
  <conditionalFormatting sqref="AP7 AP16 AP25 AP34 AP43 AP52 AP61 AP70 AP79 AP88 AP97 AP106 AP115 AP124 AP133 AP142 AP169 AP178">
    <cfRule type="cellIs" dxfId="4" priority="148" operator="lessThan">
      <formula>0</formula>
    </cfRule>
    <cfRule type="cellIs" dxfId="5" priority="159" operator="lessThan">
      <formula>0</formula>
    </cfRule>
  </conditionalFormatting>
  <conditionalFormatting sqref="AQ7 AQ16 AQ25 AQ34 AQ43 AQ52 AQ61 AQ70 AQ79 AQ88 AQ97 AQ106 AQ115 AQ124 AQ133 AQ142 AQ169 AQ178">
    <cfRule type="cellIs" dxfId="4" priority="147" operator="lessThan">
      <formula>0</formula>
    </cfRule>
    <cfRule type="cellIs" dxfId="5" priority="158" operator="lessThan">
      <formula>0</formula>
    </cfRule>
  </conditionalFormatting>
  <conditionalFormatting sqref="AR7 AR16 AR25 AR34 AR43 AR52 AR61 AR70 AR79 AR88 AR97 AR106 AR115 AR124 AR133 AR142 AR169 AR178">
    <cfRule type="cellIs" dxfId="4" priority="146" operator="lessThan">
      <formula>0</formula>
    </cfRule>
    <cfRule type="cellIs" dxfId="5" priority="157" operator="lessThan">
      <formula>0</formula>
    </cfRule>
  </conditionalFormatting>
  <conditionalFormatting sqref="AS7 AS16 AS25 AS34 AS43 AS52 AS61 AS70 AS79 AS88 AS97 AS106 AS115 AS124 AS133 AS142 AS169 AS178">
    <cfRule type="cellIs" dxfId="4" priority="145" operator="lessThan">
      <formula>0</formula>
    </cfRule>
    <cfRule type="cellIs" dxfId="5" priority="156" operator="lessThan">
      <formula>0</formula>
    </cfRule>
  </conditionalFormatting>
  <conditionalFormatting sqref="AT7 AT16 AT25 AT34 AT43 AT52 AT61 AT70 AT79 AT88 AT97 AT106 AT115 AT124 AT133 AT142 AT169 AT178">
    <cfRule type="cellIs" dxfId="4" priority="144" operator="lessThan">
      <formula>0</formula>
    </cfRule>
    <cfRule type="cellIs" dxfId="5" priority="155" operator="lessThan">
      <formula>0</formula>
    </cfRule>
  </conditionalFormatting>
  <conditionalFormatting sqref="AU7 AU16 AU25 AU34 AU43 AU52 AU61 AU70 AU79 AU88 AU97 AU106 AU115 AU124 AU133 AU142 AU169 AU178">
    <cfRule type="cellIs" dxfId="4" priority="143" operator="lessThan">
      <formula>0</formula>
    </cfRule>
    <cfRule type="cellIs" dxfId="5" priority="154" operator="lessThan">
      <formula>0</formula>
    </cfRule>
  </conditionalFormatting>
  <conditionalFormatting sqref="AV7 AV16 AV25 AV34 AV43 AV52 AV61 AV70 AV79 AV88 AV97 AV106 AV115 AV124 AV133 AV142 AV169 AV178">
    <cfRule type="cellIs" dxfId="4" priority="142" operator="lessThan">
      <formula>0</formula>
    </cfRule>
    <cfRule type="cellIs" dxfId="5" priority="153" operator="lessThan">
      <formula>0</formula>
    </cfRule>
  </conditionalFormatting>
  <conditionalFormatting sqref="AW7 AW16 AW25 AW34 AW43 AW52 AW61 AW70 AW79 AW88 AW97 AW106 AW115 AW124 AW133 AW142 AW169 AW178">
    <cfRule type="cellIs" dxfId="4" priority="141" operator="lessThan">
      <formula>0</formula>
    </cfRule>
    <cfRule type="cellIs" dxfId="5" priority="152" operator="lessThan">
      <formula>0</formula>
    </cfRule>
  </conditionalFormatting>
  <conditionalFormatting sqref="AX7 AX16 AX25 AX34 AX43 AX52 AX61 AX70 AX79 AX88 AX97 AX106 AX115 AX124 AX133 AX142 AX169 AX178">
    <cfRule type="cellIs" dxfId="4" priority="140" operator="lessThan">
      <formula>0</formula>
    </cfRule>
    <cfRule type="cellIs" dxfId="5" priority="151" operator="lessThan">
      <formula>0</formula>
    </cfRule>
  </conditionalFormatting>
  <conditionalFormatting sqref="AY7 AY16 AY25 AY34 AY43 AY52 AY61 AY70 AY79 AY88 AY97 AY106 AY115 AY124 AY133 AY142 AY169 AY178">
    <cfRule type="cellIs" dxfId="4" priority="139" operator="lessThan">
      <formula>0</formula>
    </cfRule>
    <cfRule type="cellIs" dxfId="5" priority="150" operator="lessThan">
      <formula>0</formula>
    </cfRule>
  </conditionalFormatting>
  <conditionalFormatting sqref="AO8:AO11 AO17:AO20 AO26:AO29 AO35:AO38 AO44:AO47 AO53:AO56 AO62:AO65 AO71:AO74 AO80:AO83 AO89:AO92 AO98:AO101 AO107:AO110 AO116:AO119 AO125:AO128 AO134:AO137 AO143:AO146 AO170:AO173 AO179:AO182">
    <cfRule type="cellIs" dxfId="4" priority="138" operator="lessThan">
      <formula>0</formula>
    </cfRule>
  </conditionalFormatting>
  <conditionalFormatting sqref="AP8:AP11 AP17:AP20 AP26:AP29 AP35:AP38 AP44:AP47 AP53:AP56 AP62:AP65 AP71:AP74 AP80:AP83 AP89:AP92 AP98:AP101 AP107:AP110 AP116:AP119 AP125:AP128 AP134:AP137 AP143:AP146 AP170:AP173 AP179:AP182">
    <cfRule type="cellIs" dxfId="4" priority="137" operator="lessThan">
      <formula>0</formula>
    </cfRule>
  </conditionalFormatting>
  <conditionalFormatting sqref="AQ8:AQ11 AQ17:AQ20 AQ26:AQ29 AQ35:AQ38 AQ44:AQ47 AQ53:AQ56 AQ62:AQ65 AQ71:AQ74 AQ80:AQ83 AQ89:AQ92 AQ98:AQ101 AQ107:AQ110 AQ116:AQ119 AQ125:AQ128 AQ134:AQ137 AQ143:AQ146 AQ170:AQ173 AQ179:AQ182">
    <cfRule type="cellIs" dxfId="4" priority="136" operator="lessThan">
      <formula>0</formula>
    </cfRule>
  </conditionalFormatting>
  <conditionalFormatting sqref="AR8:AR11 AR17:AR20 AR26:AR29 AR35:AR38 AR44:AR47 AR53:AR56 AR62:AR65 AR71:AR74 AR80:AR83 AR89:AR92 AR98:AR101 AR107:AR110 AR116:AR119 AR125:AR128 AR134:AR137 AR143:AR146 AR170:AR173 AR179:AR182">
    <cfRule type="cellIs" dxfId="4" priority="135" operator="lessThan">
      <formula>0</formula>
    </cfRule>
  </conditionalFormatting>
  <conditionalFormatting sqref="AS8:AS11 AS17:AS20 AS26:AS29 AS35:AS38 AS44:AS47 AS53:AS56 AS62:AS65 AS71:AS74 AS80:AS83 AS89:AS92 AS98:AS101 AS107:AS110 AS116:AS119 AS125:AS128 AS134:AS137 AS143:AS146 AS170:AS173 AS179:AS182">
    <cfRule type="cellIs" dxfId="4" priority="134" operator="lessThan">
      <formula>0</formula>
    </cfRule>
  </conditionalFormatting>
  <conditionalFormatting sqref="AT8:AT11 AT17:AT20 AT26:AT29 AT35:AT38 AT44:AT47 AT53:AT56 AT62:AT65 AT71:AT74 AT80:AT83 AT89:AT92 AT98:AT101 AT107:AT110 AT116:AT119 AT125:AT128 AT134:AT137 AT143:AT146 AT170:AT173 AT179:AT182">
    <cfRule type="cellIs" dxfId="4" priority="133" operator="lessThan">
      <formula>0</formula>
    </cfRule>
  </conditionalFormatting>
  <conditionalFormatting sqref="AU8:AU11 AU17:AU20 AU26:AU29 AU35:AU38 AU44:AU47 AU53:AU56 AU62:AU65 AU71:AU74 AU80:AU83 AU89:AU92 AU98:AU101 AU107:AU110 AU116:AU119 AU125:AU128 AU134:AU137 AU143:AU146 AU170:AU173 AU179:AU182">
    <cfRule type="cellIs" dxfId="4" priority="132" operator="lessThan">
      <formula>0</formula>
    </cfRule>
  </conditionalFormatting>
  <conditionalFormatting sqref="AV8:AV11 AV17:AV20 AV26:AV29 AV35:AV38 AV44:AV47 AV53:AV56 AV62:AV65 AV71:AV74 AV80:AV83 AV89:AV92 AV98:AV101 AV107:AV110 AV116:AV119 AV125:AV128 AV134:AV137 AV143:AV146 AV170:AV173 AV179:AV182">
    <cfRule type="cellIs" dxfId="4" priority="131" operator="lessThan">
      <formula>0</formula>
    </cfRule>
  </conditionalFormatting>
  <conditionalFormatting sqref="AW8:AW11 AW17:AW20 AW26:AW29 AW35:AW38 AW44:AW47 AW53:AW56 AW62:AW65 AW71:AW74 AW80:AW83 AW89:AW92 AW98:AW101 AW107:AW110 AW116:AW119 AW125:AW128 AW134:AW137 AW143:AW146 AW170:AW173 AW179:AW182">
    <cfRule type="cellIs" dxfId="4" priority="130" operator="lessThan">
      <formula>0</formula>
    </cfRule>
  </conditionalFormatting>
  <conditionalFormatting sqref="AX8:AX11 AX17:AX20 AX26:AX29 AX35:AX38 AX44:AX47 AX53:AX56 AX62:AX65 AX71:AX74 AX80:AX83 AX89:AX92 AX98:AX101 AX107:AX110 AX116:AX119 AX125:AX128 AX134:AX137 AX143:AX146 AX170:AX173 AX179:AX182">
    <cfRule type="cellIs" dxfId="4" priority="129" operator="lessThan">
      <formula>0</formula>
    </cfRule>
  </conditionalFormatting>
  <conditionalFormatting sqref="AY8:AY11 AY17:AY20 AY26:AY29 AY35:AY38 AY44:AY47 AY53:AY56 AY62:AY65 AY71:AY74 AY80:AY83 AY89:AY92 AY98:AY101 AY107:AY110 AY116:AY119 AY125:AY128 AY134:AY137 AY143:AY146 AY170:AY173 AY179:AY182">
    <cfRule type="cellIs" dxfId="4" priority="128" operator="lessThan">
      <formula>0</formula>
    </cfRule>
  </conditionalFormatting>
  <conditionalFormatting sqref="AZ8:AZ11 AZ17:AZ20 AZ26:AZ29 AZ35:AZ38 AZ44:AZ47 AZ53:AZ56 AZ62:AZ65 AZ71:AZ74 AZ80:AZ83 AZ98:AZ101 AZ107:AZ110 AZ116:AZ119 AZ125:AZ128 AZ143:AZ146 AZ170:AZ173 AZ179:AZ182">
    <cfRule type="cellIs" dxfId="4" priority="268" operator="lessThan">
      <formula>0</formula>
    </cfRule>
  </conditionalFormatting>
  <conditionalFormatting sqref="S45:Y47 S54:Y56 S63:Y65 S72:Y74 S81:Y83 S90:Y92 S99:S101 S108:S110 S117:S119 S126:S128 S135:Y137 S144:S146 T9:V11 T18:AG20 T27:AG29 T36:AG38 V99:Y101 V108:Y110 V117:Y119 V126:Y128 V144:Y146">
    <cfRule type="cellIs" dxfId="4" priority="280" operator="lessThan">
      <formula>0</formula>
    </cfRule>
  </conditionalFormatting>
  <conditionalFormatting sqref="W9:AG11">
    <cfRule type="cellIs" dxfId="4" priority="269" operator="lessThan">
      <formula>0</formula>
    </cfRule>
  </conditionalFormatting>
  <conditionalFormatting sqref="S16 V16:AG16 AJ16:AN16 BA16">
    <cfRule type="cellIs" dxfId="4" priority="197" operator="lessThan">
      <formula>0</formula>
    </cfRule>
    <cfRule type="cellIs" dxfId="5" priority="198" operator="lessThan">
      <formula>0</formula>
    </cfRule>
  </conditionalFormatting>
  <conditionalFormatting sqref="S25 V25:AG25 AJ25:AN25 BA25">
    <cfRule type="cellIs" dxfId="4" priority="195" operator="lessThan">
      <formula>0</formula>
    </cfRule>
    <cfRule type="cellIs" dxfId="5" priority="196" operator="lessThan">
      <formula>0</formula>
    </cfRule>
  </conditionalFormatting>
  <conditionalFormatting sqref="S34 V34:AG34 AJ34:AN34 BA34">
    <cfRule type="cellIs" dxfId="4" priority="193" operator="lessThan">
      <formula>0</formula>
    </cfRule>
    <cfRule type="cellIs" dxfId="5" priority="194" operator="lessThan">
      <formula>0</formula>
    </cfRule>
  </conditionalFormatting>
  <conditionalFormatting sqref="S43 V43:AG43 AJ43:AN43 BA43">
    <cfRule type="cellIs" dxfId="4" priority="191" operator="lessThan">
      <formula>0</formula>
    </cfRule>
    <cfRule type="cellIs" dxfId="5" priority="192" operator="lessThan">
      <formula>0</formula>
    </cfRule>
  </conditionalFormatting>
  <conditionalFormatting sqref="Z44:AG47">
    <cfRule type="cellIs" dxfId="4" priority="509" operator="lessThan">
      <formula>0</formula>
    </cfRule>
  </conditionalFormatting>
  <conditionalFormatting sqref="BB44:BC47">
    <cfRule type="cellIs" dxfId="4" priority="283" operator="lessThan">
      <formula>0</formula>
    </cfRule>
  </conditionalFormatting>
  <conditionalFormatting sqref="S52 V52:AG52 AJ52:AN52 BA52">
    <cfRule type="cellIs" dxfId="4" priority="189" operator="lessThan">
      <formula>0</formula>
    </cfRule>
    <cfRule type="cellIs" dxfId="5" priority="190" operator="lessThan">
      <formula>0</formula>
    </cfRule>
  </conditionalFormatting>
  <conditionalFormatting sqref="Z53:AG56">
    <cfRule type="cellIs" dxfId="4" priority="501" operator="lessThan">
      <formula>0</formula>
    </cfRule>
  </conditionalFormatting>
  <conditionalFormatting sqref="BA53:BA56 BA62:BA65 BA71:BA74 BA80:BA83 BA98:BA101 BA107:BA110 BA116:BA119 BA125:BA128 BA134:BA137 BA143:BA146">
    <cfRule type="cellIs" dxfId="4" priority="213" operator="lessThan">
      <formula>0</formula>
    </cfRule>
  </conditionalFormatting>
  <conditionalFormatting sqref="BB53:BC56 BB62:BC65 BB71:BC74 BB80:BC83 BB98:BC101 BB107:BC110 BB116:BC119 BB125:BC128 BB134:BC137 BB143:BC146">
    <cfRule type="cellIs" dxfId="4" priority="282" operator="lessThan">
      <formula>0</formula>
    </cfRule>
  </conditionalFormatting>
  <conditionalFormatting sqref="S61 V61:AG61 AJ61:AN61 BA61">
    <cfRule type="cellIs" dxfId="4" priority="187" operator="lessThan">
      <formula>0</formula>
    </cfRule>
    <cfRule type="cellIs" dxfId="5" priority="188" operator="lessThan">
      <formula>0</formula>
    </cfRule>
  </conditionalFormatting>
  <conditionalFormatting sqref="Z62:AG65">
    <cfRule type="cellIs" dxfId="4" priority="474" operator="lessThan">
      <formula>0</formula>
    </cfRule>
  </conditionalFormatting>
  <conditionalFormatting sqref="S70 V70:AG70 AJ70:AN70 BA70">
    <cfRule type="cellIs" dxfId="4" priority="185" operator="lessThan">
      <formula>0</formula>
    </cfRule>
    <cfRule type="cellIs" dxfId="5" priority="186" operator="lessThan">
      <formula>0</formula>
    </cfRule>
  </conditionalFormatting>
  <conditionalFormatting sqref="Z71:AG74">
    <cfRule type="cellIs" dxfId="4" priority="493" operator="lessThan">
      <formula>0</formula>
    </cfRule>
  </conditionalFormatting>
  <conditionalFormatting sqref="S79 V79:AG79 AJ79:AN79 BA79">
    <cfRule type="cellIs" dxfId="4" priority="183" operator="lessThan">
      <formula>0</formula>
    </cfRule>
    <cfRule type="cellIs" dxfId="5" priority="184" operator="lessThan">
      <formula>0</formula>
    </cfRule>
  </conditionalFormatting>
  <conditionalFormatting sqref="Z80:AG83">
    <cfRule type="cellIs" dxfId="4" priority="485" operator="lessThan">
      <formula>0</formula>
    </cfRule>
  </conditionalFormatting>
  <conditionalFormatting sqref="S88:AG88 AJ88:AN88 BA88">
    <cfRule type="cellIs" dxfId="4" priority="181" operator="lessThan">
      <formula>0</formula>
    </cfRule>
    <cfRule type="cellIs" dxfId="5" priority="182" operator="lessThan">
      <formula>0</formula>
    </cfRule>
  </conditionalFormatting>
  <conditionalFormatting sqref="Z89:AG92">
    <cfRule type="cellIs" dxfId="4" priority="364" operator="lessThan">
      <formula>0</formula>
    </cfRule>
  </conditionalFormatting>
  <conditionalFormatting sqref="BB89:BC92">
    <cfRule type="cellIs" dxfId="4" priority="281" operator="lessThan">
      <formula>0</formula>
    </cfRule>
  </conditionalFormatting>
  <conditionalFormatting sqref="S97 V97:AG97 AJ97:AN97 BA97">
    <cfRule type="cellIs" dxfId="4" priority="179" operator="lessThan">
      <formula>0</formula>
    </cfRule>
    <cfRule type="cellIs" dxfId="5" priority="180" operator="lessThan">
      <formula>0</formula>
    </cfRule>
  </conditionalFormatting>
  <conditionalFormatting sqref="T97:U97 T106:U106 T115:U115 T124:U124">
    <cfRule type="cellIs" dxfId="4" priority="126" operator="lessThan">
      <formula>0</formula>
    </cfRule>
    <cfRule type="cellIs" dxfId="5" priority="127" operator="lessThan">
      <formula>0</formula>
    </cfRule>
  </conditionalFormatting>
  <conditionalFormatting sqref="Z98:AG101 Z107:AG110">
    <cfRule type="cellIs" dxfId="4" priority="462" operator="lessThan">
      <formula>0</formula>
    </cfRule>
  </conditionalFormatting>
  <conditionalFormatting sqref="T99:U101 T108:U110 T117:U119 T126:U128">
    <cfRule type="cellIs" dxfId="4" priority="125" operator="lessThan">
      <formula>0</formula>
    </cfRule>
  </conditionalFormatting>
  <conditionalFormatting sqref="S106 V106:AG106 AJ106:AN106 BA106">
    <cfRule type="cellIs" dxfId="4" priority="177" operator="lessThan">
      <formula>0</formula>
    </cfRule>
    <cfRule type="cellIs" dxfId="5" priority="178" operator="lessThan">
      <formula>0</formula>
    </cfRule>
  </conditionalFormatting>
  <conditionalFormatting sqref="S115 V115:AG115 AJ115:AN115 BA115">
    <cfRule type="cellIs" dxfId="4" priority="175" operator="lessThan">
      <formula>0</formula>
    </cfRule>
    <cfRule type="cellIs" dxfId="5" priority="176" operator="lessThan">
      <formula>0</formula>
    </cfRule>
  </conditionalFormatting>
  <conditionalFormatting sqref="Z116:AG119">
    <cfRule type="cellIs" dxfId="4" priority="440" operator="lessThan">
      <formula>0</formula>
    </cfRule>
  </conditionalFormatting>
  <conditionalFormatting sqref="S124 V124:AG124 AJ124:AN124 BA124">
    <cfRule type="cellIs" dxfId="4" priority="173" operator="lessThan">
      <formula>0</formula>
    </cfRule>
    <cfRule type="cellIs" dxfId="5" priority="174" operator="lessThan">
      <formula>0</formula>
    </cfRule>
  </conditionalFormatting>
  <conditionalFormatting sqref="Z125:AG128">
    <cfRule type="cellIs" dxfId="4" priority="451" operator="lessThan">
      <formula>0</formula>
    </cfRule>
  </conditionalFormatting>
  <conditionalFormatting sqref="S133:AG133 AJ133:AN133 BA133">
    <cfRule type="cellIs" dxfId="4" priority="171" operator="lessThan">
      <formula>0</formula>
    </cfRule>
    <cfRule type="cellIs" dxfId="5" priority="172" operator="lessThan">
      <formula>0</formula>
    </cfRule>
  </conditionalFormatting>
  <conditionalFormatting sqref="Z134:AG137">
    <cfRule type="cellIs" dxfId="4" priority="379" operator="lessThan">
      <formula>0</formula>
    </cfRule>
  </conditionalFormatting>
  <conditionalFormatting sqref="S142 V142:AG142 AJ142:AN142 BA142">
    <cfRule type="cellIs" dxfId="4" priority="169" operator="lessThan">
      <formula>0</formula>
    </cfRule>
    <cfRule type="cellIs" dxfId="5" priority="170" operator="lessThan">
      <formula>0</formula>
    </cfRule>
  </conditionalFormatting>
  <conditionalFormatting sqref="T142:U142 T169:U169 T178:U178">
    <cfRule type="cellIs" dxfId="4" priority="123" operator="lessThan">
      <formula>0</formula>
    </cfRule>
    <cfRule type="cellIs" dxfId="5" priority="124" operator="lessThan">
      <formula>0</formula>
    </cfRule>
  </conditionalFormatting>
  <conditionalFormatting sqref="Z143:AG146">
    <cfRule type="cellIs" dxfId="4" priority="351" operator="lessThan">
      <formula>0</formula>
    </cfRule>
  </conditionalFormatting>
  <conditionalFormatting sqref="T144:U146 T171:U173 T180:U182">
    <cfRule type="cellIs" dxfId="4" priority="122" operator="lessThan">
      <formula>0</formula>
    </cfRule>
  </conditionalFormatting>
  <conditionalFormatting sqref="S151 V151:AG151 AJ151:AL151 AN151 BA151">
    <cfRule type="cellIs" dxfId="4" priority="98" operator="lessThan">
      <formula>0</formula>
    </cfRule>
    <cfRule type="cellIs" dxfId="5" priority="99" operator="lessThan">
      <formula>0</formula>
    </cfRule>
  </conditionalFormatting>
  <conditionalFormatting sqref="AH151 AZ151">
    <cfRule type="cellIs" dxfId="4" priority="107" operator="lessThan">
      <formula>0</formula>
    </cfRule>
    <cfRule type="cellIs" dxfId="5" priority="108" operator="lessThan">
      <formula>0</formula>
    </cfRule>
  </conditionalFormatting>
  <conditionalFormatting sqref="Z152:AG155">
    <cfRule type="cellIs" dxfId="4" priority="104" operator="lessThan">
      <formula>0</formula>
    </cfRule>
  </conditionalFormatting>
  <conditionalFormatting sqref="BB152:BC155">
    <cfRule type="cellIs" dxfId="4" priority="103" operator="lessThan">
      <formula>0</formula>
    </cfRule>
  </conditionalFormatting>
  <conditionalFormatting sqref="S153:S155 V153:Y155">
    <cfRule type="cellIs" dxfId="4" priority="102" operator="lessThan">
      <formula>0</formula>
    </cfRule>
  </conditionalFormatting>
  <conditionalFormatting sqref="T153:U155">
    <cfRule type="cellIs" dxfId="4" priority="60" operator="lessThan">
      <formula>0</formula>
    </cfRule>
  </conditionalFormatting>
  <conditionalFormatting sqref="S160 V160:AG160 AJ160:AK160 AN160 BA160">
    <cfRule type="cellIs" dxfId="4" priority="49" operator="lessThan">
      <formula>0</formula>
    </cfRule>
    <cfRule type="cellIs" dxfId="5" priority="50" operator="lessThan">
      <formula>0</formula>
    </cfRule>
  </conditionalFormatting>
  <conditionalFormatting sqref="AH160 AZ160">
    <cfRule type="cellIs" dxfId="4" priority="58" operator="lessThan">
      <formula>0</formula>
    </cfRule>
    <cfRule type="cellIs" dxfId="5" priority="59" operator="lessThan">
      <formula>0</formula>
    </cfRule>
  </conditionalFormatting>
  <conditionalFormatting sqref="Z161:AG164">
    <cfRule type="cellIs" dxfId="4" priority="55" operator="lessThan">
      <formula>0</formula>
    </cfRule>
  </conditionalFormatting>
  <conditionalFormatting sqref="BB161:BC164">
    <cfRule type="cellIs" dxfId="4" priority="54" operator="lessThan">
      <formula>0</formula>
    </cfRule>
  </conditionalFormatting>
  <conditionalFormatting sqref="S162:S164 V162:Y164">
    <cfRule type="cellIs" dxfId="4" priority="53" operator="lessThan">
      <formula>0</formula>
    </cfRule>
  </conditionalFormatting>
  <conditionalFormatting sqref="T162:U164">
    <cfRule type="cellIs" dxfId="4" priority="11" operator="lessThan">
      <formula>0</formula>
    </cfRule>
  </conditionalFormatting>
  <conditionalFormatting sqref="V169:AG169 V178:AG178">
    <cfRule type="cellIs" dxfId="4" priority="167" operator="lessThan">
      <formula>0</formula>
    </cfRule>
    <cfRule type="cellIs" dxfId="5" priority="168" operator="lessThan">
      <formula>0</formula>
    </cfRule>
  </conditionalFormatting>
  <conditionalFormatting sqref="AJ169 AN169">
    <cfRule type="cellIs" dxfId="4" priority="165" operator="lessThan">
      <formula>0</formula>
    </cfRule>
    <cfRule type="cellIs" dxfId="5" priority="166" operator="lessThan">
      <formula>0</formula>
    </cfRule>
  </conditionalFormatting>
  <conditionalFormatting sqref="Z170:AG173 Z179:AG182">
    <cfRule type="cellIs" dxfId="4" priority="248" operator="lessThan">
      <formula>0</formula>
    </cfRule>
  </conditionalFormatting>
  <conditionalFormatting sqref="V171:Y173 V180:Y182">
    <cfRule type="cellIs" dxfId="4" priority="240" operator="lessThan">
      <formula>0</formula>
    </cfRule>
  </conditionalFormatting>
  <conditionalFormatting sqref="AJ178 AN178">
    <cfRule type="cellIs" dxfId="4" priority="163" operator="lessThan">
      <formula>0</formula>
    </cfRule>
    <cfRule type="cellIs" dxfId="5" priority="164" operator="lessThan">
      <formula>0</formula>
    </cfRule>
  </conditionalFormatting>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471"/>
  <sheetViews>
    <sheetView tabSelected="1" zoomScale="70" zoomScaleNormal="70" workbookViewId="0">
      <pane xSplit="18" ySplit="1" topLeftCell="S2" activePane="bottomRight" state="frozen"/>
      <selection/>
      <selection pane="topRight"/>
      <selection pane="bottomLeft"/>
      <selection pane="bottomRight" activeCell="T364" sqref="T364"/>
    </sheetView>
  </sheetViews>
  <sheetFormatPr defaultColWidth="8.66371681415929" defaultRowHeight="13.85"/>
  <cols>
    <col min="1" max="1" width="13.7787610619469" customWidth="1"/>
    <col min="2" max="2" width="29" style="298" customWidth="1"/>
    <col min="3" max="3" width="10.5575221238938" customWidth="1"/>
    <col min="4" max="4" width="11.6637168141593" customWidth="1"/>
    <col min="5" max="6" width="11.6637168141593" hidden="1" customWidth="1"/>
    <col min="7" max="8" width="13.7787610619469" style="298" hidden="1" customWidth="1"/>
    <col min="9" max="14" width="13.7787610619469" style="5" hidden="1" customWidth="1"/>
    <col min="15" max="17" width="12.6637168141593" style="5" hidden="1" customWidth="1"/>
    <col min="18" max="18" width="15.2212389380531" customWidth="1"/>
    <col min="19" max="19" width="14.3362831858407" customWidth="1"/>
    <col min="20" max="21" width="16.2212389380531" customWidth="1"/>
    <col min="22" max="23" width="17.7787610619469" customWidth="1"/>
    <col min="24" max="29" width="24.4424778761062" customWidth="1"/>
    <col min="30" max="30" width="20.1061946902655" customWidth="1"/>
    <col min="31" max="31" width="17.7610619469027" customWidth="1"/>
    <col min="32" max="32" width="19.1061946902655" customWidth="1"/>
    <col min="33" max="33" width="15.8495575221239" customWidth="1"/>
    <col min="34" max="34" width="14.4424778761062" customWidth="1"/>
    <col min="35" max="35" width="15.1061946902655" customWidth="1"/>
    <col min="36" max="36" width="12.8938053097345" style="299" customWidth="1"/>
    <col min="37" max="37" width="18.5575221238938" style="298" customWidth="1"/>
    <col min="38" max="38" width="15.1061946902655" customWidth="1"/>
    <col min="39" max="39" width="16.2212389380531" customWidth="1"/>
    <col min="40" max="40" width="12.1061946902655" customWidth="1"/>
    <col min="41" max="48" width="16" customWidth="1"/>
    <col min="49" max="49" width="12.1061946902655" customWidth="1"/>
    <col min="50" max="50" width="11.9646017699115" customWidth="1"/>
    <col min="51" max="52" width="13" customWidth="1"/>
    <col min="53" max="53" width="15.070796460177" customWidth="1"/>
    <col min="54" max="55" width="12.3362831858407" customWidth="1"/>
    <col min="56" max="56" width="14.4424778761062" customWidth="1"/>
    <col min="58" max="59" width="10.4424778761062" customWidth="1"/>
  </cols>
  <sheetData>
    <row r="1" ht="57" customHeight="1" spans="1:56">
      <c r="A1" s="168" t="s">
        <v>488</v>
      </c>
      <c r="B1" s="168" t="s">
        <v>100</v>
      </c>
      <c r="C1" s="168" t="s">
        <v>101</v>
      </c>
      <c r="D1" s="168" t="s">
        <v>102</v>
      </c>
      <c r="E1" s="168" t="s">
        <v>3446</v>
      </c>
      <c r="F1" s="72" t="s">
        <v>3447</v>
      </c>
      <c r="G1" s="168" t="s">
        <v>3448</v>
      </c>
      <c r="H1" s="168" t="s">
        <v>3449</v>
      </c>
      <c r="I1" s="168" t="s">
        <v>3450</v>
      </c>
      <c r="J1" s="168" t="s">
        <v>3451</v>
      </c>
      <c r="K1" s="168" t="s">
        <v>3452</v>
      </c>
      <c r="L1" s="168" t="s">
        <v>3453</v>
      </c>
      <c r="M1" s="168" t="s">
        <v>3454</v>
      </c>
      <c r="N1" s="168" t="s">
        <v>3455</v>
      </c>
      <c r="O1" s="168" t="s">
        <v>3456</v>
      </c>
      <c r="P1" s="168" t="s">
        <v>3457</v>
      </c>
      <c r="Q1" s="168" t="s">
        <v>3458</v>
      </c>
      <c r="R1" s="168" t="s">
        <v>3459</v>
      </c>
      <c r="S1" s="37" t="s">
        <v>3460</v>
      </c>
      <c r="T1" s="38" t="s">
        <v>3461</v>
      </c>
      <c r="U1" s="39" t="s">
        <v>3462</v>
      </c>
      <c r="V1" s="65" t="s">
        <v>3463</v>
      </c>
      <c r="W1" s="65" t="s">
        <v>3464</v>
      </c>
      <c r="X1" s="65" t="s">
        <v>3465</v>
      </c>
      <c r="Y1" s="65" t="s">
        <v>3466</v>
      </c>
      <c r="Z1" s="65" t="s">
        <v>3467</v>
      </c>
      <c r="AA1" s="65" t="s">
        <v>3468</v>
      </c>
      <c r="AB1" s="65" t="s">
        <v>3469</v>
      </c>
      <c r="AC1" s="65" t="s">
        <v>3470</v>
      </c>
      <c r="AD1" s="65" t="s">
        <v>3471</v>
      </c>
      <c r="AE1" s="65" t="s">
        <v>3472</v>
      </c>
      <c r="AF1" s="72" t="s">
        <v>3473</v>
      </c>
      <c r="AG1" s="65" t="s">
        <v>3474</v>
      </c>
      <c r="AH1" s="167" t="s">
        <v>3475</v>
      </c>
      <c r="AI1" s="167" t="s">
        <v>3476</v>
      </c>
      <c r="AJ1" s="326" t="s">
        <v>3477</v>
      </c>
      <c r="AK1" s="327" t="s">
        <v>3478</v>
      </c>
      <c r="AL1" s="327" t="s">
        <v>3479</v>
      </c>
      <c r="AM1" s="327" t="s">
        <v>3383</v>
      </c>
      <c r="AN1" s="74" t="s">
        <v>3480</v>
      </c>
      <c r="AO1" s="65">
        <v>202612</v>
      </c>
      <c r="AP1" s="65">
        <v>202611</v>
      </c>
      <c r="AQ1" s="65">
        <v>202610</v>
      </c>
      <c r="AR1" s="65">
        <v>202609</v>
      </c>
      <c r="AS1" s="65">
        <v>202608</v>
      </c>
      <c r="AT1" s="65">
        <v>202607</v>
      </c>
      <c r="AU1" s="65">
        <v>202606</v>
      </c>
      <c r="AV1" s="65">
        <v>202605</v>
      </c>
      <c r="AW1" s="65">
        <v>202604</v>
      </c>
      <c r="AX1" s="65">
        <v>202603</v>
      </c>
      <c r="AY1" s="65">
        <v>202602</v>
      </c>
      <c r="AZ1" s="65">
        <v>202601</v>
      </c>
      <c r="BA1" s="341" t="s">
        <v>3481</v>
      </c>
      <c r="BB1" s="341" t="s">
        <v>3482</v>
      </c>
      <c r="BC1" s="341" t="s">
        <v>3483</v>
      </c>
      <c r="BD1" s="65" t="s">
        <v>107</v>
      </c>
    </row>
    <row r="2" ht="16.5" customHeight="1" spans="1:56">
      <c r="A2" s="300" t="s">
        <v>3553</v>
      </c>
      <c r="B2" s="301" t="s">
        <v>3554</v>
      </c>
      <c r="C2" s="302">
        <v>46082</v>
      </c>
      <c r="D2" s="302">
        <v>46295</v>
      </c>
      <c r="E2" s="303" t="s">
        <v>3555</v>
      </c>
      <c r="F2" s="233"/>
      <c r="G2" s="28">
        <v>17</v>
      </c>
      <c r="H2" s="301"/>
      <c r="I2" s="301"/>
      <c r="J2" s="12"/>
      <c r="K2" s="12"/>
      <c r="L2" s="12"/>
      <c r="M2" s="12"/>
      <c r="N2" s="12"/>
      <c r="O2" s="12"/>
      <c r="P2" s="12"/>
      <c r="Q2" s="12"/>
      <c r="R2" s="318" t="s">
        <v>3486</v>
      </c>
      <c r="S2" s="58">
        <v>938396.23</v>
      </c>
      <c r="T2" s="58">
        <f>SUM(AO2:BC2)</f>
        <v>465670.67</v>
      </c>
      <c r="U2" s="319">
        <f>SUM(BA2:BC2)</f>
        <v>0</v>
      </c>
      <c r="V2" s="58">
        <f>SUM(AO2:AZ2)</f>
        <v>465670.67</v>
      </c>
      <c r="W2" s="58">
        <f>SUM(AP2:AZ2)</f>
        <v>465670.67</v>
      </c>
      <c r="X2" s="58">
        <f>SUM(AQ2:AZ2)</f>
        <v>465670.67</v>
      </c>
      <c r="Y2" s="58">
        <f>SUM(AR2:AZ2)</f>
        <v>465670.67</v>
      </c>
      <c r="Z2" s="58">
        <f>SUM(AS2:AZ2)</f>
        <v>465670.67</v>
      </c>
      <c r="AA2" s="58">
        <f>SUM(AT2:AZ2)</f>
        <v>465670.67</v>
      </c>
      <c r="AB2" s="58">
        <f>SUM(AU2:AZ2)</f>
        <v>465670.67</v>
      </c>
      <c r="AC2" s="58">
        <f>SUM(AV2:AZ2)</f>
        <v>465670.67</v>
      </c>
      <c r="AD2" s="58">
        <f>SUM(AW2:AZ2)</f>
        <v>465670.67</v>
      </c>
      <c r="AE2" s="58">
        <f>SUM(AX2:AZ2)</f>
        <v>465670.67</v>
      </c>
      <c r="AF2" s="58">
        <f>SUM(AY2:AZ2)</f>
        <v>0</v>
      </c>
      <c r="AG2" s="58">
        <f>SUM(AZ2:AZ2)</f>
        <v>0</v>
      </c>
      <c r="AH2" s="328"/>
      <c r="AI2" s="328"/>
      <c r="AJ2" s="329"/>
      <c r="AK2" s="330"/>
      <c r="AL2" s="330"/>
      <c r="AM2" s="330"/>
      <c r="AN2" s="331"/>
      <c r="AO2" s="58"/>
      <c r="AP2" s="58"/>
      <c r="AQ2" s="58"/>
      <c r="AR2" s="58"/>
      <c r="AS2" s="58"/>
      <c r="AT2" s="58"/>
      <c r="AU2" s="58"/>
      <c r="AV2" s="58"/>
      <c r="AW2" s="58"/>
      <c r="AX2" s="58">
        <v>465670.67</v>
      </c>
      <c r="AY2" s="58">
        <v>0</v>
      </c>
      <c r="AZ2" s="58">
        <v>0</v>
      </c>
      <c r="BA2" s="319">
        <v>0</v>
      </c>
      <c r="BB2" s="342"/>
      <c r="BC2" s="342"/>
      <c r="BD2" s="343"/>
    </row>
    <row r="3" ht="16.5" customHeight="1" spans="1:56">
      <c r="A3" s="13"/>
      <c r="B3" s="13"/>
      <c r="C3" s="13"/>
      <c r="D3" s="13"/>
      <c r="E3" s="13"/>
      <c r="F3" s="13"/>
      <c r="G3" s="13"/>
      <c r="H3" s="13"/>
      <c r="I3" s="13"/>
      <c r="J3" s="13"/>
      <c r="K3" s="13"/>
      <c r="L3" s="13"/>
      <c r="M3" s="13"/>
      <c r="N3" s="13"/>
      <c r="O3" s="13"/>
      <c r="P3" s="13"/>
      <c r="Q3" s="13"/>
      <c r="R3" s="213" t="s">
        <v>3490</v>
      </c>
      <c r="S3" s="58">
        <v>674250.83</v>
      </c>
      <c r="T3" s="58">
        <f>SUM(AO3:BC3)</f>
        <v>352531.84</v>
      </c>
      <c r="U3" s="319">
        <f>SUM(BA3:BC3)</f>
        <v>0</v>
      </c>
      <c r="V3" s="58">
        <f>SUM(AO3:AZ3)</f>
        <v>352531.84</v>
      </c>
      <c r="W3" s="58">
        <f>SUM(AP3:AZ3)</f>
        <v>352531.84</v>
      </c>
      <c r="X3" s="58">
        <f>SUM(AQ3:AZ3)</f>
        <v>352531.84</v>
      </c>
      <c r="Y3" s="58">
        <f>SUM(AR3:AZ3)</f>
        <v>352531.84</v>
      </c>
      <c r="Z3" s="58">
        <f>SUM(AS3:AZ3)</f>
        <v>352531.84</v>
      </c>
      <c r="AA3" s="58">
        <f>SUM(AT3:AZ3)</f>
        <v>352531.84</v>
      </c>
      <c r="AB3" s="58">
        <f>SUM(AU3:AZ3)</f>
        <v>352531.84</v>
      </c>
      <c r="AC3" s="58">
        <f>SUM(AV3:AZ3)</f>
        <v>352531.84</v>
      </c>
      <c r="AD3" s="58">
        <f>SUM(AW3:AZ3)</f>
        <v>352531.84</v>
      </c>
      <c r="AE3" s="58">
        <f>SUM(AX3:AZ3)</f>
        <v>352531.84</v>
      </c>
      <c r="AF3" s="58">
        <f>SUM(AY3:AZ3)</f>
        <v>0</v>
      </c>
      <c r="AG3" s="58">
        <f>SUM(AZ3:AZ3)</f>
        <v>0</v>
      </c>
      <c r="AH3" s="328"/>
      <c r="AI3" s="328"/>
      <c r="AJ3" s="22"/>
      <c r="AK3" s="22"/>
      <c r="AL3" s="22"/>
      <c r="AM3" s="22"/>
      <c r="AN3" s="13"/>
      <c r="AO3" s="58"/>
      <c r="AP3" s="58"/>
      <c r="AQ3" s="58"/>
      <c r="AR3" s="58"/>
      <c r="AS3" s="58"/>
      <c r="AT3" s="58"/>
      <c r="AU3" s="58"/>
      <c r="AV3" s="58"/>
      <c r="AW3" s="58"/>
      <c r="AX3" s="58">
        <v>352531.84</v>
      </c>
      <c r="AY3" s="58">
        <v>0</v>
      </c>
      <c r="AZ3" s="58">
        <v>0</v>
      </c>
      <c r="BA3" s="319">
        <v>0</v>
      </c>
      <c r="BB3" s="342"/>
      <c r="BC3" s="342"/>
      <c r="BD3" s="13"/>
    </row>
    <row r="4" ht="16.5" customHeight="1" spans="1:56">
      <c r="A4" s="13"/>
      <c r="B4" s="13"/>
      <c r="C4" s="13"/>
      <c r="D4" s="13"/>
      <c r="E4" s="13"/>
      <c r="F4" s="13"/>
      <c r="G4" s="13"/>
      <c r="H4" s="13"/>
      <c r="I4" s="13"/>
      <c r="J4" s="13"/>
      <c r="K4" s="13"/>
      <c r="L4" s="13"/>
      <c r="M4" s="13"/>
      <c r="N4" s="13"/>
      <c r="O4" s="13"/>
      <c r="P4" s="13"/>
      <c r="Q4" s="13"/>
      <c r="R4" s="213" t="s">
        <v>3491</v>
      </c>
      <c r="S4" s="58">
        <v>0</v>
      </c>
      <c r="T4" s="58">
        <f>SUM(AO4:BC4)</f>
        <v>0</v>
      </c>
      <c r="U4" s="319">
        <f>SUM(BA4:BC4)</f>
        <v>0</v>
      </c>
      <c r="V4" s="58"/>
      <c r="W4" s="58"/>
      <c r="X4" s="58"/>
      <c r="Y4" s="58"/>
      <c r="Z4" s="58"/>
      <c r="AA4" s="58"/>
      <c r="AB4" s="58"/>
      <c r="AC4" s="58"/>
      <c r="AD4" s="58"/>
      <c r="AE4" s="58"/>
      <c r="AF4" s="58"/>
      <c r="AG4" s="58"/>
      <c r="AH4" s="328"/>
      <c r="AI4" s="328"/>
      <c r="AJ4" s="22"/>
      <c r="AK4" s="22"/>
      <c r="AL4" s="22"/>
      <c r="AM4" s="22"/>
      <c r="AN4" s="13"/>
      <c r="AO4" s="58"/>
      <c r="AP4" s="58"/>
      <c r="AQ4" s="58"/>
      <c r="AR4" s="58"/>
      <c r="AS4" s="58"/>
      <c r="AT4" s="58"/>
      <c r="AU4" s="58"/>
      <c r="AV4" s="58"/>
      <c r="AW4" s="58"/>
      <c r="AX4" s="58">
        <v>0</v>
      </c>
      <c r="AY4" s="58"/>
      <c r="AZ4" s="58"/>
      <c r="BA4" s="319"/>
      <c r="BB4" s="342"/>
      <c r="BC4" s="342"/>
      <c r="BD4" s="13"/>
    </row>
    <row r="5" ht="16.5" customHeight="1" spans="1:56">
      <c r="A5" s="13"/>
      <c r="B5" s="13"/>
      <c r="C5" s="13"/>
      <c r="D5" s="13"/>
      <c r="E5" s="13"/>
      <c r="F5" s="13"/>
      <c r="G5" s="13"/>
      <c r="H5" s="13"/>
      <c r="I5" s="13"/>
      <c r="J5" s="13"/>
      <c r="K5" s="13"/>
      <c r="L5" s="13"/>
      <c r="M5" s="13"/>
      <c r="N5" s="13"/>
      <c r="O5" s="13"/>
      <c r="P5" s="13"/>
      <c r="Q5" s="13"/>
      <c r="R5" s="213" t="s">
        <v>3492</v>
      </c>
      <c r="S5" s="58">
        <v>70000</v>
      </c>
      <c r="T5" s="58">
        <f>SUM(AO5:BC5)</f>
        <v>0</v>
      </c>
      <c r="U5" s="319">
        <f>SUM(BA5:BC5)</f>
        <v>0</v>
      </c>
      <c r="V5" s="58">
        <f>SUM(AO5:AZ5)</f>
        <v>0</v>
      </c>
      <c r="W5" s="58">
        <f>SUM(AP5:AZ5)</f>
        <v>0</v>
      </c>
      <c r="X5" s="58">
        <f>SUM(AQ5:AZ5)</f>
        <v>0</v>
      </c>
      <c r="Y5" s="58">
        <f>SUM(AR5:AZ5)</f>
        <v>0</v>
      </c>
      <c r="Z5" s="58">
        <f>SUM(AS5:AZ5)</f>
        <v>0</v>
      </c>
      <c r="AA5" s="58">
        <f>SUM(AT5:AZ5)</f>
        <v>0</v>
      </c>
      <c r="AB5" s="58">
        <f>SUM(AU5:AZ5)</f>
        <v>0</v>
      </c>
      <c r="AC5" s="58">
        <f>SUM(AV5:AZ5)</f>
        <v>0</v>
      </c>
      <c r="AD5" s="58">
        <f>SUM(AW5:AZ5)</f>
        <v>0</v>
      </c>
      <c r="AE5" s="58">
        <f>SUM(AX5:AZ5)</f>
        <v>0</v>
      </c>
      <c r="AF5" s="58">
        <f>SUM(AY5:AZ5)</f>
        <v>0</v>
      </c>
      <c r="AG5" s="58">
        <f>SUM(AZ5:AZ5)</f>
        <v>0</v>
      </c>
      <c r="AH5" s="328"/>
      <c r="AI5" s="328"/>
      <c r="AJ5" s="22"/>
      <c r="AK5" s="22"/>
      <c r="AL5" s="22"/>
      <c r="AM5" s="22"/>
      <c r="AN5" s="13"/>
      <c r="AO5" s="58"/>
      <c r="AP5" s="58"/>
      <c r="AQ5" s="58"/>
      <c r="AR5" s="58"/>
      <c r="AS5" s="58"/>
      <c r="AT5" s="58"/>
      <c r="AU5" s="58"/>
      <c r="AV5" s="58"/>
      <c r="AW5" s="58"/>
      <c r="AX5" s="58">
        <v>0</v>
      </c>
      <c r="AY5" s="58">
        <v>0</v>
      </c>
      <c r="AZ5" s="58">
        <v>0</v>
      </c>
      <c r="BA5" s="319">
        <v>0</v>
      </c>
      <c r="BB5" s="342"/>
      <c r="BC5" s="342"/>
      <c r="BD5" s="13"/>
    </row>
    <row r="6" ht="16.5" customHeight="1" spans="1:56">
      <c r="A6" s="13"/>
      <c r="B6" s="13"/>
      <c r="C6" s="13"/>
      <c r="D6" s="13"/>
      <c r="E6" s="13"/>
      <c r="F6" s="13"/>
      <c r="G6" s="13"/>
      <c r="H6" s="13"/>
      <c r="I6" s="13"/>
      <c r="J6" s="13"/>
      <c r="K6" s="13"/>
      <c r="L6" s="13"/>
      <c r="M6" s="13"/>
      <c r="N6" s="13"/>
      <c r="O6" s="13"/>
      <c r="P6" s="13"/>
      <c r="Q6" s="13"/>
      <c r="R6" s="213" t="s">
        <v>3493</v>
      </c>
      <c r="S6" s="58">
        <v>0</v>
      </c>
      <c r="T6" s="58">
        <f>SUM(AO6:BC6)</f>
        <v>497.35</v>
      </c>
      <c r="U6" s="319">
        <f>SUM(BA6:BC6)</f>
        <v>0</v>
      </c>
      <c r="V6" s="58">
        <f>SUM(AO6:AZ6)</f>
        <v>497.35</v>
      </c>
      <c r="W6" s="58">
        <f>SUM(AP6:AZ6)</f>
        <v>497.35</v>
      </c>
      <c r="X6" s="58">
        <f>SUM(AQ6:AZ6)</f>
        <v>497.35</v>
      </c>
      <c r="Y6" s="58">
        <f>SUM(AR6:AZ6)</f>
        <v>497.35</v>
      </c>
      <c r="Z6" s="58">
        <f>SUM(AS6:AZ6)</f>
        <v>497.35</v>
      </c>
      <c r="AA6" s="58">
        <f>SUM(AT6:AZ6)</f>
        <v>497.35</v>
      </c>
      <c r="AB6" s="58">
        <f>SUM(AU6:AZ6)</f>
        <v>497.35</v>
      </c>
      <c r="AC6" s="58">
        <f>SUM(AV6:AZ6)</f>
        <v>497.35</v>
      </c>
      <c r="AD6" s="58">
        <f>SUM(AW6:AZ6)</f>
        <v>497.35</v>
      </c>
      <c r="AE6" s="58">
        <f>SUM(AX6:AZ6)</f>
        <v>497.35</v>
      </c>
      <c r="AF6" s="58">
        <f>SUM(AY6:AZ6)</f>
        <v>0</v>
      </c>
      <c r="AG6" s="58">
        <f>SUM(AZ6:AZ6)</f>
        <v>0</v>
      </c>
      <c r="AH6" s="328"/>
      <c r="AI6" s="328"/>
      <c r="AJ6" s="22"/>
      <c r="AK6" s="22"/>
      <c r="AL6" s="22"/>
      <c r="AM6" s="22"/>
      <c r="AN6" s="13"/>
      <c r="AO6" s="58"/>
      <c r="AP6" s="58"/>
      <c r="AQ6" s="58"/>
      <c r="AR6" s="58"/>
      <c r="AS6" s="58"/>
      <c r="AT6" s="58"/>
      <c r="AU6" s="58"/>
      <c r="AV6" s="58"/>
      <c r="AW6" s="58"/>
      <c r="AX6" s="58">
        <v>497.35</v>
      </c>
      <c r="AY6" s="58">
        <v>0</v>
      </c>
      <c r="AZ6" s="58">
        <v>0</v>
      </c>
      <c r="BA6" s="319">
        <v>0</v>
      </c>
      <c r="BB6" s="342"/>
      <c r="BC6" s="342"/>
      <c r="BD6" s="13"/>
    </row>
    <row r="7" ht="16.5" customHeight="1" spans="1:56">
      <c r="A7" s="13"/>
      <c r="B7" s="13"/>
      <c r="C7" s="13"/>
      <c r="D7" s="13"/>
      <c r="E7" s="13"/>
      <c r="F7" s="13"/>
      <c r="G7" s="13"/>
      <c r="H7" s="13"/>
      <c r="I7" s="13"/>
      <c r="J7" s="13"/>
      <c r="K7" s="13"/>
      <c r="L7" s="13"/>
      <c r="M7" s="13"/>
      <c r="N7" s="13"/>
      <c r="O7" s="13"/>
      <c r="P7" s="13"/>
      <c r="Q7" s="13"/>
      <c r="R7" s="213" t="s">
        <v>3494</v>
      </c>
      <c r="S7" s="214">
        <f t="shared" ref="S7:AI7" si="0">SUM(S3:S6)</f>
        <v>744250.83</v>
      </c>
      <c r="T7" s="214">
        <f t="shared" si="0"/>
        <v>353029.19</v>
      </c>
      <c r="U7" s="320">
        <f t="shared" si="0"/>
        <v>0</v>
      </c>
      <c r="V7" s="214">
        <f t="shared" si="0"/>
        <v>353029.19</v>
      </c>
      <c r="W7" s="214">
        <f t="shared" si="0"/>
        <v>353029.19</v>
      </c>
      <c r="X7" s="214">
        <f t="shared" si="0"/>
        <v>353029.19</v>
      </c>
      <c r="Y7" s="214">
        <f t="shared" si="0"/>
        <v>353029.19</v>
      </c>
      <c r="Z7" s="214">
        <f t="shared" si="0"/>
        <v>353029.19</v>
      </c>
      <c r="AA7" s="214">
        <f t="shared" si="0"/>
        <v>353029.19</v>
      </c>
      <c r="AB7" s="214">
        <f t="shared" si="0"/>
        <v>353029.19</v>
      </c>
      <c r="AC7" s="214">
        <f t="shared" si="0"/>
        <v>353029.19</v>
      </c>
      <c r="AD7" s="214">
        <f t="shared" si="0"/>
        <v>353029.19</v>
      </c>
      <c r="AE7" s="214">
        <f t="shared" si="0"/>
        <v>353029.19</v>
      </c>
      <c r="AF7" s="214">
        <f t="shared" si="0"/>
        <v>0</v>
      </c>
      <c r="AG7" s="214">
        <f t="shared" si="0"/>
        <v>0</v>
      </c>
      <c r="AH7" s="214">
        <f t="shared" si="0"/>
        <v>0</v>
      </c>
      <c r="AI7" s="214">
        <f t="shared" si="0"/>
        <v>0</v>
      </c>
      <c r="AJ7" s="22"/>
      <c r="AK7" s="22"/>
      <c r="AL7" s="22"/>
      <c r="AM7" s="22"/>
      <c r="AN7" s="13"/>
      <c r="AO7" s="214">
        <f t="shared" ref="AO7:BC7" si="1">SUM(AO3:AO6)</f>
        <v>0</v>
      </c>
      <c r="AP7" s="214">
        <f t="shared" si="1"/>
        <v>0</v>
      </c>
      <c r="AQ7" s="214">
        <f t="shared" si="1"/>
        <v>0</v>
      </c>
      <c r="AR7" s="214">
        <f t="shared" si="1"/>
        <v>0</v>
      </c>
      <c r="AS7" s="214">
        <f t="shared" si="1"/>
        <v>0</v>
      </c>
      <c r="AT7" s="214">
        <f t="shared" si="1"/>
        <v>0</v>
      </c>
      <c r="AU7" s="214">
        <f t="shared" si="1"/>
        <v>0</v>
      </c>
      <c r="AV7" s="214">
        <f t="shared" si="1"/>
        <v>0</v>
      </c>
      <c r="AW7" s="214">
        <f t="shared" si="1"/>
        <v>0</v>
      </c>
      <c r="AX7" s="214">
        <f t="shared" si="1"/>
        <v>353029.19</v>
      </c>
      <c r="AY7" s="214">
        <f t="shared" si="1"/>
        <v>0</v>
      </c>
      <c r="AZ7" s="214">
        <f t="shared" si="1"/>
        <v>0</v>
      </c>
      <c r="BA7" s="320">
        <f t="shared" si="1"/>
        <v>0</v>
      </c>
      <c r="BB7" s="320">
        <f t="shared" si="1"/>
        <v>0</v>
      </c>
      <c r="BC7" s="320">
        <f t="shared" si="1"/>
        <v>0</v>
      </c>
      <c r="BD7" s="13"/>
    </row>
    <row r="8" ht="16.5" customHeight="1" spans="1:56">
      <c r="A8" s="13"/>
      <c r="B8" s="13"/>
      <c r="C8" s="13"/>
      <c r="D8" s="13"/>
      <c r="E8" s="13"/>
      <c r="F8" s="13"/>
      <c r="G8" s="13"/>
      <c r="H8" s="13"/>
      <c r="I8" s="13"/>
      <c r="J8" s="13"/>
      <c r="K8" s="13"/>
      <c r="L8" s="13"/>
      <c r="M8" s="13"/>
      <c r="N8" s="13"/>
      <c r="O8" s="13"/>
      <c r="P8" s="13"/>
      <c r="Q8" s="13"/>
      <c r="R8" s="213" t="s">
        <v>3495</v>
      </c>
      <c r="S8" s="58">
        <f t="shared" ref="S8:AG8" si="2">S2-S3</f>
        <v>264145.4</v>
      </c>
      <c r="T8" s="58">
        <f t="shared" si="2"/>
        <v>113138.83</v>
      </c>
      <c r="U8" s="319">
        <f t="shared" si="2"/>
        <v>0</v>
      </c>
      <c r="V8" s="58">
        <f t="shared" si="2"/>
        <v>113138.83</v>
      </c>
      <c r="W8" s="58">
        <f t="shared" si="2"/>
        <v>113138.83</v>
      </c>
      <c r="X8" s="58">
        <f t="shared" si="2"/>
        <v>113138.83</v>
      </c>
      <c r="Y8" s="58">
        <f t="shared" si="2"/>
        <v>113138.83</v>
      </c>
      <c r="Z8" s="58">
        <f t="shared" si="2"/>
        <v>113138.83</v>
      </c>
      <c r="AA8" s="58">
        <f t="shared" si="2"/>
        <v>113138.83</v>
      </c>
      <c r="AB8" s="58">
        <f t="shared" si="2"/>
        <v>113138.83</v>
      </c>
      <c r="AC8" s="58">
        <f t="shared" si="2"/>
        <v>113138.83</v>
      </c>
      <c r="AD8" s="58">
        <f t="shared" si="2"/>
        <v>113138.83</v>
      </c>
      <c r="AE8" s="58">
        <f t="shared" si="2"/>
        <v>113138.83</v>
      </c>
      <c r="AF8" s="58">
        <f t="shared" si="2"/>
        <v>0</v>
      </c>
      <c r="AG8" s="58">
        <f t="shared" si="2"/>
        <v>0</v>
      </c>
      <c r="AH8" s="332"/>
      <c r="AI8" s="332"/>
      <c r="AJ8" s="22"/>
      <c r="AK8" s="22"/>
      <c r="AL8" s="22"/>
      <c r="AM8" s="22"/>
      <c r="AN8" s="13"/>
      <c r="AO8" s="58">
        <f t="shared" ref="AO8:BA8" si="3">AO2-AO3</f>
        <v>0</v>
      </c>
      <c r="AP8" s="58">
        <f t="shared" si="3"/>
        <v>0</v>
      </c>
      <c r="AQ8" s="58">
        <f t="shared" si="3"/>
        <v>0</v>
      </c>
      <c r="AR8" s="58">
        <f t="shared" si="3"/>
        <v>0</v>
      </c>
      <c r="AS8" s="58">
        <f t="shared" si="3"/>
        <v>0</v>
      </c>
      <c r="AT8" s="58">
        <f t="shared" si="3"/>
        <v>0</v>
      </c>
      <c r="AU8" s="58">
        <f t="shared" si="3"/>
        <v>0</v>
      </c>
      <c r="AV8" s="58">
        <f t="shared" si="3"/>
        <v>0</v>
      </c>
      <c r="AW8" s="58">
        <f t="shared" si="3"/>
        <v>0</v>
      </c>
      <c r="AX8" s="58">
        <f t="shared" si="3"/>
        <v>113138.83</v>
      </c>
      <c r="AY8" s="58">
        <f t="shared" si="3"/>
        <v>0</v>
      </c>
      <c r="AZ8" s="58">
        <f t="shared" si="3"/>
        <v>0</v>
      </c>
      <c r="BA8" s="342">
        <f t="shared" si="3"/>
        <v>0</v>
      </c>
      <c r="BB8" s="342"/>
      <c r="BC8" s="342"/>
      <c r="BD8" s="13"/>
    </row>
    <row r="9" ht="16.5" customHeight="1" spans="1:56">
      <c r="A9" s="13"/>
      <c r="B9" s="13"/>
      <c r="C9" s="13"/>
      <c r="D9" s="13"/>
      <c r="E9" s="13"/>
      <c r="F9" s="13"/>
      <c r="G9" s="13"/>
      <c r="H9" s="13"/>
      <c r="I9" s="13"/>
      <c r="J9" s="13"/>
      <c r="K9" s="13"/>
      <c r="L9" s="13"/>
      <c r="M9" s="13"/>
      <c r="N9" s="13"/>
      <c r="O9" s="13"/>
      <c r="P9" s="13"/>
      <c r="Q9" s="13"/>
      <c r="R9" s="321" t="s">
        <v>3496</v>
      </c>
      <c r="S9" s="61">
        <f t="shared" ref="S9:AG9" si="4">S8/S2</f>
        <v>0.281485998723588</v>
      </c>
      <c r="T9" s="61">
        <f t="shared" si="4"/>
        <v>0.242958891956841</v>
      </c>
      <c r="U9" s="322" t="e">
        <f t="shared" si="4"/>
        <v>#DIV/0!</v>
      </c>
      <c r="V9" s="61">
        <f t="shared" si="4"/>
        <v>0.242958891956841</v>
      </c>
      <c r="W9" s="61">
        <f t="shared" si="4"/>
        <v>0.242958891956841</v>
      </c>
      <c r="X9" s="61">
        <f t="shared" si="4"/>
        <v>0.242958891956841</v>
      </c>
      <c r="Y9" s="61">
        <f t="shared" si="4"/>
        <v>0.242958891956841</v>
      </c>
      <c r="Z9" s="61">
        <f t="shared" si="4"/>
        <v>0.242958891956841</v>
      </c>
      <c r="AA9" s="61">
        <f t="shared" si="4"/>
        <v>0.242958891956841</v>
      </c>
      <c r="AB9" s="61">
        <f t="shared" si="4"/>
        <v>0.242958891956841</v>
      </c>
      <c r="AC9" s="61">
        <f t="shared" si="4"/>
        <v>0.242958891956841</v>
      </c>
      <c r="AD9" s="61">
        <f t="shared" si="4"/>
        <v>0.242958891956841</v>
      </c>
      <c r="AE9" s="61">
        <f t="shared" si="4"/>
        <v>0.242958891956841</v>
      </c>
      <c r="AF9" s="61" t="e">
        <f t="shared" si="4"/>
        <v>#DIV/0!</v>
      </c>
      <c r="AG9" s="61" t="e">
        <f t="shared" si="4"/>
        <v>#DIV/0!</v>
      </c>
      <c r="AH9" s="82">
        <f>T9-S9</f>
        <v>-0.0385271067667468</v>
      </c>
      <c r="AI9" s="82" t="e">
        <f>AF9-S9</f>
        <v>#DIV/0!</v>
      </c>
      <c r="AJ9" s="22"/>
      <c r="AK9" s="22"/>
      <c r="AL9" s="22"/>
      <c r="AM9" s="22"/>
      <c r="AN9" s="13"/>
      <c r="AO9" s="61" t="e">
        <f t="shared" ref="AO9:BA9" si="5">AO8/AO2</f>
        <v>#DIV/0!</v>
      </c>
      <c r="AP9" s="61" t="e">
        <f t="shared" si="5"/>
        <v>#DIV/0!</v>
      </c>
      <c r="AQ9" s="61" t="e">
        <f t="shared" si="5"/>
        <v>#DIV/0!</v>
      </c>
      <c r="AR9" s="61" t="e">
        <f t="shared" si="5"/>
        <v>#DIV/0!</v>
      </c>
      <c r="AS9" s="61" t="e">
        <f t="shared" si="5"/>
        <v>#DIV/0!</v>
      </c>
      <c r="AT9" s="61" t="e">
        <f t="shared" si="5"/>
        <v>#DIV/0!</v>
      </c>
      <c r="AU9" s="61" t="e">
        <f t="shared" si="5"/>
        <v>#DIV/0!</v>
      </c>
      <c r="AV9" s="61" t="e">
        <f t="shared" si="5"/>
        <v>#DIV/0!</v>
      </c>
      <c r="AW9" s="61" t="e">
        <f t="shared" si="5"/>
        <v>#DIV/0!</v>
      </c>
      <c r="AX9" s="61">
        <f t="shared" si="5"/>
        <v>0.242958891956841</v>
      </c>
      <c r="AY9" s="61" t="e">
        <f t="shared" si="5"/>
        <v>#DIV/0!</v>
      </c>
      <c r="AZ9" s="61" t="e">
        <f t="shared" si="5"/>
        <v>#DIV/0!</v>
      </c>
      <c r="BA9" s="342" t="e">
        <f t="shared" si="5"/>
        <v>#DIV/0!</v>
      </c>
      <c r="BB9" s="342"/>
      <c r="BC9" s="342"/>
      <c r="BD9" s="13"/>
    </row>
    <row r="10" ht="16.5" customHeight="1" spans="1:56">
      <c r="A10" s="13"/>
      <c r="B10" s="13"/>
      <c r="C10" s="13"/>
      <c r="D10" s="13"/>
      <c r="E10" s="13"/>
      <c r="F10" s="13"/>
      <c r="G10" s="13"/>
      <c r="H10" s="13"/>
      <c r="I10" s="13"/>
      <c r="J10" s="13"/>
      <c r="K10" s="13"/>
      <c r="L10" s="13"/>
      <c r="M10" s="13"/>
      <c r="N10" s="13"/>
      <c r="O10" s="13"/>
      <c r="P10" s="13"/>
      <c r="Q10" s="13"/>
      <c r="R10" s="213" t="s">
        <v>3497</v>
      </c>
      <c r="S10" s="58">
        <f>S2-S7</f>
        <v>194145.4</v>
      </c>
      <c r="T10" s="58">
        <f t="shared" ref="T10:AG10" si="6">T2-T7</f>
        <v>112641.48</v>
      </c>
      <c r="U10" s="58">
        <f t="shared" si="6"/>
        <v>0</v>
      </c>
      <c r="V10" s="58">
        <f t="shared" si="6"/>
        <v>112641.48</v>
      </c>
      <c r="W10" s="58">
        <f t="shared" si="6"/>
        <v>112641.48</v>
      </c>
      <c r="X10" s="58">
        <f t="shared" si="6"/>
        <v>112641.48</v>
      </c>
      <c r="Y10" s="58">
        <f t="shared" si="6"/>
        <v>112641.48</v>
      </c>
      <c r="Z10" s="58">
        <f t="shared" si="6"/>
        <v>112641.48</v>
      </c>
      <c r="AA10" s="58">
        <f t="shared" si="6"/>
        <v>112641.48</v>
      </c>
      <c r="AB10" s="58">
        <f t="shared" si="6"/>
        <v>112641.48</v>
      </c>
      <c r="AC10" s="58">
        <f t="shared" si="6"/>
        <v>112641.48</v>
      </c>
      <c r="AD10" s="58">
        <f t="shared" si="6"/>
        <v>112641.48</v>
      </c>
      <c r="AE10" s="58">
        <f t="shared" si="6"/>
        <v>112641.48</v>
      </c>
      <c r="AF10" s="58">
        <f t="shared" si="6"/>
        <v>0</v>
      </c>
      <c r="AG10" s="58">
        <f t="shared" si="6"/>
        <v>0</v>
      </c>
      <c r="AH10" s="82"/>
      <c r="AI10" s="82"/>
      <c r="AJ10" s="22"/>
      <c r="AK10" s="22"/>
      <c r="AL10" s="22"/>
      <c r="AM10" s="22"/>
      <c r="AN10" s="13"/>
      <c r="AO10" s="58">
        <f>AO2-AO7</f>
        <v>0</v>
      </c>
      <c r="AP10" s="58">
        <f t="shared" ref="AP10:BC10" si="7">AP2-AP7</f>
        <v>0</v>
      </c>
      <c r="AQ10" s="58">
        <f t="shared" si="7"/>
        <v>0</v>
      </c>
      <c r="AR10" s="58">
        <f t="shared" si="7"/>
        <v>0</v>
      </c>
      <c r="AS10" s="58">
        <f t="shared" si="7"/>
        <v>0</v>
      </c>
      <c r="AT10" s="58">
        <f t="shared" si="7"/>
        <v>0</v>
      </c>
      <c r="AU10" s="58">
        <f t="shared" si="7"/>
        <v>0</v>
      </c>
      <c r="AV10" s="58">
        <f t="shared" si="7"/>
        <v>0</v>
      </c>
      <c r="AW10" s="58">
        <f t="shared" si="7"/>
        <v>0</v>
      </c>
      <c r="AX10" s="58">
        <f t="shared" si="7"/>
        <v>112641.48</v>
      </c>
      <c r="AY10" s="58">
        <f t="shared" si="7"/>
        <v>0</v>
      </c>
      <c r="AZ10" s="58">
        <f t="shared" si="7"/>
        <v>0</v>
      </c>
      <c r="BA10" s="58">
        <f t="shared" si="7"/>
        <v>0</v>
      </c>
      <c r="BB10" s="58">
        <f t="shared" si="7"/>
        <v>0</v>
      </c>
      <c r="BC10" s="58">
        <f t="shared" si="7"/>
        <v>0</v>
      </c>
      <c r="BD10" s="13"/>
    </row>
    <row r="11" ht="16.5" customHeight="1" spans="1:56">
      <c r="A11" s="14"/>
      <c r="B11" s="14"/>
      <c r="C11" s="14"/>
      <c r="D11" s="14"/>
      <c r="E11" s="14"/>
      <c r="F11" s="14"/>
      <c r="G11" s="14"/>
      <c r="H11" s="14"/>
      <c r="I11" s="14"/>
      <c r="J11" s="14"/>
      <c r="K11" s="14"/>
      <c r="L11" s="14"/>
      <c r="M11" s="14"/>
      <c r="N11" s="14"/>
      <c r="O11" s="14"/>
      <c r="P11" s="14"/>
      <c r="Q11" s="14"/>
      <c r="R11" s="321" t="s">
        <v>3498</v>
      </c>
      <c r="S11" s="61">
        <f t="shared" ref="S11:AG11" si="8">S10/S2</f>
        <v>0.206890643625028</v>
      </c>
      <c r="T11" s="61">
        <f t="shared" si="8"/>
        <v>0.241890862484425</v>
      </c>
      <c r="U11" s="322" t="e">
        <f t="shared" si="8"/>
        <v>#DIV/0!</v>
      </c>
      <c r="V11" s="61">
        <f t="shared" si="8"/>
        <v>0.241890862484425</v>
      </c>
      <c r="W11" s="61">
        <f t="shared" si="8"/>
        <v>0.241890862484425</v>
      </c>
      <c r="X11" s="61">
        <f t="shared" si="8"/>
        <v>0.241890862484425</v>
      </c>
      <c r="Y11" s="61">
        <f t="shared" si="8"/>
        <v>0.241890862484425</v>
      </c>
      <c r="Z11" s="61">
        <f t="shared" si="8"/>
        <v>0.241890862484425</v>
      </c>
      <c r="AA11" s="61">
        <f t="shared" si="8"/>
        <v>0.241890862484425</v>
      </c>
      <c r="AB11" s="61">
        <f t="shared" si="8"/>
        <v>0.241890862484425</v>
      </c>
      <c r="AC11" s="61">
        <f t="shared" si="8"/>
        <v>0.241890862484425</v>
      </c>
      <c r="AD11" s="61">
        <f t="shared" si="8"/>
        <v>0.241890862484425</v>
      </c>
      <c r="AE11" s="61">
        <f t="shared" si="8"/>
        <v>0.241890862484425</v>
      </c>
      <c r="AF11" s="61" t="e">
        <f t="shared" si="8"/>
        <v>#DIV/0!</v>
      </c>
      <c r="AG11" s="61" t="e">
        <f t="shared" si="8"/>
        <v>#DIV/0!</v>
      </c>
      <c r="AH11" s="82">
        <f>T11-S11</f>
        <v>0.0350002188593966</v>
      </c>
      <c r="AI11" s="82" t="e">
        <f>AF11-S11</f>
        <v>#DIV/0!</v>
      </c>
      <c r="AJ11" s="177"/>
      <c r="AK11" s="177"/>
      <c r="AL11" s="177"/>
      <c r="AM11" s="177"/>
      <c r="AN11" s="14"/>
      <c r="AO11" s="61" t="e">
        <f t="shared" ref="AO11:BA11" si="9">AO10/AO2</f>
        <v>#DIV/0!</v>
      </c>
      <c r="AP11" s="61" t="e">
        <f t="shared" si="9"/>
        <v>#DIV/0!</v>
      </c>
      <c r="AQ11" s="61" t="e">
        <f t="shared" si="9"/>
        <v>#DIV/0!</v>
      </c>
      <c r="AR11" s="61" t="e">
        <f t="shared" si="9"/>
        <v>#DIV/0!</v>
      </c>
      <c r="AS11" s="61" t="e">
        <f t="shared" si="9"/>
        <v>#DIV/0!</v>
      </c>
      <c r="AT11" s="61" t="e">
        <f t="shared" si="9"/>
        <v>#DIV/0!</v>
      </c>
      <c r="AU11" s="61" t="e">
        <f t="shared" si="9"/>
        <v>#DIV/0!</v>
      </c>
      <c r="AV11" s="61" t="e">
        <f t="shared" si="9"/>
        <v>#DIV/0!</v>
      </c>
      <c r="AW11" s="61" t="e">
        <f t="shared" si="9"/>
        <v>#DIV/0!</v>
      </c>
      <c r="AX11" s="61">
        <f t="shared" si="9"/>
        <v>0.241890862484425</v>
      </c>
      <c r="AY11" s="61" t="e">
        <f t="shared" si="9"/>
        <v>#DIV/0!</v>
      </c>
      <c r="AZ11" s="61" t="e">
        <f t="shared" si="9"/>
        <v>#DIV/0!</v>
      </c>
      <c r="BA11" s="342" t="e">
        <f t="shared" si="9"/>
        <v>#DIV/0!</v>
      </c>
      <c r="BB11" s="342"/>
      <c r="BC11" s="342"/>
      <c r="BD11" s="14"/>
    </row>
    <row r="12" ht="16.5" customHeight="1" spans="1:56">
      <c r="A12" s="300" t="s">
        <v>3556</v>
      </c>
      <c r="B12" s="301" t="s">
        <v>3557</v>
      </c>
      <c r="C12" s="302">
        <v>46082</v>
      </c>
      <c r="D12" s="302">
        <v>46387</v>
      </c>
      <c r="E12" s="303" t="s">
        <v>3555</v>
      </c>
      <c r="F12" s="233"/>
      <c r="G12" s="28">
        <v>10.682</v>
      </c>
      <c r="H12" s="301"/>
      <c r="I12" s="301"/>
      <c r="J12" s="12"/>
      <c r="K12" s="12"/>
      <c r="L12" s="12"/>
      <c r="M12" s="12"/>
      <c r="N12" s="12"/>
      <c r="O12" s="12"/>
      <c r="P12" s="12"/>
      <c r="Q12" s="12"/>
      <c r="R12" s="318" t="s">
        <v>3486</v>
      </c>
      <c r="S12" s="58">
        <v>3103773.58</v>
      </c>
      <c r="T12" s="58">
        <f t="shared" ref="T12:T16" si="10">SUM(AO12:BC12)</f>
        <v>295617.31</v>
      </c>
      <c r="U12" s="319">
        <f t="shared" ref="U12:U16" si="11">SUM(BA12:BC12)</f>
        <v>0</v>
      </c>
      <c r="V12" s="58">
        <f t="shared" ref="V12:V16" si="12">SUM(AO12:AZ12)</f>
        <v>295617.31</v>
      </c>
      <c r="W12" s="58">
        <f t="shared" ref="W12:W16" si="13">SUM(AP12:AZ12)</f>
        <v>295617.31</v>
      </c>
      <c r="X12" s="58">
        <f t="shared" ref="X12:X16" si="14">SUM(AQ12:AZ12)</f>
        <v>295617.31</v>
      </c>
      <c r="Y12" s="58">
        <f t="shared" ref="Y12:Y16" si="15">SUM(AR12:AZ12)</f>
        <v>295617.31</v>
      </c>
      <c r="Z12" s="58">
        <f t="shared" ref="Z12:Z16" si="16">SUM(AS12:AZ12)</f>
        <v>295617.31</v>
      </c>
      <c r="AA12" s="58">
        <f t="shared" ref="AA12:AA16" si="17">SUM(AT12:AZ12)</f>
        <v>295617.31</v>
      </c>
      <c r="AB12" s="58">
        <f t="shared" ref="AB12:AB16" si="18">SUM(AU12:AZ12)</f>
        <v>295617.31</v>
      </c>
      <c r="AC12" s="58">
        <f t="shared" ref="AC12:AC16" si="19">SUM(AV12:AZ12)</f>
        <v>295617.31</v>
      </c>
      <c r="AD12" s="58">
        <f t="shared" ref="AD12:AD16" si="20">SUM(AW12:AZ12)</f>
        <v>295617.31</v>
      </c>
      <c r="AE12" s="58">
        <f t="shared" ref="AE12:AE16" si="21">SUM(AX12:AZ12)</f>
        <v>295617.31</v>
      </c>
      <c r="AF12" s="58">
        <f t="shared" ref="AF12:AF16" si="22">SUM(AY12:AZ12)</f>
        <v>0</v>
      </c>
      <c r="AG12" s="58">
        <f t="shared" ref="AG12:AG16" si="23">SUM(AZ12:AZ12)</f>
        <v>0</v>
      </c>
      <c r="AH12" s="328"/>
      <c r="AI12" s="328"/>
      <c r="AJ12" s="329"/>
      <c r="AK12" s="330"/>
      <c r="AL12" s="330"/>
      <c r="AM12" s="330"/>
      <c r="AN12" s="331"/>
      <c r="AO12" s="58"/>
      <c r="AP12" s="58"/>
      <c r="AQ12" s="58"/>
      <c r="AR12" s="58"/>
      <c r="AS12" s="58"/>
      <c r="AT12" s="58"/>
      <c r="AU12" s="58"/>
      <c r="AV12" s="58"/>
      <c r="AW12" s="58"/>
      <c r="AX12" s="58">
        <v>295617.31</v>
      </c>
      <c r="AY12" s="58">
        <v>0</v>
      </c>
      <c r="AZ12" s="58">
        <v>0</v>
      </c>
      <c r="BA12" s="319">
        <v>0</v>
      </c>
      <c r="BB12" s="342"/>
      <c r="BC12" s="342"/>
      <c r="BD12" s="343"/>
    </row>
    <row r="13" ht="16.5" customHeight="1" spans="1:56">
      <c r="A13" s="13"/>
      <c r="B13" s="13"/>
      <c r="C13" s="13"/>
      <c r="D13" s="13"/>
      <c r="E13" s="13"/>
      <c r="F13" s="13"/>
      <c r="G13" s="13"/>
      <c r="H13" s="13"/>
      <c r="I13" s="13"/>
      <c r="J13" s="13"/>
      <c r="K13" s="13"/>
      <c r="L13" s="13"/>
      <c r="M13" s="13"/>
      <c r="N13" s="13"/>
      <c r="O13" s="13"/>
      <c r="P13" s="13"/>
      <c r="Q13" s="13"/>
      <c r="R13" s="213" t="s">
        <v>3490</v>
      </c>
      <c r="S13" s="58">
        <v>1309014.31</v>
      </c>
      <c r="T13" s="58">
        <f t="shared" si="10"/>
        <v>213854.45</v>
      </c>
      <c r="U13" s="319">
        <f t="shared" si="11"/>
        <v>0</v>
      </c>
      <c r="V13" s="58">
        <f t="shared" si="12"/>
        <v>213854.45</v>
      </c>
      <c r="W13" s="58">
        <f t="shared" si="13"/>
        <v>213854.45</v>
      </c>
      <c r="X13" s="58">
        <f t="shared" si="14"/>
        <v>213854.45</v>
      </c>
      <c r="Y13" s="58">
        <f t="shared" si="15"/>
        <v>213854.45</v>
      </c>
      <c r="Z13" s="58">
        <f t="shared" si="16"/>
        <v>213854.45</v>
      </c>
      <c r="AA13" s="58">
        <f t="shared" si="17"/>
        <v>213854.45</v>
      </c>
      <c r="AB13" s="58">
        <f t="shared" si="18"/>
        <v>213854.45</v>
      </c>
      <c r="AC13" s="58">
        <f t="shared" si="19"/>
        <v>213854.45</v>
      </c>
      <c r="AD13" s="58">
        <f t="shared" si="20"/>
        <v>213854.45</v>
      </c>
      <c r="AE13" s="58">
        <f t="shared" si="21"/>
        <v>213854.45</v>
      </c>
      <c r="AF13" s="58">
        <f t="shared" si="22"/>
        <v>0</v>
      </c>
      <c r="AG13" s="58">
        <f t="shared" si="23"/>
        <v>0</v>
      </c>
      <c r="AH13" s="328"/>
      <c r="AI13" s="328"/>
      <c r="AJ13" s="22"/>
      <c r="AK13" s="22"/>
      <c r="AL13" s="22"/>
      <c r="AM13" s="22"/>
      <c r="AN13" s="13"/>
      <c r="AO13" s="58"/>
      <c r="AP13" s="58"/>
      <c r="AQ13" s="58"/>
      <c r="AR13" s="58"/>
      <c r="AS13" s="58"/>
      <c r="AT13" s="58"/>
      <c r="AU13" s="58"/>
      <c r="AV13" s="58"/>
      <c r="AW13" s="58"/>
      <c r="AX13" s="58">
        <v>213854.45</v>
      </c>
      <c r="AY13" s="58">
        <v>0</v>
      </c>
      <c r="AZ13" s="58">
        <v>0</v>
      </c>
      <c r="BA13" s="319">
        <v>0</v>
      </c>
      <c r="BB13" s="342"/>
      <c r="BC13" s="342"/>
      <c r="BD13" s="13"/>
    </row>
    <row r="14" ht="16.5" customHeight="1" spans="1:56">
      <c r="A14" s="13"/>
      <c r="B14" s="13"/>
      <c r="C14" s="13"/>
      <c r="D14" s="13"/>
      <c r="E14" s="13"/>
      <c r="F14" s="13"/>
      <c r="G14" s="13"/>
      <c r="H14" s="13"/>
      <c r="I14" s="13"/>
      <c r="J14" s="13"/>
      <c r="K14" s="13"/>
      <c r="L14" s="13"/>
      <c r="M14" s="13"/>
      <c r="N14" s="13"/>
      <c r="O14" s="13"/>
      <c r="P14" s="13"/>
      <c r="Q14" s="13"/>
      <c r="R14" s="213" t="s">
        <v>3491</v>
      </c>
      <c r="S14" s="58"/>
      <c r="T14" s="58">
        <f t="shared" si="10"/>
        <v>0</v>
      </c>
      <c r="U14" s="319">
        <f t="shared" si="11"/>
        <v>0</v>
      </c>
      <c r="V14" s="58"/>
      <c r="W14" s="58"/>
      <c r="X14" s="58"/>
      <c r="Y14" s="58"/>
      <c r="Z14" s="58"/>
      <c r="AA14" s="58"/>
      <c r="AB14" s="58"/>
      <c r="AC14" s="58"/>
      <c r="AD14" s="58"/>
      <c r="AE14" s="58"/>
      <c r="AF14" s="58"/>
      <c r="AG14" s="58"/>
      <c r="AH14" s="328"/>
      <c r="AI14" s="328"/>
      <c r="AJ14" s="22"/>
      <c r="AK14" s="22"/>
      <c r="AL14" s="22"/>
      <c r="AM14" s="22"/>
      <c r="AN14" s="13"/>
      <c r="AO14" s="58"/>
      <c r="AP14" s="58"/>
      <c r="AQ14" s="58"/>
      <c r="AR14" s="58"/>
      <c r="AS14" s="58"/>
      <c r="AT14" s="58"/>
      <c r="AU14" s="58"/>
      <c r="AV14" s="58"/>
      <c r="AW14" s="58"/>
      <c r="AX14" s="58">
        <v>0</v>
      </c>
      <c r="AY14" s="58"/>
      <c r="AZ14" s="58"/>
      <c r="BA14" s="319"/>
      <c r="BB14" s="342"/>
      <c r="BC14" s="342"/>
      <c r="BD14" s="13"/>
    </row>
    <row r="15" ht="16.5" customHeight="1" spans="1:56">
      <c r="A15" s="13"/>
      <c r="B15" s="13"/>
      <c r="C15" s="13"/>
      <c r="D15" s="13"/>
      <c r="E15" s="13"/>
      <c r="F15" s="13"/>
      <c r="G15" s="13"/>
      <c r="H15" s="13"/>
      <c r="I15" s="13"/>
      <c r="J15" s="13"/>
      <c r="K15" s="13"/>
      <c r="L15" s="13"/>
      <c r="M15" s="13"/>
      <c r="N15" s="13"/>
      <c r="O15" s="13"/>
      <c r="P15" s="13"/>
      <c r="Q15" s="13"/>
      <c r="R15" s="213" t="s">
        <v>3492</v>
      </c>
      <c r="S15" s="58">
        <v>85000</v>
      </c>
      <c r="T15" s="58">
        <f t="shared" si="10"/>
        <v>0</v>
      </c>
      <c r="U15" s="319">
        <f t="shared" si="11"/>
        <v>0</v>
      </c>
      <c r="V15" s="58">
        <f t="shared" si="12"/>
        <v>0</v>
      </c>
      <c r="W15" s="58">
        <f t="shared" si="13"/>
        <v>0</v>
      </c>
      <c r="X15" s="58">
        <f t="shared" si="14"/>
        <v>0</v>
      </c>
      <c r="Y15" s="58">
        <f t="shared" si="15"/>
        <v>0</v>
      </c>
      <c r="Z15" s="58">
        <f t="shared" si="16"/>
        <v>0</v>
      </c>
      <c r="AA15" s="58">
        <f t="shared" si="17"/>
        <v>0</v>
      </c>
      <c r="AB15" s="58">
        <f t="shared" si="18"/>
        <v>0</v>
      </c>
      <c r="AC15" s="58">
        <f t="shared" si="19"/>
        <v>0</v>
      </c>
      <c r="AD15" s="58">
        <f t="shared" si="20"/>
        <v>0</v>
      </c>
      <c r="AE15" s="58">
        <f t="shared" si="21"/>
        <v>0</v>
      </c>
      <c r="AF15" s="58">
        <f t="shared" si="22"/>
        <v>0</v>
      </c>
      <c r="AG15" s="58">
        <f t="shared" si="23"/>
        <v>0</v>
      </c>
      <c r="AH15" s="328"/>
      <c r="AI15" s="328"/>
      <c r="AJ15" s="22"/>
      <c r="AK15" s="22"/>
      <c r="AL15" s="22"/>
      <c r="AM15" s="22"/>
      <c r="AN15" s="13"/>
      <c r="AO15" s="58"/>
      <c r="AP15" s="58"/>
      <c r="AQ15" s="58"/>
      <c r="AR15" s="58"/>
      <c r="AS15" s="58"/>
      <c r="AT15" s="58"/>
      <c r="AU15" s="58"/>
      <c r="AV15" s="58"/>
      <c r="AW15" s="58"/>
      <c r="AX15" s="58">
        <v>0</v>
      </c>
      <c r="AY15" s="58">
        <v>0</v>
      </c>
      <c r="AZ15" s="58">
        <v>0</v>
      </c>
      <c r="BA15" s="319">
        <v>0</v>
      </c>
      <c r="BB15" s="342"/>
      <c r="BC15" s="342"/>
      <c r="BD15" s="13"/>
    </row>
    <row r="16" ht="16.5" customHeight="1" spans="1:56">
      <c r="A16" s="13"/>
      <c r="B16" s="13"/>
      <c r="C16" s="13"/>
      <c r="D16" s="13"/>
      <c r="E16" s="13"/>
      <c r="F16" s="13"/>
      <c r="G16" s="13"/>
      <c r="H16" s="13"/>
      <c r="I16" s="13"/>
      <c r="J16" s="13"/>
      <c r="K16" s="13"/>
      <c r="L16" s="13"/>
      <c r="M16" s="13"/>
      <c r="N16" s="13"/>
      <c r="O16" s="13"/>
      <c r="P16" s="13"/>
      <c r="Q16" s="13"/>
      <c r="R16" s="213" t="s">
        <v>3493</v>
      </c>
      <c r="S16" s="58">
        <v>1242169.81</v>
      </c>
      <c r="T16" s="58">
        <f t="shared" si="10"/>
        <v>315.73</v>
      </c>
      <c r="U16" s="319">
        <f t="shared" si="11"/>
        <v>0</v>
      </c>
      <c r="V16" s="58">
        <f t="shared" si="12"/>
        <v>315.73</v>
      </c>
      <c r="W16" s="58">
        <f t="shared" si="13"/>
        <v>315.73</v>
      </c>
      <c r="X16" s="58">
        <f t="shared" si="14"/>
        <v>315.73</v>
      </c>
      <c r="Y16" s="58">
        <f t="shared" si="15"/>
        <v>315.73</v>
      </c>
      <c r="Z16" s="58">
        <f t="shared" si="16"/>
        <v>315.73</v>
      </c>
      <c r="AA16" s="58">
        <f t="shared" si="17"/>
        <v>315.73</v>
      </c>
      <c r="AB16" s="58">
        <f t="shared" si="18"/>
        <v>315.73</v>
      </c>
      <c r="AC16" s="58">
        <f t="shared" si="19"/>
        <v>315.73</v>
      </c>
      <c r="AD16" s="58">
        <f t="shared" si="20"/>
        <v>315.73</v>
      </c>
      <c r="AE16" s="58">
        <f t="shared" si="21"/>
        <v>315.73</v>
      </c>
      <c r="AF16" s="58">
        <f t="shared" si="22"/>
        <v>0</v>
      </c>
      <c r="AG16" s="58">
        <f t="shared" si="23"/>
        <v>0</v>
      </c>
      <c r="AH16" s="328"/>
      <c r="AI16" s="328"/>
      <c r="AJ16" s="22"/>
      <c r="AK16" s="22"/>
      <c r="AL16" s="22"/>
      <c r="AM16" s="22"/>
      <c r="AN16" s="13"/>
      <c r="AO16" s="58"/>
      <c r="AP16" s="58"/>
      <c r="AQ16" s="58"/>
      <c r="AR16" s="58"/>
      <c r="AS16" s="58"/>
      <c r="AT16" s="58"/>
      <c r="AU16" s="58"/>
      <c r="AV16" s="58"/>
      <c r="AW16" s="58"/>
      <c r="AX16" s="58">
        <v>315.73</v>
      </c>
      <c r="AY16" s="58">
        <v>0</v>
      </c>
      <c r="AZ16" s="58">
        <v>0</v>
      </c>
      <c r="BA16" s="319">
        <v>0</v>
      </c>
      <c r="BB16" s="342"/>
      <c r="BC16" s="342"/>
      <c r="BD16" s="13"/>
    </row>
    <row r="17" ht="16.5" customHeight="1" spans="1:56">
      <c r="A17" s="13"/>
      <c r="B17" s="13"/>
      <c r="C17" s="13"/>
      <c r="D17" s="13"/>
      <c r="E17" s="13"/>
      <c r="F17" s="13"/>
      <c r="G17" s="13"/>
      <c r="H17" s="13"/>
      <c r="I17" s="13"/>
      <c r="J17" s="13"/>
      <c r="K17" s="13"/>
      <c r="L17" s="13"/>
      <c r="M17" s="13"/>
      <c r="N17" s="13"/>
      <c r="O17" s="13"/>
      <c r="P17" s="13"/>
      <c r="Q17" s="13"/>
      <c r="R17" s="213" t="s">
        <v>3494</v>
      </c>
      <c r="S17" s="214">
        <f t="shared" ref="S17:AG17" si="24">SUM(S13:S16)</f>
        <v>2636184.12</v>
      </c>
      <c r="T17" s="214">
        <f t="shared" si="24"/>
        <v>214170.18</v>
      </c>
      <c r="U17" s="320">
        <f t="shared" si="24"/>
        <v>0</v>
      </c>
      <c r="V17" s="214">
        <f t="shared" si="24"/>
        <v>214170.18</v>
      </c>
      <c r="W17" s="214">
        <f t="shared" si="24"/>
        <v>214170.18</v>
      </c>
      <c r="X17" s="214">
        <f t="shared" si="24"/>
        <v>214170.18</v>
      </c>
      <c r="Y17" s="214">
        <f t="shared" si="24"/>
        <v>214170.18</v>
      </c>
      <c r="Z17" s="214">
        <f t="shared" si="24"/>
        <v>214170.18</v>
      </c>
      <c r="AA17" s="214">
        <f t="shared" si="24"/>
        <v>214170.18</v>
      </c>
      <c r="AB17" s="214">
        <f t="shared" si="24"/>
        <v>214170.18</v>
      </c>
      <c r="AC17" s="214">
        <f t="shared" si="24"/>
        <v>214170.18</v>
      </c>
      <c r="AD17" s="214">
        <f t="shared" si="24"/>
        <v>214170.18</v>
      </c>
      <c r="AE17" s="214">
        <f t="shared" si="24"/>
        <v>214170.18</v>
      </c>
      <c r="AF17" s="214">
        <f t="shared" si="24"/>
        <v>0</v>
      </c>
      <c r="AG17" s="214">
        <f t="shared" si="24"/>
        <v>0</v>
      </c>
      <c r="AH17" s="214">
        <f>SUM(AH13:AH16)</f>
        <v>0</v>
      </c>
      <c r="AI17" s="214">
        <f>SUM(AI13:AI16)</f>
        <v>0</v>
      </c>
      <c r="AJ17" s="22"/>
      <c r="AK17" s="22"/>
      <c r="AL17" s="22"/>
      <c r="AM17" s="22"/>
      <c r="AN17" s="13"/>
      <c r="AO17" s="214">
        <f t="shared" ref="AO17:BC17" si="25">SUM(AO13:AO16)</f>
        <v>0</v>
      </c>
      <c r="AP17" s="214">
        <f t="shared" si="25"/>
        <v>0</v>
      </c>
      <c r="AQ17" s="214">
        <f t="shared" si="25"/>
        <v>0</v>
      </c>
      <c r="AR17" s="214">
        <f t="shared" si="25"/>
        <v>0</v>
      </c>
      <c r="AS17" s="214">
        <f t="shared" si="25"/>
        <v>0</v>
      </c>
      <c r="AT17" s="214">
        <f t="shared" si="25"/>
        <v>0</v>
      </c>
      <c r="AU17" s="214">
        <f t="shared" si="25"/>
        <v>0</v>
      </c>
      <c r="AV17" s="214">
        <f t="shared" si="25"/>
        <v>0</v>
      </c>
      <c r="AW17" s="214">
        <f t="shared" si="25"/>
        <v>0</v>
      </c>
      <c r="AX17" s="214">
        <f t="shared" si="25"/>
        <v>214170.18</v>
      </c>
      <c r="AY17" s="214">
        <f t="shared" si="25"/>
        <v>0</v>
      </c>
      <c r="AZ17" s="214">
        <f t="shared" si="25"/>
        <v>0</v>
      </c>
      <c r="BA17" s="320">
        <f t="shared" si="25"/>
        <v>0</v>
      </c>
      <c r="BB17" s="320">
        <f t="shared" si="25"/>
        <v>0</v>
      </c>
      <c r="BC17" s="320">
        <f t="shared" si="25"/>
        <v>0</v>
      </c>
      <c r="BD17" s="13"/>
    </row>
    <row r="18" ht="16.5" customHeight="1" spans="1:56">
      <c r="A18" s="13"/>
      <c r="B18" s="13"/>
      <c r="C18" s="13"/>
      <c r="D18" s="13"/>
      <c r="E18" s="13"/>
      <c r="F18" s="13"/>
      <c r="G18" s="13"/>
      <c r="H18" s="13"/>
      <c r="I18" s="13"/>
      <c r="J18" s="13"/>
      <c r="K18" s="13"/>
      <c r="L18" s="13"/>
      <c r="M18" s="13"/>
      <c r="N18" s="13"/>
      <c r="O18" s="13"/>
      <c r="P18" s="13"/>
      <c r="Q18" s="13"/>
      <c r="R18" s="213" t="s">
        <v>3495</v>
      </c>
      <c r="S18" s="58">
        <f t="shared" ref="S18:AG18" si="26">S12-S13</f>
        <v>1794759.27</v>
      </c>
      <c r="T18" s="58">
        <f t="shared" si="26"/>
        <v>81762.86</v>
      </c>
      <c r="U18" s="319">
        <f t="shared" si="26"/>
        <v>0</v>
      </c>
      <c r="V18" s="58">
        <f t="shared" si="26"/>
        <v>81762.86</v>
      </c>
      <c r="W18" s="58">
        <f t="shared" si="26"/>
        <v>81762.86</v>
      </c>
      <c r="X18" s="58">
        <f t="shared" si="26"/>
        <v>81762.86</v>
      </c>
      <c r="Y18" s="58">
        <f t="shared" si="26"/>
        <v>81762.86</v>
      </c>
      <c r="Z18" s="58">
        <f t="shared" si="26"/>
        <v>81762.86</v>
      </c>
      <c r="AA18" s="58">
        <f t="shared" si="26"/>
        <v>81762.86</v>
      </c>
      <c r="AB18" s="58">
        <f t="shared" si="26"/>
        <v>81762.86</v>
      </c>
      <c r="AC18" s="58">
        <f t="shared" si="26"/>
        <v>81762.86</v>
      </c>
      <c r="AD18" s="58">
        <f t="shared" si="26"/>
        <v>81762.86</v>
      </c>
      <c r="AE18" s="58">
        <f t="shared" si="26"/>
        <v>81762.86</v>
      </c>
      <c r="AF18" s="58">
        <f t="shared" si="26"/>
        <v>0</v>
      </c>
      <c r="AG18" s="58">
        <f t="shared" si="26"/>
        <v>0</v>
      </c>
      <c r="AH18" s="332"/>
      <c r="AI18" s="332"/>
      <c r="AJ18" s="22"/>
      <c r="AK18" s="22"/>
      <c r="AL18" s="22"/>
      <c r="AM18" s="22"/>
      <c r="AN18" s="13"/>
      <c r="AO18" s="58">
        <f t="shared" ref="AO18:BA18" si="27">AO12-AO13</f>
        <v>0</v>
      </c>
      <c r="AP18" s="58">
        <f t="shared" si="27"/>
        <v>0</v>
      </c>
      <c r="AQ18" s="58">
        <f t="shared" si="27"/>
        <v>0</v>
      </c>
      <c r="AR18" s="58">
        <f t="shared" si="27"/>
        <v>0</v>
      </c>
      <c r="AS18" s="58">
        <f t="shared" si="27"/>
        <v>0</v>
      </c>
      <c r="AT18" s="58">
        <f t="shared" si="27"/>
        <v>0</v>
      </c>
      <c r="AU18" s="58">
        <f t="shared" si="27"/>
        <v>0</v>
      </c>
      <c r="AV18" s="58">
        <f t="shared" si="27"/>
        <v>0</v>
      </c>
      <c r="AW18" s="58">
        <f t="shared" si="27"/>
        <v>0</v>
      </c>
      <c r="AX18" s="58">
        <f t="shared" si="27"/>
        <v>81762.86</v>
      </c>
      <c r="AY18" s="58">
        <f t="shared" si="27"/>
        <v>0</v>
      </c>
      <c r="AZ18" s="58">
        <f t="shared" si="27"/>
        <v>0</v>
      </c>
      <c r="BA18" s="342">
        <f t="shared" si="27"/>
        <v>0</v>
      </c>
      <c r="BB18" s="342"/>
      <c r="BC18" s="342"/>
      <c r="BD18" s="13"/>
    </row>
    <row r="19" ht="16.5" customHeight="1" spans="1:56">
      <c r="A19" s="13"/>
      <c r="B19" s="13"/>
      <c r="C19" s="13"/>
      <c r="D19" s="13"/>
      <c r="E19" s="13"/>
      <c r="F19" s="13"/>
      <c r="G19" s="13"/>
      <c r="H19" s="13"/>
      <c r="I19" s="13"/>
      <c r="J19" s="13"/>
      <c r="K19" s="13"/>
      <c r="L19" s="13"/>
      <c r="M19" s="13"/>
      <c r="N19" s="13"/>
      <c r="O19" s="13"/>
      <c r="P19" s="13"/>
      <c r="Q19" s="13"/>
      <c r="R19" s="321" t="s">
        <v>3496</v>
      </c>
      <c r="S19" s="61">
        <f t="shared" ref="S19:AG19" si="28">S18/S12</f>
        <v>0.578250707965624</v>
      </c>
      <c r="T19" s="61">
        <f t="shared" si="28"/>
        <v>0.276583465291664</v>
      </c>
      <c r="U19" s="322" t="e">
        <f t="shared" si="28"/>
        <v>#DIV/0!</v>
      </c>
      <c r="V19" s="61">
        <f t="shared" si="28"/>
        <v>0.276583465291664</v>
      </c>
      <c r="W19" s="61">
        <f t="shared" si="28"/>
        <v>0.276583465291664</v>
      </c>
      <c r="X19" s="61">
        <f t="shared" si="28"/>
        <v>0.276583465291664</v>
      </c>
      <c r="Y19" s="61">
        <f t="shared" si="28"/>
        <v>0.276583465291664</v>
      </c>
      <c r="Z19" s="61">
        <f t="shared" si="28"/>
        <v>0.276583465291664</v>
      </c>
      <c r="AA19" s="61">
        <f t="shared" si="28"/>
        <v>0.276583465291664</v>
      </c>
      <c r="AB19" s="61">
        <f t="shared" si="28"/>
        <v>0.276583465291664</v>
      </c>
      <c r="AC19" s="61">
        <f t="shared" si="28"/>
        <v>0.276583465291664</v>
      </c>
      <c r="AD19" s="61">
        <f t="shared" si="28"/>
        <v>0.276583465291664</v>
      </c>
      <c r="AE19" s="61">
        <f t="shared" si="28"/>
        <v>0.276583465291664</v>
      </c>
      <c r="AF19" s="61" t="e">
        <f t="shared" si="28"/>
        <v>#DIV/0!</v>
      </c>
      <c r="AG19" s="61" t="e">
        <f t="shared" si="28"/>
        <v>#DIV/0!</v>
      </c>
      <c r="AH19" s="82">
        <f>T19-S19</f>
        <v>-0.30166724267396</v>
      </c>
      <c r="AI19" s="82" t="e">
        <f>AF19-S19</f>
        <v>#DIV/0!</v>
      </c>
      <c r="AJ19" s="22"/>
      <c r="AK19" s="22"/>
      <c r="AL19" s="22"/>
      <c r="AM19" s="22"/>
      <c r="AN19" s="13"/>
      <c r="AO19" s="61" t="e">
        <f t="shared" ref="AO19:BA19" si="29">AO18/AO12</f>
        <v>#DIV/0!</v>
      </c>
      <c r="AP19" s="61" t="e">
        <f t="shared" si="29"/>
        <v>#DIV/0!</v>
      </c>
      <c r="AQ19" s="61" t="e">
        <f t="shared" si="29"/>
        <v>#DIV/0!</v>
      </c>
      <c r="AR19" s="61" t="e">
        <f t="shared" si="29"/>
        <v>#DIV/0!</v>
      </c>
      <c r="AS19" s="61" t="e">
        <f t="shared" si="29"/>
        <v>#DIV/0!</v>
      </c>
      <c r="AT19" s="61" t="e">
        <f t="shared" si="29"/>
        <v>#DIV/0!</v>
      </c>
      <c r="AU19" s="61" t="e">
        <f t="shared" si="29"/>
        <v>#DIV/0!</v>
      </c>
      <c r="AV19" s="61" t="e">
        <f t="shared" si="29"/>
        <v>#DIV/0!</v>
      </c>
      <c r="AW19" s="61" t="e">
        <f t="shared" si="29"/>
        <v>#DIV/0!</v>
      </c>
      <c r="AX19" s="61">
        <f t="shared" si="29"/>
        <v>0.276583465291664</v>
      </c>
      <c r="AY19" s="61" t="e">
        <f t="shared" si="29"/>
        <v>#DIV/0!</v>
      </c>
      <c r="AZ19" s="61" t="e">
        <f t="shared" si="29"/>
        <v>#DIV/0!</v>
      </c>
      <c r="BA19" s="342" t="e">
        <f t="shared" si="29"/>
        <v>#DIV/0!</v>
      </c>
      <c r="BB19" s="342"/>
      <c r="BC19" s="342"/>
      <c r="BD19" s="13"/>
    </row>
    <row r="20" ht="16.5" customHeight="1" spans="1:56">
      <c r="A20" s="13"/>
      <c r="B20" s="13"/>
      <c r="C20" s="13"/>
      <c r="D20" s="13"/>
      <c r="E20" s="13"/>
      <c r="F20" s="13"/>
      <c r="G20" s="13"/>
      <c r="H20" s="13"/>
      <c r="I20" s="13"/>
      <c r="J20" s="13"/>
      <c r="K20" s="13"/>
      <c r="L20" s="13"/>
      <c r="M20" s="13"/>
      <c r="N20" s="13"/>
      <c r="O20" s="13"/>
      <c r="P20" s="13"/>
      <c r="Q20" s="13"/>
      <c r="R20" s="213" t="s">
        <v>3497</v>
      </c>
      <c r="S20" s="58">
        <f t="shared" ref="S20:AG20" si="30">S12-S17</f>
        <v>467589.46</v>
      </c>
      <c r="T20" s="58">
        <f t="shared" si="30"/>
        <v>81447.13</v>
      </c>
      <c r="U20" s="58">
        <f t="shared" si="30"/>
        <v>0</v>
      </c>
      <c r="V20" s="58">
        <f t="shared" si="30"/>
        <v>81447.13</v>
      </c>
      <c r="W20" s="58">
        <f t="shared" si="30"/>
        <v>81447.13</v>
      </c>
      <c r="X20" s="58">
        <f t="shared" si="30"/>
        <v>81447.13</v>
      </c>
      <c r="Y20" s="58">
        <f t="shared" si="30"/>
        <v>81447.13</v>
      </c>
      <c r="Z20" s="58">
        <f t="shared" si="30"/>
        <v>81447.13</v>
      </c>
      <c r="AA20" s="58">
        <f t="shared" si="30"/>
        <v>81447.13</v>
      </c>
      <c r="AB20" s="58">
        <f t="shared" si="30"/>
        <v>81447.13</v>
      </c>
      <c r="AC20" s="58">
        <f t="shared" si="30"/>
        <v>81447.13</v>
      </c>
      <c r="AD20" s="58">
        <f t="shared" si="30"/>
        <v>81447.13</v>
      </c>
      <c r="AE20" s="58">
        <f t="shared" si="30"/>
        <v>81447.13</v>
      </c>
      <c r="AF20" s="58">
        <f t="shared" si="30"/>
        <v>0</v>
      </c>
      <c r="AG20" s="58">
        <f t="shared" si="30"/>
        <v>0</v>
      </c>
      <c r="AH20" s="82"/>
      <c r="AI20" s="82"/>
      <c r="AJ20" s="22"/>
      <c r="AK20" s="22"/>
      <c r="AL20" s="22"/>
      <c r="AM20" s="22"/>
      <c r="AN20" s="13"/>
      <c r="AO20" s="58">
        <f t="shared" ref="AO20:BC20" si="31">AO12-AO17</f>
        <v>0</v>
      </c>
      <c r="AP20" s="58">
        <f t="shared" si="31"/>
        <v>0</v>
      </c>
      <c r="AQ20" s="58">
        <f t="shared" si="31"/>
        <v>0</v>
      </c>
      <c r="AR20" s="58">
        <f t="shared" si="31"/>
        <v>0</v>
      </c>
      <c r="AS20" s="58">
        <f t="shared" si="31"/>
        <v>0</v>
      </c>
      <c r="AT20" s="58">
        <f t="shared" si="31"/>
        <v>0</v>
      </c>
      <c r="AU20" s="58">
        <f t="shared" si="31"/>
        <v>0</v>
      </c>
      <c r="AV20" s="58">
        <f t="shared" si="31"/>
        <v>0</v>
      </c>
      <c r="AW20" s="58">
        <f t="shared" si="31"/>
        <v>0</v>
      </c>
      <c r="AX20" s="58">
        <f t="shared" si="31"/>
        <v>81447.13</v>
      </c>
      <c r="AY20" s="58">
        <f t="shared" si="31"/>
        <v>0</v>
      </c>
      <c r="AZ20" s="58">
        <f t="shared" si="31"/>
        <v>0</v>
      </c>
      <c r="BA20" s="58">
        <f t="shared" si="31"/>
        <v>0</v>
      </c>
      <c r="BB20" s="58">
        <f t="shared" si="31"/>
        <v>0</v>
      </c>
      <c r="BC20" s="58">
        <f t="shared" si="31"/>
        <v>0</v>
      </c>
      <c r="BD20" s="13"/>
    </row>
    <row r="21" ht="16.5" customHeight="1" spans="1:56">
      <c r="A21" s="14"/>
      <c r="B21" s="14"/>
      <c r="C21" s="14"/>
      <c r="D21" s="14"/>
      <c r="E21" s="14"/>
      <c r="F21" s="14"/>
      <c r="G21" s="14"/>
      <c r="H21" s="14"/>
      <c r="I21" s="14"/>
      <c r="J21" s="14"/>
      <c r="K21" s="14"/>
      <c r="L21" s="14"/>
      <c r="M21" s="14"/>
      <c r="N21" s="14"/>
      <c r="O21" s="14"/>
      <c r="P21" s="14"/>
      <c r="Q21" s="14"/>
      <c r="R21" s="321" t="s">
        <v>3498</v>
      </c>
      <c r="S21" s="61">
        <f t="shared" ref="S21:AG21" si="32">S20/S12</f>
        <v>0.150651923520787</v>
      </c>
      <c r="T21" s="61">
        <f t="shared" si="32"/>
        <v>0.275515429052514</v>
      </c>
      <c r="U21" s="322" t="e">
        <f t="shared" si="32"/>
        <v>#DIV/0!</v>
      </c>
      <c r="V21" s="61">
        <f t="shared" si="32"/>
        <v>0.275515429052514</v>
      </c>
      <c r="W21" s="61">
        <f t="shared" si="32"/>
        <v>0.275515429052514</v>
      </c>
      <c r="X21" s="61">
        <f t="shared" si="32"/>
        <v>0.275515429052514</v>
      </c>
      <c r="Y21" s="61">
        <f t="shared" si="32"/>
        <v>0.275515429052514</v>
      </c>
      <c r="Z21" s="61">
        <f t="shared" si="32"/>
        <v>0.275515429052514</v>
      </c>
      <c r="AA21" s="61">
        <f t="shared" si="32"/>
        <v>0.275515429052514</v>
      </c>
      <c r="AB21" s="61">
        <f t="shared" si="32"/>
        <v>0.275515429052514</v>
      </c>
      <c r="AC21" s="61">
        <f t="shared" si="32"/>
        <v>0.275515429052514</v>
      </c>
      <c r="AD21" s="61">
        <f t="shared" si="32"/>
        <v>0.275515429052514</v>
      </c>
      <c r="AE21" s="61">
        <f t="shared" si="32"/>
        <v>0.275515429052514</v>
      </c>
      <c r="AF21" s="61" t="e">
        <f t="shared" si="32"/>
        <v>#DIV/0!</v>
      </c>
      <c r="AG21" s="61" t="e">
        <f t="shared" si="32"/>
        <v>#DIV/0!</v>
      </c>
      <c r="AH21" s="82">
        <f>T21-S21</f>
        <v>0.124863505531727</v>
      </c>
      <c r="AI21" s="82" t="e">
        <f>AF21-S21</f>
        <v>#DIV/0!</v>
      </c>
      <c r="AJ21" s="177"/>
      <c r="AK21" s="177"/>
      <c r="AL21" s="177"/>
      <c r="AM21" s="177"/>
      <c r="AN21" s="14"/>
      <c r="AO21" s="61" t="e">
        <f t="shared" ref="AO21:BA21" si="33">AO20/AO12</f>
        <v>#DIV/0!</v>
      </c>
      <c r="AP21" s="61" t="e">
        <f t="shared" si="33"/>
        <v>#DIV/0!</v>
      </c>
      <c r="AQ21" s="61" t="e">
        <f t="shared" si="33"/>
        <v>#DIV/0!</v>
      </c>
      <c r="AR21" s="61" t="e">
        <f t="shared" si="33"/>
        <v>#DIV/0!</v>
      </c>
      <c r="AS21" s="61" t="e">
        <f t="shared" si="33"/>
        <v>#DIV/0!</v>
      </c>
      <c r="AT21" s="61" t="e">
        <f t="shared" si="33"/>
        <v>#DIV/0!</v>
      </c>
      <c r="AU21" s="61" t="e">
        <f t="shared" si="33"/>
        <v>#DIV/0!</v>
      </c>
      <c r="AV21" s="61" t="e">
        <f t="shared" si="33"/>
        <v>#DIV/0!</v>
      </c>
      <c r="AW21" s="61" t="e">
        <f t="shared" si="33"/>
        <v>#DIV/0!</v>
      </c>
      <c r="AX21" s="61">
        <f t="shared" si="33"/>
        <v>0.275515429052514</v>
      </c>
      <c r="AY21" s="61" t="e">
        <f t="shared" si="33"/>
        <v>#DIV/0!</v>
      </c>
      <c r="AZ21" s="61" t="e">
        <f t="shared" si="33"/>
        <v>#DIV/0!</v>
      </c>
      <c r="BA21" s="342" t="e">
        <f t="shared" si="33"/>
        <v>#DIV/0!</v>
      </c>
      <c r="BB21" s="342"/>
      <c r="BC21" s="342"/>
      <c r="BD21" s="14"/>
    </row>
    <row r="22" ht="16.5" customHeight="1" spans="1:56">
      <c r="A22" s="300" t="s">
        <v>568</v>
      </c>
      <c r="B22" s="301" t="s">
        <v>569</v>
      </c>
      <c r="C22" s="302">
        <v>45901</v>
      </c>
      <c r="D22" s="302">
        <v>46234</v>
      </c>
      <c r="E22" s="303" t="s">
        <v>3555</v>
      </c>
      <c r="F22" s="233">
        <v>7.38</v>
      </c>
      <c r="G22" s="28">
        <v>0</v>
      </c>
      <c r="H22" s="301"/>
      <c r="I22" s="301"/>
      <c r="J22" s="12"/>
      <c r="K22" s="12"/>
      <c r="L22" s="12"/>
      <c r="M22" s="12"/>
      <c r="N22" s="12"/>
      <c r="O22" s="12"/>
      <c r="P22" s="12"/>
      <c r="Q22" s="12"/>
      <c r="R22" s="318" t="s">
        <v>3486</v>
      </c>
      <c r="S22" s="58">
        <v>614150.94</v>
      </c>
      <c r="T22" s="58">
        <f t="shared" ref="T22:T26" si="34">SUM(AO22:BC22)</f>
        <v>387663.48</v>
      </c>
      <c r="U22" s="319">
        <f t="shared" ref="U22:U26" si="35">SUM(BA22:BC22)</f>
        <v>319297.73</v>
      </c>
      <c r="V22" s="58">
        <f t="shared" ref="V22:V26" si="36">SUM(AO22:AZ22)</f>
        <v>68365.75</v>
      </c>
      <c r="W22" s="58">
        <f t="shared" ref="W22:W26" si="37">SUM(AP22:AZ22)</f>
        <v>68365.75</v>
      </c>
      <c r="X22" s="58">
        <f t="shared" ref="X22:X26" si="38">SUM(AQ22:AZ22)</f>
        <v>68365.75</v>
      </c>
      <c r="Y22" s="58">
        <f t="shared" ref="Y22:Y26" si="39">SUM(AR22:AZ22)</f>
        <v>68365.75</v>
      </c>
      <c r="Z22" s="58">
        <f t="shared" ref="Z22:Z26" si="40">SUM(AS22:AZ22)</f>
        <v>68365.75</v>
      </c>
      <c r="AA22" s="58">
        <f t="shared" ref="AA22:AA26" si="41">SUM(AT22:AZ22)</f>
        <v>68365.75</v>
      </c>
      <c r="AB22" s="58">
        <f t="shared" ref="AB22:AB26" si="42">SUM(AU22:AZ22)</f>
        <v>68365.75</v>
      </c>
      <c r="AC22" s="58">
        <f t="shared" ref="AC22:AC26" si="43">SUM(AV22:AZ22)</f>
        <v>68365.75</v>
      </c>
      <c r="AD22" s="58">
        <f t="shared" ref="AD22:AD26" si="44">SUM(AW22:AZ22)</f>
        <v>68365.75</v>
      </c>
      <c r="AE22" s="58">
        <f t="shared" ref="AE22:AE26" si="45">SUM(AX22:AZ22)</f>
        <v>68365.75</v>
      </c>
      <c r="AF22" s="58">
        <f t="shared" ref="AF22:AF26" si="46">SUM(AY22:AZ22)</f>
        <v>68365.75</v>
      </c>
      <c r="AG22" s="58">
        <f t="shared" ref="AG22:AG26" si="47">SUM(AZ22:AZ22)</f>
        <v>64357.31</v>
      </c>
      <c r="AH22" s="328"/>
      <c r="AI22" s="328"/>
      <c r="AJ22" s="329"/>
      <c r="AK22" s="330" t="s">
        <v>3558</v>
      </c>
      <c r="AL22" s="330" t="s">
        <v>3559</v>
      </c>
      <c r="AM22" s="330" t="s">
        <v>571</v>
      </c>
      <c r="AN22" s="331"/>
      <c r="AO22" s="58"/>
      <c r="AP22" s="58"/>
      <c r="AQ22" s="58"/>
      <c r="AR22" s="58"/>
      <c r="AS22" s="58"/>
      <c r="AT22" s="58"/>
      <c r="AU22" s="58"/>
      <c r="AV22" s="58"/>
      <c r="AW22" s="58"/>
      <c r="AX22" s="58">
        <v>0</v>
      </c>
      <c r="AY22" s="58">
        <v>4008.44</v>
      </c>
      <c r="AZ22" s="58">
        <v>64357.31</v>
      </c>
      <c r="BA22" s="319">
        <v>319297.73</v>
      </c>
      <c r="BB22" s="342"/>
      <c r="BC22" s="342"/>
      <c r="BD22" s="343"/>
    </row>
    <row r="23" ht="16.5" customHeight="1" spans="1:56">
      <c r="A23" s="13"/>
      <c r="B23" s="13"/>
      <c r="C23" s="13"/>
      <c r="D23" s="13"/>
      <c r="E23" s="13"/>
      <c r="F23" s="13"/>
      <c r="G23" s="13"/>
      <c r="H23" s="13"/>
      <c r="I23" s="13"/>
      <c r="J23" s="13"/>
      <c r="K23" s="13"/>
      <c r="L23" s="13"/>
      <c r="M23" s="13"/>
      <c r="N23" s="13"/>
      <c r="O23" s="13"/>
      <c r="P23" s="13"/>
      <c r="Q23" s="13"/>
      <c r="R23" s="213" t="s">
        <v>3490</v>
      </c>
      <c r="S23" s="58">
        <v>459942.73</v>
      </c>
      <c r="T23" s="58">
        <f t="shared" si="34"/>
        <v>533710.78</v>
      </c>
      <c r="U23" s="319">
        <f t="shared" si="35"/>
        <v>281803.94</v>
      </c>
      <c r="V23" s="58">
        <f t="shared" si="36"/>
        <v>251906.84</v>
      </c>
      <c r="W23" s="58">
        <f t="shared" si="37"/>
        <v>251906.84</v>
      </c>
      <c r="X23" s="58">
        <f t="shared" si="38"/>
        <v>251906.84</v>
      </c>
      <c r="Y23" s="58">
        <f t="shared" si="39"/>
        <v>251906.84</v>
      </c>
      <c r="Z23" s="58">
        <f t="shared" si="40"/>
        <v>251906.84</v>
      </c>
      <c r="AA23" s="58">
        <f t="shared" si="41"/>
        <v>251906.84</v>
      </c>
      <c r="AB23" s="58">
        <f t="shared" si="42"/>
        <v>251906.84</v>
      </c>
      <c r="AC23" s="58">
        <f t="shared" si="43"/>
        <v>251906.84</v>
      </c>
      <c r="AD23" s="58">
        <f t="shared" si="44"/>
        <v>251906.84</v>
      </c>
      <c r="AE23" s="58">
        <f t="shared" si="45"/>
        <v>251906.84</v>
      </c>
      <c r="AF23" s="58">
        <f t="shared" si="46"/>
        <v>252199.68</v>
      </c>
      <c r="AG23" s="58">
        <f t="shared" si="47"/>
        <v>71359.71</v>
      </c>
      <c r="AH23" s="328"/>
      <c r="AI23" s="328"/>
      <c r="AJ23" s="22"/>
      <c r="AK23" s="22"/>
      <c r="AL23" s="22"/>
      <c r="AM23" s="22"/>
      <c r="AN23" s="13"/>
      <c r="AO23" s="58"/>
      <c r="AP23" s="58"/>
      <c r="AQ23" s="58"/>
      <c r="AR23" s="58"/>
      <c r="AS23" s="58"/>
      <c r="AT23" s="58"/>
      <c r="AU23" s="58"/>
      <c r="AV23" s="58"/>
      <c r="AW23" s="58"/>
      <c r="AX23" s="58">
        <v>-292.84</v>
      </c>
      <c r="AY23" s="58">
        <v>180839.97</v>
      </c>
      <c r="AZ23" s="58">
        <v>71359.71</v>
      </c>
      <c r="BA23" s="319">
        <v>281803.94</v>
      </c>
      <c r="BB23" s="342"/>
      <c r="BC23" s="342"/>
      <c r="BD23" s="13"/>
    </row>
    <row r="24" ht="16.5" customHeight="1" spans="1:56">
      <c r="A24" s="13"/>
      <c r="B24" s="13"/>
      <c r="C24" s="13"/>
      <c r="D24" s="13"/>
      <c r="E24" s="13"/>
      <c r="F24" s="13"/>
      <c r="G24" s="13"/>
      <c r="H24" s="13"/>
      <c r="I24" s="13"/>
      <c r="J24" s="13"/>
      <c r="K24" s="13"/>
      <c r="L24" s="13"/>
      <c r="M24" s="13"/>
      <c r="N24" s="13"/>
      <c r="O24" s="13"/>
      <c r="P24" s="13"/>
      <c r="Q24" s="13"/>
      <c r="R24" s="213" t="s">
        <v>3491</v>
      </c>
      <c r="S24" s="58"/>
      <c r="T24" s="58">
        <f t="shared" si="34"/>
        <v>0</v>
      </c>
      <c r="U24" s="319">
        <f t="shared" si="35"/>
        <v>0</v>
      </c>
      <c r="V24" s="58"/>
      <c r="W24" s="58"/>
      <c r="X24" s="58"/>
      <c r="Y24" s="58"/>
      <c r="Z24" s="58"/>
      <c r="AA24" s="58"/>
      <c r="AB24" s="58"/>
      <c r="AC24" s="58"/>
      <c r="AD24" s="58"/>
      <c r="AE24" s="58"/>
      <c r="AF24" s="58"/>
      <c r="AG24" s="58"/>
      <c r="AH24" s="328"/>
      <c r="AI24" s="328"/>
      <c r="AJ24" s="22"/>
      <c r="AK24" s="22"/>
      <c r="AL24" s="22"/>
      <c r="AM24" s="22"/>
      <c r="AN24" s="13"/>
      <c r="AO24" s="58"/>
      <c r="AP24" s="58"/>
      <c r="AQ24" s="58"/>
      <c r="AR24" s="58"/>
      <c r="AS24" s="58"/>
      <c r="AT24" s="58"/>
      <c r="AU24" s="58"/>
      <c r="AV24" s="58"/>
      <c r="AW24" s="58"/>
      <c r="AX24" s="58">
        <v>0</v>
      </c>
      <c r="AY24" s="58"/>
      <c r="AZ24" s="58"/>
      <c r="BA24" s="319"/>
      <c r="BB24" s="342"/>
      <c r="BC24" s="342"/>
      <c r="BD24" s="13"/>
    </row>
    <row r="25" ht="16.5" customHeight="1" spans="1:56">
      <c r="A25" s="13"/>
      <c r="B25" s="13"/>
      <c r="C25" s="13"/>
      <c r="D25" s="13"/>
      <c r="E25" s="13"/>
      <c r="F25" s="13"/>
      <c r="G25" s="13"/>
      <c r="H25" s="13"/>
      <c r="I25" s="13"/>
      <c r="J25" s="13"/>
      <c r="K25" s="13"/>
      <c r="L25" s="13"/>
      <c r="M25" s="13"/>
      <c r="N25" s="13"/>
      <c r="O25" s="13"/>
      <c r="P25" s="13"/>
      <c r="Q25" s="13"/>
      <c r="R25" s="213" t="s">
        <v>3492</v>
      </c>
      <c r="S25" s="58">
        <v>20000</v>
      </c>
      <c r="T25" s="58">
        <f t="shared" si="34"/>
        <v>0</v>
      </c>
      <c r="U25" s="319">
        <f t="shared" si="35"/>
        <v>0</v>
      </c>
      <c r="V25" s="58">
        <f t="shared" si="36"/>
        <v>0</v>
      </c>
      <c r="W25" s="58">
        <f t="shared" si="37"/>
        <v>0</v>
      </c>
      <c r="X25" s="58">
        <f t="shared" si="38"/>
        <v>0</v>
      </c>
      <c r="Y25" s="58">
        <f t="shared" si="39"/>
        <v>0</v>
      </c>
      <c r="Z25" s="58">
        <f t="shared" si="40"/>
        <v>0</v>
      </c>
      <c r="AA25" s="58">
        <f t="shared" si="41"/>
        <v>0</v>
      </c>
      <c r="AB25" s="58">
        <f t="shared" si="42"/>
        <v>0</v>
      </c>
      <c r="AC25" s="58">
        <f t="shared" si="43"/>
        <v>0</v>
      </c>
      <c r="AD25" s="58">
        <f t="shared" si="44"/>
        <v>0</v>
      </c>
      <c r="AE25" s="58">
        <f t="shared" si="45"/>
        <v>0</v>
      </c>
      <c r="AF25" s="58">
        <f t="shared" si="46"/>
        <v>0</v>
      </c>
      <c r="AG25" s="58">
        <f t="shared" si="47"/>
        <v>0</v>
      </c>
      <c r="AH25" s="328"/>
      <c r="AI25" s="328"/>
      <c r="AJ25" s="22"/>
      <c r="AK25" s="22"/>
      <c r="AL25" s="22"/>
      <c r="AM25" s="22"/>
      <c r="AN25" s="13"/>
      <c r="AO25" s="58"/>
      <c r="AP25" s="58"/>
      <c r="AQ25" s="58"/>
      <c r="AR25" s="58"/>
      <c r="AS25" s="58"/>
      <c r="AT25" s="58"/>
      <c r="AU25" s="58"/>
      <c r="AV25" s="58"/>
      <c r="AW25" s="58"/>
      <c r="AX25" s="58"/>
      <c r="AY25" s="58">
        <v>0</v>
      </c>
      <c r="AZ25" s="58">
        <v>0</v>
      </c>
      <c r="BA25" s="319">
        <v>0</v>
      </c>
      <c r="BB25" s="342"/>
      <c r="BC25" s="342"/>
      <c r="BD25" s="13"/>
    </row>
    <row r="26" ht="16.5" customHeight="1" spans="1:56">
      <c r="A26" s="13"/>
      <c r="B26" s="13"/>
      <c r="C26" s="13"/>
      <c r="D26" s="13"/>
      <c r="E26" s="13"/>
      <c r="F26" s="13"/>
      <c r="G26" s="13"/>
      <c r="H26" s="13"/>
      <c r="I26" s="13"/>
      <c r="J26" s="13"/>
      <c r="K26" s="13"/>
      <c r="L26" s="13"/>
      <c r="M26" s="13"/>
      <c r="N26" s="13"/>
      <c r="O26" s="13"/>
      <c r="P26" s="13"/>
      <c r="Q26" s="13"/>
      <c r="R26" s="213" t="s">
        <v>3493</v>
      </c>
      <c r="S26" s="58">
        <v>10000</v>
      </c>
      <c r="T26" s="58">
        <f t="shared" si="34"/>
        <v>1996.75</v>
      </c>
      <c r="U26" s="319">
        <f t="shared" si="35"/>
        <v>758.92</v>
      </c>
      <c r="V26" s="58">
        <f t="shared" si="36"/>
        <v>1237.83</v>
      </c>
      <c r="W26" s="58">
        <f t="shared" si="37"/>
        <v>1237.83</v>
      </c>
      <c r="X26" s="58">
        <f t="shared" si="38"/>
        <v>1237.83</v>
      </c>
      <c r="Y26" s="58">
        <f t="shared" si="39"/>
        <v>1237.83</v>
      </c>
      <c r="Z26" s="58">
        <f t="shared" si="40"/>
        <v>1237.83</v>
      </c>
      <c r="AA26" s="58">
        <f t="shared" si="41"/>
        <v>1237.83</v>
      </c>
      <c r="AB26" s="58">
        <f t="shared" si="42"/>
        <v>1237.83</v>
      </c>
      <c r="AC26" s="58">
        <f t="shared" si="43"/>
        <v>1237.83</v>
      </c>
      <c r="AD26" s="58">
        <f t="shared" si="44"/>
        <v>1237.83</v>
      </c>
      <c r="AE26" s="58">
        <f t="shared" si="45"/>
        <v>1237.83</v>
      </c>
      <c r="AF26" s="58">
        <f t="shared" si="46"/>
        <v>823.79</v>
      </c>
      <c r="AG26" s="58">
        <f t="shared" si="47"/>
        <v>409.75</v>
      </c>
      <c r="AH26" s="328"/>
      <c r="AI26" s="328"/>
      <c r="AJ26" s="22"/>
      <c r="AK26" s="22"/>
      <c r="AL26" s="22"/>
      <c r="AM26" s="22"/>
      <c r="AN26" s="13"/>
      <c r="AO26" s="58"/>
      <c r="AP26" s="58"/>
      <c r="AQ26" s="58"/>
      <c r="AR26" s="58"/>
      <c r="AS26" s="58"/>
      <c r="AT26" s="58"/>
      <c r="AU26" s="58"/>
      <c r="AV26" s="58"/>
      <c r="AW26" s="58"/>
      <c r="AX26" s="58">
        <v>414.04</v>
      </c>
      <c r="AY26" s="58">
        <v>414.04</v>
      </c>
      <c r="AZ26" s="58">
        <v>409.75</v>
      </c>
      <c r="BA26" s="319">
        <v>758.92</v>
      </c>
      <c r="BB26" s="342"/>
      <c r="BC26" s="342"/>
      <c r="BD26" s="13"/>
    </row>
    <row r="27" ht="16.5" customHeight="1" spans="1:56">
      <c r="A27" s="13"/>
      <c r="B27" s="13"/>
      <c r="C27" s="13"/>
      <c r="D27" s="13"/>
      <c r="E27" s="13"/>
      <c r="F27" s="13"/>
      <c r="G27" s="13"/>
      <c r="H27" s="13"/>
      <c r="I27" s="13"/>
      <c r="J27" s="13"/>
      <c r="K27" s="13"/>
      <c r="L27" s="13"/>
      <c r="M27" s="13"/>
      <c r="N27" s="13"/>
      <c r="O27" s="13"/>
      <c r="P27" s="13"/>
      <c r="Q27" s="13"/>
      <c r="R27" s="213" t="s">
        <v>3494</v>
      </c>
      <c r="S27" s="214">
        <f t="shared" ref="S27:AG27" si="48">SUM(S23:S26)</f>
        <v>489942.73</v>
      </c>
      <c r="T27" s="214">
        <f t="shared" si="48"/>
        <v>535707.53</v>
      </c>
      <c r="U27" s="320">
        <f t="shared" si="48"/>
        <v>282562.86</v>
      </c>
      <c r="V27" s="214">
        <f t="shared" si="48"/>
        <v>253144.67</v>
      </c>
      <c r="W27" s="214">
        <f t="shared" si="48"/>
        <v>253144.67</v>
      </c>
      <c r="X27" s="214">
        <f t="shared" si="48"/>
        <v>253144.67</v>
      </c>
      <c r="Y27" s="214">
        <f t="shared" si="48"/>
        <v>253144.67</v>
      </c>
      <c r="Z27" s="214">
        <f t="shared" si="48"/>
        <v>253144.67</v>
      </c>
      <c r="AA27" s="214">
        <f t="shared" si="48"/>
        <v>253144.67</v>
      </c>
      <c r="AB27" s="214">
        <f t="shared" si="48"/>
        <v>253144.67</v>
      </c>
      <c r="AC27" s="214">
        <f t="shared" si="48"/>
        <v>253144.67</v>
      </c>
      <c r="AD27" s="214">
        <f t="shared" si="48"/>
        <v>253144.67</v>
      </c>
      <c r="AE27" s="214">
        <f t="shared" si="48"/>
        <v>253144.67</v>
      </c>
      <c r="AF27" s="214">
        <f t="shared" si="48"/>
        <v>253023.47</v>
      </c>
      <c r="AG27" s="214">
        <f t="shared" si="48"/>
        <v>71769.46</v>
      </c>
      <c r="AH27" s="214">
        <f>SUM(AH23:AH26)</f>
        <v>0</v>
      </c>
      <c r="AI27" s="214">
        <f>SUM(AI23:AI26)</f>
        <v>0</v>
      </c>
      <c r="AJ27" s="22"/>
      <c r="AK27" s="22"/>
      <c r="AL27" s="22"/>
      <c r="AM27" s="22"/>
      <c r="AN27" s="13"/>
      <c r="AO27" s="214">
        <f t="shared" ref="AO27:AX27" si="49">SUM(AO23:AO26)</f>
        <v>0</v>
      </c>
      <c r="AP27" s="214">
        <f t="shared" si="49"/>
        <v>0</v>
      </c>
      <c r="AQ27" s="214">
        <f t="shared" si="49"/>
        <v>0</v>
      </c>
      <c r="AR27" s="214">
        <f t="shared" si="49"/>
        <v>0</v>
      </c>
      <c r="AS27" s="214">
        <f t="shared" si="49"/>
        <v>0</v>
      </c>
      <c r="AT27" s="214">
        <f t="shared" si="49"/>
        <v>0</v>
      </c>
      <c r="AU27" s="214">
        <f t="shared" si="49"/>
        <v>0</v>
      </c>
      <c r="AV27" s="214">
        <f t="shared" si="49"/>
        <v>0</v>
      </c>
      <c r="AW27" s="214">
        <f t="shared" si="49"/>
        <v>0</v>
      </c>
      <c r="AX27" s="214">
        <f t="shared" si="49"/>
        <v>121.2</v>
      </c>
      <c r="AY27" s="214">
        <v>181254.01</v>
      </c>
      <c r="AZ27" s="214">
        <f>SUM(AZ23:AZ26)</f>
        <v>71769.46</v>
      </c>
      <c r="BA27" s="320">
        <v>282562.86</v>
      </c>
      <c r="BB27" s="320">
        <f>SUM(BB23:BB26)</f>
        <v>0</v>
      </c>
      <c r="BC27" s="320">
        <f>SUM(BC23:BC26)</f>
        <v>0</v>
      </c>
      <c r="BD27" s="13"/>
    </row>
    <row r="28" ht="16.5" customHeight="1" spans="1:56">
      <c r="A28" s="13"/>
      <c r="B28" s="13"/>
      <c r="C28" s="13"/>
      <c r="D28" s="13"/>
      <c r="E28" s="13"/>
      <c r="F28" s="13"/>
      <c r="G28" s="13"/>
      <c r="H28" s="13"/>
      <c r="I28" s="13"/>
      <c r="J28" s="13"/>
      <c r="K28" s="13"/>
      <c r="L28" s="13"/>
      <c r="M28" s="13"/>
      <c r="N28" s="13"/>
      <c r="O28" s="13"/>
      <c r="P28" s="13"/>
      <c r="Q28" s="13"/>
      <c r="R28" s="213" t="s">
        <v>3495</v>
      </c>
      <c r="S28" s="58">
        <f t="shared" ref="S28:AG28" si="50">S22-S23</f>
        <v>154208.21</v>
      </c>
      <c r="T28" s="58">
        <f t="shared" si="50"/>
        <v>-146047.3</v>
      </c>
      <c r="U28" s="319">
        <f t="shared" si="50"/>
        <v>37493.79</v>
      </c>
      <c r="V28" s="58">
        <f t="shared" si="50"/>
        <v>-183541.09</v>
      </c>
      <c r="W28" s="58">
        <f t="shared" si="50"/>
        <v>-183541.09</v>
      </c>
      <c r="X28" s="58">
        <f t="shared" si="50"/>
        <v>-183541.09</v>
      </c>
      <c r="Y28" s="58">
        <f t="shared" si="50"/>
        <v>-183541.09</v>
      </c>
      <c r="Z28" s="58">
        <f t="shared" si="50"/>
        <v>-183541.09</v>
      </c>
      <c r="AA28" s="58">
        <f t="shared" si="50"/>
        <v>-183541.09</v>
      </c>
      <c r="AB28" s="58">
        <f t="shared" si="50"/>
        <v>-183541.09</v>
      </c>
      <c r="AC28" s="58">
        <f t="shared" si="50"/>
        <v>-183541.09</v>
      </c>
      <c r="AD28" s="58">
        <f t="shared" si="50"/>
        <v>-183541.09</v>
      </c>
      <c r="AE28" s="58">
        <f t="shared" si="50"/>
        <v>-183541.09</v>
      </c>
      <c r="AF28" s="58">
        <f t="shared" si="50"/>
        <v>-183833.93</v>
      </c>
      <c r="AG28" s="58">
        <f t="shared" si="50"/>
        <v>-7002.40000000001</v>
      </c>
      <c r="AH28" s="332"/>
      <c r="AI28" s="332"/>
      <c r="AJ28" s="22"/>
      <c r="AK28" s="22"/>
      <c r="AL28" s="22"/>
      <c r="AM28" s="22"/>
      <c r="AN28" s="13"/>
      <c r="AO28" s="58">
        <f t="shared" ref="AO28:AZ28" si="51">AO22-AO23</f>
        <v>0</v>
      </c>
      <c r="AP28" s="58">
        <f t="shared" si="51"/>
        <v>0</v>
      </c>
      <c r="AQ28" s="58">
        <f t="shared" si="51"/>
        <v>0</v>
      </c>
      <c r="AR28" s="58">
        <f t="shared" si="51"/>
        <v>0</v>
      </c>
      <c r="AS28" s="58">
        <f t="shared" si="51"/>
        <v>0</v>
      </c>
      <c r="AT28" s="58">
        <f t="shared" si="51"/>
        <v>0</v>
      </c>
      <c r="AU28" s="58">
        <f t="shared" si="51"/>
        <v>0</v>
      </c>
      <c r="AV28" s="58">
        <f t="shared" si="51"/>
        <v>0</v>
      </c>
      <c r="AW28" s="58">
        <f t="shared" si="51"/>
        <v>0</v>
      </c>
      <c r="AX28" s="58">
        <f t="shared" si="51"/>
        <v>292.84</v>
      </c>
      <c r="AY28" s="58">
        <f t="shared" si="51"/>
        <v>-176831.53</v>
      </c>
      <c r="AZ28" s="58">
        <f t="shared" si="51"/>
        <v>-7002.40000000001</v>
      </c>
      <c r="BA28" s="319">
        <v>37493.79</v>
      </c>
      <c r="BB28" s="342"/>
      <c r="BC28" s="342"/>
      <c r="BD28" s="13"/>
    </row>
    <row r="29" ht="16.5" customHeight="1" spans="1:56">
      <c r="A29" s="13"/>
      <c r="B29" s="13"/>
      <c r="C29" s="13"/>
      <c r="D29" s="13"/>
      <c r="E29" s="13"/>
      <c r="F29" s="13"/>
      <c r="G29" s="13"/>
      <c r="H29" s="13"/>
      <c r="I29" s="13"/>
      <c r="J29" s="13"/>
      <c r="K29" s="13"/>
      <c r="L29" s="13"/>
      <c r="M29" s="13"/>
      <c r="N29" s="13"/>
      <c r="O29" s="13"/>
      <c r="P29" s="13"/>
      <c r="Q29" s="13"/>
      <c r="R29" s="321" t="s">
        <v>3496</v>
      </c>
      <c r="S29" s="61">
        <f t="shared" ref="S29:AG29" si="52">S28/S22</f>
        <v>0.251091710451506</v>
      </c>
      <c r="T29" s="61">
        <f t="shared" si="52"/>
        <v>-0.376737318666179</v>
      </c>
      <c r="U29" s="322">
        <f t="shared" si="52"/>
        <v>0.11742579566726</v>
      </c>
      <c r="V29" s="61">
        <f t="shared" si="52"/>
        <v>-2.6846935782903</v>
      </c>
      <c r="W29" s="61">
        <f t="shared" si="52"/>
        <v>-2.6846935782903</v>
      </c>
      <c r="X29" s="61">
        <f t="shared" si="52"/>
        <v>-2.6846935782903</v>
      </c>
      <c r="Y29" s="61">
        <f t="shared" si="52"/>
        <v>-2.6846935782903</v>
      </c>
      <c r="Z29" s="61">
        <f t="shared" si="52"/>
        <v>-2.6846935782903</v>
      </c>
      <c r="AA29" s="61">
        <f t="shared" si="52"/>
        <v>-2.6846935782903</v>
      </c>
      <c r="AB29" s="61">
        <f t="shared" si="52"/>
        <v>-2.6846935782903</v>
      </c>
      <c r="AC29" s="61">
        <f t="shared" si="52"/>
        <v>-2.6846935782903</v>
      </c>
      <c r="AD29" s="61">
        <f t="shared" si="52"/>
        <v>-2.6846935782903</v>
      </c>
      <c r="AE29" s="61">
        <f t="shared" si="52"/>
        <v>-2.6846935782903</v>
      </c>
      <c r="AF29" s="61">
        <f t="shared" si="52"/>
        <v>-2.68897700968687</v>
      </c>
      <c r="AG29" s="61">
        <f t="shared" si="52"/>
        <v>-0.108805044834845</v>
      </c>
      <c r="AH29" s="82">
        <f>T29-S29</f>
        <v>-0.627829029117685</v>
      </c>
      <c r="AI29" s="82">
        <f>AF29-S29</f>
        <v>-2.94006872013837</v>
      </c>
      <c r="AJ29" s="22"/>
      <c r="AK29" s="22"/>
      <c r="AL29" s="22"/>
      <c r="AM29" s="22"/>
      <c r="AN29" s="13"/>
      <c r="AO29" s="61" t="e">
        <f t="shared" ref="AO29:AZ29" si="53">AO28/AO22</f>
        <v>#DIV/0!</v>
      </c>
      <c r="AP29" s="61" t="e">
        <f t="shared" si="53"/>
        <v>#DIV/0!</v>
      </c>
      <c r="AQ29" s="61" t="e">
        <f t="shared" si="53"/>
        <v>#DIV/0!</v>
      </c>
      <c r="AR29" s="61" t="e">
        <f t="shared" si="53"/>
        <v>#DIV/0!</v>
      </c>
      <c r="AS29" s="61" t="e">
        <f t="shared" si="53"/>
        <v>#DIV/0!</v>
      </c>
      <c r="AT29" s="61" t="e">
        <f t="shared" si="53"/>
        <v>#DIV/0!</v>
      </c>
      <c r="AU29" s="61" t="e">
        <f t="shared" si="53"/>
        <v>#DIV/0!</v>
      </c>
      <c r="AV29" s="61" t="e">
        <f t="shared" si="53"/>
        <v>#DIV/0!</v>
      </c>
      <c r="AW29" s="61" t="e">
        <f t="shared" si="53"/>
        <v>#DIV/0!</v>
      </c>
      <c r="AX29" s="61" t="e">
        <f t="shared" si="53"/>
        <v>#DIV/0!</v>
      </c>
      <c r="AY29" s="61">
        <f t="shared" si="53"/>
        <v>-44.1148002714273</v>
      </c>
      <c r="AZ29" s="61">
        <f t="shared" si="53"/>
        <v>-0.108805044834845</v>
      </c>
      <c r="BA29" s="322">
        <v>0.11742579566726</v>
      </c>
      <c r="BB29" s="342"/>
      <c r="BC29" s="342"/>
      <c r="BD29" s="13"/>
    </row>
    <row r="30" ht="16.5" customHeight="1" spans="1:56">
      <c r="A30" s="13"/>
      <c r="B30" s="13"/>
      <c r="C30" s="13"/>
      <c r="D30" s="13"/>
      <c r="E30" s="13"/>
      <c r="F30" s="13"/>
      <c r="G30" s="13"/>
      <c r="H30" s="13"/>
      <c r="I30" s="13"/>
      <c r="J30" s="13"/>
      <c r="K30" s="13"/>
      <c r="L30" s="13"/>
      <c r="M30" s="13"/>
      <c r="N30" s="13"/>
      <c r="O30" s="13"/>
      <c r="P30" s="13"/>
      <c r="Q30" s="13"/>
      <c r="R30" s="213" t="s">
        <v>3497</v>
      </c>
      <c r="S30" s="58">
        <f t="shared" ref="S30:AG30" si="54">S22-S27</f>
        <v>124208.21</v>
      </c>
      <c r="T30" s="58">
        <f t="shared" si="54"/>
        <v>-148044.05</v>
      </c>
      <c r="U30" s="58">
        <f t="shared" si="54"/>
        <v>36734.87</v>
      </c>
      <c r="V30" s="58">
        <f t="shared" si="54"/>
        <v>-184778.92</v>
      </c>
      <c r="W30" s="58">
        <f t="shared" si="54"/>
        <v>-184778.92</v>
      </c>
      <c r="X30" s="58">
        <f t="shared" si="54"/>
        <v>-184778.92</v>
      </c>
      <c r="Y30" s="58">
        <f t="shared" si="54"/>
        <v>-184778.92</v>
      </c>
      <c r="Z30" s="58">
        <f t="shared" si="54"/>
        <v>-184778.92</v>
      </c>
      <c r="AA30" s="58">
        <f t="shared" si="54"/>
        <v>-184778.92</v>
      </c>
      <c r="AB30" s="58">
        <f t="shared" si="54"/>
        <v>-184778.92</v>
      </c>
      <c r="AC30" s="58">
        <f t="shared" si="54"/>
        <v>-184778.92</v>
      </c>
      <c r="AD30" s="58">
        <f t="shared" si="54"/>
        <v>-184778.92</v>
      </c>
      <c r="AE30" s="58">
        <f t="shared" si="54"/>
        <v>-184778.92</v>
      </c>
      <c r="AF30" s="58">
        <f t="shared" si="54"/>
        <v>-184657.72</v>
      </c>
      <c r="AG30" s="58">
        <f t="shared" si="54"/>
        <v>-7412.15000000001</v>
      </c>
      <c r="AH30" s="82"/>
      <c r="AI30" s="82"/>
      <c r="AJ30" s="22"/>
      <c r="AK30" s="22"/>
      <c r="AL30" s="22"/>
      <c r="AM30" s="22"/>
      <c r="AN30" s="13"/>
      <c r="AO30" s="58">
        <f t="shared" ref="AO30:BC30" si="55">AO22-AO27</f>
        <v>0</v>
      </c>
      <c r="AP30" s="58">
        <f t="shared" si="55"/>
        <v>0</v>
      </c>
      <c r="AQ30" s="58">
        <f t="shared" si="55"/>
        <v>0</v>
      </c>
      <c r="AR30" s="58">
        <f t="shared" si="55"/>
        <v>0</v>
      </c>
      <c r="AS30" s="58">
        <f t="shared" si="55"/>
        <v>0</v>
      </c>
      <c r="AT30" s="58">
        <f t="shared" si="55"/>
        <v>0</v>
      </c>
      <c r="AU30" s="58">
        <f t="shared" si="55"/>
        <v>0</v>
      </c>
      <c r="AV30" s="58">
        <f t="shared" si="55"/>
        <v>0</v>
      </c>
      <c r="AW30" s="58">
        <f t="shared" si="55"/>
        <v>0</v>
      </c>
      <c r="AX30" s="58">
        <f t="shared" si="55"/>
        <v>-121.2</v>
      </c>
      <c r="AY30" s="58">
        <f t="shared" si="55"/>
        <v>-177245.57</v>
      </c>
      <c r="AZ30" s="58">
        <f t="shared" si="55"/>
        <v>-7412.15000000001</v>
      </c>
      <c r="BA30" s="58">
        <f t="shared" si="55"/>
        <v>36734.87</v>
      </c>
      <c r="BB30" s="58">
        <f t="shared" si="55"/>
        <v>0</v>
      </c>
      <c r="BC30" s="58">
        <f t="shared" si="55"/>
        <v>0</v>
      </c>
      <c r="BD30" s="13"/>
    </row>
    <row r="31" ht="16.5" customHeight="1" spans="1:56">
      <c r="A31" s="14"/>
      <c r="B31" s="14"/>
      <c r="C31" s="14"/>
      <c r="D31" s="14"/>
      <c r="E31" s="14"/>
      <c r="F31" s="14"/>
      <c r="G31" s="14"/>
      <c r="H31" s="14"/>
      <c r="I31" s="14"/>
      <c r="J31" s="14"/>
      <c r="K31" s="14"/>
      <c r="L31" s="14"/>
      <c r="M31" s="14"/>
      <c r="N31" s="14"/>
      <c r="O31" s="14"/>
      <c r="P31" s="14"/>
      <c r="Q31" s="14"/>
      <c r="R31" s="321" t="s">
        <v>3498</v>
      </c>
      <c r="S31" s="61">
        <f t="shared" ref="S31:AG31" si="56">S30/S22</f>
        <v>0.202243783914098</v>
      </c>
      <c r="T31" s="61">
        <f t="shared" si="56"/>
        <v>-0.381888048881984</v>
      </c>
      <c r="U31" s="322">
        <f t="shared" si="56"/>
        <v>0.115048954466416</v>
      </c>
      <c r="V31" s="61">
        <f t="shared" si="56"/>
        <v>-2.70279957434827</v>
      </c>
      <c r="W31" s="61">
        <f t="shared" si="56"/>
        <v>-2.70279957434827</v>
      </c>
      <c r="X31" s="61">
        <f t="shared" si="56"/>
        <v>-2.70279957434827</v>
      </c>
      <c r="Y31" s="61">
        <f t="shared" si="56"/>
        <v>-2.70279957434827</v>
      </c>
      <c r="Z31" s="61">
        <f t="shared" si="56"/>
        <v>-2.70279957434827</v>
      </c>
      <c r="AA31" s="61">
        <f t="shared" si="56"/>
        <v>-2.70279957434827</v>
      </c>
      <c r="AB31" s="61">
        <f t="shared" si="56"/>
        <v>-2.70279957434827</v>
      </c>
      <c r="AC31" s="61">
        <f t="shared" si="56"/>
        <v>-2.70279957434827</v>
      </c>
      <c r="AD31" s="61">
        <f t="shared" si="56"/>
        <v>-2.70279957434827</v>
      </c>
      <c r="AE31" s="61">
        <f t="shared" si="56"/>
        <v>-2.70279957434827</v>
      </c>
      <c r="AF31" s="61">
        <f t="shared" si="56"/>
        <v>-2.70102675681902</v>
      </c>
      <c r="AG31" s="61">
        <f t="shared" si="56"/>
        <v>-0.115171842949931</v>
      </c>
      <c r="AH31" s="82">
        <f>T31-S31</f>
        <v>-0.584131832796082</v>
      </c>
      <c r="AI31" s="82">
        <f>AF31-S31</f>
        <v>-2.90327054073312</v>
      </c>
      <c r="AJ31" s="177"/>
      <c r="AK31" s="177"/>
      <c r="AL31" s="177"/>
      <c r="AM31" s="177"/>
      <c r="AN31" s="14"/>
      <c r="AO31" s="61" t="e">
        <f t="shared" ref="AO31:AZ31" si="57">AO30/AO22</f>
        <v>#DIV/0!</v>
      </c>
      <c r="AP31" s="61" t="e">
        <f t="shared" si="57"/>
        <v>#DIV/0!</v>
      </c>
      <c r="AQ31" s="61" t="e">
        <f t="shared" si="57"/>
        <v>#DIV/0!</v>
      </c>
      <c r="AR31" s="61" t="e">
        <f t="shared" si="57"/>
        <v>#DIV/0!</v>
      </c>
      <c r="AS31" s="61" t="e">
        <f t="shared" si="57"/>
        <v>#DIV/0!</v>
      </c>
      <c r="AT31" s="61" t="e">
        <f t="shared" si="57"/>
        <v>#DIV/0!</v>
      </c>
      <c r="AU31" s="61" t="e">
        <f t="shared" si="57"/>
        <v>#DIV/0!</v>
      </c>
      <c r="AV31" s="61" t="e">
        <f t="shared" si="57"/>
        <v>#DIV/0!</v>
      </c>
      <c r="AW31" s="61" t="e">
        <f t="shared" si="57"/>
        <v>#DIV/0!</v>
      </c>
      <c r="AX31" s="61" t="e">
        <f t="shared" si="57"/>
        <v>#DIV/0!</v>
      </c>
      <c r="AY31" s="61">
        <f t="shared" si="57"/>
        <v>-44.2180923251938</v>
      </c>
      <c r="AZ31" s="61">
        <f t="shared" si="57"/>
        <v>-0.115171842949931</v>
      </c>
      <c r="BA31" s="322">
        <v>0.115048954466416</v>
      </c>
      <c r="BB31" s="342"/>
      <c r="BC31" s="342"/>
      <c r="BD31" s="14"/>
    </row>
    <row r="32" ht="16.5" customHeight="1" spans="1:56">
      <c r="A32" s="300" t="s">
        <v>573</v>
      </c>
      <c r="B32" s="301" t="s">
        <v>574</v>
      </c>
      <c r="C32" s="302">
        <v>45901</v>
      </c>
      <c r="D32" s="302">
        <v>46266</v>
      </c>
      <c r="E32" s="304"/>
      <c r="F32" s="233">
        <v>0.5</v>
      </c>
      <c r="G32" s="28">
        <v>0</v>
      </c>
      <c r="H32" s="301"/>
      <c r="I32" s="301"/>
      <c r="J32" s="58"/>
      <c r="K32" s="304"/>
      <c r="L32" s="304"/>
      <c r="M32" s="304"/>
      <c r="N32" s="304"/>
      <c r="O32" s="304"/>
      <c r="P32" s="304"/>
      <c r="Q32" s="304"/>
      <c r="R32" s="318" t="s">
        <v>3486</v>
      </c>
      <c r="S32" s="58">
        <v>179245.28</v>
      </c>
      <c r="T32" s="58">
        <f t="shared" ref="T32:T36" si="58">SUM(AO32:BC32)</f>
        <v>154771.03</v>
      </c>
      <c r="U32" s="319">
        <f t="shared" ref="U32:U36" si="59">SUM(BA32:BC32)</f>
        <v>147655.12</v>
      </c>
      <c r="V32" s="58">
        <f t="shared" ref="V32:V36" si="60">SUM(AO32:AZ32)</f>
        <v>7115.91</v>
      </c>
      <c r="W32" s="58">
        <f t="shared" ref="W32:W36" si="61">SUM(AP32:AZ32)</f>
        <v>7115.91</v>
      </c>
      <c r="X32" s="58">
        <f t="shared" ref="X32:X36" si="62">SUM(AQ32:AZ32)</f>
        <v>7115.91</v>
      </c>
      <c r="Y32" s="58">
        <f t="shared" ref="Y32:Y36" si="63">SUM(AR32:AZ32)</f>
        <v>7115.91</v>
      </c>
      <c r="Z32" s="58">
        <f t="shared" ref="Z32:Z36" si="64">SUM(AS32:AZ32)</f>
        <v>7115.91</v>
      </c>
      <c r="AA32" s="58">
        <f t="shared" ref="AA32:AA36" si="65">SUM(AT32:AZ32)</f>
        <v>7115.91</v>
      </c>
      <c r="AB32" s="58">
        <f t="shared" ref="AB32:AB36" si="66">SUM(AU32:AZ32)</f>
        <v>7115.91</v>
      </c>
      <c r="AC32" s="58">
        <f t="shared" ref="AC32:AC36" si="67">SUM(AV32:AZ32)</f>
        <v>7115.91</v>
      </c>
      <c r="AD32" s="58">
        <f t="shared" ref="AD32:AD36" si="68">SUM(AW32:AZ32)</f>
        <v>7115.91</v>
      </c>
      <c r="AE32" s="58">
        <f t="shared" ref="AE32:AE36" si="69">SUM(AX32:AZ32)</f>
        <v>7115.91</v>
      </c>
      <c r="AF32" s="58">
        <f t="shared" ref="AF32:AF36" si="70">SUM(AY32:AZ32)</f>
        <v>7115.91</v>
      </c>
      <c r="AG32" s="58">
        <f t="shared" ref="AG32:AG36" si="71">SUM(AZ32:AZ32)</f>
        <v>0</v>
      </c>
      <c r="AH32" s="328"/>
      <c r="AI32" s="328"/>
      <c r="AJ32" s="233"/>
      <c r="AK32" s="201" t="s">
        <v>3560</v>
      </c>
      <c r="AL32" s="333"/>
      <c r="AM32" s="233"/>
      <c r="AN32" s="331"/>
      <c r="AO32" s="58"/>
      <c r="AP32" s="58"/>
      <c r="AQ32" s="58"/>
      <c r="AR32" s="58"/>
      <c r="AS32" s="58"/>
      <c r="AT32" s="58"/>
      <c r="AU32" s="58"/>
      <c r="AV32" s="58"/>
      <c r="AW32" s="58"/>
      <c r="AX32" s="58">
        <v>0</v>
      </c>
      <c r="AY32" s="58">
        <v>7115.91</v>
      </c>
      <c r="AZ32" s="58">
        <v>0</v>
      </c>
      <c r="BA32" s="344">
        <v>147655.12</v>
      </c>
      <c r="BB32" s="342"/>
      <c r="BC32" s="342"/>
      <c r="BD32" s="259"/>
    </row>
    <row r="33" ht="16.5" customHeight="1" spans="1:56">
      <c r="A33" s="13"/>
      <c r="B33" s="13"/>
      <c r="C33" s="13"/>
      <c r="D33" s="13"/>
      <c r="E33" s="13"/>
      <c r="F33" s="13"/>
      <c r="G33" s="13"/>
      <c r="H33" s="13"/>
      <c r="I33" s="13"/>
      <c r="J33" s="13"/>
      <c r="K33" s="13"/>
      <c r="L33" s="13"/>
      <c r="M33" s="13"/>
      <c r="N33" s="13"/>
      <c r="O33" s="13"/>
      <c r="P33" s="13"/>
      <c r="Q33" s="13"/>
      <c r="R33" s="213" t="s">
        <v>3490</v>
      </c>
      <c r="S33" s="58">
        <v>126437.32</v>
      </c>
      <c r="T33" s="58">
        <f t="shared" si="58"/>
        <v>118750</v>
      </c>
      <c r="U33" s="319">
        <f t="shared" si="59"/>
        <v>108252.91</v>
      </c>
      <c r="V33" s="58">
        <f t="shared" si="60"/>
        <v>10497.09</v>
      </c>
      <c r="W33" s="58">
        <f t="shared" si="61"/>
        <v>10497.09</v>
      </c>
      <c r="X33" s="58">
        <f t="shared" si="62"/>
        <v>10497.09</v>
      </c>
      <c r="Y33" s="58">
        <f t="shared" si="63"/>
        <v>10497.09</v>
      </c>
      <c r="Z33" s="58">
        <f t="shared" si="64"/>
        <v>10497.09</v>
      </c>
      <c r="AA33" s="58">
        <f t="shared" si="65"/>
        <v>10497.09</v>
      </c>
      <c r="AB33" s="58">
        <f t="shared" si="66"/>
        <v>10497.09</v>
      </c>
      <c r="AC33" s="58">
        <f t="shared" si="67"/>
        <v>10497.09</v>
      </c>
      <c r="AD33" s="58">
        <f t="shared" si="68"/>
        <v>10497.09</v>
      </c>
      <c r="AE33" s="58">
        <f t="shared" si="69"/>
        <v>10497.09</v>
      </c>
      <c r="AF33" s="58">
        <f t="shared" si="70"/>
        <v>10497.09</v>
      </c>
      <c r="AG33" s="58">
        <f t="shared" si="71"/>
        <v>0</v>
      </c>
      <c r="AH33" s="328"/>
      <c r="AI33" s="328"/>
      <c r="AJ33" s="13"/>
      <c r="AK33" s="13"/>
      <c r="AL33" s="13"/>
      <c r="AM33" s="13"/>
      <c r="AN33" s="13"/>
      <c r="AO33" s="58"/>
      <c r="AP33" s="58"/>
      <c r="AQ33" s="58"/>
      <c r="AR33" s="58"/>
      <c r="AS33" s="58"/>
      <c r="AT33" s="58"/>
      <c r="AU33" s="58"/>
      <c r="AV33" s="58"/>
      <c r="AW33" s="58"/>
      <c r="AX33" s="58">
        <v>0</v>
      </c>
      <c r="AY33" s="58">
        <v>10497.09</v>
      </c>
      <c r="AZ33" s="58">
        <v>0</v>
      </c>
      <c r="BA33" s="344">
        <v>108252.91</v>
      </c>
      <c r="BB33" s="342"/>
      <c r="BC33" s="342"/>
      <c r="BD33" s="259"/>
    </row>
    <row r="34" ht="16.5" customHeight="1" spans="1:56">
      <c r="A34" s="13"/>
      <c r="B34" s="13"/>
      <c r="C34" s="13"/>
      <c r="D34" s="13"/>
      <c r="E34" s="13"/>
      <c r="F34" s="13"/>
      <c r="G34" s="13"/>
      <c r="H34" s="13"/>
      <c r="I34" s="13"/>
      <c r="J34" s="13"/>
      <c r="K34" s="13"/>
      <c r="L34" s="13"/>
      <c r="M34" s="13"/>
      <c r="N34" s="13"/>
      <c r="O34" s="13"/>
      <c r="P34" s="13"/>
      <c r="Q34" s="13"/>
      <c r="R34" s="213" t="s">
        <v>3491</v>
      </c>
      <c r="S34" s="58"/>
      <c r="T34" s="58">
        <f t="shared" si="58"/>
        <v>0</v>
      </c>
      <c r="U34" s="319">
        <f t="shared" si="59"/>
        <v>0</v>
      </c>
      <c r="V34" s="58"/>
      <c r="W34" s="58"/>
      <c r="X34" s="58"/>
      <c r="Y34" s="58"/>
      <c r="Z34" s="58"/>
      <c r="AA34" s="58"/>
      <c r="AB34" s="58"/>
      <c r="AC34" s="58"/>
      <c r="AD34" s="58"/>
      <c r="AE34" s="58"/>
      <c r="AF34" s="58"/>
      <c r="AG34" s="58"/>
      <c r="AH34" s="328"/>
      <c r="AI34" s="328"/>
      <c r="AJ34" s="13"/>
      <c r="AK34" s="13"/>
      <c r="AL34" s="13"/>
      <c r="AM34" s="13"/>
      <c r="AN34" s="13"/>
      <c r="AO34" s="58"/>
      <c r="AP34" s="58"/>
      <c r="AQ34" s="58"/>
      <c r="AR34" s="58"/>
      <c r="AS34" s="58"/>
      <c r="AT34" s="58"/>
      <c r="AU34" s="58"/>
      <c r="AV34" s="58"/>
      <c r="AW34" s="58"/>
      <c r="AX34" s="58">
        <v>0</v>
      </c>
      <c r="AY34" s="58"/>
      <c r="AZ34" s="58"/>
      <c r="BA34" s="344"/>
      <c r="BB34" s="342"/>
      <c r="BC34" s="342"/>
      <c r="BD34" s="259"/>
    </row>
    <row r="35" ht="16.5" customHeight="1" spans="1:56">
      <c r="A35" s="13"/>
      <c r="B35" s="13"/>
      <c r="C35" s="13"/>
      <c r="D35" s="13"/>
      <c r="E35" s="13"/>
      <c r="F35" s="13"/>
      <c r="G35" s="13"/>
      <c r="H35" s="13"/>
      <c r="I35" s="13"/>
      <c r="J35" s="13"/>
      <c r="K35" s="13"/>
      <c r="L35" s="13"/>
      <c r="M35" s="13"/>
      <c r="N35" s="13"/>
      <c r="O35" s="13"/>
      <c r="P35" s="13"/>
      <c r="Q35" s="13"/>
      <c r="R35" s="213" t="s">
        <v>3492</v>
      </c>
      <c r="S35" s="58">
        <v>23000</v>
      </c>
      <c r="T35" s="58">
        <f t="shared" si="58"/>
        <v>0</v>
      </c>
      <c r="U35" s="319">
        <f t="shared" si="59"/>
        <v>0</v>
      </c>
      <c r="V35" s="58">
        <f t="shared" si="60"/>
        <v>0</v>
      </c>
      <c r="W35" s="58">
        <f t="shared" si="61"/>
        <v>0</v>
      </c>
      <c r="X35" s="58">
        <f t="shared" si="62"/>
        <v>0</v>
      </c>
      <c r="Y35" s="58">
        <f t="shared" si="63"/>
        <v>0</v>
      </c>
      <c r="Z35" s="58">
        <f t="shared" si="64"/>
        <v>0</v>
      </c>
      <c r="AA35" s="58">
        <f t="shared" si="65"/>
        <v>0</v>
      </c>
      <c r="AB35" s="58">
        <f t="shared" si="66"/>
        <v>0</v>
      </c>
      <c r="AC35" s="58">
        <f t="shared" si="67"/>
        <v>0</v>
      </c>
      <c r="AD35" s="58">
        <f t="shared" si="68"/>
        <v>0</v>
      </c>
      <c r="AE35" s="58">
        <f t="shared" si="69"/>
        <v>0</v>
      </c>
      <c r="AF35" s="58">
        <f t="shared" si="70"/>
        <v>0</v>
      </c>
      <c r="AG35" s="58">
        <f t="shared" si="71"/>
        <v>0</v>
      </c>
      <c r="AH35" s="328"/>
      <c r="AI35" s="328"/>
      <c r="AJ35" s="13"/>
      <c r="AK35" s="13"/>
      <c r="AL35" s="13"/>
      <c r="AM35" s="13"/>
      <c r="AN35" s="13"/>
      <c r="AO35" s="58"/>
      <c r="AP35" s="58"/>
      <c r="AQ35" s="58"/>
      <c r="AR35" s="58"/>
      <c r="AS35" s="58"/>
      <c r="AT35" s="58"/>
      <c r="AU35" s="58"/>
      <c r="AV35" s="58"/>
      <c r="AW35" s="58"/>
      <c r="AX35" s="58"/>
      <c r="AY35" s="58">
        <v>0</v>
      </c>
      <c r="AZ35" s="58">
        <v>0</v>
      </c>
      <c r="BA35" s="344">
        <v>0</v>
      </c>
      <c r="BB35" s="342"/>
      <c r="BC35" s="342"/>
      <c r="BD35" s="259"/>
    </row>
    <row r="36" ht="16.5" customHeight="1" spans="1:56">
      <c r="A36" s="13"/>
      <c r="B36" s="13"/>
      <c r="C36" s="13"/>
      <c r="D36" s="13"/>
      <c r="E36" s="13"/>
      <c r="F36" s="13"/>
      <c r="G36" s="13"/>
      <c r="H36" s="13"/>
      <c r="I36" s="13"/>
      <c r="J36" s="13"/>
      <c r="K36" s="13"/>
      <c r="L36" s="13"/>
      <c r="M36" s="13"/>
      <c r="N36" s="13"/>
      <c r="O36" s="13"/>
      <c r="P36" s="13"/>
      <c r="Q36" s="13"/>
      <c r="R36" s="213" t="s">
        <v>3493</v>
      </c>
      <c r="S36" s="58">
        <v>0</v>
      </c>
      <c r="T36" s="58">
        <f t="shared" si="58"/>
        <v>995.05</v>
      </c>
      <c r="U36" s="319">
        <f t="shared" si="59"/>
        <v>506.75</v>
      </c>
      <c r="V36" s="58">
        <f t="shared" si="60"/>
        <v>488.3</v>
      </c>
      <c r="W36" s="58">
        <f t="shared" si="61"/>
        <v>488.3</v>
      </c>
      <c r="X36" s="58">
        <f t="shared" si="62"/>
        <v>488.3</v>
      </c>
      <c r="Y36" s="58">
        <f t="shared" si="63"/>
        <v>488.3</v>
      </c>
      <c r="Z36" s="58">
        <f t="shared" si="64"/>
        <v>488.3</v>
      </c>
      <c r="AA36" s="58">
        <f t="shared" si="65"/>
        <v>488.3</v>
      </c>
      <c r="AB36" s="58">
        <f t="shared" si="66"/>
        <v>488.3</v>
      </c>
      <c r="AC36" s="58">
        <f t="shared" si="67"/>
        <v>488.3</v>
      </c>
      <c r="AD36" s="58">
        <f t="shared" si="68"/>
        <v>488.3</v>
      </c>
      <c r="AE36" s="58">
        <f t="shared" si="69"/>
        <v>488.3</v>
      </c>
      <c r="AF36" s="58">
        <f t="shared" si="70"/>
        <v>323</v>
      </c>
      <c r="AG36" s="58">
        <f t="shared" si="71"/>
        <v>157.7</v>
      </c>
      <c r="AH36" s="328"/>
      <c r="AI36" s="328"/>
      <c r="AJ36" s="13"/>
      <c r="AK36" s="13"/>
      <c r="AL36" s="13"/>
      <c r="AM36" s="13"/>
      <c r="AN36" s="13"/>
      <c r="AO36" s="58"/>
      <c r="AP36" s="58"/>
      <c r="AQ36" s="58"/>
      <c r="AR36" s="58"/>
      <c r="AS36" s="58"/>
      <c r="AT36" s="58"/>
      <c r="AU36" s="58"/>
      <c r="AV36" s="58"/>
      <c r="AW36" s="58"/>
      <c r="AX36" s="58">
        <v>165.3</v>
      </c>
      <c r="AY36" s="58">
        <v>165.3</v>
      </c>
      <c r="AZ36" s="58">
        <v>157.7</v>
      </c>
      <c r="BA36" s="344">
        <v>506.75</v>
      </c>
      <c r="BB36" s="342"/>
      <c r="BC36" s="342"/>
      <c r="BD36" s="259"/>
    </row>
    <row r="37" ht="16.5" customHeight="1" spans="1:56">
      <c r="A37" s="13"/>
      <c r="B37" s="13"/>
      <c r="C37" s="13"/>
      <c r="D37" s="13"/>
      <c r="E37" s="13"/>
      <c r="F37" s="13"/>
      <c r="G37" s="13"/>
      <c r="H37" s="13"/>
      <c r="I37" s="13"/>
      <c r="J37" s="13"/>
      <c r="K37" s="13"/>
      <c r="L37" s="13"/>
      <c r="M37" s="13"/>
      <c r="N37" s="13"/>
      <c r="O37" s="13"/>
      <c r="P37" s="13"/>
      <c r="Q37" s="13"/>
      <c r="R37" s="213" t="s">
        <v>3494</v>
      </c>
      <c r="S37" s="214">
        <f t="shared" ref="S37:AG37" si="72">SUM(S33:S36)</f>
        <v>149437.32</v>
      </c>
      <c r="T37" s="214">
        <f t="shared" si="72"/>
        <v>119745.05</v>
      </c>
      <c r="U37" s="320">
        <f t="shared" si="72"/>
        <v>108759.66</v>
      </c>
      <c r="V37" s="214">
        <f t="shared" si="72"/>
        <v>10985.39</v>
      </c>
      <c r="W37" s="214">
        <f t="shared" si="72"/>
        <v>10985.39</v>
      </c>
      <c r="X37" s="214">
        <f t="shared" si="72"/>
        <v>10985.39</v>
      </c>
      <c r="Y37" s="214">
        <f t="shared" si="72"/>
        <v>10985.39</v>
      </c>
      <c r="Z37" s="214">
        <f t="shared" si="72"/>
        <v>10985.39</v>
      </c>
      <c r="AA37" s="214">
        <f t="shared" si="72"/>
        <v>10985.39</v>
      </c>
      <c r="AB37" s="214">
        <f t="shared" si="72"/>
        <v>10985.39</v>
      </c>
      <c r="AC37" s="214">
        <f t="shared" si="72"/>
        <v>10985.39</v>
      </c>
      <c r="AD37" s="214">
        <f t="shared" si="72"/>
        <v>10985.39</v>
      </c>
      <c r="AE37" s="214">
        <f t="shared" si="72"/>
        <v>10985.39</v>
      </c>
      <c r="AF37" s="214">
        <f t="shared" si="72"/>
        <v>10820.09</v>
      </c>
      <c r="AG37" s="214">
        <f t="shared" si="72"/>
        <v>157.7</v>
      </c>
      <c r="AH37" s="214">
        <f>SUM(AH33:AH36)</f>
        <v>0</v>
      </c>
      <c r="AI37" s="214">
        <f>SUM(AI33:AI36)</f>
        <v>0</v>
      </c>
      <c r="AJ37" s="13"/>
      <c r="AK37" s="13"/>
      <c r="AL37" s="13"/>
      <c r="AM37" s="13"/>
      <c r="AN37" s="13"/>
      <c r="AO37" s="214">
        <f t="shared" ref="AO37:AX37" si="73">SUM(AO33:AO36)</f>
        <v>0</v>
      </c>
      <c r="AP37" s="214">
        <f t="shared" si="73"/>
        <v>0</v>
      </c>
      <c r="AQ37" s="214">
        <f t="shared" si="73"/>
        <v>0</v>
      </c>
      <c r="AR37" s="214">
        <f t="shared" si="73"/>
        <v>0</v>
      </c>
      <c r="AS37" s="214">
        <f t="shared" si="73"/>
        <v>0</v>
      </c>
      <c r="AT37" s="214">
        <f t="shared" si="73"/>
        <v>0</v>
      </c>
      <c r="AU37" s="214">
        <f t="shared" si="73"/>
        <v>0</v>
      </c>
      <c r="AV37" s="214">
        <f t="shared" si="73"/>
        <v>0</v>
      </c>
      <c r="AW37" s="214">
        <f t="shared" si="73"/>
        <v>0</v>
      </c>
      <c r="AX37" s="214">
        <f t="shared" si="73"/>
        <v>165.3</v>
      </c>
      <c r="AY37" s="214">
        <v>10662.39</v>
      </c>
      <c r="AZ37" s="214">
        <f>SUM(AZ33:AZ36)</f>
        <v>157.7</v>
      </c>
      <c r="BA37" s="320">
        <v>108759.66</v>
      </c>
      <c r="BB37" s="320">
        <f>SUM(BB33:BB36)</f>
        <v>0</v>
      </c>
      <c r="BC37" s="320">
        <f>SUM(BC33:BC36)</f>
        <v>0</v>
      </c>
      <c r="BD37" s="345"/>
    </row>
    <row r="38" ht="16.5" customHeight="1" spans="1:56">
      <c r="A38" s="13"/>
      <c r="B38" s="13"/>
      <c r="C38" s="13"/>
      <c r="D38" s="13"/>
      <c r="E38" s="13"/>
      <c r="F38" s="13"/>
      <c r="G38" s="13"/>
      <c r="H38" s="13"/>
      <c r="I38" s="13"/>
      <c r="J38" s="13"/>
      <c r="K38" s="13"/>
      <c r="L38" s="13"/>
      <c r="M38" s="13"/>
      <c r="N38" s="13"/>
      <c r="O38" s="13"/>
      <c r="P38" s="13"/>
      <c r="Q38" s="13"/>
      <c r="R38" s="213" t="s">
        <v>3495</v>
      </c>
      <c r="S38" s="58">
        <f t="shared" ref="S38:AG38" si="74">S32-S33</f>
        <v>52807.96</v>
      </c>
      <c r="T38" s="58">
        <f t="shared" si="74"/>
        <v>36021.03</v>
      </c>
      <c r="U38" s="319">
        <f t="shared" si="74"/>
        <v>39402.21</v>
      </c>
      <c r="V38" s="58">
        <f t="shared" si="74"/>
        <v>-3381.18</v>
      </c>
      <c r="W38" s="58">
        <f t="shared" si="74"/>
        <v>-3381.18</v>
      </c>
      <c r="X38" s="58">
        <f t="shared" si="74"/>
        <v>-3381.18</v>
      </c>
      <c r="Y38" s="58">
        <f t="shared" si="74"/>
        <v>-3381.18</v>
      </c>
      <c r="Z38" s="58">
        <f t="shared" si="74"/>
        <v>-3381.18</v>
      </c>
      <c r="AA38" s="58">
        <f t="shared" si="74"/>
        <v>-3381.18</v>
      </c>
      <c r="AB38" s="58">
        <f t="shared" si="74"/>
        <v>-3381.18</v>
      </c>
      <c r="AC38" s="58">
        <f t="shared" si="74"/>
        <v>-3381.18</v>
      </c>
      <c r="AD38" s="58">
        <f t="shared" si="74"/>
        <v>-3381.18</v>
      </c>
      <c r="AE38" s="58">
        <f t="shared" si="74"/>
        <v>-3381.18</v>
      </c>
      <c r="AF38" s="58">
        <f t="shared" si="74"/>
        <v>-3381.18</v>
      </c>
      <c r="AG38" s="58">
        <f t="shared" si="74"/>
        <v>0</v>
      </c>
      <c r="AH38" s="332"/>
      <c r="AI38" s="332"/>
      <c r="AJ38" s="13"/>
      <c r="AK38" s="13"/>
      <c r="AL38" s="13"/>
      <c r="AM38" s="13"/>
      <c r="AN38" s="13"/>
      <c r="AO38" s="58">
        <f t="shared" ref="AO38:AZ38" si="75">AO32-AO33</f>
        <v>0</v>
      </c>
      <c r="AP38" s="58">
        <f t="shared" si="75"/>
        <v>0</v>
      </c>
      <c r="AQ38" s="58">
        <f t="shared" si="75"/>
        <v>0</v>
      </c>
      <c r="AR38" s="58">
        <f t="shared" si="75"/>
        <v>0</v>
      </c>
      <c r="AS38" s="58">
        <f t="shared" si="75"/>
        <v>0</v>
      </c>
      <c r="AT38" s="58">
        <f t="shared" si="75"/>
        <v>0</v>
      </c>
      <c r="AU38" s="58">
        <f t="shared" si="75"/>
        <v>0</v>
      </c>
      <c r="AV38" s="58">
        <f t="shared" si="75"/>
        <v>0</v>
      </c>
      <c r="AW38" s="58">
        <f t="shared" si="75"/>
        <v>0</v>
      </c>
      <c r="AX38" s="58">
        <f t="shared" si="75"/>
        <v>0</v>
      </c>
      <c r="AY38" s="58">
        <f t="shared" si="75"/>
        <v>-3381.18</v>
      </c>
      <c r="AZ38" s="58">
        <f t="shared" si="75"/>
        <v>0</v>
      </c>
      <c r="BA38" s="344">
        <v>39402.21</v>
      </c>
      <c r="BB38" s="342"/>
      <c r="BC38" s="342"/>
      <c r="BD38" s="259"/>
    </row>
    <row r="39" ht="16.5" customHeight="1" spans="1:56">
      <c r="A39" s="13"/>
      <c r="B39" s="13"/>
      <c r="C39" s="13"/>
      <c r="D39" s="13"/>
      <c r="E39" s="13"/>
      <c r="F39" s="13"/>
      <c r="G39" s="13"/>
      <c r="H39" s="13"/>
      <c r="I39" s="13"/>
      <c r="J39" s="13"/>
      <c r="K39" s="13"/>
      <c r="L39" s="13"/>
      <c r="M39" s="13"/>
      <c r="N39" s="13"/>
      <c r="O39" s="13"/>
      <c r="P39" s="13"/>
      <c r="Q39" s="13"/>
      <c r="R39" s="321" t="s">
        <v>3496</v>
      </c>
      <c r="S39" s="61">
        <f t="shared" ref="S39:AG39" si="76">S38/S32</f>
        <v>0.294612834435585</v>
      </c>
      <c r="T39" s="61">
        <f t="shared" si="76"/>
        <v>0.232737547847294</v>
      </c>
      <c r="U39" s="322">
        <f t="shared" si="76"/>
        <v>0.266852988233662</v>
      </c>
      <c r="V39" s="61">
        <f t="shared" si="76"/>
        <v>-0.47515778024174</v>
      </c>
      <c r="W39" s="61">
        <f t="shared" si="76"/>
        <v>-0.47515778024174</v>
      </c>
      <c r="X39" s="61">
        <f t="shared" si="76"/>
        <v>-0.47515778024174</v>
      </c>
      <c r="Y39" s="61">
        <f t="shared" si="76"/>
        <v>-0.47515778024174</v>
      </c>
      <c r="Z39" s="61">
        <f t="shared" si="76"/>
        <v>-0.47515778024174</v>
      </c>
      <c r="AA39" s="61">
        <f t="shared" si="76"/>
        <v>-0.47515778024174</v>
      </c>
      <c r="AB39" s="61">
        <f t="shared" si="76"/>
        <v>-0.47515778024174</v>
      </c>
      <c r="AC39" s="61">
        <f t="shared" si="76"/>
        <v>-0.47515778024174</v>
      </c>
      <c r="AD39" s="61">
        <f t="shared" si="76"/>
        <v>-0.47515778024174</v>
      </c>
      <c r="AE39" s="61">
        <f t="shared" si="76"/>
        <v>-0.47515778024174</v>
      </c>
      <c r="AF39" s="61">
        <f t="shared" si="76"/>
        <v>-0.47515778024174</v>
      </c>
      <c r="AG39" s="61" t="e">
        <f t="shared" si="76"/>
        <v>#DIV/0!</v>
      </c>
      <c r="AH39" s="82">
        <f>T39-S39</f>
        <v>-0.0618752865882904</v>
      </c>
      <c r="AI39" s="82">
        <f>AF39-S39</f>
        <v>-0.769770614677325</v>
      </c>
      <c r="AJ39" s="13"/>
      <c r="AK39" s="13"/>
      <c r="AL39" s="13"/>
      <c r="AM39" s="13"/>
      <c r="AN39" s="13"/>
      <c r="AO39" s="61" t="e">
        <f t="shared" ref="AO39:AZ39" si="77">AO38/AO32</f>
        <v>#DIV/0!</v>
      </c>
      <c r="AP39" s="61" t="e">
        <f t="shared" si="77"/>
        <v>#DIV/0!</v>
      </c>
      <c r="AQ39" s="61" t="e">
        <f t="shared" si="77"/>
        <v>#DIV/0!</v>
      </c>
      <c r="AR39" s="61" t="e">
        <f t="shared" si="77"/>
        <v>#DIV/0!</v>
      </c>
      <c r="AS39" s="61" t="e">
        <f t="shared" si="77"/>
        <v>#DIV/0!</v>
      </c>
      <c r="AT39" s="61" t="e">
        <f t="shared" si="77"/>
        <v>#DIV/0!</v>
      </c>
      <c r="AU39" s="61" t="e">
        <f t="shared" si="77"/>
        <v>#DIV/0!</v>
      </c>
      <c r="AV39" s="61" t="e">
        <f t="shared" si="77"/>
        <v>#DIV/0!</v>
      </c>
      <c r="AW39" s="61" t="e">
        <f t="shared" si="77"/>
        <v>#DIV/0!</v>
      </c>
      <c r="AX39" s="61" t="e">
        <f t="shared" si="77"/>
        <v>#DIV/0!</v>
      </c>
      <c r="AY39" s="61">
        <f t="shared" si="77"/>
        <v>-0.47515778024174</v>
      </c>
      <c r="AZ39" s="61" t="e">
        <f t="shared" si="77"/>
        <v>#DIV/0!</v>
      </c>
      <c r="BA39" s="322">
        <v>0.266852988233662</v>
      </c>
      <c r="BB39" s="342"/>
      <c r="BC39" s="342"/>
      <c r="BD39" s="259"/>
    </row>
    <row r="40" ht="16.5" customHeight="1" spans="1:56">
      <c r="A40" s="13"/>
      <c r="B40" s="13"/>
      <c r="C40" s="13"/>
      <c r="D40" s="13"/>
      <c r="E40" s="13"/>
      <c r="F40" s="13"/>
      <c r="G40" s="13"/>
      <c r="H40" s="13"/>
      <c r="I40" s="13"/>
      <c r="J40" s="13"/>
      <c r="K40" s="13"/>
      <c r="L40" s="13"/>
      <c r="M40" s="13"/>
      <c r="N40" s="13"/>
      <c r="O40" s="13"/>
      <c r="P40" s="13"/>
      <c r="Q40" s="13"/>
      <c r="R40" s="213" t="s">
        <v>3497</v>
      </c>
      <c r="S40" s="58">
        <f t="shared" ref="S40:AG40" si="78">S32-S37</f>
        <v>29807.96</v>
      </c>
      <c r="T40" s="58">
        <f t="shared" si="78"/>
        <v>35025.98</v>
      </c>
      <c r="U40" s="58">
        <f t="shared" si="78"/>
        <v>38895.46</v>
      </c>
      <c r="V40" s="58">
        <f t="shared" si="78"/>
        <v>-3869.48</v>
      </c>
      <c r="W40" s="58">
        <f t="shared" si="78"/>
        <v>-3869.48</v>
      </c>
      <c r="X40" s="58">
        <f t="shared" si="78"/>
        <v>-3869.48</v>
      </c>
      <c r="Y40" s="58">
        <f t="shared" si="78"/>
        <v>-3869.48</v>
      </c>
      <c r="Z40" s="58">
        <f t="shared" si="78"/>
        <v>-3869.48</v>
      </c>
      <c r="AA40" s="58">
        <f t="shared" si="78"/>
        <v>-3869.48</v>
      </c>
      <c r="AB40" s="58">
        <f t="shared" si="78"/>
        <v>-3869.48</v>
      </c>
      <c r="AC40" s="58">
        <f t="shared" si="78"/>
        <v>-3869.48</v>
      </c>
      <c r="AD40" s="58">
        <f t="shared" si="78"/>
        <v>-3869.48</v>
      </c>
      <c r="AE40" s="58">
        <f t="shared" si="78"/>
        <v>-3869.48</v>
      </c>
      <c r="AF40" s="58">
        <f t="shared" si="78"/>
        <v>-3704.18</v>
      </c>
      <c r="AG40" s="58">
        <f t="shared" si="78"/>
        <v>-157.7</v>
      </c>
      <c r="AH40" s="82"/>
      <c r="AI40" s="82"/>
      <c r="AJ40" s="13"/>
      <c r="AK40" s="13"/>
      <c r="AL40" s="13"/>
      <c r="AM40" s="13"/>
      <c r="AN40" s="13"/>
      <c r="AO40" s="58">
        <f t="shared" ref="AO40:BC40" si="79">AO32-AO37</f>
        <v>0</v>
      </c>
      <c r="AP40" s="58">
        <f t="shared" si="79"/>
        <v>0</v>
      </c>
      <c r="AQ40" s="58">
        <f t="shared" si="79"/>
        <v>0</v>
      </c>
      <c r="AR40" s="58">
        <f t="shared" si="79"/>
        <v>0</v>
      </c>
      <c r="AS40" s="58">
        <f t="shared" si="79"/>
        <v>0</v>
      </c>
      <c r="AT40" s="58">
        <f t="shared" si="79"/>
        <v>0</v>
      </c>
      <c r="AU40" s="58">
        <f t="shared" si="79"/>
        <v>0</v>
      </c>
      <c r="AV40" s="58">
        <f t="shared" si="79"/>
        <v>0</v>
      </c>
      <c r="AW40" s="58">
        <f t="shared" si="79"/>
        <v>0</v>
      </c>
      <c r="AX40" s="58">
        <f t="shared" si="79"/>
        <v>-165.3</v>
      </c>
      <c r="AY40" s="58">
        <f t="shared" si="79"/>
        <v>-3546.48</v>
      </c>
      <c r="AZ40" s="58">
        <f t="shared" si="79"/>
        <v>-157.7</v>
      </c>
      <c r="BA40" s="58">
        <f t="shared" si="79"/>
        <v>38895.46</v>
      </c>
      <c r="BB40" s="58">
        <f t="shared" si="79"/>
        <v>0</v>
      </c>
      <c r="BC40" s="58">
        <f t="shared" si="79"/>
        <v>0</v>
      </c>
      <c r="BD40" s="259"/>
    </row>
    <row r="41" ht="16.5" customHeight="1" spans="1:56">
      <c r="A41" s="14"/>
      <c r="B41" s="14"/>
      <c r="C41" s="14"/>
      <c r="D41" s="14"/>
      <c r="E41" s="14"/>
      <c r="F41" s="14"/>
      <c r="G41" s="14"/>
      <c r="H41" s="14"/>
      <c r="I41" s="14"/>
      <c r="J41" s="14"/>
      <c r="K41" s="14"/>
      <c r="L41" s="14"/>
      <c r="M41" s="14"/>
      <c r="N41" s="14"/>
      <c r="O41" s="14"/>
      <c r="P41" s="14"/>
      <c r="Q41" s="14"/>
      <c r="R41" s="321" t="s">
        <v>3498</v>
      </c>
      <c r="S41" s="61">
        <f t="shared" ref="S41:AG41" si="80">S40/S32</f>
        <v>0.166297042800792</v>
      </c>
      <c r="T41" s="61">
        <f t="shared" si="80"/>
        <v>0.226308373085066</v>
      </c>
      <c r="U41" s="322">
        <f t="shared" si="80"/>
        <v>0.26342100429704</v>
      </c>
      <c r="V41" s="61">
        <f t="shared" si="80"/>
        <v>-0.543778659370341</v>
      </c>
      <c r="W41" s="61">
        <f t="shared" si="80"/>
        <v>-0.543778659370341</v>
      </c>
      <c r="X41" s="61">
        <f t="shared" si="80"/>
        <v>-0.543778659370341</v>
      </c>
      <c r="Y41" s="61">
        <f t="shared" si="80"/>
        <v>-0.543778659370341</v>
      </c>
      <c r="Z41" s="61">
        <f t="shared" si="80"/>
        <v>-0.543778659370341</v>
      </c>
      <c r="AA41" s="61">
        <f t="shared" si="80"/>
        <v>-0.543778659370341</v>
      </c>
      <c r="AB41" s="61">
        <f t="shared" si="80"/>
        <v>-0.543778659370341</v>
      </c>
      <c r="AC41" s="61">
        <f t="shared" si="80"/>
        <v>-0.543778659370341</v>
      </c>
      <c r="AD41" s="61">
        <f t="shared" si="80"/>
        <v>-0.543778659370341</v>
      </c>
      <c r="AE41" s="61">
        <f t="shared" si="80"/>
        <v>-0.543778659370341</v>
      </c>
      <c r="AF41" s="61">
        <f t="shared" si="80"/>
        <v>-0.520549023245094</v>
      </c>
      <c r="AG41" s="61" t="e">
        <f t="shared" si="80"/>
        <v>#DIV/0!</v>
      </c>
      <c r="AH41" s="82">
        <f>T41-S41</f>
        <v>0.0600113302842741</v>
      </c>
      <c r="AI41" s="82">
        <f>AF41-S41</f>
        <v>-0.686846066045887</v>
      </c>
      <c r="AJ41" s="14"/>
      <c r="AK41" s="14"/>
      <c r="AL41" s="14"/>
      <c r="AM41" s="14"/>
      <c r="AN41" s="14"/>
      <c r="AO41" s="61" t="e">
        <f t="shared" ref="AO41:AZ41" si="81">AO40/AO32</f>
        <v>#DIV/0!</v>
      </c>
      <c r="AP41" s="61" t="e">
        <f t="shared" si="81"/>
        <v>#DIV/0!</v>
      </c>
      <c r="AQ41" s="61" t="e">
        <f t="shared" si="81"/>
        <v>#DIV/0!</v>
      </c>
      <c r="AR41" s="61" t="e">
        <f t="shared" si="81"/>
        <v>#DIV/0!</v>
      </c>
      <c r="AS41" s="61" t="e">
        <f t="shared" si="81"/>
        <v>#DIV/0!</v>
      </c>
      <c r="AT41" s="61" t="e">
        <f t="shared" si="81"/>
        <v>#DIV/0!</v>
      </c>
      <c r="AU41" s="61" t="e">
        <f t="shared" si="81"/>
        <v>#DIV/0!</v>
      </c>
      <c r="AV41" s="61" t="e">
        <f t="shared" si="81"/>
        <v>#DIV/0!</v>
      </c>
      <c r="AW41" s="61" t="e">
        <f t="shared" si="81"/>
        <v>#DIV/0!</v>
      </c>
      <c r="AX41" s="61" t="e">
        <f t="shared" si="81"/>
        <v>#DIV/0!</v>
      </c>
      <c r="AY41" s="61">
        <f t="shared" si="81"/>
        <v>-0.498387416366986</v>
      </c>
      <c r="AZ41" s="61" t="e">
        <f t="shared" si="81"/>
        <v>#DIV/0!</v>
      </c>
      <c r="BA41" s="322">
        <v>0.26342100429704</v>
      </c>
      <c r="BB41" s="342"/>
      <c r="BC41" s="342"/>
      <c r="BD41" s="259"/>
    </row>
    <row r="42" ht="16.5" customHeight="1" spans="1:56">
      <c r="A42" s="300" t="s">
        <v>576</v>
      </c>
      <c r="B42" s="301" t="s">
        <v>577</v>
      </c>
      <c r="C42" s="302">
        <v>45901</v>
      </c>
      <c r="D42" s="302">
        <v>46265</v>
      </c>
      <c r="E42" s="304"/>
      <c r="F42" s="233" t="s">
        <v>3561</v>
      </c>
      <c r="G42" s="28">
        <v>0</v>
      </c>
      <c r="H42" s="301"/>
      <c r="I42" s="301"/>
      <c r="J42" s="58"/>
      <c r="K42" s="304"/>
      <c r="L42" s="304"/>
      <c r="M42" s="304"/>
      <c r="N42" s="304"/>
      <c r="O42" s="304"/>
      <c r="P42" s="304"/>
      <c r="Q42" s="304"/>
      <c r="R42" s="318" t="s">
        <v>3486</v>
      </c>
      <c r="S42" s="58">
        <v>117924.53</v>
      </c>
      <c r="T42" s="58">
        <f t="shared" ref="T42:T46" si="82">SUM(AO42:BC42)</f>
        <v>117037.97</v>
      </c>
      <c r="U42" s="319">
        <f t="shared" ref="U42:U46" si="83">SUM(BA42:BC42)</f>
        <v>117037.97</v>
      </c>
      <c r="V42" s="58">
        <f t="shared" ref="V42:V46" si="84">SUM(AO42:AZ42)</f>
        <v>0</v>
      </c>
      <c r="W42" s="58">
        <f t="shared" ref="W42:W46" si="85">SUM(AP42:AZ42)</f>
        <v>0</v>
      </c>
      <c r="X42" s="58">
        <f t="shared" ref="X42:X46" si="86">SUM(AQ42:AZ42)</f>
        <v>0</v>
      </c>
      <c r="Y42" s="58">
        <f t="shared" ref="Y42:Y46" si="87">SUM(AR42:AZ42)</f>
        <v>0</v>
      </c>
      <c r="Z42" s="58">
        <f t="shared" ref="Z42:Z46" si="88">SUM(AS42:AZ42)</f>
        <v>0</v>
      </c>
      <c r="AA42" s="58">
        <f t="shared" ref="AA42:AA46" si="89">SUM(AT42:AZ42)</f>
        <v>0</v>
      </c>
      <c r="AB42" s="58">
        <f t="shared" ref="AB42:AB46" si="90">SUM(AU42:AZ42)</f>
        <v>0</v>
      </c>
      <c r="AC42" s="58">
        <f t="shared" ref="AC42:AC46" si="91">SUM(AV42:AZ42)</f>
        <v>0</v>
      </c>
      <c r="AD42" s="58">
        <f t="shared" ref="AD42:AD46" si="92">SUM(AW42:AZ42)</f>
        <v>0</v>
      </c>
      <c r="AE42" s="58">
        <f t="shared" ref="AE42:AE46" si="93">SUM(AX42:AZ42)</f>
        <v>0</v>
      </c>
      <c r="AF42" s="58">
        <f t="shared" ref="AF42:AF46" si="94">SUM(AY42:AZ42)</f>
        <v>0</v>
      </c>
      <c r="AG42" s="58">
        <f t="shared" ref="AG42:AG46" si="95">SUM(AZ42:AZ42)</f>
        <v>0</v>
      </c>
      <c r="AH42" s="328"/>
      <c r="AI42" s="328"/>
      <c r="AJ42" s="233"/>
      <c r="AK42" s="201" t="s">
        <v>3562</v>
      </c>
      <c r="AL42" s="333" t="s">
        <v>3563</v>
      </c>
      <c r="AM42" s="233"/>
      <c r="AN42" s="331"/>
      <c r="AO42" s="58"/>
      <c r="AP42" s="58"/>
      <c r="AQ42" s="58"/>
      <c r="AR42" s="58"/>
      <c r="AS42" s="58"/>
      <c r="AT42" s="58"/>
      <c r="AU42" s="58"/>
      <c r="AV42" s="58"/>
      <c r="AW42" s="58"/>
      <c r="AX42" s="58">
        <v>0</v>
      </c>
      <c r="AY42" s="58">
        <v>0</v>
      </c>
      <c r="AZ42" s="58">
        <v>0</v>
      </c>
      <c r="BA42" s="344">
        <v>117037.97</v>
      </c>
      <c r="BB42" s="342"/>
      <c r="BC42" s="342"/>
      <c r="BD42" s="259"/>
    </row>
    <row r="43" ht="16.5" customHeight="1" spans="1:56">
      <c r="A43" s="13"/>
      <c r="B43" s="13"/>
      <c r="C43" s="13"/>
      <c r="D43" s="13"/>
      <c r="E43" s="13"/>
      <c r="F43" s="13"/>
      <c r="G43" s="13"/>
      <c r="H43" s="13"/>
      <c r="I43" s="13"/>
      <c r="J43" s="13"/>
      <c r="K43" s="13"/>
      <c r="L43" s="13"/>
      <c r="M43" s="13"/>
      <c r="N43" s="13"/>
      <c r="O43" s="13"/>
      <c r="P43" s="13"/>
      <c r="Q43" s="13"/>
      <c r="R43" s="213" t="s">
        <v>3490</v>
      </c>
      <c r="S43" s="58">
        <v>77180.64</v>
      </c>
      <c r="T43" s="58">
        <f t="shared" si="82"/>
        <v>74266.35</v>
      </c>
      <c r="U43" s="319">
        <f t="shared" si="83"/>
        <v>74266.35</v>
      </c>
      <c r="V43" s="58">
        <f t="shared" si="84"/>
        <v>0</v>
      </c>
      <c r="W43" s="58">
        <f t="shared" si="85"/>
        <v>0</v>
      </c>
      <c r="X43" s="58">
        <f t="shared" si="86"/>
        <v>0</v>
      </c>
      <c r="Y43" s="58">
        <f t="shared" si="87"/>
        <v>0</v>
      </c>
      <c r="Z43" s="58">
        <f t="shared" si="88"/>
        <v>0</v>
      </c>
      <c r="AA43" s="58">
        <f t="shared" si="89"/>
        <v>0</v>
      </c>
      <c r="AB43" s="58">
        <f t="shared" si="90"/>
        <v>0</v>
      </c>
      <c r="AC43" s="58">
        <f t="shared" si="91"/>
        <v>0</v>
      </c>
      <c r="AD43" s="58">
        <f t="shared" si="92"/>
        <v>0</v>
      </c>
      <c r="AE43" s="58">
        <f t="shared" si="93"/>
        <v>0</v>
      </c>
      <c r="AF43" s="58">
        <f t="shared" si="94"/>
        <v>0</v>
      </c>
      <c r="AG43" s="58">
        <f t="shared" si="95"/>
        <v>0</v>
      </c>
      <c r="AH43" s="328"/>
      <c r="AI43" s="328"/>
      <c r="AJ43" s="13"/>
      <c r="AK43" s="13"/>
      <c r="AL43" s="13"/>
      <c r="AM43" s="13"/>
      <c r="AN43" s="13"/>
      <c r="AO43" s="58"/>
      <c r="AP43" s="58"/>
      <c r="AQ43" s="58"/>
      <c r="AR43" s="58"/>
      <c r="AS43" s="58"/>
      <c r="AT43" s="58"/>
      <c r="AU43" s="58"/>
      <c r="AV43" s="58"/>
      <c r="AW43" s="58"/>
      <c r="AX43" s="58">
        <v>0</v>
      </c>
      <c r="AY43" s="58">
        <v>0</v>
      </c>
      <c r="AZ43" s="58">
        <v>0</v>
      </c>
      <c r="BA43" s="344">
        <v>74266.35</v>
      </c>
      <c r="BB43" s="342"/>
      <c r="BC43" s="342"/>
      <c r="BD43" s="259"/>
    </row>
    <row r="44" ht="16.5" customHeight="1" spans="1:56">
      <c r="A44" s="13"/>
      <c r="B44" s="13"/>
      <c r="C44" s="13"/>
      <c r="D44" s="13"/>
      <c r="E44" s="13"/>
      <c r="F44" s="13"/>
      <c r="G44" s="13"/>
      <c r="H44" s="13"/>
      <c r="I44" s="13"/>
      <c r="J44" s="13"/>
      <c r="K44" s="13"/>
      <c r="L44" s="13"/>
      <c r="M44" s="13"/>
      <c r="N44" s="13"/>
      <c r="O44" s="13"/>
      <c r="P44" s="13"/>
      <c r="Q44" s="13"/>
      <c r="R44" s="213" t="s">
        <v>3491</v>
      </c>
      <c r="S44" s="58"/>
      <c r="T44" s="58">
        <f t="shared" si="82"/>
        <v>0</v>
      </c>
      <c r="U44" s="319">
        <f t="shared" si="83"/>
        <v>0</v>
      </c>
      <c r="V44" s="58"/>
      <c r="W44" s="58"/>
      <c r="X44" s="58"/>
      <c r="Y44" s="58"/>
      <c r="Z44" s="58"/>
      <c r="AA44" s="58"/>
      <c r="AB44" s="58"/>
      <c r="AC44" s="58"/>
      <c r="AD44" s="58"/>
      <c r="AE44" s="58"/>
      <c r="AF44" s="58"/>
      <c r="AG44" s="58"/>
      <c r="AH44" s="328"/>
      <c r="AI44" s="328"/>
      <c r="AJ44" s="13"/>
      <c r="AK44" s="13"/>
      <c r="AL44" s="13"/>
      <c r="AM44" s="13"/>
      <c r="AN44" s="13"/>
      <c r="AO44" s="58"/>
      <c r="AP44" s="58"/>
      <c r="AQ44" s="58"/>
      <c r="AR44" s="58"/>
      <c r="AS44" s="58"/>
      <c r="AT44" s="58"/>
      <c r="AU44" s="58"/>
      <c r="AV44" s="58"/>
      <c r="AW44" s="58"/>
      <c r="AX44" s="58">
        <v>0</v>
      </c>
      <c r="AY44" s="58"/>
      <c r="AZ44" s="58"/>
      <c r="BA44" s="344"/>
      <c r="BB44" s="342"/>
      <c r="BC44" s="342"/>
      <c r="BD44" s="259"/>
    </row>
    <row r="45" ht="16.5" customHeight="1" spans="1:56">
      <c r="A45" s="13"/>
      <c r="B45" s="13"/>
      <c r="C45" s="13"/>
      <c r="D45" s="13"/>
      <c r="E45" s="13"/>
      <c r="F45" s="13"/>
      <c r="G45" s="13"/>
      <c r="H45" s="13"/>
      <c r="I45" s="13"/>
      <c r="J45" s="13"/>
      <c r="K45" s="13"/>
      <c r="L45" s="13"/>
      <c r="M45" s="13"/>
      <c r="N45" s="13"/>
      <c r="O45" s="13"/>
      <c r="P45" s="13"/>
      <c r="Q45" s="13"/>
      <c r="R45" s="213" t="s">
        <v>3492</v>
      </c>
      <c r="S45" s="58">
        <v>18800</v>
      </c>
      <c r="T45" s="58">
        <f t="shared" si="82"/>
        <v>0</v>
      </c>
      <c r="U45" s="319">
        <f t="shared" si="83"/>
        <v>0</v>
      </c>
      <c r="V45" s="58">
        <f t="shared" si="84"/>
        <v>0</v>
      </c>
      <c r="W45" s="58">
        <f t="shared" si="85"/>
        <v>0</v>
      </c>
      <c r="X45" s="58">
        <f t="shared" si="86"/>
        <v>0</v>
      </c>
      <c r="Y45" s="58">
        <f t="shared" si="87"/>
        <v>0</v>
      </c>
      <c r="Z45" s="58">
        <f t="shared" si="88"/>
        <v>0</v>
      </c>
      <c r="AA45" s="58">
        <f t="shared" si="89"/>
        <v>0</v>
      </c>
      <c r="AB45" s="58">
        <f t="shared" si="90"/>
        <v>0</v>
      </c>
      <c r="AC45" s="58">
        <f t="shared" si="91"/>
        <v>0</v>
      </c>
      <c r="AD45" s="58">
        <f t="shared" si="92"/>
        <v>0</v>
      </c>
      <c r="AE45" s="58">
        <f t="shared" si="93"/>
        <v>0</v>
      </c>
      <c r="AF45" s="58">
        <f t="shared" si="94"/>
        <v>0</v>
      </c>
      <c r="AG45" s="58">
        <f t="shared" si="95"/>
        <v>0</v>
      </c>
      <c r="AH45" s="328"/>
      <c r="AI45" s="328"/>
      <c r="AJ45" s="13"/>
      <c r="AK45" s="13"/>
      <c r="AL45" s="13"/>
      <c r="AM45" s="13"/>
      <c r="AN45" s="13"/>
      <c r="AO45" s="58"/>
      <c r="AP45" s="58"/>
      <c r="AQ45" s="58"/>
      <c r="AR45" s="58"/>
      <c r="AS45" s="58"/>
      <c r="AT45" s="58"/>
      <c r="AU45" s="58"/>
      <c r="AV45" s="58"/>
      <c r="AW45" s="58"/>
      <c r="AX45" s="58"/>
      <c r="AY45" s="58">
        <v>0</v>
      </c>
      <c r="AZ45" s="58">
        <v>0</v>
      </c>
      <c r="BA45" s="344">
        <v>0</v>
      </c>
      <c r="BB45" s="342"/>
      <c r="BC45" s="342"/>
      <c r="BD45" s="259"/>
    </row>
    <row r="46" ht="16.5" customHeight="1" spans="1:56">
      <c r="A46" s="13"/>
      <c r="B46" s="13"/>
      <c r="C46" s="13"/>
      <c r="D46" s="13"/>
      <c r="E46" s="13"/>
      <c r="F46" s="13"/>
      <c r="G46" s="13"/>
      <c r="H46" s="13"/>
      <c r="I46" s="13"/>
      <c r="J46" s="13"/>
      <c r="K46" s="13"/>
      <c r="L46" s="13"/>
      <c r="M46" s="13"/>
      <c r="N46" s="13"/>
      <c r="O46" s="13"/>
      <c r="P46" s="13"/>
      <c r="Q46" s="13"/>
      <c r="R46" s="213" t="s">
        <v>3493</v>
      </c>
      <c r="S46" s="58">
        <v>0</v>
      </c>
      <c r="T46" s="58">
        <f t="shared" si="82"/>
        <v>679.69</v>
      </c>
      <c r="U46" s="319">
        <f t="shared" si="83"/>
        <v>304.69</v>
      </c>
      <c r="V46" s="58">
        <f t="shared" si="84"/>
        <v>375</v>
      </c>
      <c r="W46" s="58">
        <f t="shared" si="85"/>
        <v>375</v>
      </c>
      <c r="X46" s="58">
        <f t="shared" si="86"/>
        <v>375</v>
      </c>
      <c r="Y46" s="58">
        <f t="shared" si="87"/>
        <v>375</v>
      </c>
      <c r="Z46" s="58">
        <f t="shared" si="88"/>
        <v>375</v>
      </c>
      <c r="AA46" s="58">
        <f t="shared" si="89"/>
        <v>375</v>
      </c>
      <c r="AB46" s="58">
        <f t="shared" si="90"/>
        <v>375</v>
      </c>
      <c r="AC46" s="58">
        <f t="shared" si="91"/>
        <v>375</v>
      </c>
      <c r="AD46" s="58">
        <f t="shared" si="92"/>
        <v>375</v>
      </c>
      <c r="AE46" s="58">
        <f t="shared" si="93"/>
        <v>375</v>
      </c>
      <c r="AF46" s="58">
        <f t="shared" si="94"/>
        <v>250</v>
      </c>
      <c r="AG46" s="58">
        <f t="shared" si="95"/>
        <v>125</v>
      </c>
      <c r="AH46" s="328"/>
      <c r="AI46" s="328"/>
      <c r="AJ46" s="13"/>
      <c r="AK46" s="13"/>
      <c r="AL46" s="13"/>
      <c r="AM46" s="13"/>
      <c r="AN46" s="13"/>
      <c r="AO46" s="58"/>
      <c r="AP46" s="58"/>
      <c r="AQ46" s="58"/>
      <c r="AR46" s="58"/>
      <c r="AS46" s="58"/>
      <c r="AT46" s="58"/>
      <c r="AU46" s="58"/>
      <c r="AV46" s="58"/>
      <c r="AW46" s="58"/>
      <c r="AX46" s="58">
        <v>125</v>
      </c>
      <c r="AY46" s="58">
        <v>125</v>
      </c>
      <c r="AZ46" s="58">
        <v>125</v>
      </c>
      <c r="BA46" s="344">
        <v>304.69</v>
      </c>
      <c r="BB46" s="342"/>
      <c r="BC46" s="342"/>
      <c r="BD46" s="259"/>
    </row>
    <row r="47" ht="16.5" customHeight="1" spans="1:56">
      <c r="A47" s="13"/>
      <c r="B47" s="13"/>
      <c r="C47" s="13"/>
      <c r="D47" s="13"/>
      <c r="E47" s="13"/>
      <c r="F47" s="13"/>
      <c r="G47" s="13"/>
      <c r="H47" s="13"/>
      <c r="I47" s="13"/>
      <c r="J47" s="13"/>
      <c r="K47" s="13"/>
      <c r="L47" s="13"/>
      <c r="M47" s="13"/>
      <c r="N47" s="13"/>
      <c r="O47" s="13"/>
      <c r="P47" s="13"/>
      <c r="Q47" s="13"/>
      <c r="R47" s="213" t="s">
        <v>3494</v>
      </c>
      <c r="S47" s="214">
        <f t="shared" ref="S47:AG47" si="96">SUM(S43:S46)</f>
        <v>95980.64</v>
      </c>
      <c r="T47" s="214">
        <f t="shared" si="96"/>
        <v>74946.04</v>
      </c>
      <c r="U47" s="320">
        <f t="shared" si="96"/>
        <v>74571.04</v>
      </c>
      <c r="V47" s="214">
        <f t="shared" si="96"/>
        <v>375</v>
      </c>
      <c r="W47" s="214">
        <f t="shared" si="96"/>
        <v>375</v>
      </c>
      <c r="X47" s="214">
        <f t="shared" si="96"/>
        <v>375</v>
      </c>
      <c r="Y47" s="214">
        <f t="shared" si="96"/>
        <v>375</v>
      </c>
      <c r="Z47" s="214">
        <f t="shared" si="96"/>
        <v>375</v>
      </c>
      <c r="AA47" s="214">
        <f t="shared" si="96"/>
        <v>375</v>
      </c>
      <c r="AB47" s="214">
        <f t="shared" si="96"/>
        <v>375</v>
      </c>
      <c r="AC47" s="214">
        <f t="shared" si="96"/>
        <v>375</v>
      </c>
      <c r="AD47" s="214">
        <f t="shared" si="96"/>
        <v>375</v>
      </c>
      <c r="AE47" s="214">
        <f t="shared" si="96"/>
        <v>375</v>
      </c>
      <c r="AF47" s="214">
        <f t="shared" si="96"/>
        <v>250</v>
      </c>
      <c r="AG47" s="214">
        <f t="shared" si="96"/>
        <v>125</v>
      </c>
      <c r="AH47" s="214">
        <f>SUM(AH43:AH46)</f>
        <v>0</v>
      </c>
      <c r="AI47" s="214">
        <f>SUM(AI43:AI46)</f>
        <v>0</v>
      </c>
      <c r="AJ47" s="13"/>
      <c r="AK47" s="13"/>
      <c r="AL47" s="13"/>
      <c r="AM47" s="13"/>
      <c r="AN47" s="13"/>
      <c r="AO47" s="214">
        <f t="shared" ref="AO47:AX47" si="97">SUM(AO43:AO46)</f>
        <v>0</v>
      </c>
      <c r="AP47" s="214">
        <f t="shared" si="97"/>
        <v>0</v>
      </c>
      <c r="AQ47" s="214">
        <f t="shared" si="97"/>
        <v>0</v>
      </c>
      <c r="AR47" s="214">
        <f t="shared" si="97"/>
        <v>0</v>
      </c>
      <c r="AS47" s="214">
        <f t="shared" si="97"/>
        <v>0</v>
      </c>
      <c r="AT47" s="214">
        <f t="shared" si="97"/>
        <v>0</v>
      </c>
      <c r="AU47" s="214">
        <f t="shared" si="97"/>
        <v>0</v>
      </c>
      <c r="AV47" s="214">
        <f t="shared" si="97"/>
        <v>0</v>
      </c>
      <c r="AW47" s="214">
        <f t="shared" si="97"/>
        <v>0</v>
      </c>
      <c r="AX47" s="214">
        <f t="shared" si="97"/>
        <v>125</v>
      </c>
      <c r="AY47" s="214">
        <v>125</v>
      </c>
      <c r="AZ47" s="214">
        <f>SUM(AZ43:AZ46)</f>
        <v>125</v>
      </c>
      <c r="BA47" s="320">
        <v>74571.04</v>
      </c>
      <c r="BB47" s="320">
        <f>SUM(BB43:BB46)</f>
        <v>0</v>
      </c>
      <c r="BC47" s="320">
        <f>SUM(BC43:BC46)</f>
        <v>0</v>
      </c>
      <c r="BD47" s="345"/>
    </row>
    <row r="48" ht="16.5" customHeight="1" spans="1:56">
      <c r="A48" s="13"/>
      <c r="B48" s="13"/>
      <c r="C48" s="13"/>
      <c r="D48" s="13"/>
      <c r="E48" s="13"/>
      <c r="F48" s="13"/>
      <c r="G48" s="13"/>
      <c r="H48" s="13"/>
      <c r="I48" s="13"/>
      <c r="J48" s="13"/>
      <c r="K48" s="13"/>
      <c r="L48" s="13"/>
      <c r="M48" s="13"/>
      <c r="N48" s="13"/>
      <c r="O48" s="13"/>
      <c r="P48" s="13"/>
      <c r="Q48" s="13"/>
      <c r="R48" s="213" t="s">
        <v>3495</v>
      </c>
      <c r="S48" s="58">
        <f t="shared" ref="S48:AG48" si="98">S42-S43</f>
        <v>40743.89</v>
      </c>
      <c r="T48" s="58">
        <f t="shared" si="98"/>
        <v>42771.62</v>
      </c>
      <c r="U48" s="319">
        <f t="shared" si="98"/>
        <v>42771.62</v>
      </c>
      <c r="V48" s="58">
        <f t="shared" si="98"/>
        <v>0</v>
      </c>
      <c r="W48" s="58">
        <f t="shared" si="98"/>
        <v>0</v>
      </c>
      <c r="X48" s="58">
        <f t="shared" si="98"/>
        <v>0</v>
      </c>
      <c r="Y48" s="58">
        <f t="shared" si="98"/>
        <v>0</v>
      </c>
      <c r="Z48" s="58">
        <f t="shared" si="98"/>
        <v>0</v>
      </c>
      <c r="AA48" s="58">
        <f t="shared" si="98"/>
        <v>0</v>
      </c>
      <c r="AB48" s="58">
        <f t="shared" si="98"/>
        <v>0</v>
      </c>
      <c r="AC48" s="58">
        <f t="shared" si="98"/>
        <v>0</v>
      </c>
      <c r="AD48" s="58">
        <f t="shared" si="98"/>
        <v>0</v>
      </c>
      <c r="AE48" s="58">
        <f t="shared" si="98"/>
        <v>0</v>
      </c>
      <c r="AF48" s="58">
        <f t="shared" si="98"/>
        <v>0</v>
      </c>
      <c r="AG48" s="58">
        <f t="shared" si="98"/>
        <v>0</v>
      </c>
      <c r="AH48" s="332"/>
      <c r="AI48" s="332"/>
      <c r="AJ48" s="13"/>
      <c r="AK48" s="13"/>
      <c r="AL48" s="13"/>
      <c r="AM48" s="13"/>
      <c r="AN48" s="13"/>
      <c r="AO48" s="58">
        <f t="shared" ref="AO48:AZ48" si="99">AO42-AO43</f>
        <v>0</v>
      </c>
      <c r="AP48" s="58">
        <f t="shared" si="99"/>
        <v>0</v>
      </c>
      <c r="AQ48" s="58">
        <f t="shared" si="99"/>
        <v>0</v>
      </c>
      <c r="AR48" s="58">
        <f t="shared" si="99"/>
        <v>0</v>
      </c>
      <c r="AS48" s="58">
        <f t="shared" si="99"/>
        <v>0</v>
      </c>
      <c r="AT48" s="58">
        <f t="shared" si="99"/>
        <v>0</v>
      </c>
      <c r="AU48" s="58">
        <f t="shared" si="99"/>
        <v>0</v>
      </c>
      <c r="AV48" s="58">
        <f t="shared" si="99"/>
        <v>0</v>
      </c>
      <c r="AW48" s="58">
        <f t="shared" si="99"/>
        <v>0</v>
      </c>
      <c r="AX48" s="58">
        <f t="shared" si="99"/>
        <v>0</v>
      </c>
      <c r="AY48" s="58">
        <f t="shared" si="99"/>
        <v>0</v>
      </c>
      <c r="AZ48" s="58">
        <f t="shared" si="99"/>
        <v>0</v>
      </c>
      <c r="BA48" s="344">
        <v>42771.62</v>
      </c>
      <c r="BB48" s="342"/>
      <c r="BC48" s="342"/>
      <c r="BD48" s="259"/>
    </row>
    <row r="49" ht="16.5" customHeight="1" spans="1:56">
      <c r="A49" s="13"/>
      <c r="B49" s="13"/>
      <c r="C49" s="13"/>
      <c r="D49" s="13"/>
      <c r="E49" s="13"/>
      <c r="F49" s="13"/>
      <c r="G49" s="13"/>
      <c r="H49" s="13"/>
      <c r="I49" s="13"/>
      <c r="J49" s="13"/>
      <c r="K49" s="13"/>
      <c r="L49" s="13"/>
      <c r="M49" s="13"/>
      <c r="N49" s="13"/>
      <c r="O49" s="13"/>
      <c r="P49" s="13"/>
      <c r="Q49" s="13"/>
      <c r="R49" s="321" t="s">
        <v>3496</v>
      </c>
      <c r="S49" s="61">
        <f t="shared" ref="S49:AG49" si="100">S48/S42</f>
        <v>0.345508182224682</v>
      </c>
      <c r="T49" s="61">
        <f t="shared" si="100"/>
        <v>0.365450801991866</v>
      </c>
      <c r="U49" s="322">
        <f t="shared" si="100"/>
        <v>0.365450801991866</v>
      </c>
      <c r="V49" s="61" t="e">
        <f t="shared" si="100"/>
        <v>#DIV/0!</v>
      </c>
      <c r="W49" s="61" t="e">
        <f t="shared" si="100"/>
        <v>#DIV/0!</v>
      </c>
      <c r="X49" s="61" t="e">
        <f t="shared" si="100"/>
        <v>#DIV/0!</v>
      </c>
      <c r="Y49" s="61" t="e">
        <f t="shared" si="100"/>
        <v>#DIV/0!</v>
      </c>
      <c r="Z49" s="61" t="e">
        <f t="shared" si="100"/>
        <v>#DIV/0!</v>
      </c>
      <c r="AA49" s="61" t="e">
        <f t="shared" si="100"/>
        <v>#DIV/0!</v>
      </c>
      <c r="AB49" s="61" t="e">
        <f t="shared" si="100"/>
        <v>#DIV/0!</v>
      </c>
      <c r="AC49" s="61" t="e">
        <f t="shared" si="100"/>
        <v>#DIV/0!</v>
      </c>
      <c r="AD49" s="61" t="e">
        <f t="shared" si="100"/>
        <v>#DIV/0!</v>
      </c>
      <c r="AE49" s="61" t="e">
        <f t="shared" si="100"/>
        <v>#DIV/0!</v>
      </c>
      <c r="AF49" s="61" t="e">
        <f t="shared" si="100"/>
        <v>#DIV/0!</v>
      </c>
      <c r="AG49" s="61" t="e">
        <f t="shared" si="100"/>
        <v>#DIV/0!</v>
      </c>
      <c r="AH49" s="82">
        <f>T49-S49</f>
        <v>0.0199426197671842</v>
      </c>
      <c r="AI49" s="82" t="e">
        <f>AF49-S49</f>
        <v>#DIV/0!</v>
      </c>
      <c r="AJ49" s="13"/>
      <c r="AK49" s="13"/>
      <c r="AL49" s="13"/>
      <c r="AM49" s="13"/>
      <c r="AN49" s="13"/>
      <c r="AO49" s="61" t="e">
        <f t="shared" ref="AO49:AZ49" si="101">AO48/AO42</f>
        <v>#DIV/0!</v>
      </c>
      <c r="AP49" s="61" t="e">
        <f t="shared" si="101"/>
        <v>#DIV/0!</v>
      </c>
      <c r="AQ49" s="61" t="e">
        <f t="shared" si="101"/>
        <v>#DIV/0!</v>
      </c>
      <c r="AR49" s="61" t="e">
        <f t="shared" si="101"/>
        <v>#DIV/0!</v>
      </c>
      <c r="AS49" s="61" t="e">
        <f t="shared" si="101"/>
        <v>#DIV/0!</v>
      </c>
      <c r="AT49" s="61" t="e">
        <f t="shared" si="101"/>
        <v>#DIV/0!</v>
      </c>
      <c r="AU49" s="61" t="e">
        <f t="shared" si="101"/>
        <v>#DIV/0!</v>
      </c>
      <c r="AV49" s="61" t="e">
        <f t="shared" si="101"/>
        <v>#DIV/0!</v>
      </c>
      <c r="AW49" s="61" t="e">
        <f t="shared" si="101"/>
        <v>#DIV/0!</v>
      </c>
      <c r="AX49" s="61" t="e">
        <f t="shared" si="101"/>
        <v>#DIV/0!</v>
      </c>
      <c r="AY49" s="61" t="e">
        <f t="shared" si="101"/>
        <v>#DIV/0!</v>
      </c>
      <c r="AZ49" s="61" t="e">
        <f t="shared" si="101"/>
        <v>#DIV/0!</v>
      </c>
      <c r="BA49" s="322">
        <v>0.365450801991866</v>
      </c>
      <c r="BB49" s="342"/>
      <c r="BC49" s="342"/>
      <c r="BD49" s="259"/>
    </row>
    <row r="50" ht="16.5" customHeight="1" spans="1:56">
      <c r="A50" s="13"/>
      <c r="B50" s="13"/>
      <c r="C50" s="13"/>
      <c r="D50" s="13"/>
      <c r="E50" s="13"/>
      <c r="F50" s="13"/>
      <c r="G50" s="13"/>
      <c r="H50" s="13"/>
      <c r="I50" s="13"/>
      <c r="J50" s="13"/>
      <c r="K50" s="13"/>
      <c r="L50" s="13"/>
      <c r="M50" s="13"/>
      <c r="N50" s="13"/>
      <c r="O50" s="13"/>
      <c r="P50" s="13"/>
      <c r="Q50" s="13"/>
      <c r="R50" s="213" t="s">
        <v>3497</v>
      </c>
      <c r="S50" s="58">
        <f t="shared" ref="S50:AG50" si="102">S42-S47</f>
        <v>21943.89</v>
      </c>
      <c r="T50" s="58">
        <f t="shared" si="102"/>
        <v>42091.93</v>
      </c>
      <c r="U50" s="58">
        <f t="shared" si="102"/>
        <v>42466.93</v>
      </c>
      <c r="V50" s="58">
        <f t="shared" si="102"/>
        <v>-375</v>
      </c>
      <c r="W50" s="58">
        <f t="shared" si="102"/>
        <v>-375</v>
      </c>
      <c r="X50" s="58">
        <f t="shared" si="102"/>
        <v>-375</v>
      </c>
      <c r="Y50" s="58">
        <f t="shared" si="102"/>
        <v>-375</v>
      </c>
      <c r="Z50" s="58">
        <f t="shared" si="102"/>
        <v>-375</v>
      </c>
      <c r="AA50" s="58">
        <f t="shared" si="102"/>
        <v>-375</v>
      </c>
      <c r="AB50" s="58">
        <f t="shared" si="102"/>
        <v>-375</v>
      </c>
      <c r="AC50" s="58">
        <f t="shared" si="102"/>
        <v>-375</v>
      </c>
      <c r="AD50" s="58">
        <f t="shared" si="102"/>
        <v>-375</v>
      </c>
      <c r="AE50" s="58">
        <f t="shared" si="102"/>
        <v>-375</v>
      </c>
      <c r="AF50" s="58">
        <f t="shared" si="102"/>
        <v>-250</v>
      </c>
      <c r="AG50" s="58">
        <f t="shared" si="102"/>
        <v>-125</v>
      </c>
      <c r="AH50" s="82"/>
      <c r="AI50" s="82"/>
      <c r="AJ50" s="13"/>
      <c r="AK50" s="13"/>
      <c r="AL50" s="13"/>
      <c r="AM50" s="13"/>
      <c r="AN50" s="13"/>
      <c r="AO50" s="58">
        <f t="shared" ref="AO50:BC50" si="103">AO42-AO47</f>
        <v>0</v>
      </c>
      <c r="AP50" s="58">
        <f t="shared" si="103"/>
        <v>0</v>
      </c>
      <c r="AQ50" s="58">
        <f t="shared" si="103"/>
        <v>0</v>
      </c>
      <c r="AR50" s="58">
        <f t="shared" si="103"/>
        <v>0</v>
      </c>
      <c r="AS50" s="58">
        <f t="shared" si="103"/>
        <v>0</v>
      </c>
      <c r="AT50" s="58">
        <f t="shared" si="103"/>
        <v>0</v>
      </c>
      <c r="AU50" s="58">
        <f t="shared" si="103"/>
        <v>0</v>
      </c>
      <c r="AV50" s="58">
        <f t="shared" si="103"/>
        <v>0</v>
      </c>
      <c r="AW50" s="58">
        <f t="shared" si="103"/>
        <v>0</v>
      </c>
      <c r="AX50" s="58">
        <f t="shared" si="103"/>
        <v>-125</v>
      </c>
      <c r="AY50" s="58">
        <f t="shared" si="103"/>
        <v>-125</v>
      </c>
      <c r="AZ50" s="58">
        <f t="shared" si="103"/>
        <v>-125</v>
      </c>
      <c r="BA50" s="58">
        <f t="shared" si="103"/>
        <v>42466.93</v>
      </c>
      <c r="BB50" s="58">
        <f t="shared" si="103"/>
        <v>0</v>
      </c>
      <c r="BC50" s="58">
        <f t="shared" si="103"/>
        <v>0</v>
      </c>
      <c r="BD50" s="259"/>
    </row>
    <row r="51" ht="16.5" customHeight="1" spans="1:56">
      <c r="A51" s="14"/>
      <c r="B51" s="14"/>
      <c r="C51" s="14"/>
      <c r="D51" s="14"/>
      <c r="E51" s="14"/>
      <c r="F51" s="14"/>
      <c r="G51" s="14"/>
      <c r="H51" s="14"/>
      <c r="I51" s="14"/>
      <c r="J51" s="14"/>
      <c r="K51" s="14"/>
      <c r="L51" s="14"/>
      <c r="M51" s="14"/>
      <c r="N51" s="14"/>
      <c r="O51" s="14"/>
      <c r="P51" s="14"/>
      <c r="Q51" s="14"/>
      <c r="R51" s="321" t="s">
        <v>3498</v>
      </c>
      <c r="S51" s="61">
        <f t="shared" ref="S51:AG51" si="104">S50/S42</f>
        <v>0.186084184520388</v>
      </c>
      <c r="T51" s="61">
        <f t="shared" si="104"/>
        <v>0.359643370437816</v>
      </c>
      <c r="U51" s="322">
        <f t="shared" si="104"/>
        <v>0.362847458820415</v>
      </c>
      <c r="V51" s="61" t="e">
        <f t="shared" si="104"/>
        <v>#DIV/0!</v>
      </c>
      <c r="W51" s="61" t="e">
        <f t="shared" si="104"/>
        <v>#DIV/0!</v>
      </c>
      <c r="X51" s="61" t="e">
        <f t="shared" si="104"/>
        <v>#DIV/0!</v>
      </c>
      <c r="Y51" s="61" t="e">
        <f t="shared" si="104"/>
        <v>#DIV/0!</v>
      </c>
      <c r="Z51" s="61" t="e">
        <f t="shared" si="104"/>
        <v>#DIV/0!</v>
      </c>
      <c r="AA51" s="61" t="e">
        <f t="shared" si="104"/>
        <v>#DIV/0!</v>
      </c>
      <c r="AB51" s="61" t="e">
        <f t="shared" si="104"/>
        <v>#DIV/0!</v>
      </c>
      <c r="AC51" s="61" t="e">
        <f t="shared" si="104"/>
        <v>#DIV/0!</v>
      </c>
      <c r="AD51" s="61" t="e">
        <f t="shared" si="104"/>
        <v>#DIV/0!</v>
      </c>
      <c r="AE51" s="61" t="e">
        <f t="shared" si="104"/>
        <v>#DIV/0!</v>
      </c>
      <c r="AF51" s="61" t="e">
        <f t="shared" si="104"/>
        <v>#DIV/0!</v>
      </c>
      <c r="AG51" s="61" t="e">
        <f t="shared" si="104"/>
        <v>#DIV/0!</v>
      </c>
      <c r="AH51" s="82">
        <f>T51-S51</f>
        <v>0.173559185917428</v>
      </c>
      <c r="AI51" s="82" t="e">
        <f>AF51-S51</f>
        <v>#DIV/0!</v>
      </c>
      <c r="AJ51" s="14"/>
      <c r="AK51" s="14"/>
      <c r="AL51" s="14"/>
      <c r="AM51" s="14"/>
      <c r="AN51" s="14"/>
      <c r="AO51" s="61" t="e">
        <f t="shared" ref="AO51:AZ51" si="105">AO50/AO42</f>
        <v>#DIV/0!</v>
      </c>
      <c r="AP51" s="61" t="e">
        <f t="shared" si="105"/>
        <v>#DIV/0!</v>
      </c>
      <c r="AQ51" s="61" t="e">
        <f t="shared" si="105"/>
        <v>#DIV/0!</v>
      </c>
      <c r="AR51" s="61" t="e">
        <f t="shared" si="105"/>
        <v>#DIV/0!</v>
      </c>
      <c r="AS51" s="61" t="e">
        <f t="shared" si="105"/>
        <v>#DIV/0!</v>
      </c>
      <c r="AT51" s="61" t="e">
        <f t="shared" si="105"/>
        <v>#DIV/0!</v>
      </c>
      <c r="AU51" s="61" t="e">
        <f t="shared" si="105"/>
        <v>#DIV/0!</v>
      </c>
      <c r="AV51" s="61" t="e">
        <f t="shared" si="105"/>
        <v>#DIV/0!</v>
      </c>
      <c r="AW51" s="61" t="e">
        <f t="shared" si="105"/>
        <v>#DIV/0!</v>
      </c>
      <c r="AX51" s="61" t="e">
        <f t="shared" si="105"/>
        <v>#DIV/0!</v>
      </c>
      <c r="AY51" s="61" t="e">
        <f t="shared" si="105"/>
        <v>#DIV/0!</v>
      </c>
      <c r="AZ51" s="61" t="e">
        <f t="shared" si="105"/>
        <v>#DIV/0!</v>
      </c>
      <c r="BA51" s="322">
        <v>0.362847458820415</v>
      </c>
      <c r="BB51" s="342"/>
      <c r="BC51" s="342"/>
      <c r="BD51" s="259"/>
    </row>
    <row r="52" ht="16.5" customHeight="1" spans="1:56">
      <c r="A52" s="305" t="s">
        <v>2110</v>
      </c>
      <c r="B52" s="306" t="s">
        <v>3564</v>
      </c>
      <c r="C52" s="307">
        <v>45901</v>
      </c>
      <c r="D52" s="307">
        <v>46022</v>
      </c>
      <c r="E52" s="308"/>
      <c r="F52" s="166" t="s">
        <v>3561</v>
      </c>
      <c r="G52" s="309"/>
      <c r="H52" s="310"/>
      <c r="I52" s="310"/>
      <c r="J52" s="311"/>
      <c r="K52" s="312"/>
      <c r="L52" s="312"/>
      <c r="M52" s="312"/>
      <c r="N52" s="312"/>
      <c r="O52" s="312"/>
      <c r="P52" s="313"/>
      <c r="Q52" s="308"/>
      <c r="R52" s="323" t="s">
        <v>3486</v>
      </c>
      <c r="S52" s="319">
        <v>939508</v>
      </c>
      <c r="T52" s="58">
        <f t="shared" ref="T52:T56" si="106">SUM(AO52:BC52)</f>
        <v>876498.09</v>
      </c>
      <c r="U52" s="319">
        <f t="shared" ref="U52:U56" si="107">SUM(BA52:BC52)</f>
        <v>876498.1</v>
      </c>
      <c r="V52" s="58">
        <f t="shared" ref="V52:V56" si="108">SUM(AO52:AZ52)</f>
        <v>-0.01</v>
      </c>
      <c r="W52" s="58">
        <f t="shared" ref="W52:W56" si="109">SUM(AP52:AZ52)</f>
        <v>-0.01</v>
      </c>
      <c r="X52" s="58">
        <f t="shared" ref="X52:X56" si="110">SUM(AQ52:AZ52)</f>
        <v>-0.01</v>
      </c>
      <c r="Y52" s="58">
        <f t="shared" ref="Y52:Y56" si="111">SUM(AR52:AZ52)</f>
        <v>-0.01</v>
      </c>
      <c r="Z52" s="58">
        <f t="shared" ref="Z52:Z56" si="112">SUM(AS52:AZ52)</f>
        <v>-0.01</v>
      </c>
      <c r="AA52" s="58">
        <f t="shared" ref="AA52:AA56" si="113">SUM(AT52:AZ52)</f>
        <v>-0.01</v>
      </c>
      <c r="AB52" s="58">
        <f t="shared" ref="AB52:AB56" si="114">SUM(AU52:AZ52)</f>
        <v>-0.01</v>
      </c>
      <c r="AC52" s="58">
        <f t="shared" ref="AC52:AC56" si="115">SUM(AV52:AZ52)</f>
        <v>-0.01</v>
      </c>
      <c r="AD52" s="58">
        <f t="shared" ref="AD52:AD56" si="116">SUM(AW52:AZ52)</f>
        <v>-0.01</v>
      </c>
      <c r="AE52" s="58">
        <f t="shared" ref="AE52:AE56" si="117">SUM(AX52:AZ52)</f>
        <v>-0.01</v>
      </c>
      <c r="AF52" s="58">
        <f t="shared" ref="AF52:AF56" si="118">SUM(AY52:AZ52)</f>
        <v>-0.01</v>
      </c>
      <c r="AG52" s="58">
        <f t="shared" ref="AG52:AG56" si="119">SUM(AZ52:AZ52)</f>
        <v>0</v>
      </c>
      <c r="AH52" s="334"/>
      <c r="AI52" s="328"/>
      <c r="AJ52" s="335"/>
      <c r="AK52" s="336" t="s">
        <v>3565</v>
      </c>
      <c r="AL52" s="337" t="s">
        <v>3566</v>
      </c>
      <c r="AM52" s="335"/>
      <c r="AN52" s="338"/>
      <c r="AO52" s="58"/>
      <c r="AP52" s="58"/>
      <c r="AQ52" s="58"/>
      <c r="AR52" s="58"/>
      <c r="AS52" s="58"/>
      <c r="AT52" s="58"/>
      <c r="AU52" s="58"/>
      <c r="AV52" s="58"/>
      <c r="AW52" s="58"/>
      <c r="AX52" s="58"/>
      <c r="AY52" s="58">
        <v>-0.01</v>
      </c>
      <c r="AZ52" s="319"/>
      <c r="BA52" s="344">
        <v>876498.1</v>
      </c>
      <c r="BB52" s="342"/>
      <c r="BC52" s="342"/>
      <c r="BD52" s="346" t="s">
        <v>3567</v>
      </c>
    </row>
    <row r="53" ht="16.5" customHeight="1" spans="1:56">
      <c r="A53" s="13"/>
      <c r="B53" s="13"/>
      <c r="C53" s="13"/>
      <c r="D53" s="13"/>
      <c r="E53" s="13"/>
      <c r="G53" s="13"/>
      <c r="H53" s="13"/>
      <c r="I53" s="13"/>
      <c r="J53" s="13"/>
      <c r="K53" s="13"/>
      <c r="L53" s="13"/>
      <c r="M53" s="13"/>
      <c r="N53" s="13"/>
      <c r="O53" s="13"/>
      <c r="P53" s="314"/>
      <c r="Q53" s="13"/>
      <c r="R53" s="324" t="s">
        <v>3490</v>
      </c>
      <c r="S53" s="319">
        <v>847192.03</v>
      </c>
      <c r="T53" s="58">
        <f t="shared" si="106"/>
        <v>916868.29</v>
      </c>
      <c r="U53" s="319">
        <f t="shared" si="107"/>
        <v>916868.29</v>
      </c>
      <c r="V53" s="58">
        <f t="shared" si="108"/>
        <v>0</v>
      </c>
      <c r="W53" s="58">
        <f t="shared" si="109"/>
        <v>0</v>
      </c>
      <c r="X53" s="58">
        <f t="shared" si="110"/>
        <v>0</v>
      </c>
      <c r="Y53" s="58">
        <f t="shared" si="111"/>
        <v>0</v>
      </c>
      <c r="Z53" s="58">
        <f t="shared" si="112"/>
        <v>0</v>
      </c>
      <c r="AA53" s="58">
        <f t="shared" si="113"/>
        <v>0</v>
      </c>
      <c r="AB53" s="58">
        <f t="shared" si="114"/>
        <v>0</v>
      </c>
      <c r="AC53" s="58">
        <f t="shared" si="115"/>
        <v>0</v>
      </c>
      <c r="AD53" s="58">
        <f t="shared" si="116"/>
        <v>0</v>
      </c>
      <c r="AE53" s="58">
        <f t="shared" si="117"/>
        <v>0</v>
      </c>
      <c r="AF53" s="58">
        <f t="shared" si="118"/>
        <v>0</v>
      </c>
      <c r="AG53" s="58">
        <f t="shared" si="119"/>
        <v>0</v>
      </c>
      <c r="AH53" s="334"/>
      <c r="AI53" s="328"/>
      <c r="AJ53" s="13"/>
      <c r="AK53" s="13"/>
      <c r="AL53" s="13"/>
      <c r="AM53" s="13"/>
      <c r="AN53" s="13"/>
      <c r="AO53" s="58"/>
      <c r="AP53" s="58"/>
      <c r="AQ53" s="58"/>
      <c r="AR53" s="58"/>
      <c r="AS53" s="58"/>
      <c r="AT53" s="58"/>
      <c r="AU53" s="58"/>
      <c r="AV53" s="58"/>
      <c r="AW53" s="58"/>
      <c r="AX53" s="58"/>
      <c r="AY53" s="58" t="s">
        <v>3561</v>
      </c>
      <c r="AZ53" s="319"/>
      <c r="BA53" s="344">
        <v>916868.29</v>
      </c>
      <c r="BB53" s="342"/>
      <c r="BC53" s="342"/>
      <c r="BD53" s="13"/>
    </row>
    <row r="54" ht="16.5" customHeight="1" spans="1:56">
      <c r="A54" s="13"/>
      <c r="B54" s="13"/>
      <c r="C54" s="13"/>
      <c r="D54" s="13"/>
      <c r="E54" s="13"/>
      <c r="G54" s="13"/>
      <c r="H54" s="13"/>
      <c r="I54" s="13"/>
      <c r="J54" s="13"/>
      <c r="K54" s="13"/>
      <c r="L54" s="13"/>
      <c r="M54" s="13"/>
      <c r="N54" s="13"/>
      <c r="O54" s="13"/>
      <c r="P54" s="314"/>
      <c r="Q54" s="13"/>
      <c r="R54" s="324" t="s">
        <v>3491</v>
      </c>
      <c r="S54" s="319"/>
      <c r="T54" s="58">
        <f t="shared" si="106"/>
        <v>43439.08</v>
      </c>
      <c r="U54" s="319">
        <f t="shared" si="107"/>
        <v>0</v>
      </c>
      <c r="V54" s="58"/>
      <c r="W54" s="58"/>
      <c r="X54" s="58"/>
      <c r="Y54" s="58"/>
      <c r="Z54" s="58"/>
      <c r="AA54" s="58"/>
      <c r="AB54" s="58"/>
      <c r="AC54" s="58"/>
      <c r="AD54" s="58"/>
      <c r="AE54" s="58"/>
      <c r="AF54" s="58"/>
      <c r="AG54" s="58"/>
      <c r="AH54" s="334"/>
      <c r="AI54" s="328"/>
      <c r="AJ54" s="13"/>
      <c r="AK54" s="13"/>
      <c r="AL54" s="13"/>
      <c r="AM54" s="13"/>
      <c r="AN54" s="13"/>
      <c r="AO54" s="58"/>
      <c r="AP54" s="58"/>
      <c r="AQ54" s="58"/>
      <c r="AR54" s="58"/>
      <c r="AS54" s="58"/>
      <c r="AT54" s="58"/>
      <c r="AU54" s="58"/>
      <c r="AV54" s="58"/>
      <c r="AW54" s="58"/>
      <c r="AX54" s="58">
        <v>7110.36</v>
      </c>
      <c r="AY54" s="58">
        <v>8962.82</v>
      </c>
      <c r="AZ54" s="319">
        <v>27365.9</v>
      </c>
      <c r="BA54" s="344"/>
      <c r="BB54" s="342"/>
      <c r="BC54" s="342"/>
      <c r="BD54" s="13"/>
    </row>
    <row r="55" ht="16.5" customHeight="1" spans="1:56">
      <c r="A55" s="13"/>
      <c r="B55" s="13"/>
      <c r="C55" s="13"/>
      <c r="D55" s="13"/>
      <c r="E55" s="13"/>
      <c r="G55" s="13"/>
      <c r="H55" s="13"/>
      <c r="I55" s="13"/>
      <c r="J55" s="13"/>
      <c r="K55" s="13"/>
      <c r="L55" s="13"/>
      <c r="M55" s="13"/>
      <c r="N55" s="13"/>
      <c r="O55" s="13"/>
      <c r="P55" s="314"/>
      <c r="Q55" s="13"/>
      <c r="R55" s="324" t="s">
        <v>3492</v>
      </c>
      <c r="S55" s="319">
        <v>10100</v>
      </c>
      <c r="T55" s="58">
        <f t="shared" si="106"/>
        <v>0</v>
      </c>
      <c r="U55" s="319">
        <f t="shared" si="107"/>
        <v>0</v>
      </c>
      <c r="V55" s="58">
        <f t="shared" si="108"/>
        <v>0</v>
      </c>
      <c r="W55" s="58">
        <f t="shared" si="109"/>
        <v>0</v>
      </c>
      <c r="X55" s="58">
        <f t="shared" si="110"/>
        <v>0</v>
      </c>
      <c r="Y55" s="58">
        <f t="shared" si="111"/>
        <v>0</v>
      </c>
      <c r="Z55" s="58">
        <f t="shared" si="112"/>
        <v>0</v>
      </c>
      <c r="AA55" s="58">
        <f t="shared" si="113"/>
        <v>0</v>
      </c>
      <c r="AB55" s="58">
        <f t="shared" si="114"/>
        <v>0</v>
      </c>
      <c r="AC55" s="58">
        <f t="shared" si="115"/>
        <v>0</v>
      </c>
      <c r="AD55" s="58">
        <f t="shared" si="116"/>
        <v>0</v>
      </c>
      <c r="AE55" s="58">
        <f t="shared" si="117"/>
        <v>0</v>
      </c>
      <c r="AF55" s="58">
        <f t="shared" si="118"/>
        <v>0</v>
      </c>
      <c r="AG55" s="58">
        <f t="shared" si="119"/>
        <v>0</v>
      </c>
      <c r="AH55" s="334"/>
      <c r="AI55" s="328"/>
      <c r="AJ55" s="13"/>
      <c r="AK55" s="13"/>
      <c r="AL55" s="13"/>
      <c r="AM55" s="13"/>
      <c r="AN55" s="13"/>
      <c r="AO55" s="58"/>
      <c r="AP55" s="58"/>
      <c r="AQ55" s="58"/>
      <c r="AR55" s="58"/>
      <c r="AS55" s="58"/>
      <c r="AT55" s="58"/>
      <c r="AU55" s="58"/>
      <c r="AV55" s="58"/>
      <c r="AW55" s="58"/>
      <c r="AX55" s="58"/>
      <c r="AY55" s="58"/>
      <c r="AZ55" s="319"/>
      <c r="BA55" s="344">
        <v>0</v>
      </c>
      <c r="BB55" s="342"/>
      <c r="BC55" s="342"/>
      <c r="BD55" s="13"/>
    </row>
    <row r="56" ht="16.5" customHeight="1" spans="1:56">
      <c r="A56" s="13"/>
      <c r="B56" s="13"/>
      <c r="C56" s="13"/>
      <c r="D56" s="13"/>
      <c r="E56" s="13"/>
      <c r="G56" s="13"/>
      <c r="H56" s="13"/>
      <c r="I56" s="13"/>
      <c r="J56" s="13"/>
      <c r="K56" s="13"/>
      <c r="L56" s="13"/>
      <c r="M56" s="13"/>
      <c r="N56" s="13"/>
      <c r="O56" s="13"/>
      <c r="P56" s="314"/>
      <c r="Q56" s="13"/>
      <c r="R56" s="324" t="s">
        <v>3493</v>
      </c>
      <c r="S56" s="319">
        <v>10000</v>
      </c>
      <c r="T56" s="58">
        <f t="shared" si="106"/>
        <v>3144.67</v>
      </c>
      <c r="U56" s="319">
        <f t="shared" si="107"/>
        <v>3005.25</v>
      </c>
      <c r="V56" s="58">
        <f t="shared" si="108"/>
        <v>139.42</v>
      </c>
      <c r="W56" s="58">
        <f t="shared" si="109"/>
        <v>139.42</v>
      </c>
      <c r="X56" s="58">
        <f t="shared" si="110"/>
        <v>139.42</v>
      </c>
      <c r="Y56" s="58">
        <f t="shared" si="111"/>
        <v>139.42</v>
      </c>
      <c r="Z56" s="58">
        <f t="shared" si="112"/>
        <v>139.42</v>
      </c>
      <c r="AA56" s="58">
        <f t="shared" si="113"/>
        <v>139.42</v>
      </c>
      <c r="AB56" s="58">
        <f t="shared" si="114"/>
        <v>139.42</v>
      </c>
      <c r="AC56" s="58">
        <f t="shared" si="115"/>
        <v>139.42</v>
      </c>
      <c r="AD56" s="58">
        <f t="shared" si="116"/>
        <v>139.42</v>
      </c>
      <c r="AE56" s="58">
        <f t="shared" si="117"/>
        <v>139.42</v>
      </c>
      <c r="AF56" s="58">
        <f t="shared" si="118"/>
        <v>139.42</v>
      </c>
      <c r="AG56" s="58">
        <f t="shared" si="119"/>
        <v>0</v>
      </c>
      <c r="AH56" s="334"/>
      <c r="AI56" s="328"/>
      <c r="AJ56" s="13"/>
      <c r="AK56" s="13"/>
      <c r="AL56" s="13"/>
      <c r="AM56" s="13"/>
      <c r="AN56" s="13"/>
      <c r="AO56" s="58"/>
      <c r="AP56" s="58"/>
      <c r="AQ56" s="58"/>
      <c r="AR56" s="58"/>
      <c r="AS56" s="58"/>
      <c r="AT56" s="58"/>
      <c r="AU56" s="58"/>
      <c r="AV56" s="58"/>
      <c r="AW56" s="58"/>
      <c r="AX56" s="58"/>
      <c r="AY56" s="58">
        <v>139.42</v>
      </c>
      <c r="AZ56" s="319"/>
      <c r="BA56" s="344">
        <v>3005.25</v>
      </c>
      <c r="BB56" s="342"/>
      <c r="BC56" s="342"/>
      <c r="BD56" s="13"/>
    </row>
    <row r="57" ht="16.5" customHeight="1" spans="1:56">
      <c r="A57" s="13"/>
      <c r="B57" s="13"/>
      <c r="C57" s="13"/>
      <c r="D57" s="13"/>
      <c r="E57" s="13"/>
      <c r="G57" s="13"/>
      <c r="H57" s="13"/>
      <c r="I57" s="13"/>
      <c r="J57" s="13"/>
      <c r="K57" s="13"/>
      <c r="L57" s="13"/>
      <c r="M57" s="13"/>
      <c r="N57" s="13"/>
      <c r="O57" s="13"/>
      <c r="P57" s="315"/>
      <c r="Q57" s="13"/>
      <c r="R57" s="324" t="s">
        <v>3494</v>
      </c>
      <c r="S57" s="320">
        <f t="shared" ref="S57:AG57" si="120">SUM(S53:S56)</f>
        <v>867292.03</v>
      </c>
      <c r="T57" s="214">
        <f t="shared" si="120"/>
        <v>963452.04</v>
      </c>
      <c r="U57" s="320">
        <f t="shared" si="120"/>
        <v>919873.54</v>
      </c>
      <c r="V57" s="214">
        <f t="shared" si="120"/>
        <v>139.42</v>
      </c>
      <c r="W57" s="214">
        <f t="shared" si="120"/>
        <v>139.42</v>
      </c>
      <c r="X57" s="214">
        <f t="shared" si="120"/>
        <v>139.42</v>
      </c>
      <c r="Y57" s="214">
        <f t="shared" si="120"/>
        <v>139.42</v>
      </c>
      <c r="Z57" s="214">
        <f t="shared" si="120"/>
        <v>139.42</v>
      </c>
      <c r="AA57" s="214">
        <f t="shared" si="120"/>
        <v>139.42</v>
      </c>
      <c r="AB57" s="214">
        <f t="shared" si="120"/>
        <v>139.42</v>
      </c>
      <c r="AC57" s="214">
        <f t="shared" si="120"/>
        <v>139.42</v>
      </c>
      <c r="AD57" s="214">
        <f t="shared" si="120"/>
        <v>139.42</v>
      </c>
      <c r="AE57" s="214">
        <f t="shared" si="120"/>
        <v>139.42</v>
      </c>
      <c r="AF57" s="214">
        <f t="shared" si="120"/>
        <v>139.42</v>
      </c>
      <c r="AG57" s="214">
        <f t="shared" si="120"/>
        <v>0</v>
      </c>
      <c r="AH57" s="320">
        <f>SUM(AH53:AH56)</f>
        <v>0</v>
      </c>
      <c r="AI57" s="214">
        <f>SUM(AI53:AI56)</f>
        <v>0</v>
      </c>
      <c r="AJ57" s="13"/>
      <c r="AK57" s="13"/>
      <c r="AL57" s="13"/>
      <c r="AM57" s="13"/>
      <c r="AN57" s="13"/>
      <c r="AO57" s="214">
        <f t="shared" ref="AO57:AX57" si="121">SUM(AO53:AO56)</f>
        <v>0</v>
      </c>
      <c r="AP57" s="214">
        <f t="shared" si="121"/>
        <v>0</v>
      </c>
      <c r="AQ57" s="214">
        <f t="shared" si="121"/>
        <v>0</v>
      </c>
      <c r="AR57" s="214">
        <f t="shared" si="121"/>
        <v>0</v>
      </c>
      <c r="AS57" s="214">
        <f t="shared" si="121"/>
        <v>0</v>
      </c>
      <c r="AT57" s="214">
        <f t="shared" si="121"/>
        <v>0</v>
      </c>
      <c r="AU57" s="214">
        <f t="shared" si="121"/>
        <v>0</v>
      </c>
      <c r="AV57" s="214">
        <f t="shared" si="121"/>
        <v>0</v>
      </c>
      <c r="AW57" s="214">
        <f t="shared" si="121"/>
        <v>0</v>
      </c>
      <c r="AX57" s="214">
        <f t="shared" si="121"/>
        <v>7110.36</v>
      </c>
      <c r="AY57" s="214">
        <v>139.42</v>
      </c>
      <c r="AZ57" s="320">
        <f>SUM(AZ53:AZ56)</f>
        <v>27365.9</v>
      </c>
      <c r="BA57" s="320">
        <v>919873.54</v>
      </c>
      <c r="BB57" s="320">
        <f>SUM(BB53:BB56)</f>
        <v>0</v>
      </c>
      <c r="BC57" s="320">
        <f>SUM(BC53:BC56)</f>
        <v>0</v>
      </c>
      <c r="BD57" s="13"/>
    </row>
    <row r="58" ht="16.5" customHeight="1" spans="1:56">
      <c r="A58" s="13"/>
      <c r="B58" s="13"/>
      <c r="C58" s="13"/>
      <c r="D58" s="13"/>
      <c r="E58" s="13"/>
      <c r="G58" s="13"/>
      <c r="H58" s="13"/>
      <c r="I58" s="13"/>
      <c r="J58" s="13"/>
      <c r="K58" s="13"/>
      <c r="L58" s="13"/>
      <c r="M58" s="13"/>
      <c r="N58" s="13"/>
      <c r="O58" s="13"/>
      <c r="P58" s="314"/>
      <c r="Q58" s="13"/>
      <c r="R58" s="324" t="s">
        <v>3495</v>
      </c>
      <c r="S58" s="319">
        <f t="shared" ref="S58:AG58" si="122">S52-S53</f>
        <v>92315.97</v>
      </c>
      <c r="T58" s="58">
        <f t="shared" si="122"/>
        <v>-40370.2000000001</v>
      </c>
      <c r="U58" s="319">
        <f t="shared" si="122"/>
        <v>-40370.1900000001</v>
      </c>
      <c r="V58" s="58">
        <f t="shared" si="122"/>
        <v>-0.01</v>
      </c>
      <c r="W58" s="58">
        <f t="shared" si="122"/>
        <v>-0.01</v>
      </c>
      <c r="X58" s="58">
        <f t="shared" si="122"/>
        <v>-0.01</v>
      </c>
      <c r="Y58" s="58">
        <f t="shared" si="122"/>
        <v>-0.01</v>
      </c>
      <c r="Z58" s="58">
        <f t="shared" si="122"/>
        <v>-0.01</v>
      </c>
      <c r="AA58" s="58">
        <f t="shared" si="122"/>
        <v>-0.01</v>
      </c>
      <c r="AB58" s="58">
        <f t="shared" si="122"/>
        <v>-0.01</v>
      </c>
      <c r="AC58" s="58">
        <f t="shared" si="122"/>
        <v>-0.01</v>
      </c>
      <c r="AD58" s="58">
        <f t="shared" si="122"/>
        <v>-0.01</v>
      </c>
      <c r="AE58" s="58">
        <f t="shared" si="122"/>
        <v>-0.01</v>
      </c>
      <c r="AF58" s="58">
        <f t="shared" si="122"/>
        <v>-0.01</v>
      </c>
      <c r="AG58" s="58">
        <f t="shared" si="122"/>
        <v>0</v>
      </c>
      <c r="AH58" s="339"/>
      <c r="AI58" s="332"/>
      <c r="AJ58" s="13"/>
      <c r="AK58" s="13"/>
      <c r="AL58" s="13"/>
      <c r="AM58" s="13"/>
      <c r="AN58" s="13"/>
      <c r="AO58" s="58">
        <f t="shared" ref="AO58:AX58" si="123">AO52-AO53</f>
        <v>0</v>
      </c>
      <c r="AP58" s="58">
        <f t="shared" si="123"/>
        <v>0</v>
      </c>
      <c r="AQ58" s="58">
        <f t="shared" si="123"/>
        <v>0</v>
      </c>
      <c r="AR58" s="58">
        <f t="shared" si="123"/>
        <v>0</v>
      </c>
      <c r="AS58" s="58">
        <f t="shared" si="123"/>
        <v>0</v>
      </c>
      <c r="AT58" s="58">
        <f t="shared" si="123"/>
        <v>0</v>
      </c>
      <c r="AU58" s="58">
        <f t="shared" si="123"/>
        <v>0</v>
      </c>
      <c r="AV58" s="58">
        <f t="shared" si="123"/>
        <v>0</v>
      </c>
      <c r="AW58" s="58">
        <f t="shared" si="123"/>
        <v>0</v>
      </c>
      <c r="AX58" s="58">
        <f t="shared" si="123"/>
        <v>0</v>
      </c>
      <c r="AY58" s="58">
        <v>-0.01</v>
      </c>
      <c r="AZ58" s="319">
        <f>AZ52-AZ53</f>
        <v>0</v>
      </c>
      <c r="BA58" s="344">
        <v>-40370.1899999999</v>
      </c>
      <c r="BB58" s="342"/>
      <c r="BC58" s="342"/>
      <c r="BD58" s="13"/>
    </row>
    <row r="59" ht="16.5" customHeight="1" spans="1:56">
      <c r="A59" s="13"/>
      <c r="B59" s="13"/>
      <c r="C59" s="13"/>
      <c r="D59" s="13"/>
      <c r="E59" s="13"/>
      <c r="G59" s="13"/>
      <c r="H59" s="13"/>
      <c r="I59" s="13"/>
      <c r="J59" s="13"/>
      <c r="K59" s="13"/>
      <c r="L59" s="13"/>
      <c r="M59" s="13"/>
      <c r="N59" s="13"/>
      <c r="O59" s="13"/>
      <c r="P59" s="314"/>
      <c r="Q59" s="13"/>
      <c r="R59" s="325" t="s">
        <v>3496</v>
      </c>
      <c r="S59" s="322">
        <f t="shared" ref="S59:AG59" si="124">S58/S52</f>
        <v>0.0982599083775763</v>
      </c>
      <c r="T59" s="61">
        <f t="shared" si="124"/>
        <v>-0.0460585145142759</v>
      </c>
      <c r="U59" s="322">
        <f t="shared" si="124"/>
        <v>-0.0460585025797547</v>
      </c>
      <c r="V59" s="61">
        <f t="shared" si="124"/>
        <v>1</v>
      </c>
      <c r="W59" s="61">
        <f t="shared" si="124"/>
        <v>1</v>
      </c>
      <c r="X59" s="61">
        <f t="shared" si="124"/>
        <v>1</v>
      </c>
      <c r="Y59" s="61">
        <f t="shared" si="124"/>
        <v>1</v>
      </c>
      <c r="Z59" s="61">
        <f t="shared" si="124"/>
        <v>1</v>
      </c>
      <c r="AA59" s="61">
        <f t="shared" si="124"/>
        <v>1</v>
      </c>
      <c r="AB59" s="61">
        <f t="shared" si="124"/>
        <v>1</v>
      </c>
      <c r="AC59" s="61">
        <f t="shared" si="124"/>
        <v>1</v>
      </c>
      <c r="AD59" s="61">
        <f t="shared" si="124"/>
        <v>1</v>
      </c>
      <c r="AE59" s="61">
        <f t="shared" si="124"/>
        <v>1</v>
      </c>
      <c r="AF59" s="61">
        <f t="shared" si="124"/>
        <v>1</v>
      </c>
      <c r="AG59" s="61" t="e">
        <f t="shared" si="124"/>
        <v>#DIV/0!</v>
      </c>
      <c r="AH59" s="340">
        <f>T59-S59</f>
        <v>-0.144318422891852</v>
      </c>
      <c r="AI59" s="82">
        <f>AF59-S59</f>
        <v>0.901740091622424</v>
      </c>
      <c r="AJ59" s="13"/>
      <c r="AK59" s="13"/>
      <c r="AL59" s="13"/>
      <c r="AM59" s="13"/>
      <c r="AN59" s="13"/>
      <c r="AO59" s="61" t="e">
        <f t="shared" ref="AO59:AX59" si="125">AO58/AO52</f>
        <v>#DIV/0!</v>
      </c>
      <c r="AP59" s="61" t="e">
        <f t="shared" si="125"/>
        <v>#DIV/0!</v>
      </c>
      <c r="AQ59" s="61" t="e">
        <f t="shared" si="125"/>
        <v>#DIV/0!</v>
      </c>
      <c r="AR59" s="61" t="e">
        <f t="shared" si="125"/>
        <v>#DIV/0!</v>
      </c>
      <c r="AS59" s="61" t="e">
        <f t="shared" si="125"/>
        <v>#DIV/0!</v>
      </c>
      <c r="AT59" s="61" t="e">
        <f t="shared" si="125"/>
        <v>#DIV/0!</v>
      </c>
      <c r="AU59" s="61" t="e">
        <f t="shared" si="125"/>
        <v>#DIV/0!</v>
      </c>
      <c r="AV59" s="61" t="e">
        <f t="shared" si="125"/>
        <v>#DIV/0!</v>
      </c>
      <c r="AW59" s="61" t="e">
        <f t="shared" si="125"/>
        <v>#DIV/0!</v>
      </c>
      <c r="AX59" s="61" t="e">
        <f t="shared" si="125"/>
        <v>#DIV/0!</v>
      </c>
      <c r="AY59" s="61">
        <v>1</v>
      </c>
      <c r="AZ59" s="322" t="e">
        <f>AZ58/AZ52</f>
        <v>#DIV/0!</v>
      </c>
      <c r="BA59" s="322">
        <v>-0.0460585025797545</v>
      </c>
      <c r="BB59" s="342"/>
      <c r="BC59" s="342"/>
      <c r="BD59" s="13"/>
    </row>
    <row r="60" ht="16.5" customHeight="1" spans="1:56">
      <c r="A60" s="13"/>
      <c r="B60" s="13"/>
      <c r="C60" s="13"/>
      <c r="D60" s="13"/>
      <c r="E60" s="13"/>
      <c r="G60" s="13"/>
      <c r="H60" s="13"/>
      <c r="I60" s="13"/>
      <c r="J60" s="13"/>
      <c r="K60" s="13"/>
      <c r="L60" s="13"/>
      <c r="M60" s="13"/>
      <c r="N60" s="13"/>
      <c r="O60" s="13"/>
      <c r="P60" s="314"/>
      <c r="Q60" s="13"/>
      <c r="R60" s="324" t="s">
        <v>3497</v>
      </c>
      <c r="S60" s="58">
        <f t="shared" ref="S60:AG60" si="126">S52-S57</f>
        <v>72215.97</v>
      </c>
      <c r="T60" s="58">
        <f t="shared" si="126"/>
        <v>-86953.9500000001</v>
      </c>
      <c r="U60" s="58">
        <f t="shared" si="126"/>
        <v>-43375.4400000001</v>
      </c>
      <c r="V60" s="58">
        <f t="shared" si="126"/>
        <v>-139.43</v>
      </c>
      <c r="W60" s="58">
        <f t="shared" si="126"/>
        <v>-139.43</v>
      </c>
      <c r="X60" s="58">
        <f t="shared" si="126"/>
        <v>-139.43</v>
      </c>
      <c r="Y60" s="58">
        <f t="shared" si="126"/>
        <v>-139.43</v>
      </c>
      <c r="Z60" s="58">
        <f t="shared" si="126"/>
        <v>-139.43</v>
      </c>
      <c r="AA60" s="58">
        <f t="shared" si="126"/>
        <v>-139.43</v>
      </c>
      <c r="AB60" s="58">
        <f t="shared" si="126"/>
        <v>-139.43</v>
      </c>
      <c r="AC60" s="58">
        <f t="shared" si="126"/>
        <v>-139.43</v>
      </c>
      <c r="AD60" s="58">
        <f t="shared" si="126"/>
        <v>-139.43</v>
      </c>
      <c r="AE60" s="58">
        <f t="shared" si="126"/>
        <v>-139.43</v>
      </c>
      <c r="AF60" s="58">
        <f t="shared" si="126"/>
        <v>-139.43</v>
      </c>
      <c r="AG60" s="58">
        <f t="shared" si="126"/>
        <v>0</v>
      </c>
      <c r="AH60" s="82"/>
      <c r="AI60" s="82"/>
      <c r="AJ60" s="13"/>
      <c r="AK60" s="13"/>
      <c r="AL60" s="13"/>
      <c r="AM60" s="13"/>
      <c r="AN60" s="13"/>
      <c r="AO60" s="58">
        <f t="shared" ref="AO60:BC60" si="127">AO52-AO57</f>
        <v>0</v>
      </c>
      <c r="AP60" s="58">
        <f t="shared" si="127"/>
        <v>0</v>
      </c>
      <c r="AQ60" s="58">
        <f t="shared" si="127"/>
        <v>0</v>
      </c>
      <c r="AR60" s="58">
        <f t="shared" si="127"/>
        <v>0</v>
      </c>
      <c r="AS60" s="58">
        <f t="shared" si="127"/>
        <v>0</v>
      </c>
      <c r="AT60" s="58">
        <f t="shared" si="127"/>
        <v>0</v>
      </c>
      <c r="AU60" s="58">
        <f t="shared" si="127"/>
        <v>0</v>
      </c>
      <c r="AV60" s="58">
        <f t="shared" si="127"/>
        <v>0</v>
      </c>
      <c r="AW60" s="58">
        <f t="shared" si="127"/>
        <v>0</v>
      </c>
      <c r="AX60" s="58">
        <f t="shared" si="127"/>
        <v>-7110.36</v>
      </c>
      <c r="AY60" s="58">
        <f t="shared" si="127"/>
        <v>-139.43</v>
      </c>
      <c r="AZ60" s="58">
        <f t="shared" si="127"/>
        <v>-27365.9</v>
      </c>
      <c r="BA60" s="58">
        <f t="shared" si="127"/>
        <v>-43375.4400000001</v>
      </c>
      <c r="BB60" s="58">
        <f t="shared" si="127"/>
        <v>0</v>
      </c>
      <c r="BC60" s="58">
        <f t="shared" si="127"/>
        <v>0</v>
      </c>
      <c r="BD60" s="13"/>
    </row>
    <row r="61" ht="16.5" customHeight="1" spans="1:56">
      <c r="A61" s="14"/>
      <c r="B61" s="14"/>
      <c r="C61" s="14"/>
      <c r="D61" s="14"/>
      <c r="E61" s="14"/>
      <c r="G61" s="14"/>
      <c r="H61" s="14"/>
      <c r="I61" s="14"/>
      <c r="J61" s="14"/>
      <c r="K61" s="14"/>
      <c r="L61" s="14"/>
      <c r="M61" s="14"/>
      <c r="N61" s="14"/>
      <c r="O61" s="14"/>
      <c r="P61" s="316"/>
      <c r="Q61" s="14"/>
      <c r="R61" s="325" t="s">
        <v>3498</v>
      </c>
      <c r="S61" s="322">
        <f t="shared" ref="S61:AG61" si="128">S60/S52</f>
        <v>0.0768657318511391</v>
      </c>
      <c r="T61" s="61">
        <f t="shared" si="128"/>
        <v>-0.0992060918238853</v>
      </c>
      <c r="U61" s="322">
        <f t="shared" si="128"/>
        <v>-0.0494872036801906</v>
      </c>
      <c r="V61" s="61">
        <f t="shared" si="128"/>
        <v>13943</v>
      </c>
      <c r="W61" s="61">
        <f t="shared" si="128"/>
        <v>13943</v>
      </c>
      <c r="X61" s="61">
        <f t="shared" si="128"/>
        <v>13943</v>
      </c>
      <c r="Y61" s="61">
        <f t="shared" si="128"/>
        <v>13943</v>
      </c>
      <c r="Z61" s="61">
        <f t="shared" si="128"/>
        <v>13943</v>
      </c>
      <c r="AA61" s="61">
        <f t="shared" si="128"/>
        <v>13943</v>
      </c>
      <c r="AB61" s="61">
        <f t="shared" si="128"/>
        <v>13943</v>
      </c>
      <c r="AC61" s="61">
        <f t="shared" si="128"/>
        <v>13943</v>
      </c>
      <c r="AD61" s="61">
        <f t="shared" si="128"/>
        <v>13943</v>
      </c>
      <c r="AE61" s="61">
        <f t="shared" si="128"/>
        <v>13943</v>
      </c>
      <c r="AF61" s="61">
        <f t="shared" si="128"/>
        <v>13943</v>
      </c>
      <c r="AG61" s="61" t="e">
        <f t="shared" si="128"/>
        <v>#DIV/0!</v>
      </c>
      <c r="AH61" s="340">
        <f>T61-S61</f>
        <v>-0.176071823675024</v>
      </c>
      <c r="AI61" s="82">
        <f>AF61-S61</f>
        <v>13942.9231342681</v>
      </c>
      <c r="AJ61" s="14"/>
      <c r="AK61" s="14"/>
      <c r="AL61" s="14"/>
      <c r="AM61" s="14"/>
      <c r="AN61" s="14"/>
      <c r="AO61" s="61" t="e">
        <f t="shared" ref="AO61:AX61" si="129">AO60/AO52</f>
        <v>#DIV/0!</v>
      </c>
      <c r="AP61" s="61" t="e">
        <f t="shared" si="129"/>
        <v>#DIV/0!</v>
      </c>
      <c r="AQ61" s="61" t="e">
        <f t="shared" si="129"/>
        <v>#DIV/0!</v>
      </c>
      <c r="AR61" s="61" t="e">
        <f t="shared" si="129"/>
        <v>#DIV/0!</v>
      </c>
      <c r="AS61" s="61" t="e">
        <f t="shared" si="129"/>
        <v>#DIV/0!</v>
      </c>
      <c r="AT61" s="61" t="e">
        <f t="shared" si="129"/>
        <v>#DIV/0!</v>
      </c>
      <c r="AU61" s="61" t="e">
        <f t="shared" si="129"/>
        <v>#DIV/0!</v>
      </c>
      <c r="AV61" s="61" t="e">
        <f t="shared" si="129"/>
        <v>#DIV/0!</v>
      </c>
      <c r="AW61" s="61" t="e">
        <f t="shared" si="129"/>
        <v>#DIV/0!</v>
      </c>
      <c r="AX61" s="61" t="e">
        <f t="shared" si="129"/>
        <v>#DIV/0!</v>
      </c>
      <c r="AY61" s="61">
        <v>13943</v>
      </c>
      <c r="AZ61" s="322" t="e">
        <f>AZ60/AZ52</f>
        <v>#DIV/0!</v>
      </c>
      <c r="BA61" s="322">
        <v>-0.0494872036801905</v>
      </c>
      <c r="BB61" s="342"/>
      <c r="BC61" s="342"/>
      <c r="BD61" s="14"/>
    </row>
    <row r="62" spans="1:56">
      <c r="A62" s="300" t="s">
        <v>2206</v>
      </c>
      <c r="B62" s="301" t="s">
        <v>3342</v>
      </c>
      <c r="C62" s="302">
        <v>45992</v>
      </c>
      <c r="D62" s="302">
        <v>46081</v>
      </c>
      <c r="E62" s="304"/>
      <c r="F62" s="233">
        <v>5.13</v>
      </c>
      <c r="G62" s="28"/>
      <c r="H62" s="301"/>
      <c r="I62" s="301"/>
      <c r="J62" s="58"/>
      <c r="K62" s="304"/>
      <c r="L62" s="304"/>
      <c r="M62" s="304"/>
      <c r="N62" s="304"/>
      <c r="O62" s="317"/>
      <c r="P62" s="304"/>
      <c r="Q62" s="304"/>
      <c r="R62" s="318" t="s">
        <v>3486</v>
      </c>
      <c r="S62" s="58">
        <v>326700</v>
      </c>
      <c r="T62" s="58">
        <f t="shared" ref="T62:T66" si="130">SUM(AO62:BC62)</f>
        <v>323071.61</v>
      </c>
      <c r="U62" s="319">
        <f t="shared" ref="U62:U66" si="131">SUM(BA62:BC62)</f>
        <v>169630.15</v>
      </c>
      <c r="V62" s="58">
        <f t="shared" ref="V62:V66" si="132">SUM(AO62:AZ62)</f>
        <v>153441.46</v>
      </c>
      <c r="W62" s="58">
        <f t="shared" ref="W62:W66" si="133">SUM(AP62:AZ62)</f>
        <v>153441.46</v>
      </c>
      <c r="X62" s="58">
        <f t="shared" ref="X62:X66" si="134">SUM(AQ62:AZ62)</f>
        <v>153441.46</v>
      </c>
      <c r="Y62" s="58">
        <f t="shared" ref="Y62:Y66" si="135">SUM(AR62:AZ62)</f>
        <v>153441.46</v>
      </c>
      <c r="Z62" s="58">
        <f t="shared" ref="Z62:Z66" si="136">SUM(AS62:AZ62)</f>
        <v>153441.46</v>
      </c>
      <c r="AA62" s="58">
        <f t="shared" ref="AA62:AA66" si="137">SUM(AT62:AZ62)</f>
        <v>153441.46</v>
      </c>
      <c r="AB62" s="58">
        <f t="shared" ref="AB62:AB66" si="138">SUM(AU62:AZ62)</f>
        <v>153441.46</v>
      </c>
      <c r="AC62" s="58">
        <f t="shared" ref="AC62:AC66" si="139">SUM(AV62:AZ62)</f>
        <v>153441.46</v>
      </c>
      <c r="AD62" s="58">
        <f t="shared" ref="AD62:AD66" si="140">SUM(AW62:AZ62)</f>
        <v>153441.46</v>
      </c>
      <c r="AE62" s="58">
        <f t="shared" ref="AE62:AE66" si="141">SUM(AX62:AZ62)</f>
        <v>153441.46</v>
      </c>
      <c r="AF62" s="58">
        <f t="shared" ref="AF62:AF66" si="142">SUM(AY62:AZ62)</f>
        <v>153441.46</v>
      </c>
      <c r="AG62" s="58">
        <f t="shared" ref="AG62:AG66" si="143">SUM(AZ62:AZ62)</f>
        <v>56627.65</v>
      </c>
      <c r="AH62" s="328"/>
      <c r="AI62" s="328"/>
      <c r="AJ62" s="233"/>
      <c r="AK62" s="201"/>
      <c r="AL62" s="333"/>
      <c r="AM62" s="233"/>
      <c r="AN62" s="331"/>
      <c r="AO62" s="58"/>
      <c r="AP62" s="58"/>
      <c r="AQ62" s="58"/>
      <c r="AR62" s="58"/>
      <c r="AS62" s="58"/>
      <c r="AT62" s="58"/>
      <c r="AU62" s="58"/>
      <c r="AV62" s="58"/>
      <c r="AW62" s="58"/>
      <c r="AX62" s="58"/>
      <c r="AY62" s="58">
        <v>96813.81</v>
      </c>
      <c r="AZ62" s="58">
        <v>56627.65</v>
      </c>
      <c r="BA62" s="344">
        <v>169630.15</v>
      </c>
      <c r="BB62" s="342"/>
      <c r="BC62" s="342"/>
      <c r="BD62" s="343" t="s">
        <v>3568</v>
      </c>
    </row>
    <row r="63" spans="1:56">
      <c r="A63" s="13"/>
      <c r="B63" s="13"/>
      <c r="C63" s="13"/>
      <c r="D63" s="13"/>
      <c r="E63" s="13"/>
      <c r="F63" s="13"/>
      <c r="G63" s="13"/>
      <c r="H63" s="13"/>
      <c r="I63" s="13"/>
      <c r="J63" s="13"/>
      <c r="K63" s="13"/>
      <c r="L63" s="13"/>
      <c r="M63" s="13"/>
      <c r="N63" s="13"/>
      <c r="O63" s="13"/>
      <c r="P63" s="13"/>
      <c r="Q63" s="13"/>
      <c r="R63" s="213" t="s">
        <v>3490</v>
      </c>
      <c r="S63" s="58">
        <v>265564.75</v>
      </c>
      <c r="T63" s="58">
        <f t="shared" si="130"/>
        <v>274873.28</v>
      </c>
      <c r="U63" s="319">
        <f t="shared" si="131"/>
        <v>142701.67</v>
      </c>
      <c r="V63" s="58">
        <f t="shared" si="132"/>
        <v>132171.61</v>
      </c>
      <c r="W63" s="58">
        <f t="shared" si="133"/>
        <v>132171.61</v>
      </c>
      <c r="X63" s="58">
        <f t="shared" si="134"/>
        <v>132171.61</v>
      </c>
      <c r="Y63" s="58">
        <f t="shared" si="135"/>
        <v>132171.61</v>
      </c>
      <c r="Z63" s="58">
        <f t="shared" si="136"/>
        <v>132171.61</v>
      </c>
      <c r="AA63" s="58">
        <f t="shared" si="137"/>
        <v>132171.61</v>
      </c>
      <c r="AB63" s="58">
        <f t="shared" si="138"/>
        <v>132171.61</v>
      </c>
      <c r="AC63" s="58">
        <f t="shared" si="139"/>
        <v>132171.61</v>
      </c>
      <c r="AD63" s="58">
        <f t="shared" si="140"/>
        <v>132171.61</v>
      </c>
      <c r="AE63" s="58">
        <f t="shared" si="141"/>
        <v>132171.61</v>
      </c>
      <c r="AF63" s="58">
        <f t="shared" si="142"/>
        <v>132171.61</v>
      </c>
      <c r="AG63" s="58">
        <f t="shared" si="143"/>
        <v>44678.71</v>
      </c>
      <c r="AH63" s="328"/>
      <c r="AI63" s="328"/>
      <c r="AJ63" s="13"/>
      <c r="AK63" s="13"/>
      <c r="AL63" s="13"/>
      <c r="AM63" s="13"/>
      <c r="AN63" s="13"/>
      <c r="AO63" s="58"/>
      <c r="AP63" s="58"/>
      <c r="AQ63" s="58"/>
      <c r="AR63" s="58"/>
      <c r="AS63" s="58"/>
      <c r="AT63" s="58"/>
      <c r="AU63" s="58"/>
      <c r="AV63" s="58"/>
      <c r="AW63" s="58"/>
      <c r="AX63" s="58"/>
      <c r="AY63" s="58">
        <v>87492.9</v>
      </c>
      <c r="AZ63" s="58">
        <v>44678.71</v>
      </c>
      <c r="BA63" s="344">
        <v>142701.67</v>
      </c>
      <c r="BB63" s="342"/>
      <c r="BC63" s="342"/>
      <c r="BD63" s="13"/>
    </row>
    <row r="64" spans="1:56">
      <c r="A64" s="13"/>
      <c r="B64" s="13"/>
      <c r="C64" s="13"/>
      <c r="D64" s="13"/>
      <c r="E64" s="13"/>
      <c r="F64" s="13"/>
      <c r="G64" s="13"/>
      <c r="H64" s="13"/>
      <c r="I64" s="13"/>
      <c r="J64" s="13"/>
      <c r="K64" s="13"/>
      <c r="L64" s="13"/>
      <c r="M64" s="13"/>
      <c r="N64" s="13"/>
      <c r="O64" s="13"/>
      <c r="P64" s="13"/>
      <c r="Q64" s="13"/>
      <c r="R64" s="213" t="s">
        <v>3491</v>
      </c>
      <c r="S64" s="58"/>
      <c r="T64" s="58">
        <f t="shared" si="130"/>
        <v>0</v>
      </c>
      <c r="U64" s="319">
        <f t="shared" si="131"/>
        <v>0</v>
      </c>
      <c r="V64" s="58"/>
      <c r="W64" s="58"/>
      <c r="X64" s="58"/>
      <c r="Y64" s="58"/>
      <c r="Z64" s="58"/>
      <c r="AA64" s="58"/>
      <c r="AB64" s="58"/>
      <c r="AC64" s="58"/>
      <c r="AD64" s="58"/>
      <c r="AE64" s="58"/>
      <c r="AF64" s="58"/>
      <c r="AG64" s="58"/>
      <c r="AH64" s="328"/>
      <c r="AI64" s="328"/>
      <c r="AJ64" s="13"/>
      <c r="AK64" s="13"/>
      <c r="AL64" s="13"/>
      <c r="AM64" s="13"/>
      <c r="AN64" s="13"/>
      <c r="AO64" s="58"/>
      <c r="AP64" s="58"/>
      <c r="AQ64" s="58"/>
      <c r="AR64" s="58"/>
      <c r="AS64" s="58"/>
      <c r="AT64" s="58"/>
      <c r="AU64" s="58"/>
      <c r="AV64" s="58"/>
      <c r="AW64" s="58"/>
      <c r="AX64" s="58">
        <v>0</v>
      </c>
      <c r="AY64" s="58"/>
      <c r="AZ64" s="58"/>
      <c r="BA64" s="344"/>
      <c r="BB64" s="342"/>
      <c r="BC64" s="342"/>
      <c r="BD64" s="13"/>
    </row>
    <row r="65" spans="1:56">
      <c r="A65" s="13"/>
      <c r="B65" s="13"/>
      <c r="C65" s="13"/>
      <c r="D65" s="13"/>
      <c r="E65" s="13"/>
      <c r="F65" s="13"/>
      <c r="G65" s="13"/>
      <c r="H65" s="13"/>
      <c r="I65" s="13"/>
      <c r="J65" s="13"/>
      <c r="K65" s="13"/>
      <c r="L65" s="13"/>
      <c r="M65" s="13"/>
      <c r="N65" s="13"/>
      <c r="O65" s="13"/>
      <c r="P65" s="13"/>
      <c r="Q65" s="13"/>
      <c r="R65" s="213" t="s">
        <v>3492</v>
      </c>
      <c r="S65" s="58">
        <v>0</v>
      </c>
      <c r="T65" s="58">
        <f t="shared" si="130"/>
        <v>0</v>
      </c>
      <c r="U65" s="319">
        <f t="shared" si="131"/>
        <v>0</v>
      </c>
      <c r="V65" s="58">
        <f t="shared" si="132"/>
        <v>0</v>
      </c>
      <c r="W65" s="58">
        <f t="shared" si="133"/>
        <v>0</v>
      </c>
      <c r="X65" s="58">
        <f t="shared" si="134"/>
        <v>0</v>
      </c>
      <c r="Y65" s="58">
        <f t="shared" si="135"/>
        <v>0</v>
      </c>
      <c r="Z65" s="58">
        <f t="shared" si="136"/>
        <v>0</v>
      </c>
      <c r="AA65" s="58">
        <f t="shared" si="137"/>
        <v>0</v>
      </c>
      <c r="AB65" s="58">
        <f t="shared" si="138"/>
        <v>0</v>
      </c>
      <c r="AC65" s="58">
        <f t="shared" si="139"/>
        <v>0</v>
      </c>
      <c r="AD65" s="58">
        <f t="shared" si="140"/>
        <v>0</v>
      </c>
      <c r="AE65" s="58">
        <f t="shared" si="141"/>
        <v>0</v>
      </c>
      <c r="AF65" s="58">
        <f t="shared" si="142"/>
        <v>0</v>
      </c>
      <c r="AG65" s="58">
        <f t="shared" si="143"/>
        <v>0</v>
      </c>
      <c r="AH65" s="328"/>
      <c r="AI65" s="328"/>
      <c r="AJ65" s="13"/>
      <c r="AK65" s="13"/>
      <c r="AL65" s="13"/>
      <c r="AM65" s="13"/>
      <c r="AN65" s="13"/>
      <c r="AO65" s="58"/>
      <c r="AP65" s="58"/>
      <c r="AQ65" s="58"/>
      <c r="AR65" s="58"/>
      <c r="AS65" s="58"/>
      <c r="AT65" s="58"/>
      <c r="AU65" s="58"/>
      <c r="AV65" s="58"/>
      <c r="AW65" s="58"/>
      <c r="AX65" s="58"/>
      <c r="AY65" s="58">
        <v>0</v>
      </c>
      <c r="AZ65" s="58">
        <v>0</v>
      </c>
      <c r="BA65" s="344">
        <v>0</v>
      </c>
      <c r="BB65" s="342"/>
      <c r="BC65" s="342"/>
      <c r="BD65" s="13"/>
    </row>
    <row r="66" spans="1:56">
      <c r="A66" s="13"/>
      <c r="B66" s="13"/>
      <c r="C66" s="13"/>
      <c r="D66" s="13"/>
      <c r="E66" s="13"/>
      <c r="F66" s="13"/>
      <c r="G66" s="13"/>
      <c r="H66" s="13"/>
      <c r="I66" s="13"/>
      <c r="J66" s="13"/>
      <c r="K66" s="13"/>
      <c r="L66" s="13"/>
      <c r="M66" s="13"/>
      <c r="N66" s="13"/>
      <c r="O66" s="13"/>
      <c r="P66" s="13"/>
      <c r="Q66" s="13"/>
      <c r="R66" s="213" t="s">
        <v>3493</v>
      </c>
      <c r="S66" s="58">
        <v>0</v>
      </c>
      <c r="T66" s="58">
        <f t="shared" si="130"/>
        <v>767.87</v>
      </c>
      <c r="U66" s="319">
        <f t="shared" si="131"/>
        <v>181.17</v>
      </c>
      <c r="V66" s="58">
        <f t="shared" si="132"/>
        <v>586.7</v>
      </c>
      <c r="W66" s="58">
        <f t="shared" si="133"/>
        <v>586.7</v>
      </c>
      <c r="X66" s="58">
        <f t="shared" si="134"/>
        <v>586.7</v>
      </c>
      <c r="Y66" s="58">
        <f t="shared" si="135"/>
        <v>586.7</v>
      </c>
      <c r="Z66" s="58">
        <f t="shared" si="136"/>
        <v>586.7</v>
      </c>
      <c r="AA66" s="58">
        <f t="shared" si="137"/>
        <v>586.7</v>
      </c>
      <c r="AB66" s="58">
        <f t="shared" si="138"/>
        <v>586.7</v>
      </c>
      <c r="AC66" s="58">
        <f t="shared" si="139"/>
        <v>586.7</v>
      </c>
      <c r="AD66" s="58">
        <f t="shared" si="140"/>
        <v>586.7</v>
      </c>
      <c r="AE66" s="58">
        <f t="shared" si="141"/>
        <v>586.7</v>
      </c>
      <c r="AF66" s="58">
        <f t="shared" si="142"/>
        <v>586.7</v>
      </c>
      <c r="AG66" s="58">
        <f t="shared" si="143"/>
        <v>241.65</v>
      </c>
      <c r="AH66" s="328"/>
      <c r="AI66" s="328"/>
      <c r="AJ66" s="13"/>
      <c r="AK66" s="13"/>
      <c r="AL66" s="13"/>
      <c r="AM66" s="13"/>
      <c r="AN66" s="13"/>
      <c r="AO66" s="58"/>
      <c r="AP66" s="58"/>
      <c r="AQ66" s="58"/>
      <c r="AR66" s="58"/>
      <c r="AS66" s="58"/>
      <c r="AT66" s="58"/>
      <c r="AU66" s="58"/>
      <c r="AV66" s="58"/>
      <c r="AW66" s="58"/>
      <c r="AX66" s="58"/>
      <c r="AY66" s="58">
        <v>345.05</v>
      </c>
      <c r="AZ66" s="58">
        <v>241.65</v>
      </c>
      <c r="BA66" s="344">
        <v>181.17</v>
      </c>
      <c r="BB66" s="342"/>
      <c r="BC66" s="342"/>
      <c r="BD66" s="13"/>
    </row>
    <row r="67" ht="16.5" customHeight="1" spans="1:56">
      <c r="A67" s="13"/>
      <c r="B67" s="13"/>
      <c r="C67" s="13"/>
      <c r="D67" s="13"/>
      <c r="E67" s="13"/>
      <c r="F67" s="13"/>
      <c r="G67" s="13"/>
      <c r="H67" s="13"/>
      <c r="I67" s="13"/>
      <c r="J67" s="13"/>
      <c r="K67" s="13"/>
      <c r="L67" s="13"/>
      <c r="M67" s="13"/>
      <c r="N67" s="13"/>
      <c r="O67" s="13"/>
      <c r="P67" s="13"/>
      <c r="Q67" s="13"/>
      <c r="R67" s="213" t="s">
        <v>3494</v>
      </c>
      <c r="S67" s="214">
        <f t="shared" ref="S67:AG67" si="144">SUM(S63:S66)</f>
        <v>265564.75</v>
      </c>
      <c r="T67" s="214">
        <f t="shared" si="144"/>
        <v>275641.15</v>
      </c>
      <c r="U67" s="320">
        <f t="shared" si="144"/>
        <v>142882.84</v>
      </c>
      <c r="V67" s="214">
        <f t="shared" si="144"/>
        <v>132758.31</v>
      </c>
      <c r="W67" s="214">
        <f t="shared" si="144"/>
        <v>132758.31</v>
      </c>
      <c r="X67" s="214">
        <f t="shared" si="144"/>
        <v>132758.31</v>
      </c>
      <c r="Y67" s="214">
        <f t="shared" si="144"/>
        <v>132758.31</v>
      </c>
      <c r="Z67" s="214">
        <f t="shared" si="144"/>
        <v>132758.31</v>
      </c>
      <c r="AA67" s="214">
        <f t="shared" si="144"/>
        <v>132758.31</v>
      </c>
      <c r="AB67" s="214">
        <f t="shared" si="144"/>
        <v>132758.31</v>
      </c>
      <c r="AC67" s="214">
        <f t="shared" si="144"/>
        <v>132758.31</v>
      </c>
      <c r="AD67" s="214">
        <f t="shared" si="144"/>
        <v>132758.31</v>
      </c>
      <c r="AE67" s="214">
        <f t="shared" si="144"/>
        <v>132758.31</v>
      </c>
      <c r="AF67" s="214">
        <f t="shared" si="144"/>
        <v>132758.31</v>
      </c>
      <c r="AG67" s="214">
        <f t="shared" si="144"/>
        <v>44920.36</v>
      </c>
      <c r="AH67" s="214">
        <f>SUM(AH63:AH66)</f>
        <v>0</v>
      </c>
      <c r="AI67" s="214">
        <f>SUM(AI63:AI66)</f>
        <v>0</v>
      </c>
      <c r="AJ67" s="13"/>
      <c r="AK67" s="13"/>
      <c r="AL67" s="13"/>
      <c r="AM67" s="13"/>
      <c r="AN67" s="13"/>
      <c r="AO67" s="214">
        <f t="shared" ref="AO67:AX67" si="145">SUM(AO63:AO66)</f>
        <v>0</v>
      </c>
      <c r="AP67" s="214">
        <f t="shared" si="145"/>
        <v>0</v>
      </c>
      <c r="AQ67" s="214">
        <f t="shared" si="145"/>
        <v>0</v>
      </c>
      <c r="AR67" s="214">
        <f t="shared" si="145"/>
        <v>0</v>
      </c>
      <c r="AS67" s="214">
        <f t="shared" si="145"/>
        <v>0</v>
      </c>
      <c r="AT67" s="214">
        <f t="shared" si="145"/>
        <v>0</v>
      </c>
      <c r="AU67" s="214">
        <f t="shared" si="145"/>
        <v>0</v>
      </c>
      <c r="AV67" s="214">
        <f t="shared" si="145"/>
        <v>0</v>
      </c>
      <c r="AW67" s="214">
        <f t="shared" si="145"/>
        <v>0</v>
      </c>
      <c r="AX67" s="214">
        <f t="shared" si="145"/>
        <v>0</v>
      </c>
      <c r="AY67" s="214">
        <v>87837.95</v>
      </c>
      <c r="AZ67" s="214">
        <f>SUM(AZ63:AZ66)</f>
        <v>44920.36</v>
      </c>
      <c r="BA67" s="320">
        <v>142882.84</v>
      </c>
      <c r="BB67" s="320">
        <f>SUM(BB63:BB66)</f>
        <v>0</v>
      </c>
      <c r="BC67" s="320">
        <f>SUM(BC63:BC66)</f>
        <v>0</v>
      </c>
      <c r="BD67" s="13"/>
    </row>
    <row r="68" spans="1:56">
      <c r="A68" s="13"/>
      <c r="B68" s="13"/>
      <c r="C68" s="13"/>
      <c r="D68" s="13"/>
      <c r="E68" s="13"/>
      <c r="F68" s="13"/>
      <c r="G68" s="13"/>
      <c r="H68" s="13"/>
      <c r="I68" s="13"/>
      <c r="J68" s="13"/>
      <c r="K68" s="13"/>
      <c r="L68" s="13"/>
      <c r="M68" s="13"/>
      <c r="N68" s="13"/>
      <c r="O68" s="13"/>
      <c r="P68" s="13"/>
      <c r="Q68" s="13"/>
      <c r="R68" s="213" t="s">
        <v>3495</v>
      </c>
      <c r="S68" s="58">
        <f t="shared" ref="S68:AG68" si="146">S62-S63</f>
        <v>61135.25</v>
      </c>
      <c r="T68" s="58">
        <f t="shared" si="146"/>
        <v>48198.33</v>
      </c>
      <c r="U68" s="319">
        <f t="shared" si="146"/>
        <v>26928.48</v>
      </c>
      <c r="V68" s="58">
        <f t="shared" si="146"/>
        <v>21269.85</v>
      </c>
      <c r="W68" s="58">
        <f t="shared" si="146"/>
        <v>21269.85</v>
      </c>
      <c r="X68" s="58">
        <f t="shared" si="146"/>
        <v>21269.85</v>
      </c>
      <c r="Y68" s="58">
        <f t="shared" si="146"/>
        <v>21269.85</v>
      </c>
      <c r="Z68" s="58">
        <f t="shared" si="146"/>
        <v>21269.85</v>
      </c>
      <c r="AA68" s="58">
        <f t="shared" si="146"/>
        <v>21269.85</v>
      </c>
      <c r="AB68" s="58">
        <f t="shared" si="146"/>
        <v>21269.85</v>
      </c>
      <c r="AC68" s="58">
        <f t="shared" si="146"/>
        <v>21269.85</v>
      </c>
      <c r="AD68" s="58">
        <f t="shared" si="146"/>
        <v>21269.85</v>
      </c>
      <c r="AE68" s="58">
        <f t="shared" si="146"/>
        <v>21269.85</v>
      </c>
      <c r="AF68" s="58">
        <f t="shared" si="146"/>
        <v>21269.85</v>
      </c>
      <c r="AG68" s="58">
        <f t="shared" si="146"/>
        <v>11948.94</v>
      </c>
      <c r="AH68" s="332"/>
      <c r="AI68" s="332"/>
      <c r="AJ68" s="13"/>
      <c r="AK68" s="13"/>
      <c r="AL68" s="13"/>
      <c r="AM68" s="13"/>
      <c r="AN68" s="13"/>
      <c r="AO68" s="58">
        <f t="shared" ref="AO68:AZ68" si="147">AO62-AO63</f>
        <v>0</v>
      </c>
      <c r="AP68" s="58">
        <f t="shared" si="147"/>
        <v>0</v>
      </c>
      <c r="AQ68" s="58">
        <f t="shared" si="147"/>
        <v>0</v>
      </c>
      <c r="AR68" s="58">
        <f t="shared" si="147"/>
        <v>0</v>
      </c>
      <c r="AS68" s="58">
        <f t="shared" si="147"/>
        <v>0</v>
      </c>
      <c r="AT68" s="58">
        <f t="shared" si="147"/>
        <v>0</v>
      </c>
      <c r="AU68" s="58">
        <f t="shared" si="147"/>
        <v>0</v>
      </c>
      <c r="AV68" s="58">
        <f t="shared" si="147"/>
        <v>0</v>
      </c>
      <c r="AW68" s="58">
        <f t="shared" si="147"/>
        <v>0</v>
      </c>
      <c r="AX68" s="58">
        <f t="shared" si="147"/>
        <v>0</v>
      </c>
      <c r="AY68" s="58">
        <f t="shared" si="147"/>
        <v>9320.91</v>
      </c>
      <c r="AZ68" s="58">
        <f t="shared" si="147"/>
        <v>11948.94</v>
      </c>
      <c r="BA68" s="344">
        <v>26928.48</v>
      </c>
      <c r="BB68" s="342"/>
      <c r="BC68" s="342"/>
      <c r="BD68" s="13"/>
    </row>
    <row r="69" spans="1:56">
      <c r="A69" s="13"/>
      <c r="B69" s="13"/>
      <c r="C69" s="13"/>
      <c r="D69" s="13"/>
      <c r="E69" s="13"/>
      <c r="F69" s="13"/>
      <c r="G69" s="13"/>
      <c r="H69" s="13"/>
      <c r="I69" s="13"/>
      <c r="J69" s="13"/>
      <c r="K69" s="13"/>
      <c r="L69" s="13"/>
      <c r="M69" s="13"/>
      <c r="N69" s="13"/>
      <c r="O69" s="13"/>
      <c r="P69" s="13"/>
      <c r="Q69" s="13"/>
      <c r="R69" s="321" t="s">
        <v>3496</v>
      </c>
      <c r="S69" s="61">
        <f t="shared" ref="S69:AG69" si="148">S68/S62</f>
        <v>0.18712962962963</v>
      </c>
      <c r="T69" s="61">
        <f t="shared" si="148"/>
        <v>0.149187760571101</v>
      </c>
      <c r="U69" s="322">
        <f t="shared" si="148"/>
        <v>0.15874819423316</v>
      </c>
      <c r="V69" s="61">
        <f t="shared" si="148"/>
        <v>0.138618662778626</v>
      </c>
      <c r="W69" s="61">
        <f t="shared" si="148"/>
        <v>0.138618662778626</v>
      </c>
      <c r="X69" s="61">
        <f t="shared" si="148"/>
        <v>0.138618662778626</v>
      </c>
      <c r="Y69" s="61">
        <f t="shared" si="148"/>
        <v>0.138618662778626</v>
      </c>
      <c r="Z69" s="61">
        <f t="shared" si="148"/>
        <v>0.138618662778626</v>
      </c>
      <c r="AA69" s="61">
        <f t="shared" si="148"/>
        <v>0.138618662778626</v>
      </c>
      <c r="AB69" s="61">
        <f t="shared" si="148"/>
        <v>0.138618662778626</v>
      </c>
      <c r="AC69" s="61">
        <f t="shared" si="148"/>
        <v>0.138618662778626</v>
      </c>
      <c r="AD69" s="61">
        <f t="shared" si="148"/>
        <v>0.138618662778626</v>
      </c>
      <c r="AE69" s="61">
        <f t="shared" si="148"/>
        <v>0.138618662778626</v>
      </c>
      <c r="AF69" s="61">
        <f t="shared" si="148"/>
        <v>0.138618662778626</v>
      </c>
      <c r="AG69" s="61">
        <f t="shared" si="148"/>
        <v>0.211008932915281</v>
      </c>
      <c r="AH69" s="82">
        <f>T69-S69</f>
        <v>-0.0379418690585291</v>
      </c>
      <c r="AI69" s="82">
        <f>AF69-S69</f>
        <v>-0.0485109668510038</v>
      </c>
      <c r="AJ69" s="13"/>
      <c r="AK69" s="13"/>
      <c r="AL69" s="13"/>
      <c r="AM69" s="13"/>
      <c r="AN69" s="13"/>
      <c r="AO69" s="61" t="e">
        <f t="shared" ref="AO69:AZ69" si="149">AO68/AO62</f>
        <v>#DIV/0!</v>
      </c>
      <c r="AP69" s="61" t="e">
        <f t="shared" si="149"/>
        <v>#DIV/0!</v>
      </c>
      <c r="AQ69" s="61" t="e">
        <f t="shared" si="149"/>
        <v>#DIV/0!</v>
      </c>
      <c r="AR69" s="61" t="e">
        <f t="shared" si="149"/>
        <v>#DIV/0!</v>
      </c>
      <c r="AS69" s="61" t="e">
        <f t="shared" si="149"/>
        <v>#DIV/0!</v>
      </c>
      <c r="AT69" s="61" t="e">
        <f t="shared" si="149"/>
        <v>#DIV/0!</v>
      </c>
      <c r="AU69" s="61" t="e">
        <f t="shared" si="149"/>
        <v>#DIV/0!</v>
      </c>
      <c r="AV69" s="61" t="e">
        <f t="shared" si="149"/>
        <v>#DIV/0!</v>
      </c>
      <c r="AW69" s="61" t="e">
        <f t="shared" si="149"/>
        <v>#DIV/0!</v>
      </c>
      <c r="AX69" s="61" t="e">
        <f t="shared" si="149"/>
        <v>#DIV/0!</v>
      </c>
      <c r="AY69" s="61">
        <f t="shared" si="149"/>
        <v>0.0962766572248319</v>
      </c>
      <c r="AZ69" s="61">
        <f t="shared" si="149"/>
        <v>0.211008932915281</v>
      </c>
      <c r="BA69" s="322">
        <v>0.15874819423316</v>
      </c>
      <c r="BB69" s="342"/>
      <c r="BC69" s="342"/>
      <c r="BD69" s="13"/>
    </row>
    <row r="70" spans="1:56">
      <c r="A70" s="13"/>
      <c r="B70" s="13"/>
      <c r="C70" s="13"/>
      <c r="D70" s="13"/>
      <c r="E70" s="13"/>
      <c r="F70" s="13"/>
      <c r="G70" s="13"/>
      <c r="H70" s="13"/>
      <c r="I70" s="13"/>
      <c r="J70" s="13"/>
      <c r="K70" s="13"/>
      <c r="L70" s="13"/>
      <c r="M70" s="13"/>
      <c r="N70" s="13"/>
      <c r="O70" s="13"/>
      <c r="P70" s="13"/>
      <c r="Q70" s="13"/>
      <c r="R70" s="213" t="s">
        <v>3497</v>
      </c>
      <c r="S70" s="58">
        <f t="shared" ref="S70:AG70" si="150">S62-S67</f>
        <v>61135.25</v>
      </c>
      <c r="T70" s="58">
        <f t="shared" si="150"/>
        <v>47430.46</v>
      </c>
      <c r="U70" s="58">
        <f t="shared" si="150"/>
        <v>26747.31</v>
      </c>
      <c r="V70" s="58">
        <f t="shared" si="150"/>
        <v>20683.15</v>
      </c>
      <c r="W70" s="58">
        <f t="shared" si="150"/>
        <v>20683.15</v>
      </c>
      <c r="X70" s="58">
        <f t="shared" si="150"/>
        <v>20683.15</v>
      </c>
      <c r="Y70" s="58">
        <f t="shared" si="150"/>
        <v>20683.15</v>
      </c>
      <c r="Z70" s="58">
        <f t="shared" si="150"/>
        <v>20683.15</v>
      </c>
      <c r="AA70" s="58">
        <f t="shared" si="150"/>
        <v>20683.15</v>
      </c>
      <c r="AB70" s="58">
        <f t="shared" si="150"/>
        <v>20683.15</v>
      </c>
      <c r="AC70" s="58">
        <f t="shared" si="150"/>
        <v>20683.15</v>
      </c>
      <c r="AD70" s="58">
        <f t="shared" si="150"/>
        <v>20683.15</v>
      </c>
      <c r="AE70" s="58">
        <f t="shared" si="150"/>
        <v>20683.15</v>
      </c>
      <c r="AF70" s="58">
        <f t="shared" si="150"/>
        <v>20683.15</v>
      </c>
      <c r="AG70" s="58">
        <f t="shared" si="150"/>
        <v>11707.29</v>
      </c>
      <c r="AH70" s="82"/>
      <c r="AI70" s="82"/>
      <c r="AJ70" s="13"/>
      <c r="AK70" s="13"/>
      <c r="AL70" s="13"/>
      <c r="AM70" s="13"/>
      <c r="AN70" s="13"/>
      <c r="AO70" s="58">
        <f t="shared" ref="AO70:BC70" si="151">AO62-AO67</f>
        <v>0</v>
      </c>
      <c r="AP70" s="58">
        <f t="shared" si="151"/>
        <v>0</v>
      </c>
      <c r="AQ70" s="58">
        <f t="shared" si="151"/>
        <v>0</v>
      </c>
      <c r="AR70" s="58">
        <f t="shared" si="151"/>
        <v>0</v>
      </c>
      <c r="AS70" s="58">
        <f t="shared" si="151"/>
        <v>0</v>
      </c>
      <c r="AT70" s="58">
        <f t="shared" si="151"/>
        <v>0</v>
      </c>
      <c r="AU70" s="58">
        <f t="shared" si="151"/>
        <v>0</v>
      </c>
      <c r="AV70" s="58">
        <f t="shared" si="151"/>
        <v>0</v>
      </c>
      <c r="AW70" s="58">
        <f t="shared" si="151"/>
        <v>0</v>
      </c>
      <c r="AX70" s="58">
        <f t="shared" si="151"/>
        <v>0</v>
      </c>
      <c r="AY70" s="58">
        <f t="shared" si="151"/>
        <v>8975.86</v>
      </c>
      <c r="AZ70" s="58">
        <f t="shared" si="151"/>
        <v>11707.29</v>
      </c>
      <c r="BA70" s="58">
        <f t="shared" si="151"/>
        <v>26747.31</v>
      </c>
      <c r="BB70" s="58">
        <f t="shared" si="151"/>
        <v>0</v>
      </c>
      <c r="BC70" s="58">
        <f t="shared" si="151"/>
        <v>0</v>
      </c>
      <c r="BD70" s="13"/>
    </row>
    <row r="71" ht="16.5" customHeight="1" spans="1:56">
      <c r="A71" s="14"/>
      <c r="B71" s="14"/>
      <c r="C71" s="14"/>
      <c r="D71" s="14"/>
      <c r="E71" s="14"/>
      <c r="F71" s="14"/>
      <c r="G71" s="14"/>
      <c r="H71" s="14"/>
      <c r="I71" s="14"/>
      <c r="J71" s="14"/>
      <c r="K71" s="14"/>
      <c r="L71" s="14"/>
      <c r="M71" s="14"/>
      <c r="N71" s="14"/>
      <c r="O71" s="14"/>
      <c r="P71" s="14"/>
      <c r="Q71" s="14"/>
      <c r="R71" s="321" t="s">
        <v>3498</v>
      </c>
      <c r="S71" s="61">
        <f t="shared" ref="S71:AG71" si="152">S70/S62</f>
        <v>0.18712962962963</v>
      </c>
      <c r="T71" s="61">
        <f t="shared" si="152"/>
        <v>0.146810981008204</v>
      </c>
      <c r="U71" s="322">
        <f t="shared" si="152"/>
        <v>0.157680164758446</v>
      </c>
      <c r="V71" s="61">
        <f t="shared" si="152"/>
        <v>0.134795054739443</v>
      </c>
      <c r="W71" s="61">
        <f t="shared" si="152"/>
        <v>0.134795054739443</v>
      </c>
      <c r="X71" s="61">
        <f t="shared" si="152"/>
        <v>0.134795054739443</v>
      </c>
      <c r="Y71" s="61">
        <f t="shared" si="152"/>
        <v>0.134795054739443</v>
      </c>
      <c r="Z71" s="61">
        <f t="shared" si="152"/>
        <v>0.134795054739443</v>
      </c>
      <c r="AA71" s="61">
        <f t="shared" si="152"/>
        <v>0.134795054739443</v>
      </c>
      <c r="AB71" s="61">
        <f t="shared" si="152"/>
        <v>0.134795054739443</v>
      </c>
      <c r="AC71" s="61">
        <f t="shared" si="152"/>
        <v>0.134795054739443</v>
      </c>
      <c r="AD71" s="61">
        <f t="shared" si="152"/>
        <v>0.134795054739443</v>
      </c>
      <c r="AE71" s="61">
        <f t="shared" si="152"/>
        <v>0.134795054739443</v>
      </c>
      <c r="AF71" s="61">
        <f t="shared" si="152"/>
        <v>0.134795054739443</v>
      </c>
      <c r="AG71" s="61">
        <f t="shared" si="152"/>
        <v>0.206741582954617</v>
      </c>
      <c r="AH71" s="82">
        <f>T71-S71</f>
        <v>-0.0403186486214254</v>
      </c>
      <c r="AI71" s="82">
        <f>AF71-S71</f>
        <v>-0.052334574890187</v>
      </c>
      <c r="AJ71" s="14"/>
      <c r="AK71" s="14"/>
      <c r="AL71" s="14"/>
      <c r="AM71" s="14"/>
      <c r="AN71" s="14"/>
      <c r="AO71" s="61" t="e">
        <f t="shared" ref="AO71:AZ71" si="153">AO70/AO62</f>
        <v>#DIV/0!</v>
      </c>
      <c r="AP71" s="61" t="e">
        <f t="shared" si="153"/>
        <v>#DIV/0!</v>
      </c>
      <c r="AQ71" s="61" t="e">
        <f t="shared" si="153"/>
        <v>#DIV/0!</v>
      </c>
      <c r="AR71" s="61" t="e">
        <f t="shared" si="153"/>
        <v>#DIV/0!</v>
      </c>
      <c r="AS71" s="61" t="e">
        <f t="shared" si="153"/>
        <v>#DIV/0!</v>
      </c>
      <c r="AT71" s="61" t="e">
        <f t="shared" si="153"/>
        <v>#DIV/0!</v>
      </c>
      <c r="AU71" s="61" t="e">
        <f t="shared" si="153"/>
        <v>#DIV/0!</v>
      </c>
      <c r="AV71" s="61" t="e">
        <f t="shared" si="153"/>
        <v>#DIV/0!</v>
      </c>
      <c r="AW71" s="61" t="e">
        <f t="shared" si="153"/>
        <v>#DIV/0!</v>
      </c>
      <c r="AX71" s="61" t="e">
        <f t="shared" si="153"/>
        <v>#DIV/0!</v>
      </c>
      <c r="AY71" s="61">
        <f t="shared" si="153"/>
        <v>0.0927125995764447</v>
      </c>
      <c r="AZ71" s="61">
        <f t="shared" si="153"/>
        <v>0.206741582954617</v>
      </c>
      <c r="BA71" s="322">
        <v>0.157680164758446</v>
      </c>
      <c r="BB71" s="342"/>
      <c r="BC71" s="342"/>
      <c r="BD71" s="14"/>
    </row>
    <row r="72" ht="16.5" customHeight="1" spans="1:56">
      <c r="A72" s="300" t="s">
        <v>2207</v>
      </c>
      <c r="B72" s="301" t="s">
        <v>3343</v>
      </c>
      <c r="C72" s="302">
        <v>45992</v>
      </c>
      <c r="D72" s="302">
        <v>46173</v>
      </c>
      <c r="E72" s="304"/>
      <c r="F72" s="233">
        <v>10</v>
      </c>
      <c r="G72" s="28">
        <v>0</v>
      </c>
      <c r="H72" s="301"/>
      <c r="I72" s="301"/>
      <c r="J72" s="58"/>
      <c r="K72" s="304"/>
      <c r="L72" s="304"/>
      <c r="M72" s="304"/>
      <c r="N72" s="304"/>
      <c r="O72" s="304"/>
      <c r="P72" s="304"/>
      <c r="Q72" s="304"/>
      <c r="R72" s="318" t="s">
        <v>3486</v>
      </c>
      <c r="S72" s="58">
        <v>594990</v>
      </c>
      <c r="T72" s="58">
        <f t="shared" ref="T72:T76" si="154">SUM(AO72:BC72)</f>
        <v>576566.51</v>
      </c>
      <c r="U72" s="319">
        <f t="shared" ref="U72:U76" si="155">SUM(BA72:BC72)</f>
        <v>0</v>
      </c>
      <c r="V72" s="58">
        <f t="shared" ref="V72:V76" si="156">SUM(AO72:AZ72)</f>
        <v>576566.51</v>
      </c>
      <c r="W72" s="58">
        <f t="shared" ref="W72:W76" si="157">SUM(AP72:AZ72)</f>
        <v>576566.51</v>
      </c>
      <c r="X72" s="58">
        <f t="shared" ref="X72:X76" si="158">SUM(AQ72:AZ72)</f>
        <v>576566.51</v>
      </c>
      <c r="Y72" s="58">
        <f t="shared" ref="Y72:Y76" si="159">SUM(AR72:AZ72)</f>
        <v>576566.51</v>
      </c>
      <c r="Z72" s="58">
        <f t="shared" ref="Z72:Z76" si="160">SUM(AS72:AZ72)</f>
        <v>576566.51</v>
      </c>
      <c r="AA72" s="58">
        <f t="shared" ref="AA72:AA76" si="161">SUM(AT72:AZ72)</f>
        <v>576566.51</v>
      </c>
      <c r="AB72" s="58">
        <f t="shared" ref="AB72:AB76" si="162">SUM(AU72:AZ72)</f>
        <v>576566.51</v>
      </c>
      <c r="AC72" s="58">
        <f t="shared" ref="AC72:AC76" si="163">SUM(AV72:AZ72)</f>
        <v>576566.51</v>
      </c>
      <c r="AD72" s="58">
        <f t="shared" ref="AD72:AD76" si="164">SUM(AW72:AZ72)</f>
        <v>576566.51</v>
      </c>
      <c r="AE72" s="58">
        <f t="shared" ref="AE72:AE76" si="165">SUM(AX72:AZ72)</f>
        <v>576566.51</v>
      </c>
      <c r="AF72" s="58">
        <f t="shared" ref="AF72:AF76" si="166">SUM(AY72:AZ72)</f>
        <v>576566.51</v>
      </c>
      <c r="AG72" s="58">
        <f t="shared" ref="AG72:AG76" si="167">SUM(AZ72:AZ72)</f>
        <v>317397.62</v>
      </c>
      <c r="AH72" s="328"/>
      <c r="AI72" s="328"/>
      <c r="AJ72" s="233"/>
      <c r="AK72" s="201"/>
      <c r="AL72" s="333"/>
      <c r="AM72" s="233"/>
      <c r="AN72" s="331"/>
      <c r="AO72" s="58"/>
      <c r="AP72" s="58"/>
      <c r="AQ72" s="58"/>
      <c r="AR72" s="58"/>
      <c r="AS72" s="58"/>
      <c r="AT72" s="58"/>
      <c r="AU72" s="58"/>
      <c r="AV72" s="58"/>
      <c r="AW72" s="58"/>
      <c r="AX72" s="58">
        <v>0</v>
      </c>
      <c r="AY72" s="58">
        <v>259168.89</v>
      </c>
      <c r="AZ72" s="58">
        <v>317397.62</v>
      </c>
      <c r="BA72" s="344">
        <v>0</v>
      </c>
      <c r="BB72" s="342"/>
      <c r="BC72" s="342"/>
      <c r="BD72" s="259"/>
    </row>
    <row r="73" ht="16.5" customHeight="1" spans="1:56">
      <c r="A73" s="13"/>
      <c r="B73" s="13"/>
      <c r="C73" s="13"/>
      <c r="D73" s="13"/>
      <c r="E73" s="13"/>
      <c r="F73" s="13"/>
      <c r="G73" s="13"/>
      <c r="H73" s="13"/>
      <c r="I73" s="13"/>
      <c r="J73" s="13"/>
      <c r="K73" s="13"/>
      <c r="L73" s="13"/>
      <c r="M73" s="13"/>
      <c r="N73" s="13"/>
      <c r="O73" s="13"/>
      <c r="P73" s="13"/>
      <c r="Q73" s="13"/>
      <c r="R73" s="213" t="s">
        <v>3490</v>
      </c>
      <c r="S73" s="58">
        <v>445334.39</v>
      </c>
      <c r="T73" s="58">
        <f t="shared" si="154"/>
        <v>509681.66</v>
      </c>
      <c r="U73" s="319">
        <f t="shared" si="155"/>
        <v>0</v>
      </c>
      <c r="V73" s="58">
        <f t="shared" si="156"/>
        <v>509681.66</v>
      </c>
      <c r="W73" s="58">
        <f t="shared" si="157"/>
        <v>509681.66</v>
      </c>
      <c r="X73" s="58">
        <f t="shared" si="158"/>
        <v>509681.66</v>
      </c>
      <c r="Y73" s="58">
        <f t="shared" si="159"/>
        <v>509681.66</v>
      </c>
      <c r="Z73" s="58">
        <f t="shared" si="160"/>
        <v>509681.66</v>
      </c>
      <c r="AA73" s="58">
        <f t="shared" si="161"/>
        <v>509681.66</v>
      </c>
      <c r="AB73" s="58">
        <f t="shared" si="162"/>
        <v>509681.66</v>
      </c>
      <c r="AC73" s="58">
        <f t="shared" si="163"/>
        <v>509681.66</v>
      </c>
      <c r="AD73" s="58">
        <f t="shared" si="164"/>
        <v>509681.66</v>
      </c>
      <c r="AE73" s="58">
        <f t="shared" si="165"/>
        <v>509681.66</v>
      </c>
      <c r="AF73" s="58">
        <f t="shared" si="166"/>
        <v>504056.62</v>
      </c>
      <c r="AG73" s="58">
        <f t="shared" si="167"/>
        <v>307594.57</v>
      </c>
      <c r="AH73" s="328"/>
      <c r="AI73" s="328"/>
      <c r="AJ73" s="13"/>
      <c r="AK73" s="13"/>
      <c r="AL73" s="13"/>
      <c r="AM73" s="13"/>
      <c r="AN73" s="13"/>
      <c r="AO73" s="58"/>
      <c r="AP73" s="58"/>
      <c r="AQ73" s="58"/>
      <c r="AR73" s="58"/>
      <c r="AS73" s="58"/>
      <c r="AT73" s="58"/>
      <c r="AU73" s="58"/>
      <c r="AV73" s="58"/>
      <c r="AW73" s="58"/>
      <c r="AX73" s="58">
        <v>5625.04</v>
      </c>
      <c r="AY73" s="58">
        <v>196462.05</v>
      </c>
      <c r="AZ73" s="58">
        <v>307594.57</v>
      </c>
      <c r="BA73" s="344">
        <v>0</v>
      </c>
      <c r="BB73" s="342"/>
      <c r="BC73" s="342"/>
      <c r="BD73" s="259"/>
    </row>
    <row r="74" ht="16.5" customHeight="1" spans="1:56">
      <c r="A74" s="13"/>
      <c r="B74" s="13"/>
      <c r="C74" s="13"/>
      <c r="D74" s="13"/>
      <c r="E74" s="13"/>
      <c r="F74" s="13"/>
      <c r="G74" s="13"/>
      <c r="H74" s="13"/>
      <c r="I74" s="13"/>
      <c r="J74" s="13"/>
      <c r="K74" s="13"/>
      <c r="L74" s="13"/>
      <c r="M74" s="13"/>
      <c r="N74" s="13"/>
      <c r="O74" s="13"/>
      <c r="P74" s="13"/>
      <c r="Q74" s="13"/>
      <c r="R74" s="213" t="s">
        <v>3491</v>
      </c>
      <c r="S74" s="58"/>
      <c r="T74" s="58">
        <f t="shared" si="154"/>
        <v>0</v>
      </c>
      <c r="U74" s="319">
        <f t="shared" si="155"/>
        <v>0</v>
      </c>
      <c r="V74" s="58"/>
      <c r="W74" s="58"/>
      <c r="X74" s="58"/>
      <c r="Y74" s="58"/>
      <c r="Z74" s="58"/>
      <c r="AA74" s="58"/>
      <c r="AB74" s="58"/>
      <c r="AC74" s="58"/>
      <c r="AD74" s="58"/>
      <c r="AE74" s="58"/>
      <c r="AF74" s="58"/>
      <c r="AG74" s="58"/>
      <c r="AH74" s="328"/>
      <c r="AI74" s="328"/>
      <c r="AJ74" s="13"/>
      <c r="AK74" s="13"/>
      <c r="AL74" s="13"/>
      <c r="AM74" s="13"/>
      <c r="AN74" s="13"/>
      <c r="AO74" s="58"/>
      <c r="AP74" s="58"/>
      <c r="AQ74" s="58"/>
      <c r="AR74" s="58"/>
      <c r="AS74" s="58"/>
      <c r="AT74" s="58"/>
      <c r="AU74" s="58"/>
      <c r="AV74" s="58"/>
      <c r="AW74" s="58"/>
      <c r="AX74" s="58">
        <v>0</v>
      </c>
      <c r="AY74" s="58"/>
      <c r="AZ74" s="58"/>
      <c r="BA74" s="344"/>
      <c r="BB74" s="342"/>
      <c r="BC74" s="342"/>
      <c r="BD74" s="259"/>
    </row>
    <row r="75" ht="16.5" customHeight="1" spans="1:56">
      <c r="A75" s="13"/>
      <c r="B75" s="13"/>
      <c r="C75" s="13"/>
      <c r="D75" s="13"/>
      <c r="E75" s="13"/>
      <c r="F75" s="13"/>
      <c r="G75" s="13"/>
      <c r="H75" s="13"/>
      <c r="I75" s="13"/>
      <c r="J75" s="13"/>
      <c r="K75" s="13"/>
      <c r="L75" s="13"/>
      <c r="M75" s="13"/>
      <c r="N75" s="13"/>
      <c r="O75" s="13"/>
      <c r="P75" s="13"/>
      <c r="Q75" s="13"/>
      <c r="R75" s="213" t="s">
        <v>3492</v>
      </c>
      <c r="S75" s="58">
        <v>41000</v>
      </c>
      <c r="T75" s="58">
        <f t="shared" si="154"/>
        <v>0</v>
      </c>
      <c r="U75" s="319">
        <f t="shared" si="155"/>
        <v>0</v>
      </c>
      <c r="V75" s="58">
        <f t="shared" si="156"/>
        <v>0</v>
      </c>
      <c r="W75" s="58">
        <f t="shared" si="157"/>
        <v>0</v>
      </c>
      <c r="X75" s="58">
        <f t="shared" si="158"/>
        <v>0</v>
      </c>
      <c r="Y75" s="58">
        <f t="shared" si="159"/>
        <v>0</v>
      </c>
      <c r="Z75" s="58">
        <f t="shared" si="160"/>
        <v>0</v>
      </c>
      <c r="AA75" s="58">
        <f t="shared" si="161"/>
        <v>0</v>
      </c>
      <c r="AB75" s="58">
        <f t="shared" si="162"/>
        <v>0</v>
      </c>
      <c r="AC75" s="58">
        <f t="shared" si="163"/>
        <v>0</v>
      </c>
      <c r="AD75" s="58">
        <f t="shared" si="164"/>
        <v>0</v>
      </c>
      <c r="AE75" s="58">
        <f t="shared" si="165"/>
        <v>0</v>
      </c>
      <c r="AF75" s="58">
        <f t="shared" si="166"/>
        <v>0</v>
      </c>
      <c r="AG75" s="58">
        <f t="shared" si="167"/>
        <v>0</v>
      </c>
      <c r="AH75" s="328"/>
      <c r="AI75" s="328"/>
      <c r="AJ75" s="13"/>
      <c r="AK75" s="13"/>
      <c r="AL75" s="13"/>
      <c r="AM75" s="13"/>
      <c r="AN75" s="13"/>
      <c r="AO75" s="58"/>
      <c r="AP75" s="58"/>
      <c r="AQ75" s="58"/>
      <c r="AR75" s="58"/>
      <c r="AS75" s="58"/>
      <c r="AT75" s="58"/>
      <c r="AU75" s="58"/>
      <c r="AV75" s="58"/>
      <c r="AW75" s="58"/>
      <c r="AX75" s="58"/>
      <c r="AY75" s="58">
        <v>0</v>
      </c>
      <c r="AZ75" s="58">
        <v>0</v>
      </c>
      <c r="BA75" s="344">
        <v>0</v>
      </c>
      <c r="BB75" s="342"/>
      <c r="BC75" s="342"/>
      <c r="BD75" s="259"/>
    </row>
    <row r="76" ht="16.5" customHeight="1" spans="1:56">
      <c r="A76" s="13"/>
      <c r="B76" s="13"/>
      <c r="C76" s="13"/>
      <c r="D76" s="13"/>
      <c r="E76" s="13"/>
      <c r="F76" s="13"/>
      <c r="G76" s="13"/>
      <c r="H76" s="13"/>
      <c r="I76" s="13"/>
      <c r="J76" s="13"/>
      <c r="K76" s="13"/>
      <c r="L76" s="13"/>
      <c r="M76" s="13"/>
      <c r="N76" s="13"/>
      <c r="O76" s="13"/>
      <c r="P76" s="13"/>
      <c r="Q76" s="13"/>
      <c r="R76" s="213" t="s">
        <v>3493</v>
      </c>
      <c r="S76" s="58">
        <v>17000</v>
      </c>
      <c r="T76" s="58">
        <f t="shared" si="154"/>
        <v>1570.57</v>
      </c>
      <c r="U76" s="319">
        <f t="shared" si="155"/>
        <v>0</v>
      </c>
      <c r="V76" s="58">
        <f t="shared" si="156"/>
        <v>1570.57</v>
      </c>
      <c r="W76" s="58">
        <f t="shared" si="157"/>
        <v>1570.57</v>
      </c>
      <c r="X76" s="58">
        <f t="shared" si="158"/>
        <v>1570.57</v>
      </c>
      <c r="Y76" s="58">
        <f t="shared" si="159"/>
        <v>1570.57</v>
      </c>
      <c r="Z76" s="58">
        <f t="shared" si="160"/>
        <v>1570.57</v>
      </c>
      <c r="AA76" s="58">
        <f t="shared" si="161"/>
        <v>1570.57</v>
      </c>
      <c r="AB76" s="58">
        <f t="shared" si="162"/>
        <v>1570.57</v>
      </c>
      <c r="AC76" s="58">
        <f t="shared" si="163"/>
        <v>1570.57</v>
      </c>
      <c r="AD76" s="58">
        <f t="shared" si="164"/>
        <v>1570.57</v>
      </c>
      <c r="AE76" s="58">
        <f t="shared" si="165"/>
        <v>1570.57</v>
      </c>
      <c r="AF76" s="58">
        <f t="shared" si="166"/>
        <v>954.78</v>
      </c>
      <c r="AG76" s="58">
        <f t="shared" si="167"/>
        <v>338.99</v>
      </c>
      <c r="AH76" s="328"/>
      <c r="AI76" s="328"/>
      <c r="AJ76" s="13"/>
      <c r="AK76" s="13"/>
      <c r="AL76" s="13"/>
      <c r="AM76" s="13"/>
      <c r="AN76" s="13"/>
      <c r="AO76" s="58"/>
      <c r="AP76" s="58"/>
      <c r="AQ76" s="58"/>
      <c r="AR76" s="58"/>
      <c r="AS76" s="58"/>
      <c r="AT76" s="58"/>
      <c r="AU76" s="58"/>
      <c r="AV76" s="58"/>
      <c r="AW76" s="58"/>
      <c r="AX76" s="58">
        <v>615.79</v>
      </c>
      <c r="AY76" s="58">
        <v>615.79</v>
      </c>
      <c r="AZ76" s="58">
        <v>338.99</v>
      </c>
      <c r="BA76" s="344">
        <v>0</v>
      </c>
      <c r="BB76" s="342"/>
      <c r="BC76" s="342"/>
      <c r="BD76" s="259"/>
    </row>
    <row r="77" ht="16.5" customHeight="1" spans="1:56">
      <c r="A77" s="13"/>
      <c r="B77" s="13"/>
      <c r="C77" s="13"/>
      <c r="D77" s="13"/>
      <c r="E77" s="13"/>
      <c r="F77" s="13"/>
      <c r="G77" s="13"/>
      <c r="H77" s="13"/>
      <c r="I77" s="13"/>
      <c r="J77" s="13"/>
      <c r="K77" s="13"/>
      <c r="L77" s="13"/>
      <c r="M77" s="13"/>
      <c r="N77" s="13"/>
      <c r="O77" s="13"/>
      <c r="P77" s="13"/>
      <c r="Q77" s="13"/>
      <c r="R77" s="213" t="s">
        <v>3494</v>
      </c>
      <c r="S77" s="214">
        <f t="shared" ref="S77:AG77" si="168">SUM(S73:S76)</f>
        <v>503334.39</v>
      </c>
      <c r="T77" s="214">
        <f t="shared" si="168"/>
        <v>511252.23</v>
      </c>
      <c r="U77" s="320">
        <f t="shared" si="168"/>
        <v>0</v>
      </c>
      <c r="V77" s="214">
        <f t="shared" si="168"/>
        <v>511252.23</v>
      </c>
      <c r="W77" s="214">
        <f t="shared" si="168"/>
        <v>511252.23</v>
      </c>
      <c r="X77" s="214">
        <f t="shared" si="168"/>
        <v>511252.23</v>
      </c>
      <c r="Y77" s="214">
        <f t="shared" si="168"/>
        <v>511252.23</v>
      </c>
      <c r="Z77" s="214">
        <f t="shared" si="168"/>
        <v>511252.23</v>
      </c>
      <c r="AA77" s="214">
        <f t="shared" si="168"/>
        <v>511252.23</v>
      </c>
      <c r="AB77" s="214">
        <f t="shared" si="168"/>
        <v>511252.23</v>
      </c>
      <c r="AC77" s="214">
        <f t="shared" si="168"/>
        <v>511252.23</v>
      </c>
      <c r="AD77" s="214">
        <f t="shared" si="168"/>
        <v>511252.23</v>
      </c>
      <c r="AE77" s="214">
        <f t="shared" si="168"/>
        <v>511252.23</v>
      </c>
      <c r="AF77" s="214">
        <f t="shared" si="168"/>
        <v>505011.4</v>
      </c>
      <c r="AG77" s="214">
        <f t="shared" si="168"/>
        <v>307933.56</v>
      </c>
      <c r="AH77" s="214">
        <f>SUM(AH73:AH76)</f>
        <v>0</v>
      </c>
      <c r="AI77" s="214">
        <f>SUM(AI73:AI76)</f>
        <v>0</v>
      </c>
      <c r="AJ77" s="13"/>
      <c r="AK77" s="13"/>
      <c r="AL77" s="13"/>
      <c r="AM77" s="13"/>
      <c r="AN77" s="13"/>
      <c r="AO77" s="214">
        <f t="shared" ref="AO77:AX77" si="169">SUM(AO73:AO76)</f>
        <v>0</v>
      </c>
      <c r="AP77" s="214">
        <f t="shared" si="169"/>
        <v>0</v>
      </c>
      <c r="AQ77" s="214">
        <f t="shared" si="169"/>
        <v>0</v>
      </c>
      <c r="AR77" s="214">
        <f t="shared" si="169"/>
        <v>0</v>
      </c>
      <c r="AS77" s="214">
        <f t="shared" si="169"/>
        <v>0</v>
      </c>
      <c r="AT77" s="214">
        <f t="shared" si="169"/>
        <v>0</v>
      </c>
      <c r="AU77" s="214">
        <f t="shared" si="169"/>
        <v>0</v>
      </c>
      <c r="AV77" s="214">
        <f t="shared" si="169"/>
        <v>0</v>
      </c>
      <c r="AW77" s="214">
        <f t="shared" si="169"/>
        <v>0</v>
      </c>
      <c r="AX77" s="214">
        <f t="shared" si="169"/>
        <v>6240.83</v>
      </c>
      <c r="AY77" s="214">
        <v>197077.84</v>
      </c>
      <c r="AZ77" s="214">
        <f>SUM(AZ73:AZ76)</f>
        <v>307933.56</v>
      </c>
      <c r="BA77" s="320">
        <v>0</v>
      </c>
      <c r="BB77" s="320">
        <f>SUM(BB73:BB76)</f>
        <v>0</v>
      </c>
      <c r="BC77" s="320">
        <f>SUM(BC73:BC76)</f>
        <v>0</v>
      </c>
      <c r="BD77" s="345"/>
    </row>
    <row r="78" ht="16.5" customHeight="1" spans="1:56">
      <c r="A78" s="13"/>
      <c r="B78" s="13"/>
      <c r="C78" s="13"/>
      <c r="D78" s="13"/>
      <c r="E78" s="13"/>
      <c r="F78" s="13"/>
      <c r="G78" s="13"/>
      <c r="H78" s="13"/>
      <c r="I78" s="13"/>
      <c r="J78" s="13"/>
      <c r="K78" s="13"/>
      <c r="L78" s="13"/>
      <c r="M78" s="13"/>
      <c r="N78" s="13"/>
      <c r="O78" s="13"/>
      <c r="P78" s="13"/>
      <c r="Q78" s="13"/>
      <c r="R78" s="213" t="s">
        <v>3495</v>
      </c>
      <c r="S78" s="58">
        <f t="shared" ref="S78:AG78" si="170">S72-S73</f>
        <v>149655.61</v>
      </c>
      <c r="T78" s="58">
        <f t="shared" si="170"/>
        <v>66884.85</v>
      </c>
      <c r="U78" s="319">
        <f t="shared" si="170"/>
        <v>0</v>
      </c>
      <c r="V78" s="58">
        <f t="shared" si="170"/>
        <v>66884.85</v>
      </c>
      <c r="W78" s="58">
        <f t="shared" si="170"/>
        <v>66884.85</v>
      </c>
      <c r="X78" s="58">
        <f t="shared" si="170"/>
        <v>66884.85</v>
      </c>
      <c r="Y78" s="58">
        <f t="shared" si="170"/>
        <v>66884.85</v>
      </c>
      <c r="Z78" s="58">
        <f t="shared" si="170"/>
        <v>66884.85</v>
      </c>
      <c r="AA78" s="58">
        <f t="shared" si="170"/>
        <v>66884.85</v>
      </c>
      <c r="AB78" s="58">
        <f t="shared" si="170"/>
        <v>66884.85</v>
      </c>
      <c r="AC78" s="58">
        <f t="shared" si="170"/>
        <v>66884.85</v>
      </c>
      <c r="AD78" s="58">
        <f t="shared" si="170"/>
        <v>66884.85</v>
      </c>
      <c r="AE78" s="58">
        <f t="shared" si="170"/>
        <v>66884.85</v>
      </c>
      <c r="AF78" s="58">
        <f t="shared" si="170"/>
        <v>72509.89</v>
      </c>
      <c r="AG78" s="58">
        <f t="shared" si="170"/>
        <v>9803.04999999999</v>
      </c>
      <c r="AH78" s="332"/>
      <c r="AI78" s="332"/>
      <c r="AJ78" s="13"/>
      <c r="AK78" s="13"/>
      <c r="AL78" s="13"/>
      <c r="AM78" s="13"/>
      <c r="AN78" s="13"/>
      <c r="AO78" s="58">
        <f t="shared" ref="AO78:AZ78" si="171">AO72-AO73</f>
        <v>0</v>
      </c>
      <c r="AP78" s="58">
        <f t="shared" si="171"/>
        <v>0</v>
      </c>
      <c r="AQ78" s="58">
        <f t="shared" si="171"/>
        <v>0</v>
      </c>
      <c r="AR78" s="58">
        <f t="shared" si="171"/>
        <v>0</v>
      </c>
      <c r="AS78" s="58">
        <f t="shared" si="171"/>
        <v>0</v>
      </c>
      <c r="AT78" s="58">
        <f t="shared" si="171"/>
        <v>0</v>
      </c>
      <c r="AU78" s="58">
        <f t="shared" si="171"/>
        <v>0</v>
      </c>
      <c r="AV78" s="58">
        <f t="shared" si="171"/>
        <v>0</v>
      </c>
      <c r="AW78" s="58">
        <f t="shared" si="171"/>
        <v>0</v>
      </c>
      <c r="AX78" s="58">
        <f t="shared" si="171"/>
        <v>-5625.04</v>
      </c>
      <c r="AY78" s="58">
        <f t="shared" si="171"/>
        <v>62706.84</v>
      </c>
      <c r="AZ78" s="58">
        <f t="shared" si="171"/>
        <v>9803.04999999999</v>
      </c>
      <c r="BA78" s="344">
        <v>0</v>
      </c>
      <c r="BB78" s="342"/>
      <c r="BC78" s="342"/>
      <c r="BD78" s="259"/>
    </row>
    <row r="79" ht="16.5" customHeight="1" spans="1:56">
      <c r="A79" s="13"/>
      <c r="B79" s="13"/>
      <c r="C79" s="13"/>
      <c r="D79" s="13"/>
      <c r="E79" s="13"/>
      <c r="F79" s="13"/>
      <c r="G79" s="13"/>
      <c r="H79" s="13"/>
      <c r="I79" s="13"/>
      <c r="J79" s="13"/>
      <c r="K79" s="13"/>
      <c r="L79" s="13"/>
      <c r="M79" s="13"/>
      <c r="N79" s="13"/>
      <c r="O79" s="13"/>
      <c r="P79" s="13"/>
      <c r="Q79" s="13"/>
      <c r="R79" s="321" t="s">
        <v>3496</v>
      </c>
      <c r="S79" s="61">
        <f t="shared" ref="S79:AG79" si="172">S78/S72</f>
        <v>0.251526260945562</v>
      </c>
      <c r="T79" s="61">
        <f t="shared" si="172"/>
        <v>0.116005437083052</v>
      </c>
      <c r="U79" s="322" t="e">
        <f t="shared" si="172"/>
        <v>#DIV/0!</v>
      </c>
      <c r="V79" s="61">
        <f t="shared" si="172"/>
        <v>0.116005437083052</v>
      </c>
      <c r="W79" s="61">
        <f t="shared" si="172"/>
        <v>0.116005437083052</v>
      </c>
      <c r="X79" s="61">
        <f t="shared" si="172"/>
        <v>0.116005437083052</v>
      </c>
      <c r="Y79" s="61">
        <f t="shared" si="172"/>
        <v>0.116005437083052</v>
      </c>
      <c r="Z79" s="61">
        <f t="shared" si="172"/>
        <v>0.116005437083052</v>
      </c>
      <c r="AA79" s="61">
        <f t="shared" si="172"/>
        <v>0.116005437083052</v>
      </c>
      <c r="AB79" s="61">
        <f t="shared" si="172"/>
        <v>0.116005437083052</v>
      </c>
      <c r="AC79" s="61">
        <f t="shared" si="172"/>
        <v>0.116005437083052</v>
      </c>
      <c r="AD79" s="61">
        <f t="shared" si="172"/>
        <v>0.116005437083052</v>
      </c>
      <c r="AE79" s="61">
        <f t="shared" si="172"/>
        <v>0.116005437083052</v>
      </c>
      <c r="AF79" s="61">
        <f t="shared" si="172"/>
        <v>0.12576153616692</v>
      </c>
      <c r="AG79" s="61">
        <f t="shared" si="172"/>
        <v>0.0308857073345414</v>
      </c>
      <c r="AH79" s="82">
        <f>T79-S79</f>
        <v>-0.13552082386251</v>
      </c>
      <c r="AI79" s="82">
        <f>AF79-S79</f>
        <v>-0.125764724778642</v>
      </c>
      <c r="AJ79" s="13"/>
      <c r="AK79" s="13"/>
      <c r="AL79" s="13"/>
      <c r="AM79" s="13"/>
      <c r="AN79" s="13"/>
      <c r="AO79" s="61" t="e">
        <f t="shared" ref="AO79:AZ79" si="173">AO78/AO72</f>
        <v>#DIV/0!</v>
      </c>
      <c r="AP79" s="61" t="e">
        <f t="shared" si="173"/>
        <v>#DIV/0!</v>
      </c>
      <c r="AQ79" s="61" t="e">
        <f t="shared" si="173"/>
        <v>#DIV/0!</v>
      </c>
      <c r="AR79" s="61" t="e">
        <f t="shared" si="173"/>
        <v>#DIV/0!</v>
      </c>
      <c r="AS79" s="61" t="e">
        <f t="shared" si="173"/>
        <v>#DIV/0!</v>
      </c>
      <c r="AT79" s="61" t="e">
        <f t="shared" si="173"/>
        <v>#DIV/0!</v>
      </c>
      <c r="AU79" s="61" t="e">
        <f t="shared" si="173"/>
        <v>#DIV/0!</v>
      </c>
      <c r="AV79" s="61" t="e">
        <f t="shared" si="173"/>
        <v>#DIV/0!</v>
      </c>
      <c r="AW79" s="61" t="e">
        <f t="shared" si="173"/>
        <v>#DIV/0!</v>
      </c>
      <c r="AX79" s="61" t="e">
        <f t="shared" si="173"/>
        <v>#DIV/0!</v>
      </c>
      <c r="AY79" s="61">
        <f t="shared" si="173"/>
        <v>0.241953577067062</v>
      </c>
      <c r="AZ79" s="61">
        <f t="shared" si="173"/>
        <v>0.0308857073345414</v>
      </c>
      <c r="BA79" s="322" t="e">
        <v>#DIV/0!</v>
      </c>
      <c r="BB79" s="342"/>
      <c r="BC79" s="342"/>
      <c r="BD79" s="259"/>
    </row>
    <row r="80" ht="16.5" customHeight="1" spans="1:56">
      <c r="A80" s="13"/>
      <c r="B80" s="13"/>
      <c r="C80" s="13"/>
      <c r="D80" s="13"/>
      <c r="E80" s="13"/>
      <c r="F80" s="13"/>
      <c r="G80" s="13"/>
      <c r="H80" s="13"/>
      <c r="I80" s="13"/>
      <c r="J80" s="13"/>
      <c r="K80" s="13"/>
      <c r="L80" s="13"/>
      <c r="M80" s="13"/>
      <c r="N80" s="13"/>
      <c r="O80" s="13"/>
      <c r="P80" s="13"/>
      <c r="Q80" s="13"/>
      <c r="R80" s="213" t="s">
        <v>3497</v>
      </c>
      <c r="S80" s="58">
        <f t="shared" ref="S80:AG80" si="174">S72-S77</f>
        <v>91655.61</v>
      </c>
      <c r="T80" s="58">
        <f t="shared" si="174"/>
        <v>65314.28</v>
      </c>
      <c r="U80" s="58">
        <f t="shared" si="174"/>
        <v>0</v>
      </c>
      <c r="V80" s="58">
        <f t="shared" si="174"/>
        <v>65314.28</v>
      </c>
      <c r="W80" s="58">
        <f t="shared" si="174"/>
        <v>65314.28</v>
      </c>
      <c r="X80" s="58">
        <f t="shared" si="174"/>
        <v>65314.28</v>
      </c>
      <c r="Y80" s="58">
        <f t="shared" si="174"/>
        <v>65314.28</v>
      </c>
      <c r="Z80" s="58">
        <f t="shared" si="174"/>
        <v>65314.28</v>
      </c>
      <c r="AA80" s="58">
        <f t="shared" si="174"/>
        <v>65314.28</v>
      </c>
      <c r="AB80" s="58">
        <f t="shared" si="174"/>
        <v>65314.28</v>
      </c>
      <c r="AC80" s="58">
        <f t="shared" si="174"/>
        <v>65314.28</v>
      </c>
      <c r="AD80" s="58">
        <f t="shared" si="174"/>
        <v>65314.28</v>
      </c>
      <c r="AE80" s="58">
        <f t="shared" si="174"/>
        <v>65314.28</v>
      </c>
      <c r="AF80" s="58">
        <f t="shared" si="174"/>
        <v>71555.11</v>
      </c>
      <c r="AG80" s="58">
        <f t="shared" si="174"/>
        <v>9464.06</v>
      </c>
      <c r="AH80" s="82"/>
      <c r="AI80" s="82"/>
      <c r="AJ80" s="13"/>
      <c r="AK80" s="13"/>
      <c r="AL80" s="13"/>
      <c r="AM80" s="13"/>
      <c r="AN80" s="13"/>
      <c r="AO80" s="58">
        <f t="shared" ref="AO80:BC80" si="175">AO72-AO77</f>
        <v>0</v>
      </c>
      <c r="AP80" s="58">
        <f t="shared" si="175"/>
        <v>0</v>
      </c>
      <c r="AQ80" s="58">
        <f t="shared" si="175"/>
        <v>0</v>
      </c>
      <c r="AR80" s="58">
        <f t="shared" si="175"/>
        <v>0</v>
      </c>
      <c r="AS80" s="58">
        <f t="shared" si="175"/>
        <v>0</v>
      </c>
      <c r="AT80" s="58">
        <f t="shared" si="175"/>
        <v>0</v>
      </c>
      <c r="AU80" s="58">
        <f t="shared" si="175"/>
        <v>0</v>
      </c>
      <c r="AV80" s="58">
        <f t="shared" si="175"/>
        <v>0</v>
      </c>
      <c r="AW80" s="58">
        <f t="shared" si="175"/>
        <v>0</v>
      </c>
      <c r="AX80" s="58">
        <f t="shared" si="175"/>
        <v>-6240.83</v>
      </c>
      <c r="AY80" s="58">
        <f t="shared" si="175"/>
        <v>62091.05</v>
      </c>
      <c r="AZ80" s="58">
        <f t="shared" si="175"/>
        <v>9464.06</v>
      </c>
      <c r="BA80" s="58">
        <f t="shared" si="175"/>
        <v>0</v>
      </c>
      <c r="BB80" s="58">
        <f t="shared" si="175"/>
        <v>0</v>
      </c>
      <c r="BC80" s="58">
        <f t="shared" si="175"/>
        <v>0</v>
      </c>
      <c r="BD80" s="259"/>
    </row>
    <row r="81" ht="16.5" customHeight="1" spans="1:56">
      <c r="A81" s="14"/>
      <c r="B81" s="14"/>
      <c r="C81" s="14"/>
      <c r="D81" s="14"/>
      <c r="E81" s="14"/>
      <c r="F81" s="14"/>
      <c r="G81" s="14"/>
      <c r="H81" s="14"/>
      <c r="I81" s="14"/>
      <c r="J81" s="14"/>
      <c r="K81" s="14"/>
      <c r="L81" s="14"/>
      <c r="M81" s="14"/>
      <c r="N81" s="14"/>
      <c r="O81" s="14"/>
      <c r="P81" s="14"/>
      <c r="Q81" s="14"/>
      <c r="R81" s="321" t="s">
        <v>3498</v>
      </c>
      <c r="S81" s="61">
        <f t="shared" ref="S81:AG81" si="176">S80/S72</f>
        <v>0.154045631019009</v>
      </c>
      <c r="T81" s="61">
        <f t="shared" si="176"/>
        <v>0.113281432180305</v>
      </c>
      <c r="U81" s="322" t="e">
        <f t="shared" si="176"/>
        <v>#DIV/0!</v>
      </c>
      <c r="V81" s="61">
        <f t="shared" si="176"/>
        <v>0.113281432180305</v>
      </c>
      <c r="W81" s="61">
        <f t="shared" si="176"/>
        <v>0.113281432180305</v>
      </c>
      <c r="X81" s="61">
        <f t="shared" si="176"/>
        <v>0.113281432180305</v>
      </c>
      <c r="Y81" s="61">
        <f t="shared" si="176"/>
        <v>0.113281432180305</v>
      </c>
      <c r="Z81" s="61">
        <f t="shared" si="176"/>
        <v>0.113281432180305</v>
      </c>
      <c r="AA81" s="61">
        <f t="shared" si="176"/>
        <v>0.113281432180305</v>
      </c>
      <c r="AB81" s="61">
        <f t="shared" si="176"/>
        <v>0.113281432180305</v>
      </c>
      <c r="AC81" s="61">
        <f t="shared" si="176"/>
        <v>0.113281432180305</v>
      </c>
      <c r="AD81" s="61">
        <f t="shared" si="176"/>
        <v>0.113281432180305</v>
      </c>
      <c r="AE81" s="61">
        <f t="shared" si="176"/>
        <v>0.113281432180305</v>
      </c>
      <c r="AF81" s="61">
        <f t="shared" si="176"/>
        <v>0.124105560692382</v>
      </c>
      <c r="AG81" s="61">
        <f t="shared" si="176"/>
        <v>0.0298176779019326</v>
      </c>
      <c r="AH81" s="82">
        <f>T81-S81</f>
        <v>-0.040764198838704</v>
      </c>
      <c r="AI81" s="82">
        <f>AF81-S81</f>
        <v>-0.0299400703266265</v>
      </c>
      <c r="AJ81" s="14"/>
      <c r="AK81" s="14"/>
      <c r="AL81" s="14"/>
      <c r="AM81" s="14"/>
      <c r="AN81" s="14"/>
      <c r="AO81" s="61" t="e">
        <f t="shared" ref="AO81:AZ81" si="177">AO80/AO72</f>
        <v>#DIV/0!</v>
      </c>
      <c r="AP81" s="61" t="e">
        <f t="shared" si="177"/>
        <v>#DIV/0!</v>
      </c>
      <c r="AQ81" s="61" t="e">
        <f t="shared" si="177"/>
        <v>#DIV/0!</v>
      </c>
      <c r="AR81" s="61" t="e">
        <f t="shared" si="177"/>
        <v>#DIV/0!</v>
      </c>
      <c r="AS81" s="61" t="e">
        <f t="shared" si="177"/>
        <v>#DIV/0!</v>
      </c>
      <c r="AT81" s="61" t="e">
        <f t="shared" si="177"/>
        <v>#DIV/0!</v>
      </c>
      <c r="AU81" s="61" t="e">
        <f t="shared" si="177"/>
        <v>#DIV/0!</v>
      </c>
      <c r="AV81" s="61" t="e">
        <f t="shared" si="177"/>
        <v>#DIV/0!</v>
      </c>
      <c r="AW81" s="61" t="e">
        <f t="shared" si="177"/>
        <v>#DIV/0!</v>
      </c>
      <c r="AX81" s="61" t="e">
        <f t="shared" si="177"/>
        <v>#DIV/0!</v>
      </c>
      <c r="AY81" s="61">
        <f t="shared" si="177"/>
        <v>0.239577558865186</v>
      </c>
      <c r="AZ81" s="61">
        <f t="shared" si="177"/>
        <v>0.0298176779019326</v>
      </c>
      <c r="BA81" s="322" t="e">
        <v>#DIV/0!</v>
      </c>
      <c r="BB81" s="342"/>
      <c r="BC81" s="342"/>
      <c r="BD81" s="259"/>
    </row>
    <row r="82" spans="1:56">
      <c r="A82" s="305" t="s">
        <v>2204</v>
      </c>
      <c r="B82" s="306" t="s">
        <v>3340</v>
      </c>
      <c r="C82" s="307">
        <v>45962</v>
      </c>
      <c r="D82" s="307">
        <v>46022</v>
      </c>
      <c r="E82" s="308"/>
      <c r="F82" s="166" t="s">
        <v>3561</v>
      </c>
      <c r="G82" s="309"/>
      <c r="H82" s="310"/>
      <c r="I82" s="310"/>
      <c r="J82" s="311"/>
      <c r="K82" s="312"/>
      <c r="L82" s="312"/>
      <c r="M82" s="312"/>
      <c r="N82" s="312"/>
      <c r="O82" s="347"/>
      <c r="P82" s="348"/>
      <c r="Q82" s="351"/>
      <c r="R82" s="323" t="s">
        <v>3486</v>
      </c>
      <c r="S82" s="319">
        <v>284021.7</v>
      </c>
      <c r="T82" s="58">
        <f t="shared" ref="T82:T86" si="178">SUM(AO82:BC82)</f>
        <v>281395.62</v>
      </c>
      <c r="U82" s="319">
        <f t="shared" ref="U82:U86" si="179">SUM(BA82:BC82)</f>
        <v>281395.62</v>
      </c>
      <c r="V82" s="58">
        <f t="shared" ref="V82:V86" si="180">SUM(AO82:AZ82)</f>
        <v>0</v>
      </c>
      <c r="W82" s="58">
        <f t="shared" ref="W82:W86" si="181">SUM(AP82:AZ82)</f>
        <v>0</v>
      </c>
      <c r="X82" s="58">
        <f t="shared" ref="X82:X86" si="182">SUM(AQ82:AZ82)</f>
        <v>0</v>
      </c>
      <c r="Y82" s="58">
        <f t="shared" ref="Y82:Y86" si="183">SUM(AR82:AZ82)</f>
        <v>0</v>
      </c>
      <c r="Z82" s="58">
        <f t="shared" ref="Z82:Z86" si="184">SUM(AS82:AZ82)</f>
        <v>0</v>
      </c>
      <c r="AA82" s="58">
        <f t="shared" ref="AA82:AA86" si="185">SUM(AT82:AZ82)</f>
        <v>0</v>
      </c>
      <c r="AB82" s="58">
        <f t="shared" ref="AB82:AB86" si="186">SUM(AU82:AZ82)</f>
        <v>0</v>
      </c>
      <c r="AC82" s="58">
        <f t="shared" ref="AC82:AC86" si="187">SUM(AV82:AZ82)</f>
        <v>0</v>
      </c>
      <c r="AD82" s="58">
        <f t="shared" ref="AD82:AD86" si="188">SUM(AW82:AZ82)</f>
        <v>0</v>
      </c>
      <c r="AE82" s="58">
        <f t="shared" ref="AE82:AE86" si="189">SUM(AX82:AZ82)</f>
        <v>0</v>
      </c>
      <c r="AF82" s="58">
        <f t="shared" ref="AF82:AF86" si="190">SUM(AY82:AZ82)</f>
        <v>0</v>
      </c>
      <c r="AG82" s="58">
        <f t="shared" ref="AG82:AG86" si="191">SUM(AZ82:AZ82)</f>
        <v>0</v>
      </c>
      <c r="AH82" s="334"/>
      <c r="AI82" s="328"/>
      <c r="AJ82" s="335"/>
      <c r="AK82" s="336"/>
      <c r="AL82" s="337"/>
      <c r="AM82" s="335"/>
      <c r="AN82" s="338"/>
      <c r="AO82" s="58"/>
      <c r="AP82" s="58"/>
      <c r="AQ82" s="58"/>
      <c r="AR82" s="58"/>
      <c r="AS82" s="58"/>
      <c r="AT82" s="58"/>
      <c r="AU82" s="58"/>
      <c r="AV82" s="58"/>
      <c r="AW82" s="58"/>
      <c r="AX82" s="58"/>
      <c r="AY82" s="58">
        <v>0</v>
      </c>
      <c r="AZ82" s="319"/>
      <c r="BA82" s="344">
        <v>281395.62</v>
      </c>
      <c r="BB82" s="342"/>
      <c r="BC82" s="342"/>
      <c r="BD82" s="346" t="s">
        <v>3567</v>
      </c>
    </row>
    <row r="83" spans="1:56">
      <c r="A83" s="13"/>
      <c r="B83" s="13"/>
      <c r="C83" s="13"/>
      <c r="D83" s="13"/>
      <c r="E83" s="13"/>
      <c r="G83" s="13"/>
      <c r="H83" s="13"/>
      <c r="I83" s="13"/>
      <c r="J83" s="13"/>
      <c r="K83" s="13"/>
      <c r="L83" s="13"/>
      <c r="M83" s="13"/>
      <c r="N83" s="13"/>
      <c r="O83" s="13"/>
      <c r="P83" s="349"/>
      <c r="Q83" s="13"/>
      <c r="R83" s="324" t="s">
        <v>3490</v>
      </c>
      <c r="S83" s="319">
        <v>231472.44</v>
      </c>
      <c r="T83" s="58">
        <f t="shared" si="178"/>
        <v>191991.78</v>
      </c>
      <c r="U83" s="319">
        <f t="shared" si="179"/>
        <v>191991.78</v>
      </c>
      <c r="V83" s="58">
        <f t="shared" si="180"/>
        <v>0</v>
      </c>
      <c r="W83" s="58">
        <f t="shared" si="181"/>
        <v>0</v>
      </c>
      <c r="X83" s="58">
        <f t="shared" si="182"/>
        <v>0</v>
      </c>
      <c r="Y83" s="58">
        <f t="shared" si="183"/>
        <v>0</v>
      </c>
      <c r="Z83" s="58">
        <f t="shared" si="184"/>
        <v>0</v>
      </c>
      <c r="AA83" s="58">
        <f t="shared" si="185"/>
        <v>0</v>
      </c>
      <c r="AB83" s="58">
        <f t="shared" si="186"/>
        <v>0</v>
      </c>
      <c r="AC83" s="58">
        <f t="shared" si="187"/>
        <v>0</v>
      </c>
      <c r="AD83" s="58">
        <f t="shared" si="188"/>
        <v>0</v>
      </c>
      <c r="AE83" s="58">
        <f t="shared" si="189"/>
        <v>0</v>
      </c>
      <c r="AF83" s="58">
        <f t="shared" si="190"/>
        <v>0</v>
      </c>
      <c r="AG83" s="58">
        <f t="shared" si="191"/>
        <v>0</v>
      </c>
      <c r="AH83" s="334"/>
      <c r="AI83" s="328"/>
      <c r="AJ83" s="13"/>
      <c r="AK83" s="13"/>
      <c r="AL83" s="13"/>
      <c r="AM83" s="13"/>
      <c r="AN83" s="13"/>
      <c r="AO83" s="58"/>
      <c r="AP83" s="58"/>
      <c r="AQ83" s="58"/>
      <c r="AR83" s="58"/>
      <c r="AS83" s="58"/>
      <c r="AT83" s="58"/>
      <c r="AU83" s="58"/>
      <c r="AV83" s="58"/>
      <c r="AW83" s="58"/>
      <c r="AX83" s="58"/>
      <c r="AY83" s="58">
        <v>0</v>
      </c>
      <c r="AZ83" s="319"/>
      <c r="BA83" s="344">
        <v>191991.78</v>
      </c>
      <c r="BB83" s="342"/>
      <c r="BC83" s="342"/>
      <c r="BD83" s="13"/>
    </row>
    <row r="84" spans="1:56">
      <c r="A84" s="13"/>
      <c r="B84" s="13"/>
      <c r="C84" s="13"/>
      <c r="D84" s="13"/>
      <c r="E84" s="13"/>
      <c r="G84" s="13"/>
      <c r="H84" s="13"/>
      <c r="I84" s="13"/>
      <c r="J84" s="13"/>
      <c r="K84" s="13"/>
      <c r="L84" s="13"/>
      <c r="M84" s="13"/>
      <c r="N84" s="13"/>
      <c r="O84" s="13"/>
      <c r="P84" s="349"/>
      <c r="Q84" s="13"/>
      <c r="R84" s="324" t="s">
        <v>3491</v>
      </c>
      <c r="S84" s="319"/>
      <c r="T84" s="58">
        <f t="shared" si="178"/>
        <v>0</v>
      </c>
      <c r="U84" s="319">
        <f t="shared" si="179"/>
        <v>0</v>
      </c>
      <c r="V84" s="58"/>
      <c r="W84" s="58"/>
      <c r="X84" s="58"/>
      <c r="Y84" s="58"/>
      <c r="Z84" s="58"/>
      <c r="AA84" s="58"/>
      <c r="AB84" s="58"/>
      <c r="AC84" s="58"/>
      <c r="AD84" s="58"/>
      <c r="AE84" s="58"/>
      <c r="AF84" s="58"/>
      <c r="AG84" s="58"/>
      <c r="AH84" s="334"/>
      <c r="AI84" s="328"/>
      <c r="AJ84" s="13"/>
      <c r="AK84" s="13"/>
      <c r="AL84" s="13"/>
      <c r="AM84" s="13"/>
      <c r="AN84" s="13"/>
      <c r="AO84" s="58"/>
      <c r="AP84" s="58"/>
      <c r="AQ84" s="58"/>
      <c r="AR84" s="58"/>
      <c r="AS84" s="58"/>
      <c r="AT84" s="58"/>
      <c r="AU84" s="58"/>
      <c r="AV84" s="58"/>
      <c r="AW84" s="58"/>
      <c r="AX84" s="58">
        <v>0</v>
      </c>
      <c r="AY84" s="58"/>
      <c r="AZ84" s="319"/>
      <c r="BA84" s="344"/>
      <c r="BB84" s="342"/>
      <c r="BC84" s="342"/>
      <c r="BD84" s="13"/>
    </row>
    <row r="85" spans="1:56">
      <c r="A85" s="13"/>
      <c r="B85" s="13"/>
      <c r="C85" s="13"/>
      <c r="D85" s="13"/>
      <c r="E85" s="13"/>
      <c r="G85" s="13"/>
      <c r="H85" s="13"/>
      <c r="I85" s="13"/>
      <c r="J85" s="13"/>
      <c r="K85" s="13"/>
      <c r="L85" s="13"/>
      <c r="M85" s="13"/>
      <c r="N85" s="13"/>
      <c r="O85" s="13"/>
      <c r="P85" s="349"/>
      <c r="Q85" s="13"/>
      <c r="R85" s="324" t="s">
        <v>3492</v>
      </c>
      <c r="S85" s="319">
        <v>0</v>
      </c>
      <c r="T85" s="58">
        <f t="shared" si="178"/>
        <v>0</v>
      </c>
      <c r="U85" s="319">
        <f t="shared" si="179"/>
        <v>0</v>
      </c>
      <c r="V85" s="58">
        <f t="shared" si="180"/>
        <v>0</v>
      </c>
      <c r="W85" s="58">
        <f t="shared" si="181"/>
        <v>0</v>
      </c>
      <c r="X85" s="58">
        <f t="shared" si="182"/>
        <v>0</v>
      </c>
      <c r="Y85" s="58">
        <f t="shared" si="183"/>
        <v>0</v>
      </c>
      <c r="Z85" s="58">
        <f t="shared" si="184"/>
        <v>0</v>
      </c>
      <c r="AA85" s="58">
        <f t="shared" si="185"/>
        <v>0</v>
      </c>
      <c r="AB85" s="58">
        <f t="shared" si="186"/>
        <v>0</v>
      </c>
      <c r="AC85" s="58">
        <f t="shared" si="187"/>
        <v>0</v>
      </c>
      <c r="AD85" s="58">
        <f t="shared" si="188"/>
        <v>0</v>
      </c>
      <c r="AE85" s="58">
        <f t="shared" si="189"/>
        <v>0</v>
      </c>
      <c r="AF85" s="58">
        <f t="shared" si="190"/>
        <v>0</v>
      </c>
      <c r="AG85" s="58">
        <f t="shared" si="191"/>
        <v>0</v>
      </c>
      <c r="AH85" s="334"/>
      <c r="AI85" s="328"/>
      <c r="AJ85" s="13"/>
      <c r="AK85" s="13"/>
      <c r="AL85" s="13"/>
      <c r="AM85" s="13"/>
      <c r="AN85" s="13"/>
      <c r="AO85" s="58"/>
      <c r="AP85" s="58"/>
      <c r="AQ85" s="58"/>
      <c r="AR85" s="58"/>
      <c r="AS85" s="58"/>
      <c r="AT85" s="58"/>
      <c r="AU85" s="58"/>
      <c r="AV85" s="58"/>
      <c r="AW85" s="58"/>
      <c r="AX85" s="58"/>
      <c r="AY85" s="58"/>
      <c r="AZ85" s="319"/>
      <c r="BA85" s="344">
        <v>0</v>
      </c>
      <c r="BB85" s="342"/>
      <c r="BC85" s="342"/>
      <c r="BD85" s="13"/>
    </row>
    <row r="86" spans="1:56">
      <c r="A86" s="13"/>
      <c r="B86" s="13"/>
      <c r="C86" s="13"/>
      <c r="D86" s="13"/>
      <c r="E86" s="13"/>
      <c r="G86" s="13"/>
      <c r="H86" s="13"/>
      <c r="I86" s="13"/>
      <c r="J86" s="13"/>
      <c r="K86" s="13"/>
      <c r="L86" s="13"/>
      <c r="M86" s="13"/>
      <c r="N86" s="13"/>
      <c r="O86" s="13"/>
      <c r="P86" s="349"/>
      <c r="Q86" s="13"/>
      <c r="R86" s="324" t="s">
        <v>3493</v>
      </c>
      <c r="S86" s="319">
        <v>0</v>
      </c>
      <c r="T86" s="58">
        <f t="shared" si="178"/>
        <v>825.03</v>
      </c>
      <c r="U86" s="319">
        <f t="shared" si="179"/>
        <v>524.49</v>
      </c>
      <c r="V86" s="58">
        <f t="shared" si="180"/>
        <v>300.54</v>
      </c>
      <c r="W86" s="58">
        <f t="shared" si="181"/>
        <v>300.54</v>
      </c>
      <c r="X86" s="58">
        <f t="shared" si="182"/>
        <v>300.54</v>
      </c>
      <c r="Y86" s="58">
        <f t="shared" si="183"/>
        <v>300.54</v>
      </c>
      <c r="Z86" s="58">
        <f t="shared" si="184"/>
        <v>300.54</v>
      </c>
      <c r="AA86" s="58">
        <f t="shared" si="185"/>
        <v>300.54</v>
      </c>
      <c r="AB86" s="58">
        <f t="shared" si="186"/>
        <v>300.54</v>
      </c>
      <c r="AC86" s="58">
        <f t="shared" si="187"/>
        <v>300.54</v>
      </c>
      <c r="AD86" s="58">
        <f t="shared" si="188"/>
        <v>300.54</v>
      </c>
      <c r="AE86" s="58">
        <f t="shared" si="189"/>
        <v>300.54</v>
      </c>
      <c r="AF86" s="58">
        <f t="shared" si="190"/>
        <v>300.54</v>
      </c>
      <c r="AG86" s="58">
        <f t="shared" si="191"/>
        <v>0</v>
      </c>
      <c r="AH86" s="334"/>
      <c r="AI86" s="328"/>
      <c r="AJ86" s="13"/>
      <c r="AK86" s="13"/>
      <c r="AL86" s="13"/>
      <c r="AM86" s="13"/>
      <c r="AN86" s="13"/>
      <c r="AO86" s="58"/>
      <c r="AP86" s="58"/>
      <c r="AQ86" s="58"/>
      <c r="AR86" s="58"/>
      <c r="AS86" s="58"/>
      <c r="AT86" s="58"/>
      <c r="AU86" s="58"/>
      <c r="AV86" s="58"/>
      <c r="AW86" s="58"/>
      <c r="AX86" s="58"/>
      <c r="AY86" s="58">
        <v>300.54</v>
      </c>
      <c r="AZ86" s="319"/>
      <c r="BA86" s="344">
        <v>524.49</v>
      </c>
      <c r="BB86" s="342"/>
      <c r="BC86" s="342"/>
      <c r="BD86" s="13"/>
    </row>
    <row r="87" ht="16.5" customHeight="1" spans="1:56">
      <c r="A87" s="13"/>
      <c r="B87" s="13"/>
      <c r="C87" s="13"/>
      <c r="D87" s="13"/>
      <c r="E87" s="13"/>
      <c r="G87" s="13"/>
      <c r="H87" s="13"/>
      <c r="I87" s="13"/>
      <c r="J87" s="13"/>
      <c r="K87" s="13"/>
      <c r="L87" s="13"/>
      <c r="M87" s="13"/>
      <c r="N87" s="13"/>
      <c r="O87" s="13"/>
      <c r="P87" s="315"/>
      <c r="Q87" s="13"/>
      <c r="R87" s="324" t="s">
        <v>3494</v>
      </c>
      <c r="S87" s="320">
        <f t="shared" ref="S87:AG87" si="192">SUM(S83:S86)</f>
        <v>231472.44</v>
      </c>
      <c r="T87" s="214">
        <f t="shared" si="192"/>
        <v>192816.81</v>
      </c>
      <c r="U87" s="320">
        <f t="shared" si="192"/>
        <v>192516.27</v>
      </c>
      <c r="V87" s="214">
        <f t="shared" si="192"/>
        <v>300.54</v>
      </c>
      <c r="W87" s="214">
        <f t="shared" si="192"/>
        <v>300.54</v>
      </c>
      <c r="X87" s="214">
        <f t="shared" si="192"/>
        <v>300.54</v>
      </c>
      <c r="Y87" s="214">
        <f t="shared" si="192"/>
        <v>300.54</v>
      </c>
      <c r="Z87" s="214">
        <f t="shared" si="192"/>
        <v>300.54</v>
      </c>
      <c r="AA87" s="214">
        <f t="shared" si="192"/>
        <v>300.54</v>
      </c>
      <c r="AB87" s="214">
        <f t="shared" si="192"/>
        <v>300.54</v>
      </c>
      <c r="AC87" s="214">
        <f t="shared" si="192"/>
        <v>300.54</v>
      </c>
      <c r="AD87" s="214">
        <f t="shared" si="192"/>
        <v>300.54</v>
      </c>
      <c r="AE87" s="214">
        <f t="shared" si="192"/>
        <v>300.54</v>
      </c>
      <c r="AF87" s="214">
        <f t="shared" si="192"/>
        <v>300.54</v>
      </c>
      <c r="AG87" s="214">
        <f t="shared" si="192"/>
        <v>0</v>
      </c>
      <c r="AH87" s="320">
        <f>SUM(AH83:AH86)</f>
        <v>0</v>
      </c>
      <c r="AI87" s="214">
        <f>SUM(AI83:AI86)</f>
        <v>0</v>
      </c>
      <c r="AJ87" s="13"/>
      <c r="AK87" s="13"/>
      <c r="AL87" s="13"/>
      <c r="AM87" s="13"/>
      <c r="AN87" s="13"/>
      <c r="AO87" s="214">
        <f t="shared" ref="AO87:AX87" si="193">SUM(AO83:AO86)</f>
        <v>0</v>
      </c>
      <c r="AP87" s="214">
        <f t="shared" si="193"/>
        <v>0</v>
      </c>
      <c r="AQ87" s="214">
        <f t="shared" si="193"/>
        <v>0</v>
      </c>
      <c r="AR87" s="214">
        <f t="shared" si="193"/>
        <v>0</v>
      </c>
      <c r="AS87" s="214">
        <f t="shared" si="193"/>
        <v>0</v>
      </c>
      <c r="AT87" s="214">
        <f t="shared" si="193"/>
        <v>0</v>
      </c>
      <c r="AU87" s="214">
        <f t="shared" si="193"/>
        <v>0</v>
      </c>
      <c r="AV87" s="214">
        <f t="shared" si="193"/>
        <v>0</v>
      </c>
      <c r="AW87" s="214">
        <f t="shared" si="193"/>
        <v>0</v>
      </c>
      <c r="AX87" s="214">
        <f t="shared" si="193"/>
        <v>0</v>
      </c>
      <c r="AY87" s="214">
        <v>300.54</v>
      </c>
      <c r="AZ87" s="320">
        <f>SUM(AZ83:AZ86)</f>
        <v>0</v>
      </c>
      <c r="BA87" s="320">
        <v>192516.27</v>
      </c>
      <c r="BB87" s="320">
        <f>SUM(BB83:BB86)</f>
        <v>0</v>
      </c>
      <c r="BC87" s="320">
        <f>SUM(BC83:BC86)</f>
        <v>0</v>
      </c>
      <c r="BD87" s="13"/>
    </row>
    <row r="88" spans="1:56">
      <c r="A88" s="13"/>
      <c r="B88" s="13"/>
      <c r="C88" s="13"/>
      <c r="D88" s="13"/>
      <c r="E88" s="13"/>
      <c r="G88" s="13"/>
      <c r="H88" s="13"/>
      <c r="I88" s="13"/>
      <c r="J88" s="13"/>
      <c r="K88" s="13"/>
      <c r="L88" s="13"/>
      <c r="M88" s="13"/>
      <c r="N88" s="13"/>
      <c r="O88" s="13"/>
      <c r="P88" s="349"/>
      <c r="Q88" s="13"/>
      <c r="R88" s="324" t="s">
        <v>3495</v>
      </c>
      <c r="S88" s="319">
        <f t="shared" ref="S88:AG88" si="194">S82-S83</f>
        <v>52549.26</v>
      </c>
      <c r="T88" s="58">
        <f t="shared" si="194"/>
        <v>89403.84</v>
      </c>
      <c r="U88" s="319">
        <f t="shared" si="194"/>
        <v>89403.84</v>
      </c>
      <c r="V88" s="58">
        <f t="shared" si="194"/>
        <v>0</v>
      </c>
      <c r="W88" s="58">
        <f t="shared" si="194"/>
        <v>0</v>
      </c>
      <c r="X88" s="58">
        <f t="shared" si="194"/>
        <v>0</v>
      </c>
      <c r="Y88" s="58">
        <f t="shared" si="194"/>
        <v>0</v>
      </c>
      <c r="Z88" s="58">
        <f t="shared" si="194"/>
        <v>0</v>
      </c>
      <c r="AA88" s="58">
        <f t="shared" si="194"/>
        <v>0</v>
      </c>
      <c r="AB88" s="58">
        <f t="shared" si="194"/>
        <v>0</v>
      </c>
      <c r="AC88" s="58">
        <f t="shared" si="194"/>
        <v>0</v>
      </c>
      <c r="AD88" s="58">
        <f t="shared" si="194"/>
        <v>0</v>
      </c>
      <c r="AE88" s="58">
        <f t="shared" si="194"/>
        <v>0</v>
      </c>
      <c r="AF88" s="58">
        <f t="shared" si="194"/>
        <v>0</v>
      </c>
      <c r="AG88" s="58">
        <f t="shared" si="194"/>
        <v>0</v>
      </c>
      <c r="AH88" s="339"/>
      <c r="AI88" s="332"/>
      <c r="AJ88" s="13"/>
      <c r="AK88" s="13"/>
      <c r="AL88" s="13"/>
      <c r="AM88" s="13"/>
      <c r="AN88" s="13"/>
      <c r="AO88" s="58">
        <f t="shared" ref="AO88:AX88" si="195">AO82-AO83</f>
        <v>0</v>
      </c>
      <c r="AP88" s="58">
        <f t="shared" si="195"/>
        <v>0</v>
      </c>
      <c r="AQ88" s="58">
        <f t="shared" si="195"/>
        <v>0</v>
      </c>
      <c r="AR88" s="58">
        <f t="shared" si="195"/>
        <v>0</v>
      </c>
      <c r="AS88" s="58">
        <f t="shared" si="195"/>
        <v>0</v>
      </c>
      <c r="AT88" s="58">
        <f t="shared" si="195"/>
        <v>0</v>
      </c>
      <c r="AU88" s="58">
        <f t="shared" si="195"/>
        <v>0</v>
      </c>
      <c r="AV88" s="58">
        <f t="shared" si="195"/>
        <v>0</v>
      </c>
      <c r="AW88" s="58">
        <f t="shared" si="195"/>
        <v>0</v>
      </c>
      <c r="AX88" s="58">
        <f t="shared" si="195"/>
        <v>0</v>
      </c>
      <c r="AY88" s="58" t="s">
        <v>3561</v>
      </c>
      <c r="AZ88" s="319">
        <f>AZ82-AZ83</f>
        <v>0</v>
      </c>
      <c r="BA88" s="344">
        <v>89403.84</v>
      </c>
      <c r="BB88" s="342"/>
      <c r="BC88" s="342"/>
      <c r="BD88" s="13"/>
    </row>
    <row r="89" spans="1:56">
      <c r="A89" s="13"/>
      <c r="B89" s="13"/>
      <c r="C89" s="13"/>
      <c r="D89" s="13"/>
      <c r="E89" s="13"/>
      <c r="G89" s="13"/>
      <c r="H89" s="13"/>
      <c r="I89" s="13"/>
      <c r="J89" s="13"/>
      <c r="K89" s="13"/>
      <c r="L89" s="13"/>
      <c r="M89" s="13"/>
      <c r="N89" s="13"/>
      <c r="O89" s="13"/>
      <c r="P89" s="349"/>
      <c r="Q89" s="13"/>
      <c r="R89" s="325" t="s">
        <v>3496</v>
      </c>
      <c r="S89" s="322">
        <f t="shared" ref="S89:AG89" si="196">S88/S82</f>
        <v>0.185018468659261</v>
      </c>
      <c r="T89" s="61">
        <f t="shared" si="196"/>
        <v>0.317715819457318</v>
      </c>
      <c r="U89" s="322">
        <f t="shared" si="196"/>
        <v>0.317715819457318</v>
      </c>
      <c r="V89" s="61" t="e">
        <f t="shared" si="196"/>
        <v>#DIV/0!</v>
      </c>
      <c r="W89" s="61" t="e">
        <f t="shared" si="196"/>
        <v>#DIV/0!</v>
      </c>
      <c r="X89" s="61" t="e">
        <f t="shared" si="196"/>
        <v>#DIV/0!</v>
      </c>
      <c r="Y89" s="61" t="e">
        <f t="shared" si="196"/>
        <v>#DIV/0!</v>
      </c>
      <c r="Z89" s="61" t="e">
        <f t="shared" si="196"/>
        <v>#DIV/0!</v>
      </c>
      <c r="AA89" s="61" t="e">
        <f t="shared" si="196"/>
        <v>#DIV/0!</v>
      </c>
      <c r="AB89" s="61" t="e">
        <f t="shared" si="196"/>
        <v>#DIV/0!</v>
      </c>
      <c r="AC89" s="61" t="e">
        <f t="shared" si="196"/>
        <v>#DIV/0!</v>
      </c>
      <c r="AD89" s="61" t="e">
        <f t="shared" si="196"/>
        <v>#DIV/0!</v>
      </c>
      <c r="AE89" s="61" t="e">
        <f t="shared" si="196"/>
        <v>#DIV/0!</v>
      </c>
      <c r="AF89" s="61" t="e">
        <f t="shared" si="196"/>
        <v>#DIV/0!</v>
      </c>
      <c r="AG89" s="61" t="e">
        <f t="shared" si="196"/>
        <v>#DIV/0!</v>
      </c>
      <c r="AH89" s="340">
        <f>T89-S89</f>
        <v>0.132697350798057</v>
      </c>
      <c r="AI89" s="82" t="e">
        <f>AF89-S89</f>
        <v>#DIV/0!</v>
      </c>
      <c r="AJ89" s="13"/>
      <c r="AK89" s="13"/>
      <c r="AL89" s="13"/>
      <c r="AM89" s="13"/>
      <c r="AN89" s="13"/>
      <c r="AO89" s="61" t="e">
        <f t="shared" ref="AO89:AX89" si="197">AO88/AO82</f>
        <v>#DIV/0!</v>
      </c>
      <c r="AP89" s="61" t="e">
        <f t="shared" si="197"/>
        <v>#DIV/0!</v>
      </c>
      <c r="AQ89" s="61" t="e">
        <f t="shared" si="197"/>
        <v>#DIV/0!</v>
      </c>
      <c r="AR89" s="61" t="e">
        <f t="shared" si="197"/>
        <v>#DIV/0!</v>
      </c>
      <c r="AS89" s="61" t="e">
        <f t="shared" si="197"/>
        <v>#DIV/0!</v>
      </c>
      <c r="AT89" s="61" t="e">
        <f t="shared" si="197"/>
        <v>#DIV/0!</v>
      </c>
      <c r="AU89" s="61" t="e">
        <f t="shared" si="197"/>
        <v>#DIV/0!</v>
      </c>
      <c r="AV89" s="61" t="e">
        <f t="shared" si="197"/>
        <v>#DIV/0!</v>
      </c>
      <c r="AW89" s="61" t="e">
        <f t="shared" si="197"/>
        <v>#DIV/0!</v>
      </c>
      <c r="AX89" s="61" t="e">
        <f t="shared" si="197"/>
        <v>#DIV/0!</v>
      </c>
      <c r="AY89" s="61" t="e">
        <v>#DIV/0!</v>
      </c>
      <c r="AZ89" s="322" t="e">
        <f>AZ88/AZ82</f>
        <v>#DIV/0!</v>
      </c>
      <c r="BA89" s="322">
        <v>0.317715819457318</v>
      </c>
      <c r="BB89" s="342"/>
      <c r="BC89" s="342"/>
      <c r="BD89" s="13"/>
    </row>
    <row r="90" spans="1:56">
      <c r="A90" s="13"/>
      <c r="B90" s="13"/>
      <c r="C90" s="13"/>
      <c r="D90" s="13"/>
      <c r="E90" s="13"/>
      <c r="G90" s="13"/>
      <c r="H90" s="13"/>
      <c r="I90" s="13"/>
      <c r="J90" s="13"/>
      <c r="K90" s="13"/>
      <c r="L90" s="13"/>
      <c r="M90" s="13"/>
      <c r="N90" s="13"/>
      <c r="O90" s="13"/>
      <c r="P90" s="349"/>
      <c r="Q90" s="13"/>
      <c r="R90" s="324" t="s">
        <v>3497</v>
      </c>
      <c r="S90" s="58">
        <f t="shared" ref="S90:AG90" si="198">S82-S87</f>
        <v>52549.26</v>
      </c>
      <c r="T90" s="58">
        <f t="shared" si="198"/>
        <v>88578.81</v>
      </c>
      <c r="U90" s="58">
        <f t="shared" si="198"/>
        <v>88879.35</v>
      </c>
      <c r="V90" s="58">
        <f t="shared" si="198"/>
        <v>-300.54</v>
      </c>
      <c r="W90" s="58">
        <f t="shared" si="198"/>
        <v>-300.54</v>
      </c>
      <c r="X90" s="58">
        <f t="shared" si="198"/>
        <v>-300.54</v>
      </c>
      <c r="Y90" s="58">
        <f t="shared" si="198"/>
        <v>-300.54</v>
      </c>
      <c r="Z90" s="58">
        <f t="shared" si="198"/>
        <v>-300.54</v>
      </c>
      <c r="AA90" s="58">
        <f t="shared" si="198"/>
        <v>-300.54</v>
      </c>
      <c r="AB90" s="58">
        <f t="shared" si="198"/>
        <v>-300.54</v>
      </c>
      <c r="AC90" s="58">
        <f t="shared" si="198"/>
        <v>-300.54</v>
      </c>
      <c r="AD90" s="58">
        <f t="shared" si="198"/>
        <v>-300.54</v>
      </c>
      <c r="AE90" s="58">
        <f t="shared" si="198"/>
        <v>-300.54</v>
      </c>
      <c r="AF90" s="58">
        <f t="shared" si="198"/>
        <v>-300.54</v>
      </c>
      <c r="AG90" s="58">
        <f t="shared" si="198"/>
        <v>0</v>
      </c>
      <c r="AH90" s="82"/>
      <c r="AI90" s="82"/>
      <c r="AJ90" s="13"/>
      <c r="AK90" s="13"/>
      <c r="AL90" s="13"/>
      <c r="AM90" s="13"/>
      <c r="AN90" s="13"/>
      <c r="AO90" s="58">
        <f t="shared" ref="AO90:BC90" si="199">AO82-AO87</f>
        <v>0</v>
      </c>
      <c r="AP90" s="58">
        <f t="shared" si="199"/>
        <v>0</v>
      </c>
      <c r="AQ90" s="58">
        <f t="shared" si="199"/>
        <v>0</v>
      </c>
      <c r="AR90" s="58">
        <f t="shared" si="199"/>
        <v>0</v>
      </c>
      <c r="AS90" s="58">
        <f t="shared" si="199"/>
        <v>0</v>
      </c>
      <c r="AT90" s="58">
        <f t="shared" si="199"/>
        <v>0</v>
      </c>
      <c r="AU90" s="58">
        <f t="shared" si="199"/>
        <v>0</v>
      </c>
      <c r="AV90" s="58">
        <f t="shared" si="199"/>
        <v>0</v>
      </c>
      <c r="AW90" s="58">
        <f t="shared" si="199"/>
        <v>0</v>
      </c>
      <c r="AX90" s="58">
        <f t="shared" si="199"/>
        <v>0</v>
      </c>
      <c r="AY90" s="58">
        <f t="shared" si="199"/>
        <v>-300.54</v>
      </c>
      <c r="AZ90" s="58">
        <f t="shared" si="199"/>
        <v>0</v>
      </c>
      <c r="BA90" s="58">
        <f t="shared" si="199"/>
        <v>88879.35</v>
      </c>
      <c r="BB90" s="58">
        <f t="shared" si="199"/>
        <v>0</v>
      </c>
      <c r="BC90" s="58">
        <f t="shared" si="199"/>
        <v>0</v>
      </c>
      <c r="BD90" s="13"/>
    </row>
    <row r="91" ht="16.5" customHeight="1" spans="1:56">
      <c r="A91" s="14"/>
      <c r="B91" s="14"/>
      <c r="C91" s="14"/>
      <c r="D91" s="14"/>
      <c r="E91" s="14"/>
      <c r="G91" s="14"/>
      <c r="H91" s="14"/>
      <c r="I91" s="14"/>
      <c r="J91" s="14"/>
      <c r="K91" s="14"/>
      <c r="L91" s="14"/>
      <c r="M91" s="14"/>
      <c r="N91" s="14"/>
      <c r="O91" s="14"/>
      <c r="P91" s="350"/>
      <c r="Q91" s="14"/>
      <c r="R91" s="325" t="s">
        <v>3498</v>
      </c>
      <c r="S91" s="322">
        <f t="shared" ref="S91:AG91" si="200">S90/S82</f>
        <v>0.185018468659261</v>
      </c>
      <c r="T91" s="61">
        <f t="shared" si="200"/>
        <v>0.314783897489236</v>
      </c>
      <c r="U91" s="322">
        <f t="shared" si="200"/>
        <v>0.315851931170784</v>
      </c>
      <c r="V91" s="61" t="e">
        <f t="shared" si="200"/>
        <v>#DIV/0!</v>
      </c>
      <c r="W91" s="61" t="e">
        <f t="shared" si="200"/>
        <v>#DIV/0!</v>
      </c>
      <c r="X91" s="61" t="e">
        <f t="shared" si="200"/>
        <v>#DIV/0!</v>
      </c>
      <c r="Y91" s="61" t="e">
        <f t="shared" si="200"/>
        <v>#DIV/0!</v>
      </c>
      <c r="Z91" s="61" t="e">
        <f t="shared" si="200"/>
        <v>#DIV/0!</v>
      </c>
      <c r="AA91" s="61" t="e">
        <f t="shared" si="200"/>
        <v>#DIV/0!</v>
      </c>
      <c r="AB91" s="61" t="e">
        <f t="shared" si="200"/>
        <v>#DIV/0!</v>
      </c>
      <c r="AC91" s="61" t="e">
        <f t="shared" si="200"/>
        <v>#DIV/0!</v>
      </c>
      <c r="AD91" s="61" t="e">
        <f t="shared" si="200"/>
        <v>#DIV/0!</v>
      </c>
      <c r="AE91" s="61" t="e">
        <f t="shared" si="200"/>
        <v>#DIV/0!</v>
      </c>
      <c r="AF91" s="61" t="e">
        <f t="shared" si="200"/>
        <v>#DIV/0!</v>
      </c>
      <c r="AG91" s="61" t="e">
        <f t="shared" si="200"/>
        <v>#DIV/0!</v>
      </c>
      <c r="AH91" s="340">
        <f>T91-S91</f>
        <v>0.129765428829975</v>
      </c>
      <c r="AI91" s="82" t="e">
        <f>AF91-S91</f>
        <v>#DIV/0!</v>
      </c>
      <c r="AJ91" s="14"/>
      <c r="AK91" s="14"/>
      <c r="AL91" s="14"/>
      <c r="AM91" s="14"/>
      <c r="AN91" s="14"/>
      <c r="AO91" s="61" t="e">
        <f t="shared" ref="AO91:AX91" si="201">AO90/AO82</f>
        <v>#DIV/0!</v>
      </c>
      <c r="AP91" s="61" t="e">
        <f t="shared" si="201"/>
        <v>#DIV/0!</v>
      </c>
      <c r="AQ91" s="61" t="e">
        <f t="shared" si="201"/>
        <v>#DIV/0!</v>
      </c>
      <c r="AR91" s="61" t="e">
        <f t="shared" si="201"/>
        <v>#DIV/0!</v>
      </c>
      <c r="AS91" s="61" t="e">
        <f t="shared" si="201"/>
        <v>#DIV/0!</v>
      </c>
      <c r="AT91" s="61" t="e">
        <f t="shared" si="201"/>
        <v>#DIV/0!</v>
      </c>
      <c r="AU91" s="61" t="e">
        <f t="shared" si="201"/>
        <v>#DIV/0!</v>
      </c>
      <c r="AV91" s="61" t="e">
        <f t="shared" si="201"/>
        <v>#DIV/0!</v>
      </c>
      <c r="AW91" s="61" t="e">
        <f t="shared" si="201"/>
        <v>#DIV/0!</v>
      </c>
      <c r="AX91" s="61" t="e">
        <f t="shared" si="201"/>
        <v>#DIV/0!</v>
      </c>
      <c r="AY91" s="61" t="e">
        <v>#DIV/0!</v>
      </c>
      <c r="AZ91" s="322" t="e">
        <f>AZ90/AZ82</f>
        <v>#DIV/0!</v>
      </c>
      <c r="BA91" s="322">
        <v>0.315851931170784</v>
      </c>
      <c r="BB91" s="342"/>
      <c r="BC91" s="342"/>
      <c r="BD91" s="14"/>
    </row>
    <row r="92" ht="16.5" customHeight="1" spans="1:56">
      <c r="A92" s="300" t="s">
        <v>2205</v>
      </c>
      <c r="B92" s="301" t="s">
        <v>3341</v>
      </c>
      <c r="C92" s="302">
        <v>45962</v>
      </c>
      <c r="D92" s="302">
        <v>46142</v>
      </c>
      <c r="E92" s="304"/>
      <c r="F92" s="233">
        <v>3.81</v>
      </c>
      <c r="G92" s="28">
        <v>0</v>
      </c>
      <c r="H92" s="301"/>
      <c r="I92" s="301"/>
      <c r="J92" s="58"/>
      <c r="K92" s="304"/>
      <c r="L92" s="304"/>
      <c r="M92" s="304"/>
      <c r="N92" s="304"/>
      <c r="O92" s="304"/>
      <c r="P92" s="304"/>
      <c r="Q92" s="304"/>
      <c r="R92" s="318" t="s">
        <v>3486</v>
      </c>
      <c r="S92" s="58">
        <v>370783.02</v>
      </c>
      <c r="T92" s="58">
        <f t="shared" ref="T92:T96" si="202">SUM(AO92:BC92)</f>
        <v>970806.58</v>
      </c>
      <c r="U92" s="319">
        <f t="shared" ref="U92:U96" si="203">SUM(BA92:BC92)</f>
        <v>603915.94</v>
      </c>
      <c r="V92" s="58">
        <f t="shared" ref="V92:V96" si="204">SUM(AO92:AZ92)</f>
        <v>366890.64</v>
      </c>
      <c r="W92" s="58">
        <f t="shared" ref="W92:W96" si="205">SUM(AP92:AZ92)</f>
        <v>366890.64</v>
      </c>
      <c r="X92" s="58">
        <f t="shared" ref="X92:X96" si="206">SUM(AQ92:AZ92)</f>
        <v>366890.64</v>
      </c>
      <c r="Y92" s="58">
        <f t="shared" ref="Y92:Y96" si="207">SUM(AR92:AZ92)</f>
        <v>366890.64</v>
      </c>
      <c r="Z92" s="58">
        <f t="shared" ref="Z92:Z96" si="208">SUM(AS92:AZ92)</f>
        <v>366890.64</v>
      </c>
      <c r="AA92" s="58">
        <f t="shared" ref="AA92:AA96" si="209">SUM(AT92:AZ92)</f>
        <v>366890.64</v>
      </c>
      <c r="AB92" s="58">
        <f t="shared" ref="AB92:AB96" si="210">SUM(AU92:AZ92)</f>
        <v>366890.64</v>
      </c>
      <c r="AC92" s="58">
        <f t="shared" ref="AC92:AC96" si="211">SUM(AV92:AZ92)</f>
        <v>366890.64</v>
      </c>
      <c r="AD92" s="58">
        <f t="shared" ref="AD92:AD96" si="212">SUM(AW92:AZ92)</f>
        <v>366890.64</v>
      </c>
      <c r="AE92" s="58">
        <f t="shared" ref="AE92:AE96" si="213">SUM(AX92:AZ92)</f>
        <v>366890.64</v>
      </c>
      <c r="AF92" s="58">
        <f t="shared" ref="AF92:AF96" si="214">SUM(AY92:AZ92)</f>
        <v>366890.64</v>
      </c>
      <c r="AG92" s="58">
        <f t="shared" ref="AG92:AG96" si="215">SUM(AZ92:AZ92)</f>
        <v>281218.85</v>
      </c>
      <c r="AH92" s="328"/>
      <c r="AI92" s="328"/>
      <c r="AJ92" s="233"/>
      <c r="AK92" s="201"/>
      <c r="AL92" s="333"/>
      <c r="AM92" s="233"/>
      <c r="AN92" s="331"/>
      <c r="AO92" s="58"/>
      <c r="AP92" s="58"/>
      <c r="AQ92" s="58"/>
      <c r="AR92" s="58"/>
      <c r="AS92" s="58"/>
      <c r="AT92" s="58"/>
      <c r="AU92" s="58"/>
      <c r="AV92" s="58"/>
      <c r="AW92" s="58"/>
      <c r="AX92" s="58">
        <v>0</v>
      </c>
      <c r="AY92" s="58">
        <v>85671.79</v>
      </c>
      <c r="AZ92" s="58">
        <v>281218.85</v>
      </c>
      <c r="BA92" s="344">
        <v>603915.94</v>
      </c>
      <c r="BB92" s="342"/>
      <c r="BC92" s="342"/>
      <c r="BD92" s="259"/>
    </row>
    <row r="93" ht="16.5" customHeight="1" spans="1:56">
      <c r="A93" s="13"/>
      <c r="B93" s="13"/>
      <c r="C93" s="13"/>
      <c r="D93" s="13"/>
      <c r="E93" s="13"/>
      <c r="F93" s="13"/>
      <c r="G93" s="13"/>
      <c r="H93" s="13"/>
      <c r="I93" s="13"/>
      <c r="J93" s="13"/>
      <c r="K93" s="13"/>
      <c r="L93" s="13"/>
      <c r="M93" s="13"/>
      <c r="N93" s="13"/>
      <c r="O93" s="13"/>
      <c r="P93" s="13"/>
      <c r="Q93" s="13"/>
      <c r="R93" s="213" t="s">
        <v>3490</v>
      </c>
      <c r="S93" s="58">
        <v>302116.04</v>
      </c>
      <c r="T93" s="58">
        <f t="shared" si="202"/>
        <v>825250.11</v>
      </c>
      <c r="U93" s="319">
        <f t="shared" si="203"/>
        <v>502422.76</v>
      </c>
      <c r="V93" s="58">
        <f t="shared" si="204"/>
        <v>322827.35</v>
      </c>
      <c r="W93" s="58">
        <f t="shared" si="205"/>
        <v>322827.35</v>
      </c>
      <c r="X93" s="58">
        <f t="shared" si="206"/>
        <v>322827.35</v>
      </c>
      <c r="Y93" s="58">
        <f t="shared" si="207"/>
        <v>322827.35</v>
      </c>
      <c r="Z93" s="58">
        <f t="shared" si="208"/>
        <v>322827.35</v>
      </c>
      <c r="AA93" s="58">
        <f t="shared" si="209"/>
        <v>322827.35</v>
      </c>
      <c r="AB93" s="58">
        <f t="shared" si="210"/>
        <v>322827.35</v>
      </c>
      <c r="AC93" s="58">
        <f t="shared" si="211"/>
        <v>322827.35</v>
      </c>
      <c r="AD93" s="58">
        <f t="shared" si="212"/>
        <v>322827.35</v>
      </c>
      <c r="AE93" s="58">
        <f t="shared" si="213"/>
        <v>322827.35</v>
      </c>
      <c r="AF93" s="58">
        <f t="shared" si="214"/>
        <v>315997.89</v>
      </c>
      <c r="AG93" s="58">
        <f t="shared" si="215"/>
        <v>229179.57</v>
      </c>
      <c r="AH93" s="328"/>
      <c r="AI93" s="328"/>
      <c r="AJ93" s="13"/>
      <c r="AK93" s="13"/>
      <c r="AL93" s="13"/>
      <c r="AM93" s="13"/>
      <c r="AN93" s="13"/>
      <c r="AO93" s="58"/>
      <c r="AP93" s="58"/>
      <c r="AQ93" s="58"/>
      <c r="AR93" s="58"/>
      <c r="AS93" s="58"/>
      <c r="AT93" s="58"/>
      <c r="AU93" s="58"/>
      <c r="AV93" s="58"/>
      <c r="AW93" s="58"/>
      <c r="AX93" s="58">
        <v>6829.46</v>
      </c>
      <c r="AY93" s="58">
        <v>86818.32</v>
      </c>
      <c r="AZ93" s="58">
        <v>229179.57</v>
      </c>
      <c r="BA93" s="344">
        <v>502422.76</v>
      </c>
      <c r="BB93" s="342"/>
      <c r="BC93" s="342"/>
      <c r="BD93" s="259"/>
    </row>
    <row r="94" ht="16.5" customHeight="1" spans="1:56">
      <c r="A94" s="13"/>
      <c r="B94" s="13"/>
      <c r="C94" s="13"/>
      <c r="D94" s="13"/>
      <c r="E94" s="13"/>
      <c r="F94" s="13"/>
      <c r="G94" s="13"/>
      <c r="H94" s="13"/>
      <c r="I94" s="13"/>
      <c r="J94" s="13"/>
      <c r="K94" s="13"/>
      <c r="L94" s="13"/>
      <c r="M94" s="13"/>
      <c r="N94" s="13"/>
      <c r="O94" s="13"/>
      <c r="P94" s="13"/>
      <c r="Q94" s="13"/>
      <c r="R94" s="213" t="s">
        <v>3491</v>
      </c>
      <c r="S94" s="58"/>
      <c r="T94" s="58">
        <f t="shared" si="202"/>
        <v>54871.64</v>
      </c>
      <c r="U94" s="319">
        <f t="shared" si="203"/>
        <v>0</v>
      </c>
      <c r="V94" s="58"/>
      <c r="W94" s="58"/>
      <c r="X94" s="58"/>
      <c r="Y94" s="58"/>
      <c r="Z94" s="58"/>
      <c r="AA94" s="58"/>
      <c r="AB94" s="58"/>
      <c r="AC94" s="58"/>
      <c r="AD94" s="58"/>
      <c r="AE94" s="58"/>
      <c r="AF94" s="58"/>
      <c r="AG94" s="58"/>
      <c r="AH94" s="328"/>
      <c r="AI94" s="328"/>
      <c r="AJ94" s="13"/>
      <c r="AK94" s="13"/>
      <c r="AL94" s="13"/>
      <c r="AM94" s="13"/>
      <c r="AN94" s="13"/>
      <c r="AO94" s="58"/>
      <c r="AP94" s="58"/>
      <c r="AQ94" s="58"/>
      <c r="AR94" s="58"/>
      <c r="AS94" s="58"/>
      <c r="AT94" s="58"/>
      <c r="AU94" s="58"/>
      <c r="AV94" s="58"/>
      <c r="AW94" s="58"/>
      <c r="AX94" s="58">
        <v>18542.92</v>
      </c>
      <c r="AY94" s="58">
        <v>8962.82</v>
      </c>
      <c r="AZ94" s="58">
        <v>27365.9</v>
      </c>
      <c r="BA94" s="344"/>
      <c r="BB94" s="342"/>
      <c r="BC94" s="342"/>
      <c r="BD94" s="259"/>
    </row>
    <row r="95" ht="16.5" customHeight="1" spans="1:56">
      <c r="A95" s="13"/>
      <c r="B95" s="13"/>
      <c r="C95" s="13"/>
      <c r="D95" s="13"/>
      <c r="E95" s="13"/>
      <c r="F95" s="13"/>
      <c r="G95" s="13"/>
      <c r="H95" s="13"/>
      <c r="I95" s="13"/>
      <c r="J95" s="13"/>
      <c r="K95" s="13"/>
      <c r="L95" s="13"/>
      <c r="M95" s="13"/>
      <c r="N95" s="13"/>
      <c r="O95" s="13"/>
      <c r="P95" s="13"/>
      <c r="Q95" s="13"/>
      <c r="R95" s="213" t="s">
        <v>3492</v>
      </c>
      <c r="S95" s="58">
        <v>0</v>
      </c>
      <c r="T95" s="58">
        <f t="shared" si="202"/>
        <v>0</v>
      </c>
      <c r="U95" s="319">
        <f t="shared" si="203"/>
        <v>0</v>
      </c>
      <c r="V95" s="58">
        <f t="shared" si="204"/>
        <v>0</v>
      </c>
      <c r="W95" s="58">
        <f t="shared" si="205"/>
        <v>0</v>
      </c>
      <c r="X95" s="58">
        <f t="shared" si="206"/>
        <v>0</v>
      </c>
      <c r="Y95" s="58">
        <f t="shared" si="207"/>
        <v>0</v>
      </c>
      <c r="Z95" s="58">
        <f t="shared" si="208"/>
        <v>0</v>
      </c>
      <c r="AA95" s="58">
        <f t="shared" si="209"/>
        <v>0</v>
      </c>
      <c r="AB95" s="58">
        <f t="shared" si="210"/>
        <v>0</v>
      </c>
      <c r="AC95" s="58">
        <f t="shared" si="211"/>
        <v>0</v>
      </c>
      <c r="AD95" s="58">
        <f t="shared" si="212"/>
        <v>0</v>
      </c>
      <c r="AE95" s="58">
        <f t="shared" si="213"/>
        <v>0</v>
      </c>
      <c r="AF95" s="58">
        <f t="shared" si="214"/>
        <v>0</v>
      </c>
      <c r="AG95" s="58">
        <f t="shared" si="215"/>
        <v>0</v>
      </c>
      <c r="AH95" s="328"/>
      <c r="AI95" s="328"/>
      <c r="AJ95" s="13"/>
      <c r="AK95" s="13"/>
      <c r="AL95" s="13"/>
      <c r="AM95" s="13"/>
      <c r="AN95" s="13"/>
      <c r="AO95" s="58"/>
      <c r="AP95" s="58"/>
      <c r="AQ95" s="58"/>
      <c r="AR95" s="58"/>
      <c r="AS95" s="58"/>
      <c r="AT95" s="58"/>
      <c r="AU95" s="58"/>
      <c r="AV95" s="58"/>
      <c r="AW95" s="58"/>
      <c r="AX95" s="58"/>
      <c r="AY95" s="58">
        <v>0</v>
      </c>
      <c r="AZ95" s="58">
        <v>0</v>
      </c>
      <c r="BA95" s="344">
        <v>0</v>
      </c>
      <c r="BB95" s="342"/>
      <c r="BC95" s="342"/>
      <c r="BD95" s="259"/>
    </row>
    <row r="96" ht="16.5" customHeight="1" spans="1:56">
      <c r="A96" s="13"/>
      <c r="B96" s="13"/>
      <c r="C96" s="13"/>
      <c r="D96" s="13"/>
      <c r="E96" s="13"/>
      <c r="F96" s="13"/>
      <c r="G96" s="13"/>
      <c r="H96" s="13"/>
      <c r="I96" s="13"/>
      <c r="J96" s="13"/>
      <c r="K96" s="13"/>
      <c r="L96" s="13"/>
      <c r="M96" s="13"/>
      <c r="N96" s="13"/>
      <c r="O96" s="13"/>
      <c r="P96" s="13"/>
      <c r="Q96" s="13"/>
      <c r="R96" s="213" t="s">
        <v>3493</v>
      </c>
      <c r="S96" s="58">
        <v>0</v>
      </c>
      <c r="T96" s="58">
        <f t="shared" si="202"/>
        <v>3895.85</v>
      </c>
      <c r="U96" s="319">
        <f t="shared" si="203"/>
        <v>876.8</v>
      </c>
      <c r="V96" s="58">
        <f t="shared" si="204"/>
        <v>3019.05</v>
      </c>
      <c r="W96" s="58">
        <f t="shared" si="205"/>
        <v>3019.05</v>
      </c>
      <c r="X96" s="58">
        <f t="shared" si="206"/>
        <v>3019.05</v>
      </c>
      <c r="Y96" s="58">
        <f t="shared" si="207"/>
        <v>3019.05</v>
      </c>
      <c r="Z96" s="58">
        <f t="shared" si="208"/>
        <v>3019.05</v>
      </c>
      <c r="AA96" s="58">
        <f t="shared" si="209"/>
        <v>3019.05</v>
      </c>
      <c r="AB96" s="58">
        <f t="shared" si="210"/>
        <v>3019.05</v>
      </c>
      <c r="AC96" s="58">
        <f t="shared" si="211"/>
        <v>3019.05</v>
      </c>
      <c r="AD96" s="58">
        <f t="shared" si="212"/>
        <v>3019.05</v>
      </c>
      <c r="AE96" s="58">
        <f t="shared" si="213"/>
        <v>3019.05</v>
      </c>
      <c r="AF96" s="58">
        <f t="shared" si="214"/>
        <v>1982.2</v>
      </c>
      <c r="AG96" s="58">
        <f t="shared" si="215"/>
        <v>945.35</v>
      </c>
      <c r="AH96" s="328"/>
      <c r="AI96" s="328"/>
      <c r="AJ96" s="13"/>
      <c r="AK96" s="13"/>
      <c r="AL96" s="13"/>
      <c r="AM96" s="13"/>
      <c r="AN96" s="13"/>
      <c r="AO96" s="58"/>
      <c r="AP96" s="58"/>
      <c r="AQ96" s="58"/>
      <c r="AR96" s="58"/>
      <c r="AS96" s="58"/>
      <c r="AT96" s="58"/>
      <c r="AU96" s="58"/>
      <c r="AV96" s="58"/>
      <c r="AW96" s="58"/>
      <c r="AX96" s="58">
        <v>1036.85</v>
      </c>
      <c r="AY96" s="58">
        <v>1036.85</v>
      </c>
      <c r="AZ96" s="58">
        <v>945.35</v>
      </c>
      <c r="BA96" s="344">
        <v>876.8</v>
      </c>
      <c r="BB96" s="342"/>
      <c r="BC96" s="342"/>
      <c r="BD96" s="259"/>
    </row>
    <row r="97" ht="16.5" customHeight="1" spans="1:56">
      <c r="A97" s="13"/>
      <c r="B97" s="13"/>
      <c r="C97" s="13"/>
      <c r="D97" s="13"/>
      <c r="E97" s="13"/>
      <c r="F97" s="13"/>
      <c r="G97" s="13"/>
      <c r="H97" s="13"/>
      <c r="I97" s="13"/>
      <c r="J97" s="13"/>
      <c r="K97" s="13"/>
      <c r="L97" s="13"/>
      <c r="M97" s="13"/>
      <c r="N97" s="13"/>
      <c r="O97" s="13"/>
      <c r="P97" s="13"/>
      <c r="Q97" s="13"/>
      <c r="R97" s="213" t="s">
        <v>3494</v>
      </c>
      <c r="S97" s="214">
        <f t="shared" ref="S97:AG97" si="216">SUM(S93:S96)</f>
        <v>302116.04</v>
      </c>
      <c r="T97" s="214">
        <f t="shared" si="216"/>
        <v>884017.6</v>
      </c>
      <c r="U97" s="320">
        <f t="shared" si="216"/>
        <v>503299.56</v>
      </c>
      <c r="V97" s="214">
        <f t="shared" si="216"/>
        <v>325846.4</v>
      </c>
      <c r="W97" s="214">
        <f t="shared" si="216"/>
        <v>325846.4</v>
      </c>
      <c r="X97" s="214">
        <f t="shared" si="216"/>
        <v>325846.4</v>
      </c>
      <c r="Y97" s="214">
        <f t="shared" si="216"/>
        <v>325846.4</v>
      </c>
      <c r="Z97" s="214">
        <f t="shared" si="216"/>
        <v>325846.4</v>
      </c>
      <c r="AA97" s="214">
        <f t="shared" si="216"/>
        <v>325846.4</v>
      </c>
      <c r="AB97" s="214">
        <f t="shared" si="216"/>
        <v>325846.4</v>
      </c>
      <c r="AC97" s="214">
        <f t="shared" si="216"/>
        <v>325846.4</v>
      </c>
      <c r="AD97" s="214">
        <f t="shared" si="216"/>
        <v>325846.4</v>
      </c>
      <c r="AE97" s="214">
        <f t="shared" si="216"/>
        <v>325846.4</v>
      </c>
      <c r="AF97" s="214">
        <f t="shared" si="216"/>
        <v>317980.09</v>
      </c>
      <c r="AG97" s="214">
        <f t="shared" si="216"/>
        <v>230124.92</v>
      </c>
      <c r="AH97" s="214">
        <f>SUM(AH93:AH96)</f>
        <v>0</v>
      </c>
      <c r="AI97" s="214">
        <f>SUM(AI93:AI96)</f>
        <v>0</v>
      </c>
      <c r="AJ97" s="13"/>
      <c r="AK97" s="13"/>
      <c r="AL97" s="13"/>
      <c r="AM97" s="13"/>
      <c r="AN97" s="13"/>
      <c r="AO97" s="214">
        <f t="shared" ref="AO97:AX97" si="217">SUM(AO93:AO96)</f>
        <v>0</v>
      </c>
      <c r="AP97" s="214">
        <f t="shared" si="217"/>
        <v>0</v>
      </c>
      <c r="AQ97" s="214">
        <f t="shared" si="217"/>
        <v>0</v>
      </c>
      <c r="AR97" s="214">
        <f t="shared" si="217"/>
        <v>0</v>
      </c>
      <c r="AS97" s="214">
        <f t="shared" si="217"/>
        <v>0</v>
      </c>
      <c r="AT97" s="214">
        <f t="shared" si="217"/>
        <v>0</v>
      </c>
      <c r="AU97" s="214">
        <f t="shared" si="217"/>
        <v>0</v>
      </c>
      <c r="AV97" s="214">
        <f t="shared" si="217"/>
        <v>0</v>
      </c>
      <c r="AW97" s="214">
        <f t="shared" si="217"/>
        <v>0</v>
      </c>
      <c r="AX97" s="214">
        <f t="shared" si="217"/>
        <v>26409.23</v>
      </c>
      <c r="AY97" s="214">
        <v>87855.17</v>
      </c>
      <c r="AZ97" s="214">
        <f>SUM(AZ93:AZ96)</f>
        <v>257490.82</v>
      </c>
      <c r="BA97" s="320">
        <v>503299.56</v>
      </c>
      <c r="BB97" s="320">
        <f>SUM(BB93:BB96)</f>
        <v>0</v>
      </c>
      <c r="BC97" s="320">
        <f>SUM(BC93:BC96)</f>
        <v>0</v>
      </c>
      <c r="BD97" s="345"/>
    </row>
    <row r="98" ht="16.5" customHeight="1" spans="1:56">
      <c r="A98" s="13"/>
      <c r="B98" s="13"/>
      <c r="C98" s="13"/>
      <c r="D98" s="13"/>
      <c r="E98" s="13"/>
      <c r="F98" s="13"/>
      <c r="G98" s="13"/>
      <c r="H98" s="13"/>
      <c r="I98" s="13"/>
      <c r="J98" s="13"/>
      <c r="K98" s="13"/>
      <c r="L98" s="13"/>
      <c r="M98" s="13"/>
      <c r="N98" s="13"/>
      <c r="O98" s="13"/>
      <c r="P98" s="13"/>
      <c r="Q98" s="13"/>
      <c r="R98" s="213" t="s">
        <v>3495</v>
      </c>
      <c r="S98" s="58">
        <f t="shared" ref="S98:AG98" si="218">S92-S93</f>
        <v>68666.98</v>
      </c>
      <c r="T98" s="58">
        <f t="shared" si="218"/>
        <v>145556.47</v>
      </c>
      <c r="U98" s="319">
        <f t="shared" si="218"/>
        <v>101493.18</v>
      </c>
      <c r="V98" s="58">
        <f t="shared" si="218"/>
        <v>44063.2899999999</v>
      </c>
      <c r="W98" s="58">
        <f t="shared" si="218"/>
        <v>44063.2899999999</v>
      </c>
      <c r="X98" s="58">
        <f t="shared" si="218"/>
        <v>44063.2899999999</v>
      </c>
      <c r="Y98" s="58">
        <f t="shared" si="218"/>
        <v>44063.2899999999</v>
      </c>
      <c r="Z98" s="58">
        <f t="shared" si="218"/>
        <v>44063.2899999999</v>
      </c>
      <c r="AA98" s="58">
        <f t="shared" si="218"/>
        <v>44063.2899999999</v>
      </c>
      <c r="AB98" s="58">
        <f t="shared" si="218"/>
        <v>44063.2899999999</v>
      </c>
      <c r="AC98" s="58">
        <f t="shared" si="218"/>
        <v>44063.2899999999</v>
      </c>
      <c r="AD98" s="58">
        <f t="shared" si="218"/>
        <v>44063.2899999999</v>
      </c>
      <c r="AE98" s="58">
        <f t="shared" si="218"/>
        <v>44063.2899999999</v>
      </c>
      <c r="AF98" s="58">
        <f t="shared" si="218"/>
        <v>50892.7499999999</v>
      </c>
      <c r="AG98" s="58">
        <f t="shared" si="218"/>
        <v>52039.28</v>
      </c>
      <c r="AH98" s="332"/>
      <c r="AI98" s="332"/>
      <c r="AJ98" s="13"/>
      <c r="AK98" s="13"/>
      <c r="AL98" s="13"/>
      <c r="AM98" s="13"/>
      <c r="AN98" s="13"/>
      <c r="AO98" s="58">
        <f t="shared" ref="AO98:AZ98" si="219">AO92-AO93</f>
        <v>0</v>
      </c>
      <c r="AP98" s="58">
        <f t="shared" si="219"/>
        <v>0</v>
      </c>
      <c r="AQ98" s="58">
        <f t="shared" si="219"/>
        <v>0</v>
      </c>
      <c r="AR98" s="58">
        <f t="shared" si="219"/>
        <v>0</v>
      </c>
      <c r="AS98" s="58">
        <f t="shared" si="219"/>
        <v>0</v>
      </c>
      <c r="AT98" s="58">
        <f t="shared" si="219"/>
        <v>0</v>
      </c>
      <c r="AU98" s="58">
        <f t="shared" si="219"/>
        <v>0</v>
      </c>
      <c r="AV98" s="58">
        <f t="shared" si="219"/>
        <v>0</v>
      </c>
      <c r="AW98" s="58">
        <f t="shared" si="219"/>
        <v>0</v>
      </c>
      <c r="AX98" s="58">
        <f t="shared" si="219"/>
        <v>-6829.46</v>
      </c>
      <c r="AY98" s="58">
        <f t="shared" si="219"/>
        <v>-1146.53000000001</v>
      </c>
      <c r="AZ98" s="58">
        <f t="shared" si="219"/>
        <v>52039.28</v>
      </c>
      <c r="BA98" s="344">
        <v>101493.18</v>
      </c>
      <c r="BB98" s="342"/>
      <c r="BC98" s="342"/>
      <c r="BD98" s="259"/>
    </row>
    <row r="99" ht="16.5" customHeight="1" spans="1:56">
      <c r="A99" s="13"/>
      <c r="B99" s="13"/>
      <c r="C99" s="13"/>
      <c r="D99" s="13"/>
      <c r="E99" s="13"/>
      <c r="F99" s="13"/>
      <c r="G99" s="13"/>
      <c r="H99" s="13"/>
      <c r="I99" s="13"/>
      <c r="J99" s="13"/>
      <c r="K99" s="13"/>
      <c r="L99" s="13"/>
      <c r="M99" s="13"/>
      <c r="N99" s="13"/>
      <c r="O99" s="13"/>
      <c r="P99" s="13"/>
      <c r="Q99" s="13"/>
      <c r="R99" s="321" t="s">
        <v>3496</v>
      </c>
      <c r="S99" s="61">
        <f t="shared" ref="S99:AG99" si="220">S98/S92</f>
        <v>0.18519451079502</v>
      </c>
      <c r="T99" s="61">
        <f t="shared" si="220"/>
        <v>0.149933542889666</v>
      </c>
      <c r="U99" s="322">
        <f t="shared" si="220"/>
        <v>0.168058455287668</v>
      </c>
      <c r="V99" s="61">
        <f t="shared" si="220"/>
        <v>0.120099248102922</v>
      </c>
      <c r="W99" s="61">
        <f t="shared" si="220"/>
        <v>0.120099248102922</v>
      </c>
      <c r="X99" s="61">
        <f t="shared" si="220"/>
        <v>0.120099248102922</v>
      </c>
      <c r="Y99" s="61">
        <f t="shared" si="220"/>
        <v>0.120099248102922</v>
      </c>
      <c r="Z99" s="61">
        <f t="shared" si="220"/>
        <v>0.120099248102922</v>
      </c>
      <c r="AA99" s="61">
        <f t="shared" si="220"/>
        <v>0.120099248102922</v>
      </c>
      <c r="AB99" s="61">
        <f t="shared" si="220"/>
        <v>0.120099248102922</v>
      </c>
      <c r="AC99" s="61">
        <f t="shared" si="220"/>
        <v>0.120099248102922</v>
      </c>
      <c r="AD99" s="61">
        <f t="shared" si="220"/>
        <v>0.120099248102922</v>
      </c>
      <c r="AE99" s="61">
        <f t="shared" si="220"/>
        <v>0.120099248102922</v>
      </c>
      <c r="AF99" s="61">
        <f t="shared" si="220"/>
        <v>0.138713677732416</v>
      </c>
      <c r="AG99" s="61">
        <f t="shared" si="220"/>
        <v>0.185049046321041</v>
      </c>
      <c r="AH99" s="82">
        <f>T99-S99</f>
        <v>-0.035260967905354</v>
      </c>
      <c r="AI99" s="82">
        <f>AF99-S99</f>
        <v>-0.0464808330626035</v>
      </c>
      <c r="AJ99" s="13"/>
      <c r="AK99" s="13"/>
      <c r="AL99" s="13"/>
      <c r="AM99" s="13"/>
      <c r="AN99" s="13"/>
      <c r="AO99" s="61" t="e">
        <f t="shared" ref="AO99:AZ99" si="221">AO98/AO92</f>
        <v>#DIV/0!</v>
      </c>
      <c r="AP99" s="61" t="e">
        <f t="shared" si="221"/>
        <v>#DIV/0!</v>
      </c>
      <c r="AQ99" s="61" t="e">
        <f t="shared" si="221"/>
        <v>#DIV/0!</v>
      </c>
      <c r="AR99" s="61" t="e">
        <f t="shared" si="221"/>
        <v>#DIV/0!</v>
      </c>
      <c r="AS99" s="61" t="e">
        <f t="shared" si="221"/>
        <v>#DIV/0!</v>
      </c>
      <c r="AT99" s="61" t="e">
        <f t="shared" si="221"/>
        <v>#DIV/0!</v>
      </c>
      <c r="AU99" s="61" t="e">
        <f t="shared" si="221"/>
        <v>#DIV/0!</v>
      </c>
      <c r="AV99" s="61" t="e">
        <f t="shared" si="221"/>
        <v>#DIV/0!</v>
      </c>
      <c r="AW99" s="61" t="e">
        <f t="shared" si="221"/>
        <v>#DIV/0!</v>
      </c>
      <c r="AX99" s="61" t="e">
        <f t="shared" si="221"/>
        <v>#DIV/0!</v>
      </c>
      <c r="AY99" s="61">
        <f t="shared" si="221"/>
        <v>-0.0133828183116054</v>
      </c>
      <c r="AZ99" s="61">
        <f t="shared" si="221"/>
        <v>0.185049046321041</v>
      </c>
      <c r="BA99" s="322">
        <v>0.168058455287668</v>
      </c>
      <c r="BB99" s="342"/>
      <c r="BC99" s="342"/>
      <c r="BD99" s="259"/>
    </row>
    <row r="100" ht="16.5" customHeight="1" spans="1:56">
      <c r="A100" s="13"/>
      <c r="B100" s="13"/>
      <c r="C100" s="13"/>
      <c r="D100" s="13"/>
      <c r="E100" s="13"/>
      <c r="F100" s="13"/>
      <c r="G100" s="13"/>
      <c r="H100" s="13"/>
      <c r="I100" s="13"/>
      <c r="J100" s="13"/>
      <c r="K100" s="13"/>
      <c r="L100" s="13"/>
      <c r="M100" s="13"/>
      <c r="N100" s="13"/>
      <c r="O100" s="13"/>
      <c r="P100" s="13"/>
      <c r="Q100" s="13"/>
      <c r="R100" s="213" t="s">
        <v>3497</v>
      </c>
      <c r="S100" s="58">
        <f t="shared" ref="S100:AG100" si="222">S92-S97</f>
        <v>68666.98</v>
      </c>
      <c r="T100" s="58">
        <f t="shared" si="222"/>
        <v>86788.9799999997</v>
      </c>
      <c r="U100" s="58">
        <f t="shared" si="222"/>
        <v>100616.38</v>
      </c>
      <c r="V100" s="58">
        <f t="shared" si="222"/>
        <v>41044.2399999999</v>
      </c>
      <c r="W100" s="58">
        <f t="shared" si="222"/>
        <v>41044.2399999999</v>
      </c>
      <c r="X100" s="58">
        <f t="shared" si="222"/>
        <v>41044.2399999999</v>
      </c>
      <c r="Y100" s="58">
        <f t="shared" si="222"/>
        <v>41044.2399999999</v>
      </c>
      <c r="Z100" s="58">
        <f t="shared" si="222"/>
        <v>41044.2399999999</v>
      </c>
      <c r="AA100" s="58">
        <f t="shared" si="222"/>
        <v>41044.2399999999</v>
      </c>
      <c r="AB100" s="58">
        <f t="shared" si="222"/>
        <v>41044.2399999999</v>
      </c>
      <c r="AC100" s="58">
        <f t="shared" si="222"/>
        <v>41044.2399999999</v>
      </c>
      <c r="AD100" s="58">
        <f t="shared" si="222"/>
        <v>41044.2399999999</v>
      </c>
      <c r="AE100" s="58">
        <f t="shared" si="222"/>
        <v>41044.2399999999</v>
      </c>
      <c r="AF100" s="58">
        <f t="shared" si="222"/>
        <v>48910.5499999999</v>
      </c>
      <c r="AG100" s="58">
        <f t="shared" si="222"/>
        <v>51093.93</v>
      </c>
      <c r="AH100" s="82"/>
      <c r="AI100" s="82"/>
      <c r="AJ100" s="13"/>
      <c r="AK100" s="13"/>
      <c r="AL100" s="13"/>
      <c r="AM100" s="13"/>
      <c r="AN100" s="13"/>
      <c r="AO100" s="58">
        <f t="shared" ref="AO100:BC100" si="223">AO92-AO97</f>
        <v>0</v>
      </c>
      <c r="AP100" s="58">
        <f t="shared" si="223"/>
        <v>0</v>
      </c>
      <c r="AQ100" s="58">
        <f t="shared" si="223"/>
        <v>0</v>
      </c>
      <c r="AR100" s="58">
        <f t="shared" si="223"/>
        <v>0</v>
      </c>
      <c r="AS100" s="58">
        <f t="shared" si="223"/>
        <v>0</v>
      </c>
      <c r="AT100" s="58">
        <f t="shared" si="223"/>
        <v>0</v>
      </c>
      <c r="AU100" s="58">
        <f t="shared" si="223"/>
        <v>0</v>
      </c>
      <c r="AV100" s="58">
        <f t="shared" si="223"/>
        <v>0</v>
      </c>
      <c r="AW100" s="58">
        <f t="shared" si="223"/>
        <v>0</v>
      </c>
      <c r="AX100" s="58">
        <f t="shared" si="223"/>
        <v>-26409.23</v>
      </c>
      <c r="AY100" s="58">
        <f t="shared" si="223"/>
        <v>-2183.38</v>
      </c>
      <c r="AZ100" s="58">
        <f t="shared" si="223"/>
        <v>23728.03</v>
      </c>
      <c r="BA100" s="58">
        <f t="shared" si="223"/>
        <v>100616.38</v>
      </c>
      <c r="BB100" s="58">
        <f t="shared" si="223"/>
        <v>0</v>
      </c>
      <c r="BC100" s="58">
        <f t="shared" si="223"/>
        <v>0</v>
      </c>
      <c r="BD100" s="259"/>
    </row>
    <row r="101" ht="16.5" customHeight="1" spans="1:56">
      <c r="A101" s="14"/>
      <c r="B101" s="14"/>
      <c r="C101" s="14"/>
      <c r="D101" s="14"/>
      <c r="E101" s="14"/>
      <c r="F101" s="14"/>
      <c r="G101" s="14"/>
      <c r="H101" s="14"/>
      <c r="I101" s="14"/>
      <c r="J101" s="14"/>
      <c r="K101" s="14"/>
      <c r="L101" s="14"/>
      <c r="M101" s="14"/>
      <c r="N101" s="14"/>
      <c r="O101" s="14"/>
      <c r="P101" s="14"/>
      <c r="Q101" s="14"/>
      <c r="R101" s="321" t="s">
        <v>3498</v>
      </c>
      <c r="S101" s="61">
        <f t="shared" ref="S101:AG101" si="224">S100/S92</f>
        <v>0.18519451079502</v>
      </c>
      <c r="T101" s="61">
        <f t="shared" si="224"/>
        <v>0.0893988378199906</v>
      </c>
      <c r="U101" s="322">
        <f t="shared" si="224"/>
        <v>0.166606597600322</v>
      </c>
      <c r="V101" s="61">
        <f t="shared" si="224"/>
        <v>0.111870501793123</v>
      </c>
      <c r="W101" s="61">
        <f t="shared" si="224"/>
        <v>0.111870501793123</v>
      </c>
      <c r="X101" s="61">
        <f t="shared" si="224"/>
        <v>0.111870501793123</v>
      </c>
      <c r="Y101" s="61">
        <f t="shared" si="224"/>
        <v>0.111870501793123</v>
      </c>
      <c r="Z101" s="61">
        <f t="shared" si="224"/>
        <v>0.111870501793123</v>
      </c>
      <c r="AA101" s="61">
        <f t="shared" si="224"/>
        <v>0.111870501793123</v>
      </c>
      <c r="AB101" s="61">
        <f t="shared" si="224"/>
        <v>0.111870501793123</v>
      </c>
      <c r="AC101" s="61">
        <f t="shared" si="224"/>
        <v>0.111870501793123</v>
      </c>
      <c r="AD101" s="61">
        <f t="shared" si="224"/>
        <v>0.111870501793123</v>
      </c>
      <c r="AE101" s="61">
        <f t="shared" si="224"/>
        <v>0.111870501793123</v>
      </c>
      <c r="AF101" s="61">
        <f t="shared" si="224"/>
        <v>0.133310977897937</v>
      </c>
      <c r="AG101" s="61">
        <f t="shared" si="224"/>
        <v>0.181687429558865</v>
      </c>
      <c r="AH101" s="82">
        <f>T101-S101</f>
        <v>-0.0957956729750291</v>
      </c>
      <c r="AI101" s="82">
        <f>AF101-S101</f>
        <v>-0.0518835328970828</v>
      </c>
      <c r="AJ101" s="14"/>
      <c r="AK101" s="14"/>
      <c r="AL101" s="14"/>
      <c r="AM101" s="14"/>
      <c r="AN101" s="14"/>
      <c r="AO101" s="61" t="e">
        <f t="shared" ref="AO101:AZ101" si="225">AO100/AO92</f>
        <v>#DIV/0!</v>
      </c>
      <c r="AP101" s="61" t="e">
        <f t="shared" si="225"/>
        <v>#DIV/0!</v>
      </c>
      <c r="AQ101" s="61" t="e">
        <f t="shared" si="225"/>
        <v>#DIV/0!</v>
      </c>
      <c r="AR101" s="61" t="e">
        <f t="shared" si="225"/>
        <v>#DIV/0!</v>
      </c>
      <c r="AS101" s="61" t="e">
        <f t="shared" si="225"/>
        <v>#DIV/0!</v>
      </c>
      <c r="AT101" s="61" t="e">
        <f t="shared" si="225"/>
        <v>#DIV/0!</v>
      </c>
      <c r="AU101" s="61" t="e">
        <f t="shared" si="225"/>
        <v>#DIV/0!</v>
      </c>
      <c r="AV101" s="61" t="e">
        <f t="shared" si="225"/>
        <v>#DIV/0!</v>
      </c>
      <c r="AW101" s="61" t="e">
        <f t="shared" si="225"/>
        <v>#DIV/0!</v>
      </c>
      <c r="AX101" s="61" t="e">
        <f t="shared" si="225"/>
        <v>#DIV/0!</v>
      </c>
      <c r="AY101" s="61">
        <f t="shared" si="225"/>
        <v>-0.0254854019041741</v>
      </c>
      <c r="AZ101" s="61">
        <f t="shared" si="225"/>
        <v>0.084375673963534</v>
      </c>
      <c r="BA101" s="322">
        <v>0.166606597600322</v>
      </c>
      <c r="BB101" s="342"/>
      <c r="BC101" s="342"/>
      <c r="BD101" s="259"/>
    </row>
    <row r="102" spans="1:56">
      <c r="A102" s="305" t="s">
        <v>2202</v>
      </c>
      <c r="B102" s="306" t="s">
        <v>3338</v>
      </c>
      <c r="C102" s="307">
        <v>45931</v>
      </c>
      <c r="D102" s="307">
        <v>46022</v>
      </c>
      <c r="E102" s="308"/>
      <c r="F102" s="166" t="s">
        <v>3561</v>
      </c>
      <c r="G102" s="309"/>
      <c r="H102" s="310"/>
      <c r="I102" s="310"/>
      <c r="J102" s="311"/>
      <c r="K102" s="312"/>
      <c r="L102" s="312"/>
      <c r="M102" s="312"/>
      <c r="N102" s="312"/>
      <c r="O102" s="347"/>
      <c r="P102" s="348"/>
      <c r="Q102" s="351"/>
      <c r="R102" s="323" t="s">
        <v>3486</v>
      </c>
      <c r="S102" s="319">
        <v>370783.02</v>
      </c>
      <c r="T102" s="58">
        <f t="shared" ref="T102:T106" si="226">SUM(AO102:BC102)</f>
        <v>378726.45</v>
      </c>
      <c r="U102" s="319">
        <f t="shared" ref="U102:U106" si="227">SUM(BA102:BC102)</f>
        <v>378726.45</v>
      </c>
      <c r="V102" s="58">
        <f t="shared" ref="V102:V106" si="228">SUM(AO102:AZ102)</f>
        <v>0</v>
      </c>
      <c r="W102" s="58">
        <f t="shared" ref="W102:W106" si="229">SUM(AP102:AZ102)</f>
        <v>0</v>
      </c>
      <c r="X102" s="58">
        <f t="shared" ref="X102:X106" si="230">SUM(AQ102:AZ102)</f>
        <v>0</v>
      </c>
      <c r="Y102" s="58">
        <f t="shared" ref="Y102:Y106" si="231">SUM(AR102:AZ102)</f>
        <v>0</v>
      </c>
      <c r="Z102" s="58">
        <f t="shared" ref="Z102:Z106" si="232">SUM(AS102:AZ102)</f>
        <v>0</v>
      </c>
      <c r="AA102" s="58">
        <f t="shared" ref="AA102:AA106" si="233">SUM(AT102:AZ102)</f>
        <v>0</v>
      </c>
      <c r="AB102" s="58">
        <f t="shared" ref="AB102:AB106" si="234">SUM(AU102:AZ102)</f>
        <v>0</v>
      </c>
      <c r="AC102" s="58">
        <f t="shared" ref="AC102:AC106" si="235">SUM(AV102:AZ102)</f>
        <v>0</v>
      </c>
      <c r="AD102" s="58">
        <f t="shared" ref="AD102:AD106" si="236">SUM(AW102:AZ102)</f>
        <v>0</v>
      </c>
      <c r="AE102" s="58">
        <f t="shared" ref="AE102:AE106" si="237">SUM(AX102:AZ102)</f>
        <v>0</v>
      </c>
      <c r="AF102" s="58">
        <f t="shared" ref="AF102:AF106" si="238">SUM(AY102:AZ102)</f>
        <v>0</v>
      </c>
      <c r="AG102" s="58">
        <f t="shared" ref="AG102:AG106" si="239">SUM(AZ102:AZ102)</f>
        <v>0</v>
      </c>
      <c r="AH102" s="334"/>
      <c r="AI102" s="328"/>
      <c r="AJ102" s="335"/>
      <c r="AK102" s="336"/>
      <c r="AL102" s="337"/>
      <c r="AM102" s="335"/>
      <c r="AN102" s="338"/>
      <c r="AO102" s="58"/>
      <c r="AP102" s="58"/>
      <c r="AQ102" s="58"/>
      <c r="AR102" s="58"/>
      <c r="AS102" s="58"/>
      <c r="AT102" s="58"/>
      <c r="AU102" s="58"/>
      <c r="AV102" s="58"/>
      <c r="AW102" s="58"/>
      <c r="AX102" s="58"/>
      <c r="AY102" s="58">
        <v>0</v>
      </c>
      <c r="AZ102" s="319"/>
      <c r="BA102" s="344">
        <v>378726.45</v>
      </c>
      <c r="BB102" s="342"/>
      <c r="BC102" s="342"/>
      <c r="BD102" s="346" t="s">
        <v>3567</v>
      </c>
    </row>
    <row r="103" spans="1:56">
      <c r="A103" s="13"/>
      <c r="B103" s="13"/>
      <c r="C103" s="13"/>
      <c r="D103" s="13"/>
      <c r="E103" s="13"/>
      <c r="G103" s="13"/>
      <c r="H103" s="13"/>
      <c r="I103" s="13"/>
      <c r="J103" s="13"/>
      <c r="K103" s="13"/>
      <c r="L103" s="13"/>
      <c r="M103" s="13"/>
      <c r="N103" s="13"/>
      <c r="O103" s="13"/>
      <c r="P103" s="349"/>
      <c r="Q103" s="13"/>
      <c r="R103" s="324" t="s">
        <v>3490</v>
      </c>
      <c r="S103" s="319">
        <v>302116.04</v>
      </c>
      <c r="T103" s="58">
        <f t="shared" si="226"/>
        <v>266468.14</v>
      </c>
      <c r="U103" s="319">
        <f t="shared" si="227"/>
        <v>266468.14</v>
      </c>
      <c r="V103" s="58">
        <f t="shared" si="228"/>
        <v>0</v>
      </c>
      <c r="W103" s="58">
        <f t="shared" si="229"/>
        <v>0</v>
      </c>
      <c r="X103" s="58">
        <f t="shared" si="230"/>
        <v>0</v>
      </c>
      <c r="Y103" s="58">
        <f t="shared" si="231"/>
        <v>0</v>
      </c>
      <c r="Z103" s="58">
        <f t="shared" si="232"/>
        <v>0</v>
      </c>
      <c r="AA103" s="58">
        <f t="shared" si="233"/>
        <v>0</v>
      </c>
      <c r="AB103" s="58">
        <f t="shared" si="234"/>
        <v>0</v>
      </c>
      <c r="AC103" s="58">
        <f t="shared" si="235"/>
        <v>0</v>
      </c>
      <c r="AD103" s="58">
        <f t="shared" si="236"/>
        <v>0</v>
      </c>
      <c r="AE103" s="58">
        <f t="shared" si="237"/>
        <v>0</v>
      </c>
      <c r="AF103" s="58">
        <f t="shared" si="238"/>
        <v>0</v>
      </c>
      <c r="AG103" s="58">
        <f t="shared" si="239"/>
        <v>0</v>
      </c>
      <c r="AH103" s="334"/>
      <c r="AI103" s="328"/>
      <c r="AJ103" s="13"/>
      <c r="AK103" s="13"/>
      <c r="AL103" s="13"/>
      <c r="AM103" s="13"/>
      <c r="AN103" s="13"/>
      <c r="AO103" s="58"/>
      <c r="AP103" s="58"/>
      <c r="AQ103" s="58"/>
      <c r="AR103" s="58"/>
      <c r="AS103" s="58"/>
      <c r="AT103" s="58"/>
      <c r="AU103" s="58"/>
      <c r="AV103" s="58"/>
      <c r="AW103" s="58"/>
      <c r="AX103" s="58"/>
      <c r="AY103" s="58">
        <v>0</v>
      </c>
      <c r="AZ103" s="319"/>
      <c r="BA103" s="344">
        <v>266468.14</v>
      </c>
      <c r="BB103" s="342"/>
      <c r="BC103" s="342"/>
      <c r="BD103" s="13"/>
    </row>
    <row r="104" spans="1:56">
      <c r="A104" s="13"/>
      <c r="B104" s="13"/>
      <c r="C104" s="13"/>
      <c r="D104" s="13"/>
      <c r="E104" s="13"/>
      <c r="G104" s="13"/>
      <c r="H104" s="13"/>
      <c r="I104" s="13"/>
      <c r="J104" s="13"/>
      <c r="K104" s="13"/>
      <c r="L104" s="13"/>
      <c r="M104" s="13"/>
      <c r="N104" s="13"/>
      <c r="O104" s="13"/>
      <c r="P104" s="349"/>
      <c r="Q104" s="13"/>
      <c r="R104" s="324" t="s">
        <v>3491</v>
      </c>
      <c r="S104" s="319"/>
      <c r="T104" s="58">
        <f t="shared" si="226"/>
        <v>0</v>
      </c>
      <c r="U104" s="319">
        <f t="shared" si="227"/>
        <v>0</v>
      </c>
      <c r="V104" s="58"/>
      <c r="W104" s="58"/>
      <c r="X104" s="58"/>
      <c r="Y104" s="58"/>
      <c r="Z104" s="58"/>
      <c r="AA104" s="58"/>
      <c r="AB104" s="58"/>
      <c r="AC104" s="58"/>
      <c r="AD104" s="58"/>
      <c r="AE104" s="58"/>
      <c r="AF104" s="58"/>
      <c r="AG104" s="58"/>
      <c r="AH104" s="334"/>
      <c r="AI104" s="328"/>
      <c r="AJ104" s="13"/>
      <c r="AK104" s="13"/>
      <c r="AL104" s="13"/>
      <c r="AM104" s="13"/>
      <c r="AN104" s="13"/>
      <c r="AO104" s="58"/>
      <c r="AP104" s="58"/>
      <c r="AQ104" s="58"/>
      <c r="AR104" s="58"/>
      <c r="AS104" s="58"/>
      <c r="AT104" s="58"/>
      <c r="AU104" s="58"/>
      <c r="AV104" s="58"/>
      <c r="AW104" s="58"/>
      <c r="AX104" s="58">
        <v>0</v>
      </c>
      <c r="AY104" s="58">
        <v>0</v>
      </c>
      <c r="AZ104" s="319"/>
      <c r="BA104" s="344"/>
      <c r="BB104" s="342"/>
      <c r="BC104" s="342"/>
      <c r="BD104" s="13"/>
    </row>
    <row r="105" spans="1:56">
      <c r="A105" s="13"/>
      <c r="B105" s="13"/>
      <c r="C105" s="13"/>
      <c r="D105" s="13"/>
      <c r="E105" s="13"/>
      <c r="G105" s="13"/>
      <c r="H105" s="13"/>
      <c r="I105" s="13"/>
      <c r="J105" s="13"/>
      <c r="K105" s="13"/>
      <c r="L105" s="13"/>
      <c r="M105" s="13"/>
      <c r="N105" s="13"/>
      <c r="O105" s="13"/>
      <c r="P105" s="349"/>
      <c r="Q105" s="13"/>
      <c r="R105" s="324" t="s">
        <v>3492</v>
      </c>
      <c r="S105" s="319">
        <v>0</v>
      </c>
      <c r="T105" s="58">
        <f t="shared" si="226"/>
        <v>0</v>
      </c>
      <c r="U105" s="319">
        <f t="shared" si="227"/>
        <v>0</v>
      </c>
      <c r="V105" s="58">
        <f t="shared" si="228"/>
        <v>0</v>
      </c>
      <c r="W105" s="58">
        <f t="shared" si="229"/>
        <v>0</v>
      </c>
      <c r="X105" s="58">
        <f t="shared" si="230"/>
        <v>0</v>
      </c>
      <c r="Y105" s="58">
        <f t="shared" si="231"/>
        <v>0</v>
      </c>
      <c r="Z105" s="58">
        <f t="shared" si="232"/>
        <v>0</v>
      </c>
      <c r="AA105" s="58">
        <f t="shared" si="233"/>
        <v>0</v>
      </c>
      <c r="AB105" s="58">
        <f t="shared" si="234"/>
        <v>0</v>
      </c>
      <c r="AC105" s="58">
        <f t="shared" si="235"/>
        <v>0</v>
      </c>
      <c r="AD105" s="58">
        <f t="shared" si="236"/>
        <v>0</v>
      </c>
      <c r="AE105" s="58">
        <f t="shared" si="237"/>
        <v>0</v>
      </c>
      <c r="AF105" s="58">
        <f t="shared" si="238"/>
        <v>0</v>
      </c>
      <c r="AG105" s="58">
        <f t="shared" si="239"/>
        <v>0</v>
      </c>
      <c r="AH105" s="334"/>
      <c r="AI105" s="328"/>
      <c r="AJ105" s="13"/>
      <c r="AK105" s="13"/>
      <c r="AL105" s="13"/>
      <c r="AM105" s="13"/>
      <c r="AN105" s="13"/>
      <c r="AO105" s="58"/>
      <c r="AP105" s="58"/>
      <c r="AQ105" s="58"/>
      <c r="AR105" s="58"/>
      <c r="AS105" s="58"/>
      <c r="AT105" s="58"/>
      <c r="AU105" s="58"/>
      <c r="AV105" s="58"/>
      <c r="AW105" s="58"/>
      <c r="AX105" s="58"/>
      <c r="AY105" s="58">
        <v>0</v>
      </c>
      <c r="AZ105" s="319"/>
      <c r="BA105" s="344">
        <v>0</v>
      </c>
      <c r="BB105" s="342"/>
      <c r="BC105" s="342"/>
      <c r="BD105" s="13"/>
    </row>
    <row r="106" spans="1:56">
      <c r="A106" s="13"/>
      <c r="B106" s="13"/>
      <c r="C106" s="13"/>
      <c r="D106" s="13"/>
      <c r="E106" s="13"/>
      <c r="G106" s="13"/>
      <c r="H106" s="13"/>
      <c r="I106" s="13"/>
      <c r="J106" s="13"/>
      <c r="K106" s="13"/>
      <c r="L106" s="13"/>
      <c r="M106" s="13"/>
      <c r="N106" s="13"/>
      <c r="O106" s="13"/>
      <c r="P106" s="349"/>
      <c r="Q106" s="13"/>
      <c r="R106" s="324" t="s">
        <v>3493</v>
      </c>
      <c r="S106" s="319">
        <v>0</v>
      </c>
      <c r="T106" s="58">
        <f t="shared" si="226"/>
        <v>1392.04</v>
      </c>
      <c r="U106" s="319">
        <f t="shared" si="227"/>
        <v>987.55</v>
      </c>
      <c r="V106" s="58">
        <f t="shared" si="228"/>
        <v>404.49</v>
      </c>
      <c r="W106" s="58">
        <f t="shared" si="229"/>
        <v>404.49</v>
      </c>
      <c r="X106" s="58">
        <f t="shared" si="230"/>
        <v>404.49</v>
      </c>
      <c r="Y106" s="58">
        <f t="shared" si="231"/>
        <v>404.49</v>
      </c>
      <c r="Z106" s="58">
        <f t="shared" si="232"/>
        <v>404.49</v>
      </c>
      <c r="AA106" s="58">
        <f t="shared" si="233"/>
        <v>404.49</v>
      </c>
      <c r="AB106" s="58">
        <f t="shared" si="234"/>
        <v>404.49</v>
      </c>
      <c r="AC106" s="58">
        <f t="shared" si="235"/>
        <v>404.49</v>
      </c>
      <c r="AD106" s="58">
        <f t="shared" si="236"/>
        <v>404.49</v>
      </c>
      <c r="AE106" s="58">
        <f t="shared" si="237"/>
        <v>404.49</v>
      </c>
      <c r="AF106" s="58">
        <f t="shared" si="238"/>
        <v>404.49</v>
      </c>
      <c r="AG106" s="58">
        <f t="shared" si="239"/>
        <v>0</v>
      </c>
      <c r="AH106" s="334"/>
      <c r="AI106" s="328"/>
      <c r="AJ106" s="13"/>
      <c r="AK106" s="13"/>
      <c r="AL106" s="13"/>
      <c r="AM106" s="13"/>
      <c r="AN106" s="13"/>
      <c r="AO106" s="58"/>
      <c r="AP106" s="58"/>
      <c r="AQ106" s="58"/>
      <c r="AR106" s="58"/>
      <c r="AS106" s="58"/>
      <c r="AT106" s="58"/>
      <c r="AU106" s="58"/>
      <c r="AV106" s="58"/>
      <c r="AW106" s="58"/>
      <c r="AX106" s="58"/>
      <c r="AY106" s="58">
        <v>404.49</v>
      </c>
      <c r="AZ106" s="319"/>
      <c r="BA106" s="344">
        <v>987.55</v>
      </c>
      <c r="BB106" s="342"/>
      <c r="BC106" s="342"/>
      <c r="BD106" s="13"/>
    </row>
    <row r="107" ht="16.5" customHeight="1" spans="1:56">
      <c r="A107" s="13"/>
      <c r="B107" s="13"/>
      <c r="C107" s="13"/>
      <c r="D107" s="13"/>
      <c r="E107" s="13"/>
      <c r="G107" s="13"/>
      <c r="H107" s="13"/>
      <c r="I107" s="13"/>
      <c r="J107" s="13"/>
      <c r="K107" s="13"/>
      <c r="L107" s="13"/>
      <c r="M107" s="13"/>
      <c r="N107" s="13"/>
      <c r="O107" s="13"/>
      <c r="P107" s="315"/>
      <c r="Q107" s="13"/>
      <c r="R107" s="324" t="s">
        <v>3494</v>
      </c>
      <c r="S107" s="320">
        <f t="shared" ref="S107:AG107" si="240">SUM(S103:S106)</f>
        <v>302116.04</v>
      </c>
      <c r="T107" s="214">
        <f t="shared" si="240"/>
        <v>267860.18</v>
      </c>
      <c r="U107" s="320">
        <f t="shared" si="240"/>
        <v>267455.69</v>
      </c>
      <c r="V107" s="214">
        <f t="shared" si="240"/>
        <v>404.49</v>
      </c>
      <c r="W107" s="214">
        <f t="shared" si="240"/>
        <v>404.49</v>
      </c>
      <c r="X107" s="214">
        <f t="shared" si="240"/>
        <v>404.49</v>
      </c>
      <c r="Y107" s="214">
        <f t="shared" si="240"/>
        <v>404.49</v>
      </c>
      <c r="Z107" s="214">
        <f t="shared" si="240"/>
        <v>404.49</v>
      </c>
      <c r="AA107" s="214">
        <f t="shared" si="240"/>
        <v>404.49</v>
      </c>
      <c r="AB107" s="214">
        <f t="shared" si="240"/>
        <v>404.49</v>
      </c>
      <c r="AC107" s="214">
        <f t="shared" si="240"/>
        <v>404.49</v>
      </c>
      <c r="AD107" s="214">
        <f t="shared" si="240"/>
        <v>404.49</v>
      </c>
      <c r="AE107" s="214">
        <f t="shared" si="240"/>
        <v>404.49</v>
      </c>
      <c r="AF107" s="214">
        <f t="shared" si="240"/>
        <v>404.49</v>
      </c>
      <c r="AG107" s="214">
        <f t="shared" si="240"/>
        <v>0</v>
      </c>
      <c r="AH107" s="320">
        <f>SUM(AH103:AH106)</f>
        <v>0</v>
      </c>
      <c r="AI107" s="214">
        <f>SUM(AI103:AI106)</f>
        <v>0</v>
      </c>
      <c r="AJ107" s="13"/>
      <c r="AK107" s="13"/>
      <c r="AL107" s="13"/>
      <c r="AM107" s="13"/>
      <c r="AN107" s="13"/>
      <c r="AO107" s="214">
        <f t="shared" ref="AO107:AX107" si="241">SUM(AO103:AO106)</f>
        <v>0</v>
      </c>
      <c r="AP107" s="214">
        <f t="shared" si="241"/>
        <v>0</v>
      </c>
      <c r="AQ107" s="214">
        <f t="shared" si="241"/>
        <v>0</v>
      </c>
      <c r="AR107" s="214">
        <f t="shared" si="241"/>
        <v>0</v>
      </c>
      <c r="AS107" s="214">
        <f t="shared" si="241"/>
        <v>0</v>
      </c>
      <c r="AT107" s="214">
        <f t="shared" si="241"/>
        <v>0</v>
      </c>
      <c r="AU107" s="214">
        <f t="shared" si="241"/>
        <v>0</v>
      </c>
      <c r="AV107" s="214">
        <f t="shared" si="241"/>
        <v>0</v>
      </c>
      <c r="AW107" s="214">
        <f t="shared" si="241"/>
        <v>0</v>
      </c>
      <c r="AX107" s="214">
        <f t="shared" si="241"/>
        <v>0</v>
      </c>
      <c r="AY107" s="214">
        <v>404.49</v>
      </c>
      <c r="AZ107" s="320">
        <f>SUM(AZ103:AZ106)</f>
        <v>0</v>
      </c>
      <c r="BA107" s="320">
        <v>267455.69</v>
      </c>
      <c r="BB107" s="320">
        <f>SUM(BB103:BB106)</f>
        <v>0</v>
      </c>
      <c r="BC107" s="320">
        <f>SUM(BC103:BC106)</f>
        <v>0</v>
      </c>
      <c r="BD107" s="13"/>
    </row>
    <row r="108" spans="1:56">
      <c r="A108" s="13"/>
      <c r="B108" s="13"/>
      <c r="C108" s="13"/>
      <c r="D108" s="13"/>
      <c r="E108" s="13"/>
      <c r="G108" s="13"/>
      <c r="H108" s="13"/>
      <c r="I108" s="13"/>
      <c r="J108" s="13"/>
      <c r="K108" s="13"/>
      <c r="L108" s="13"/>
      <c r="M108" s="13"/>
      <c r="N108" s="13"/>
      <c r="O108" s="13"/>
      <c r="P108" s="349"/>
      <c r="Q108" s="13"/>
      <c r="R108" s="324" t="s">
        <v>3495</v>
      </c>
      <c r="S108" s="319">
        <f t="shared" ref="S108:AG108" si="242">S102-S103</f>
        <v>68666.98</v>
      </c>
      <c r="T108" s="58">
        <f t="shared" si="242"/>
        <v>112258.31</v>
      </c>
      <c r="U108" s="319">
        <f t="shared" si="242"/>
        <v>112258.31</v>
      </c>
      <c r="V108" s="58">
        <f t="shared" si="242"/>
        <v>0</v>
      </c>
      <c r="W108" s="58">
        <f t="shared" si="242"/>
        <v>0</v>
      </c>
      <c r="X108" s="58">
        <f t="shared" si="242"/>
        <v>0</v>
      </c>
      <c r="Y108" s="58">
        <f t="shared" si="242"/>
        <v>0</v>
      </c>
      <c r="Z108" s="58">
        <f t="shared" si="242"/>
        <v>0</v>
      </c>
      <c r="AA108" s="58">
        <f t="shared" si="242"/>
        <v>0</v>
      </c>
      <c r="AB108" s="58">
        <f t="shared" si="242"/>
        <v>0</v>
      </c>
      <c r="AC108" s="58">
        <f t="shared" si="242"/>
        <v>0</v>
      </c>
      <c r="AD108" s="58">
        <f t="shared" si="242"/>
        <v>0</v>
      </c>
      <c r="AE108" s="58">
        <f t="shared" si="242"/>
        <v>0</v>
      </c>
      <c r="AF108" s="58">
        <f t="shared" si="242"/>
        <v>0</v>
      </c>
      <c r="AG108" s="58">
        <f t="shared" si="242"/>
        <v>0</v>
      </c>
      <c r="AH108" s="339"/>
      <c r="AI108" s="332"/>
      <c r="AJ108" s="13"/>
      <c r="AK108" s="13"/>
      <c r="AL108" s="13"/>
      <c r="AM108" s="13"/>
      <c r="AN108" s="13"/>
      <c r="AO108" s="58">
        <f t="shared" ref="AO108:AX108" si="243">AO102-AO103</f>
        <v>0</v>
      </c>
      <c r="AP108" s="58">
        <f t="shared" si="243"/>
        <v>0</v>
      </c>
      <c r="AQ108" s="58">
        <f t="shared" si="243"/>
        <v>0</v>
      </c>
      <c r="AR108" s="58">
        <f t="shared" si="243"/>
        <v>0</v>
      </c>
      <c r="AS108" s="58">
        <f t="shared" si="243"/>
        <v>0</v>
      </c>
      <c r="AT108" s="58">
        <f t="shared" si="243"/>
        <v>0</v>
      </c>
      <c r="AU108" s="58">
        <f t="shared" si="243"/>
        <v>0</v>
      </c>
      <c r="AV108" s="58">
        <f t="shared" si="243"/>
        <v>0</v>
      </c>
      <c r="AW108" s="58">
        <f t="shared" si="243"/>
        <v>0</v>
      </c>
      <c r="AX108" s="58">
        <f t="shared" si="243"/>
        <v>0</v>
      </c>
      <c r="AY108" s="58" t="s">
        <v>3561</v>
      </c>
      <c r="AZ108" s="319">
        <f>AZ102-AZ103</f>
        <v>0</v>
      </c>
      <c r="BA108" s="344">
        <v>112258.31</v>
      </c>
      <c r="BB108" s="342"/>
      <c r="BC108" s="342"/>
      <c r="BD108" s="13"/>
    </row>
    <row r="109" spans="1:56">
      <c r="A109" s="13"/>
      <c r="B109" s="13"/>
      <c r="C109" s="13"/>
      <c r="D109" s="13"/>
      <c r="E109" s="13"/>
      <c r="G109" s="13"/>
      <c r="H109" s="13"/>
      <c r="I109" s="13"/>
      <c r="J109" s="13"/>
      <c r="K109" s="13"/>
      <c r="L109" s="13"/>
      <c r="M109" s="13"/>
      <c r="N109" s="13"/>
      <c r="O109" s="13"/>
      <c r="P109" s="349"/>
      <c r="Q109" s="13"/>
      <c r="R109" s="325" t="s">
        <v>3496</v>
      </c>
      <c r="S109" s="322">
        <f t="shared" ref="S109:AG109" si="244">S108/S102</f>
        <v>0.18519451079502</v>
      </c>
      <c r="T109" s="61">
        <f t="shared" si="244"/>
        <v>0.296410007803786</v>
      </c>
      <c r="U109" s="322">
        <f t="shared" si="244"/>
        <v>0.296410007803786</v>
      </c>
      <c r="V109" s="61" t="e">
        <f t="shared" si="244"/>
        <v>#DIV/0!</v>
      </c>
      <c r="W109" s="61" t="e">
        <f t="shared" si="244"/>
        <v>#DIV/0!</v>
      </c>
      <c r="X109" s="61" t="e">
        <f t="shared" si="244"/>
        <v>#DIV/0!</v>
      </c>
      <c r="Y109" s="61" t="e">
        <f t="shared" si="244"/>
        <v>#DIV/0!</v>
      </c>
      <c r="Z109" s="61" t="e">
        <f t="shared" si="244"/>
        <v>#DIV/0!</v>
      </c>
      <c r="AA109" s="61" t="e">
        <f t="shared" si="244"/>
        <v>#DIV/0!</v>
      </c>
      <c r="AB109" s="61" t="e">
        <f t="shared" si="244"/>
        <v>#DIV/0!</v>
      </c>
      <c r="AC109" s="61" t="e">
        <f t="shared" si="244"/>
        <v>#DIV/0!</v>
      </c>
      <c r="AD109" s="61" t="e">
        <f t="shared" si="244"/>
        <v>#DIV/0!</v>
      </c>
      <c r="AE109" s="61" t="e">
        <f t="shared" si="244"/>
        <v>#DIV/0!</v>
      </c>
      <c r="AF109" s="61" t="e">
        <f t="shared" si="244"/>
        <v>#DIV/0!</v>
      </c>
      <c r="AG109" s="61" t="e">
        <f t="shared" si="244"/>
        <v>#DIV/0!</v>
      </c>
      <c r="AH109" s="340">
        <f>T109-S109</f>
        <v>0.111215497008766</v>
      </c>
      <c r="AI109" s="82" t="e">
        <f>AF109-S109</f>
        <v>#DIV/0!</v>
      </c>
      <c r="AJ109" s="13"/>
      <c r="AK109" s="13"/>
      <c r="AL109" s="13"/>
      <c r="AM109" s="13"/>
      <c r="AN109" s="13"/>
      <c r="AO109" s="61" t="e">
        <f t="shared" ref="AO109:AX109" si="245">AO108/AO102</f>
        <v>#DIV/0!</v>
      </c>
      <c r="AP109" s="61" t="e">
        <f t="shared" si="245"/>
        <v>#DIV/0!</v>
      </c>
      <c r="AQ109" s="61" t="e">
        <f t="shared" si="245"/>
        <v>#DIV/0!</v>
      </c>
      <c r="AR109" s="61" t="e">
        <f t="shared" si="245"/>
        <v>#DIV/0!</v>
      </c>
      <c r="AS109" s="61" t="e">
        <f t="shared" si="245"/>
        <v>#DIV/0!</v>
      </c>
      <c r="AT109" s="61" t="e">
        <f t="shared" si="245"/>
        <v>#DIV/0!</v>
      </c>
      <c r="AU109" s="61" t="e">
        <f t="shared" si="245"/>
        <v>#DIV/0!</v>
      </c>
      <c r="AV109" s="61" t="e">
        <f t="shared" si="245"/>
        <v>#DIV/0!</v>
      </c>
      <c r="AW109" s="61" t="e">
        <f t="shared" si="245"/>
        <v>#DIV/0!</v>
      </c>
      <c r="AX109" s="61" t="e">
        <f t="shared" si="245"/>
        <v>#DIV/0!</v>
      </c>
      <c r="AY109" s="61" t="e">
        <v>#DIV/0!</v>
      </c>
      <c r="AZ109" s="322" t="e">
        <f>AZ108/AZ102</f>
        <v>#DIV/0!</v>
      </c>
      <c r="BA109" s="322">
        <v>0.296410007803785</v>
      </c>
      <c r="BB109" s="342"/>
      <c r="BC109" s="342"/>
      <c r="BD109" s="13"/>
    </row>
    <row r="110" spans="1:56">
      <c r="A110" s="13"/>
      <c r="B110" s="13"/>
      <c r="C110" s="13"/>
      <c r="D110" s="13"/>
      <c r="E110" s="13"/>
      <c r="G110" s="13"/>
      <c r="H110" s="13"/>
      <c r="I110" s="13"/>
      <c r="J110" s="13"/>
      <c r="K110" s="13"/>
      <c r="L110" s="13"/>
      <c r="M110" s="13"/>
      <c r="N110" s="13"/>
      <c r="O110" s="13"/>
      <c r="P110" s="349"/>
      <c r="Q110" s="13"/>
      <c r="R110" s="324" t="s">
        <v>3497</v>
      </c>
      <c r="S110" s="58">
        <f t="shared" ref="S110:AG110" si="246">S102-S107</f>
        <v>68666.98</v>
      </c>
      <c r="T110" s="58">
        <f t="shared" si="246"/>
        <v>110866.27</v>
      </c>
      <c r="U110" s="58">
        <f t="shared" si="246"/>
        <v>111270.76</v>
      </c>
      <c r="V110" s="58">
        <f t="shared" si="246"/>
        <v>-404.49</v>
      </c>
      <c r="W110" s="58">
        <f t="shared" si="246"/>
        <v>-404.49</v>
      </c>
      <c r="X110" s="58">
        <f t="shared" si="246"/>
        <v>-404.49</v>
      </c>
      <c r="Y110" s="58">
        <f t="shared" si="246"/>
        <v>-404.49</v>
      </c>
      <c r="Z110" s="58">
        <f t="shared" si="246"/>
        <v>-404.49</v>
      </c>
      <c r="AA110" s="58">
        <f t="shared" si="246"/>
        <v>-404.49</v>
      </c>
      <c r="AB110" s="58">
        <f t="shared" si="246"/>
        <v>-404.49</v>
      </c>
      <c r="AC110" s="58">
        <f t="shared" si="246"/>
        <v>-404.49</v>
      </c>
      <c r="AD110" s="58">
        <f t="shared" si="246"/>
        <v>-404.49</v>
      </c>
      <c r="AE110" s="58">
        <f t="shared" si="246"/>
        <v>-404.49</v>
      </c>
      <c r="AF110" s="58">
        <f t="shared" si="246"/>
        <v>-404.49</v>
      </c>
      <c r="AG110" s="58">
        <f t="shared" si="246"/>
        <v>0</v>
      </c>
      <c r="AH110" s="82"/>
      <c r="AI110" s="82"/>
      <c r="AJ110" s="13"/>
      <c r="AK110" s="13"/>
      <c r="AL110" s="13"/>
      <c r="AM110" s="13"/>
      <c r="AN110" s="13"/>
      <c r="AO110" s="58">
        <f t="shared" ref="AO110:BC110" si="247">AO102-AO107</f>
        <v>0</v>
      </c>
      <c r="AP110" s="58">
        <f t="shared" si="247"/>
        <v>0</v>
      </c>
      <c r="AQ110" s="58">
        <f t="shared" si="247"/>
        <v>0</v>
      </c>
      <c r="AR110" s="58">
        <f t="shared" si="247"/>
        <v>0</v>
      </c>
      <c r="AS110" s="58">
        <f t="shared" si="247"/>
        <v>0</v>
      </c>
      <c r="AT110" s="58">
        <f t="shared" si="247"/>
        <v>0</v>
      </c>
      <c r="AU110" s="58">
        <f t="shared" si="247"/>
        <v>0</v>
      </c>
      <c r="AV110" s="58">
        <f t="shared" si="247"/>
        <v>0</v>
      </c>
      <c r="AW110" s="58">
        <f t="shared" si="247"/>
        <v>0</v>
      </c>
      <c r="AX110" s="58">
        <f t="shared" si="247"/>
        <v>0</v>
      </c>
      <c r="AY110" s="58">
        <f t="shared" si="247"/>
        <v>-404.49</v>
      </c>
      <c r="AZ110" s="58">
        <f t="shared" si="247"/>
        <v>0</v>
      </c>
      <c r="BA110" s="58">
        <f t="shared" si="247"/>
        <v>111270.76</v>
      </c>
      <c r="BB110" s="58">
        <f t="shared" si="247"/>
        <v>0</v>
      </c>
      <c r="BC110" s="58">
        <f t="shared" si="247"/>
        <v>0</v>
      </c>
      <c r="BD110" s="13"/>
    </row>
    <row r="111" ht="16.5" customHeight="1" spans="1:56">
      <c r="A111" s="14"/>
      <c r="B111" s="14"/>
      <c r="C111" s="14"/>
      <c r="D111" s="14"/>
      <c r="E111" s="14"/>
      <c r="G111" s="14"/>
      <c r="H111" s="14"/>
      <c r="I111" s="14"/>
      <c r="J111" s="14"/>
      <c r="K111" s="14"/>
      <c r="L111" s="14"/>
      <c r="M111" s="14"/>
      <c r="N111" s="14"/>
      <c r="O111" s="14"/>
      <c r="P111" s="350"/>
      <c r="Q111" s="14"/>
      <c r="R111" s="325" t="s">
        <v>3498</v>
      </c>
      <c r="S111" s="322">
        <f t="shared" ref="S111:AG111" si="248">S110/S102</f>
        <v>0.18519451079502</v>
      </c>
      <c r="T111" s="61">
        <f t="shared" si="248"/>
        <v>0.292734426127354</v>
      </c>
      <c r="U111" s="322">
        <f t="shared" si="248"/>
        <v>0.293802452931397</v>
      </c>
      <c r="V111" s="61" t="e">
        <f t="shared" si="248"/>
        <v>#DIV/0!</v>
      </c>
      <c r="W111" s="61" t="e">
        <f t="shared" si="248"/>
        <v>#DIV/0!</v>
      </c>
      <c r="X111" s="61" t="e">
        <f t="shared" si="248"/>
        <v>#DIV/0!</v>
      </c>
      <c r="Y111" s="61" t="e">
        <f t="shared" si="248"/>
        <v>#DIV/0!</v>
      </c>
      <c r="Z111" s="61" t="e">
        <f t="shared" si="248"/>
        <v>#DIV/0!</v>
      </c>
      <c r="AA111" s="61" t="e">
        <f t="shared" si="248"/>
        <v>#DIV/0!</v>
      </c>
      <c r="AB111" s="61" t="e">
        <f t="shared" si="248"/>
        <v>#DIV/0!</v>
      </c>
      <c r="AC111" s="61" t="e">
        <f t="shared" si="248"/>
        <v>#DIV/0!</v>
      </c>
      <c r="AD111" s="61" t="e">
        <f t="shared" si="248"/>
        <v>#DIV/0!</v>
      </c>
      <c r="AE111" s="61" t="e">
        <f t="shared" si="248"/>
        <v>#DIV/0!</v>
      </c>
      <c r="AF111" s="61" t="e">
        <f t="shared" si="248"/>
        <v>#DIV/0!</v>
      </c>
      <c r="AG111" s="61" t="e">
        <f t="shared" si="248"/>
        <v>#DIV/0!</v>
      </c>
      <c r="AH111" s="340">
        <f>T111-S111</f>
        <v>0.107539915332334</v>
      </c>
      <c r="AI111" s="82" t="e">
        <f>AF111-S111</f>
        <v>#DIV/0!</v>
      </c>
      <c r="AJ111" s="14"/>
      <c r="AK111" s="14"/>
      <c r="AL111" s="14"/>
      <c r="AM111" s="14"/>
      <c r="AN111" s="14"/>
      <c r="AO111" s="61" t="e">
        <f t="shared" ref="AO111:AX111" si="249">AO110/AO102</f>
        <v>#DIV/0!</v>
      </c>
      <c r="AP111" s="61" t="e">
        <f t="shared" si="249"/>
        <v>#DIV/0!</v>
      </c>
      <c r="AQ111" s="61" t="e">
        <f t="shared" si="249"/>
        <v>#DIV/0!</v>
      </c>
      <c r="AR111" s="61" t="e">
        <f t="shared" si="249"/>
        <v>#DIV/0!</v>
      </c>
      <c r="AS111" s="61" t="e">
        <f t="shared" si="249"/>
        <v>#DIV/0!</v>
      </c>
      <c r="AT111" s="61" t="e">
        <f t="shared" si="249"/>
        <v>#DIV/0!</v>
      </c>
      <c r="AU111" s="61" t="e">
        <f t="shared" si="249"/>
        <v>#DIV/0!</v>
      </c>
      <c r="AV111" s="61" t="e">
        <f t="shared" si="249"/>
        <v>#DIV/0!</v>
      </c>
      <c r="AW111" s="61" t="e">
        <f t="shared" si="249"/>
        <v>#DIV/0!</v>
      </c>
      <c r="AX111" s="61" t="e">
        <f t="shared" si="249"/>
        <v>#DIV/0!</v>
      </c>
      <c r="AY111" s="61" t="e">
        <v>#DIV/0!</v>
      </c>
      <c r="AZ111" s="322" t="e">
        <f>AZ110/AZ102</f>
        <v>#DIV/0!</v>
      </c>
      <c r="BA111" s="322">
        <v>0.293802452931397</v>
      </c>
      <c r="BB111" s="342"/>
      <c r="BC111" s="342"/>
      <c r="BD111" s="14"/>
    </row>
    <row r="112" spans="1:56">
      <c r="A112" s="305" t="s">
        <v>2203</v>
      </c>
      <c r="B112" s="306" t="s">
        <v>3339</v>
      </c>
      <c r="C112" s="307">
        <v>45931</v>
      </c>
      <c r="D112" s="307">
        <v>46022</v>
      </c>
      <c r="E112" s="308"/>
      <c r="F112" s="166" t="s">
        <v>3561</v>
      </c>
      <c r="G112" s="309"/>
      <c r="H112" s="310"/>
      <c r="I112" s="310"/>
      <c r="J112" s="311"/>
      <c r="K112" s="312"/>
      <c r="L112" s="312"/>
      <c r="M112" s="312"/>
      <c r="N112" s="312"/>
      <c r="O112" s="312"/>
      <c r="P112" s="313"/>
      <c r="Q112" s="308"/>
      <c r="R112" s="323" t="s">
        <v>3486</v>
      </c>
      <c r="S112" s="319">
        <v>282990.57</v>
      </c>
      <c r="T112" s="58">
        <f t="shared" ref="T112:T116" si="250">SUM(AO112:BC112)</f>
        <v>429668.85</v>
      </c>
      <c r="U112" s="319">
        <f t="shared" ref="U112:U116" si="251">SUM(BA112:BC112)</f>
        <v>429662.4</v>
      </c>
      <c r="V112" s="58">
        <f t="shared" ref="V112:V116" si="252">SUM(AO112:AZ112)</f>
        <v>6.45</v>
      </c>
      <c r="W112" s="58">
        <f t="shared" ref="W112:W116" si="253">SUM(AP112:AZ112)</f>
        <v>6.45</v>
      </c>
      <c r="X112" s="58">
        <f t="shared" ref="X112:X116" si="254">SUM(AQ112:AZ112)</f>
        <v>6.45</v>
      </c>
      <c r="Y112" s="58">
        <f t="shared" ref="Y112:Y116" si="255">SUM(AR112:AZ112)</f>
        <v>6.45</v>
      </c>
      <c r="Z112" s="58">
        <f t="shared" ref="Z112:Z116" si="256">SUM(AS112:AZ112)</f>
        <v>6.45</v>
      </c>
      <c r="AA112" s="58">
        <f t="shared" ref="AA112:AA116" si="257">SUM(AT112:AZ112)</f>
        <v>6.45</v>
      </c>
      <c r="AB112" s="58">
        <f t="shared" ref="AB112:AB116" si="258">SUM(AU112:AZ112)</f>
        <v>6.45</v>
      </c>
      <c r="AC112" s="58">
        <f t="shared" ref="AC112:AC116" si="259">SUM(AV112:AZ112)</f>
        <v>6.45</v>
      </c>
      <c r="AD112" s="58">
        <f t="shared" ref="AD112:AD116" si="260">SUM(AW112:AZ112)</f>
        <v>6.45</v>
      </c>
      <c r="AE112" s="58">
        <f t="shared" ref="AE112:AE116" si="261">SUM(AX112:AZ112)</f>
        <v>6.45</v>
      </c>
      <c r="AF112" s="58">
        <f t="shared" ref="AF112:AF116" si="262">SUM(AY112:AZ112)</f>
        <v>6.45</v>
      </c>
      <c r="AG112" s="58">
        <f t="shared" ref="AG112:AG116" si="263">SUM(AZ112:AZ112)</f>
        <v>0</v>
      </c>
      <c r="AH112" s="334"/>
      <c r="AI112" s="328"/>
      <c r="AJ112" s="335"/>
      <c r="AK112" s="336"/>
      <c r="AL112" s="337"/>
      <c r="AM112" s="335"/>
      <c r="AN112" s="338"/>
      <c r="AO112" s="58"/>
      <c r="AP112" s="58"/>
      <c r="AQ112" s="58"/>
      <c r="AR112" s="58"/>
      <c r="AS112" s="58"/>
      <c r="AT112" s="58"/>
      <c r="AU112" s="58"/>
      <c r="AV112" s="58"/>
      <c r="AW112" s="58"/>
      <c r="AX112" s="58"/>
      <c r="AY112" s="58">
        <v>6.45</v>
      </c>
      <c r="AZ112" s="319"/>
      <c r="BA112" s="344">
        <v>429662.4</v>
      </c>
      <c r="BB112" s="342"/>
      <c r="BC112" s="342"/>
      <c r="BD112" s="346" t="s">
        <v>3567</v>
      </c>
    </row>
    <row r="113" spans="1:56">
      <c r="A113" s="13"/>
      <c r="B113" s="13"/>
      <c r="C113" s="13"/>
      <c r="D113" s="13"/>
      <c r="E113" s="13"/>
      <c r="G113" s="13"/>
      <c r="H113" s="13"/>
      <c r="I113" s="13"/>
      <c r="J113" s="13"/>
      <c r="K113" s="13"/>
      <c r="L113" s="13"/>
      <c r="M113" s="13"/>
      <c r="N113" s="13"/>
      <c r="O113" s="13"/>
      <c r="P113" s="314"/>
      <c r="Q113" s="13"/>
      <c r="R113" s="324" t="s">
        <v>3490</v>
      </c>
      <c r="S113" s="319">
        <v>222297.5</v>
      </c>
      <c r="T113" s="58">
        <f t="shared" si="250"/>
        <v>281203.31</v>
      </c>
      <c r="U113" s="319">
        <f t="shared" si="251"/>
        <v>281203.31</v>
      </c>
      <c r="V113" s="58">
        <f t="shared" si="252"/>
        <v>0</v>
      </c>
      <c r="W113" s="58">
        <f t="shared" si="253"/>
        <v>0</v>
      </c>
      <c r="X113" s="58">
        <f t="shared" si="254"/>
        <v>0</v>
      </c>
      <c r="Y113" s="58">
        <f t="shared" si="255"/>
        <v>0</v>
      </c>
      <c r="Z113" s="58">
        <f t="shared" si="256"/>
        <v>0</v>
      </c>
      <c r="AA113" s="58">
        <f t="shared" si="257"/>
        <v>0</v>
      </c>
      <c r="AB113" s="58">
        <f t="shared" si="258"/>
        <v>0</v>
      </c>
      <c r="AC113" s="58">
        <f t="shared" si="259"/>
        <v>0</v>
      </c>
      <c r="AD113" s="58">
        <f t="shared" si="260"/>
        <v>0</v>
      </c>
      <c r="AE113" s="58">
        <f t="shared" si="261"/>
        <v>0</v>
      </c>
      <c r="AF113" s="58">
        <f t="shared" si="262"/>
        <v>0</v>
      </c>
      <c r="AG113" s="58">
        <f t="shared" si="263"/>
        <v>0</v>
      </c>
      <c r="AH113" s="334"/>
      <c r="AI113" s="328"/>
      <c r="AJ113" s="13"/>
      <c r="AK113" s="13"/>
      <c r="AL113" s="13"/>
      <c r="AM113" s="13"/>
      <c r="AN113" s="13"/>
      <c r="AO113" s="58"/>
      <c r="AP113" s="58"/>
      <c r="AQ113" s="58"/>
      <c r="AR113" s="58"/>
      <c r="AS113" s="58"/>
      <c r="AT113" s="58"/>
      <c r="AU113" s="58"/>
      <c r="AV113" s="58"/>
      <c r="AW113" s="58"/>
      <c r="AX113" s="58"/>
      <c r="AY113" s="58" t="s">
        <v>3561</v>
      </c>
      <c r="AZ113" s="319"/>
      <c r="BA113" s="344">
        <v>281203.31</v>
      </c>
      <c r="BB113" s="342"/>
      <c r="BC113" s="342"/>
      <c r="BD113" s="13"/>
    </row>
    <row r="114" spans="1:56">
      <c r="A114" s="13"/>
      <c r="B114" s="13"/>
      <c r="C114" s="13"/>
      <c r="D114" s="13"/>
      <c r="E114" s="13"/>
      <c r="G114" s="13"/>
      <c r="H114" s="13"/>
      <c r="I114" s="13"/>
      <c r="J114" s="13"/>
      <c r="K114" s="13"/>
      <c r="L114" s="13"/>
      <c r="M114" s="13"/>
      <c r="N114" s="13"/>
      <c r="O114" s="13"/>
      <c r="P114" s="314"/>
      <c r="Q114" s="13"/>
      <c r="R114" s="324" t="s">
        <v>3491</v>
      </c>
      <c r="S114" s="319"/>
      <c r="T114" s="58">
        <f t="shared" si="250"/>
        <v>0</v>
      </c>
      <c r="U114" s="319">
        <f t="shared" si="251"/>
        <v>0</v>
      </c>
      <c r="V114" s="58"/>
      <c r="W114" s="58"/>
      <c r="X114" s="58"/>
      <c r="Y114" s="58"/>
      <c r="Z114" s="58"/>
      <c r="AA114" s="58"/>
      <c r="AB114" s="58"/>
      <c r="AC114" s="58"/>
      <c r="AD114" s="58"/>
      <c r="AE114" s="58"/>
      <c r="AF114" s="58"/>
      <c r="AG114" s="58"/>
      <c r="AH114" s="334"/>
      <c r="AI114" s="328"/>
      <c r="AJ114" s="13"/>
      <c r="AK114" s="13"/>
      <c r="AL114" s="13"/>
      <c r="AM114" s="13"/>
      <c r="AN114" s="13"/>
      <c r="AO114" s="58"/>
      <c r="AP114" s="58"/>
      <c r="AQ114" s="58"/>
      <c r="AR114" s="58"/>
      <c r="AS114" s="58"/>
      <c r="AT114" s="58"/>
      <c r="AU114" s="58"/>
      <c r="AV114" s="58"/>
      <c r="AW114" s="58"/>
      <c r="AX114" s="58">
        <v>0</v>
      </c>
      <c r="AY114" s="58"/>
      <c r="AZ114" s="319"/>
      <c r="BA114" s="344"/>
      <c r="BB114" s="342"/>
      <c r="BC114" s="342"/>
      <c r="BD114" s="13"/>
    </row>
    <row r="115" spans="1:56">
      <c r="A115" s="13"/>
      <c r="B115" s="13"/>
      <c r="C115" s="13"/>
      <c r="D115" s="13"/>
      <c r="E115" s="13"/>
      <c r="G115" s="13"/>
      <c r="H115" s="13"/>
      <c r="I115" s="13"/>
      <c r="J115" s="13"/>
      <c r="K115" s="13"/>
      <c r="L115" s="13"/>
      <c r="M115" s="13"/>
      <c r="N115" s="13"/>
      <c r="O115" s="13"/>
      <c r="P115" s="314"/>
      <c r="Q115" s="13"/>
      <c r="R115" s="324" t="s">
        <v>3492</v>
      </c>
      <c r="S115" s="319">
        <v>5000</v>
      </c>
      <c r="T115" s="58">
        <f t="shared" si="250"/>
        <v>1412.44</v>
      </c>
      <c r="U115" s="319">
        <f t="shared" si="251"/>
        <v>1412.44</v>
      </c>
      <c r="V115" s="58">
        <f t="shared" si="252"/>
        <v>0</v>
      </c>
      <c r="W115" s="58">
        <f t="shared" si="253"/>
        <v>0</v>
      </c>
      <c r="X115" s="58">
        <f t="shared" si="254"/>
        <v>0</v>
      </c>
      <c r="Y115" s="58">
        <f t="shared" si="255"/>
        <v>0</v>
      </c>
      <c r="Z115" s="58">
        <f t="shared" si="256"/>
        <v>0</v>
      </c>
      <c r="AA115" s="58">
        <f t="shared" si="257"/>
        <v>0</v>
      </c>
      <c r="AB115" s="58">
        <f t="shared" si="258"/>
        <v>0</v>
      </c>
      <c r="AC115" s="58">
        <f t="shared" si="259"/>
        <v>0</v>
      </c>
      <c r="AD115" s="58">
        <f t="shared" si="260"/>
        <v>0</v>
      </c>
      <c r="AE115" s="58">
        <f t="shared" si="261"/>
        <v>0</v>
      </c>
      <c r="AF115" s="58">
        <f t="shared" si="262"/>
        <v>0</v>
      </c>
      <c r="AG115" s="58">
        <f t="shared" si="263"/>
        <v>0</v>
      </c>
      <c r="AH115" s="334"/>
      <c r="AI115" s="328"/>
      <c r="AJ115" s="13"/>
      <c r="AK115" s="13"/>
      <c r="AL115" s="13"/>
      <c r="AM115" s="13"/>
      <c r="AN115" s="13"/>
      <c r="AO115" s="58"/>
      <c r="AP115" s="58"/>
      <c r="AQ115" s="58"/>
      <c r="AR115" s="58"/>
      <c r="AS115" s="58"/>
      <c r="AT115" s="58"/>
      <c r="AU115" s="58"/>
      <c r="AV115" s="58"/>
      <c r="AW115" s="58"/>
      <c r="AX115" s="58"/>
      <c r="AY115" s="58"/>
      <c r="AZ115" s="319"/>
      <c r="BA115" s="344">
        <v>1412.44</v>
      </c>
      <c r="BB115" s="342"/>
      <c r="BC115" s="342"/>
      <c r="BD115" s="13"/>
    </row>
    <row r="116" spans="1:56">
      <c r="A116" s="13"/>
      <c r="B116" s="13"/>
      <c r="C116" s="13"/>
      <c r="D116" s="13"/>
      <c r="E116" s="13"/>
      <c r="G116" s="13"/>
      <c r="H116" s="13"/>
      <c r="I116" s="13"/>
      <c r="J116" s="13"/>
      <c r="K116" s="13"/>
      <c r="L116" s="13"/>
      <c r="M116" s="13"/>
      <c r="N116" s="13"/>
      <c r="O116" s="13"/>
      <c r="P116" s="314"/>
      <c r="Q116" s="13"/>
      <c r="R116" s="324" t="s">
        <v>3493</v>
      </c>
      <c r="S116" s="319">
        <v>0</v>
      </c>
      <c r="T116" s="58">
        <f t="shared" si="250"/>
        <v>3570.56</v>
      </c>
      <c r="U116" s="319">
        <f t="shared" si="251"/>
        <v>902.14</v>
      </c>
      <c r="V116" s="58">
        <f t="shared" si="252"/>
        <v>2668.42</v>
      </c>
      <c r="W116" s="58">
        <f t="shared" si="253"/>
        <v>2668.42</v>
      </c>
      <c r="X116" s="58">
        <f t="shared" si="254"/>
        <v>2668.42</v>
      </c>
      <c r="Y116" s="58">
        <f t="shared" si="255"/>
        <v>2668.42</v>
      </c>
      <c r="Z116" s="58">
        <f t="shared" si="256"/>
        <v>2668.42</v>
      </c>
      <c r="AA116" s="58">
        <f t="shared" si="257"/>
        <v>2668.42</v>
      </c>
      <c r="AB116" s="58">
        <f t="shared" si="258"/>
        <v>2668.42</v>
      </c>
      <c r="AC116" s="58">
        <f t="shared" si="259"/>
        <v>2668.42</v>
      </c>
      <c r="AD116" s="58">
        <f t="shared" si="260"/>
        <v>2668.42</v>
      </c>
      <c r="AE116" s="58">
        <f t="shared" si="261"/>
        <v>2668.42</v>
      </c>
      <c r="AF116" s="58">
        <f t="shared" si="262"/>
        <v>2668.42</v>
      </c>
      <c r="AG116" s="58">
        <f t="shared" si="263"/>
        <v>0</v>
      </c>
      <c r="AH116" s="334"/>
      <c r="AI116" s="328"/>
      <c r="AJ116" s="13"/>
      <c r="AK116" s="13"/>
      <c r="AL116" s="13"/>
      <c r="AM116" s="13"/>
      <c r="AN116" s="13"/>
      <c r="AO116" s="58"/>
      <c r="AP116" s="58"/>
      <c r="AQ116" s="58"/>
      <c r="AR116" s="58"/>
      <c r="AS116" s="58"/>
      <c r="AT116" s="58"/>
      <c r="AU116" s="58"/>
      <c r="AV116" s="58"/>
      <c r="AW116" s="58"/>
      <c r="AX116" s="58"/>
      <c r="AY116" s="58">
        <v>2668.42</v>
      </c>
      <c r="AZ116" s="319"/>
      <c r="BA116" s="344">
        <v>902.14</v>
      </c>
      <c r="BB116" s="342"/>
      <c r="BC116" s="342"/>
      <c r="BD116" s="13"/>
    </row>
    <row r="117" ht="16.5" customHeight="1" spans="1:56">
      <c r="A117" s="13"/>
      <c r="B117" s="13"/>
      <c r="C117" s="13"/>
      <c r="D117" s="13"/>
      <c r="E117" s="13"/>
      <c r="G117" s="13"/>
      <c r="H117" s="13"/>
      <c r="I117" s="13"/>
      <c r="J117" s="13"/>
      <c r="K117" s="13"/>
      <c r="L117" s="13"/>
      <c r="M117" s="13"/>
      <c r="N117" s="13"/>
      <c r="O117" s="13"/>
      <c r="P117" s="315"/>
      <c r="Q117" s="13"/>
      <c r="R117" s="324" t="s">
        <v>3494</v>
      </c>
      <c r="S117" s="320">
        <f t="shared" ref="S117:AG117" si="264">SUM(S113:S116)</f>
        <v>227297.5</v>
      </c>
      <c r="T117" s="214">
        <f t="shared" si="264"/>
        <v>286186.31</v>
      </c>
      <c r="U117" s="320">
        <f t="shared" si="264"/>
        <v>283517.89</v>
      </c>
      <c r="V117" s="214">
        <f t="shared" si="264"/>
        <v>2668.42</v>
      </c>
      <c r="W117" s="214">
        <f t="shared" si="264"/>
        <v>2668.42</v>
      </c>
      <c r="X117" s="214">
        <f t="shared" si="264"/>
        <v>2668.42</v>
      </c>
      <c r="Y117" s="214">
        <f t="shared" si="264"/>
        <v>2668.42</v>
      </c>
      <c r="Z117" s="214">
        <f t="shared" si="264"/>
        <v>2668.42</v>
      </c>
      <c r="AA117" s="214">
        <f t="shared" si="264"/>
        <v>2668.42</v>
      </c>
      <c r="AB117" s="214">
        <f t="shared" si="264"/>
        <v>2668.42</v>
      </c>
      <c r="AC117" s="214">
        <f t="shared" si="264"/>
        <v>2668.42</v>
      </c>
      <c r="AD117" s="214">
        <f t="shared" si="264"/>
        <v>2668.42</v>
      </c>
      <c r="AE117" s="214">
        <f t="shared" si="264"/>
        <v>2668.42</v>
      </c>
      <c r="AF117" s="214">
        <f t="shared" si="264"/>
        <v>2668.42</v>
      </c>
      <c r="AG117" s="214">
        <f t="shared" si="264"/>
        <v>0</v>
      </c>
      <c r="AH117" s="320">
        <f>SUM(AH113:AH116)</f>
        <v>0</v>
      </c>
      <c r="AI117" s="214">
        <f>SUM(AI113:AI116)</f>
        <v>0</v>
      </c>
      <c r="AJ117" s="13"/>
      <c r="AK117" s="13"/>
      <c r="AL117" s="13"/>
      <c r="AM117" s="13"/>
      <c r="AN117" s="13"/>
      <c r="AO117" s="214">
        <f t="shared" ref="AO117:AX117" si="265">SUM(AO113:AO116)</f>
        <v>0</v>
      </c>
      <c r="AP117" s="214">
        <f t="shared" si="265"/>
        <v>0</v>
      </c>
      <c r="AQ117" s="214">
        <f t="shared" si="265"/>
        <v>0</v>
      </c>
      <c r="AR117" s="214">
        <f t="shared" si="265"/>
        <v>0</v>
      </c>
      <c r="AS117" s="214">
        <f t="shared" si="265"/>
        <v>0</v>
      </c>
      <c r="AT117" s="214">
        <f t="shared" si="265"/>
        <v>0</v>
      </c>
      <c r="AU117" s="214">
        <f t="shared" si="265"/>
        <v>0</v>
      </c>
      <c r="AV117" s="214">
        <f t="shared" si="265"/>
        <v>0</v>
      </c>
      <c r="AW117" s="214">
        <f t="shared" si="265"/>
        <v>0</v>
      </c>
      <c r="AX117" s="214">
        <f t="shared" si="265"/>
        <v>0</v>
      </c>
      <c r="AY117" s="214">
        <v>2668.42</v>
      </c>
      <c r="AZ117" s="320">
        <f>SUM(AZ113:AZ116)</f>
        <v>0</v>
      </c>
      <c r="BA117" s="320">
        <v>283517.89</v>
      </c>
      <c r="BB117" s="320">
        <f>SUM(BB113:BB116)</f>
        <v>0</v>
      </c>
      <c r="BC117" s="320">
        <f>SUM(BC113:BC116)</f>
        <v>0</v>
      </c>
      <c r="BD117" s="13"/>
    </row>
    <row r="118" spans="1:56">
      <c r="A118" s="13"/>
      <c r="B118" s="13"/>
      <c r="C118" s="13"/>
      <c r="D118" s="13"/>
      <c r="E118" s="13"/>
      <c r="G118" s="13"/>
      <c r="H118" s="13"/>
      <c r="I118" s="13"/>
      <c r="J118" s="13"/>
      <c r="K118" s="13"/>
      <c r="L118" s="13"/>
      <c r="M118" s="13"/>
      <c r="N118" s="13"/>
      <c r="O118" s="13"/>
      <c r="P118" s="314"/>
      <c r="Q118" s="13"/>
      <c r="R118" s="324" t="s">
        <v>3495</v>
      </c>
      <c r="S118" s="319">
        <f t="shared" ref="S118:AG118" si="266">S112-S113</f>
        <v>60693.07</v>
      </c>
      <c r="T118" s="58">
        <f t="shared" si="266"/>
        <v>148465.54</v>
      </c>
      <c r="U118" s="319">
        <f t="shared" si="266"/>
        <v>148459.09</v>
      </c>
      <c r="V118" s="58">
        <f t="shared" si="266"/>
        <v>6.45</v>
      </c>
      <c r="W118" s="58">
        <f t="shared" si="266"/>
        <v>6.45</v>
      </c>
      <c r="X118" s="58">
        <f t="shared" si="266"/>
        <v>6.45</v>
      </c>
      <c r="Y118" s="58">
        <f t="shared" si="266"/>
        <v>6.45</v>
      </c>
      <c r="Z118" s="58">
        <f t="shared" si="266"/>
        <v>6.45</v>
      </c>
      <c r="AA118" s="58">
        <f t="shared" si="266"/>
        <v>6.45</v>
      </c>
      <c r="AB118" s="58">
        <f t="shared" si="266"/>
        <v>6.45</v>
      </c>
      <c r="AC118" s="58">
        <f t="shared" si="266"/>
        <v>6.45</v>
      </c>
      <c r="AD118" s="58">
        <f t="shared" si="266"/>
        <v>6.45</v>
      </c>
      <c r="AE118" s="58">
        <f t="shared" si="266"/>
        <v>6.45</v>
      </c>
      <c r="AF118" s="58">
        <f t="shared" si="266"/>
        <v>6.45</v>
      </c>
      <c r="AG118" s="58">
        <f t="shared" si="266"/>
        <v>0</v>
      </c>
      <c r="AH118" s="339"/>
      <c r="AI118" s="332"/>
      <c r="AJ118" s="13"/>
      <c r="AK118" s="13"/>
      <c r="AL118" s="13"/>
      <c r="AM118" s="13"/>
      <c r="AN118" s="13"/>
      <c r="AO118" s="58">
        <f t="shared" ref="AO118:AX118" si="267">AO112-AO113</f>
        <v>0</v>
      </c>
      <c r="AP118" s="58">
        <f t="shared" si="267"/>
        <v>0</v>
      </c>
      <c r="AQ118" s="58">
        <f t="shared" si="267"/>
        <v>0</v>
      </c>
      <c r="AR118" s="58">
        <f t="shared" si="267"/>
        <v>0</v>
      </c>
      <c r="AS118" s="58">
        <f t="shared" si="267"/>
        <v>0</v>
      </c>
      <c r="AT118" s="58">
        <f t="shared" si="267"/>
        <v>0</v>
      </c>
      <c r="AU118" s="58">
        <f t="shared" si="267"/>
        <v>0</v>
      </c>
      <c r="AV118" s="58">
        <f t="shared" si="267"/>
        <v>0</v>
      </c>
      <c r="AW118" s="58">
        <f t="shared" si="267"/>
        <v>0</v>
      </c>
      <c r="AX118" s="58">
        <f t="shared" si="267"/>
        <v>0</v>
      </c>
      <c r="AY118" s="58">
        <v>6.45</v>
      </c>
      <c r="AZ118" s="319">
        <f>AZ112-AZ113</f>
        <v>0</v>
      </c>
      <c r="BA118" s="344">
        <v>148459.09</v>
      </c>
      <c r="BB118" s="342"/>
      <c r="BC118" s="342"/>
      <c r="BD118" s="13"/>
    </row>
    <row r="119" spans="1:56">
      <c r="A119" s="13"/>
      <c r="B119" s="13"/>
      <c r="C119" s="13"/>
      <c r="D119" s="13"/>
      <c r="E119" s="13"/>
      <c r="G119" s="13"/>
      <c r="H119" s="13"/>
      <c r="I119" s="13"/>
      <c r="J119" s="13"/>
      <c r="K119" s="13"/>
      <c r="L119" s="13"/>
      <c r="M119" s="13"/>
      <c r="N119" s="13"/>
      <c r="O119" s="13"/>
      <c r="P119" s="314"/>
      <c r="Q119" s="13"/>
      <c r="R119" s="325" t="s">
        <v>3496</v>
      </c>
      <c r="S119" s="322">
        <f t="shared" ref="S119:AG119" si="268">S118/S112</f>
        <v>0.214470291359885</v>
      </c>
      <c r="T119" s="61">
        <f t="shared" si="268"/>
        <v>0.345534799648613</v>
      </c>
      <c r="U119" s="322">
        <f t="shared" si="268"/>
        <v>0.345524974957083</v>
      </c>
      <c r="V119" s="61">
        <f t="shared" si="268"/>
        <v>1</v>
      </c>
      <c r="W119" s="61">
        <f t="shared" si="268"/>
        <v>1</v>
      </c>
      <c r="X119" s="61">
        <f t="shared" si="268"/>
        <v>1</v>
      </c>
      <c r="Y119" s="61">
        <f t="shared" si="268"/>
        <v>1</v>
      </c>
      <c r="Z119" s="61">
        <f t="shared" si="268"/>
        <v>1</v>
      </c>
      <c r="AA119" s="61">
        <f t="shared" si="268"/>
        <v>1</v>
      </c>
      <c r="AB119" s="61">
        <f t="shared" si="268"/>
        <v>1</v>
      </c>
      <c r="AC119" s="61">
        <f t="shared" si="268"/>
        <v>1</v>
      </c>
      <c r="AD119" s="61">
        <f t="shared" si="268"/>
        <v>1</v>
      </c>
      <c r="AE119" s="61">
        <f t="shared" si="268"/>
        <v>1</v>
      </c>
      <c r="AF119" s="61">
        <f t="shared" si="268"/>
        <v>1</v>
      </c>
      <c r="AG119" s="61" t="e">
        <f t="shared" si="268"/>
        <v>#DIV/0!</v>
      </c>
      <c r="AH119" s="340">
        <f>T119-S119</f>
        <v>0.131064508288728</v>
      </c>
      <c r="AI119" s="82">
        <f>AF119-S119</f>
        <v>0.785529708640115</v>
      </c>
      <c r="AJ119" s="13"/>
      <c r="AK119" s="13"/>
      <c r="AL119" s="13"/>
      <c r="AM119" s="13"/>
      <c r="AN119" s="13"/>
      <c r="AO119" s="61" t="e">
        <f t="shared" ref="AO119:AX119" si="269">AO118/AO112</f>
        <v>#DIV/0!</v>
      </c>
      <c r="AP119" s="61" t="e">
        <f t="shared" si="269"/>
        <v>#DIV/0!</v>
      </c>
      <c r="AQ119" s="61" t="e">
        <f t="shared" si="269"/>
        <v>#DIV/0!</v>
      </c>
      <c r="AR119" s="61" t="e">
        <f t="shared" si="269"/>
        <v>#DIV/0!</v>
      </c>
      <c r="AS119" s="61" t="e">
        <f t="shared" si="269"/>
        <v>#DIV/0!</v>
      </c>
      <c r="AT119" s="61" t="e">
        <f t="shared" si="269"/>
        <v>#DIV/0!</v>
      </c>
      <c r="AU119" s="61" t="e">
        <f t="shared" si="269"/>
        <v>#DIV/0!</v>
      </c>
      <c r="AV119" s="61" t="e">
        <f t="shared" si="269"/>
        <v>#DIV/0!</v>
      </c>
      <c r="AW119" s="61" t="e">
        <f t="shared" si="269"/>
        <v>#DIV/0!</v>
      </c>
      <c r="AX119" s="61" t="e">
        <f t="shared" si="269"/>
        <v>#DIV/0!</v>
      </c>
      <c r="AY119" s="61">
        <v>1</v>
      </c>
      <c r="AZ119" s="322" t="e">
        <f>AZ118/AZ112</f>
        <v>#DIV/0!</v>
      </c>
      <c r="BA119" s="322">
        <v>0.345524974957083</v>
      </c>
      <c r="BB119" s="342"/>
      <c r="BC119" s="342"/>
      <c r="BD119" s="13"/>
    </row>
    <row r="120" spans="1:56">
      <c r="A120" s="13"/>
      <c r="B120" s="13"/>
      <c r="C120" s="13"/>
      <c r="D120" s="13"/>
      <c r="E120" s="13"/>
      <c r="G120" s="13"/>
      <c r="H120" s="13"/>
      <c r="I120" s="13"/>
      <c r="J120" s="13"/>
      <c r="K120" s="13"/>
      <c r="L120" s="13"/>
      <c r="M120" s="13"/>
      <c r="N120" s="13"/>
      <c r="O120" s="13"/>
      <c r="P120" s="314"/>
      <c r="Q120" s="13"/>
      <c r="R120" s="324" t="s">
        <v>3497</v>
      </c>
      <c r="S120" s="58">
        <f t="shared" ref="S120:AG120" si="270">S112-S117</f>
        <v>55693.07</v>
      </c>
      <c r="T120" s="58">
        <f t="shared" si="270"/>
        <v>143482.54</v>
      </c>
      <c r="U120" s="58">
        <f t="shared" si="270"/>
        <v>146144.51</v>
      </c>
      <c r="V120" s="58">
        <f t="shared" si="270"/>
        <v>-2661.97</v>
      </c>
      <c r="W120" s="58">
        <f t="shared" si="270"/>
        <v>-2661.97</v>
      </c>
      <c r="X120" s="58">
        <f t="shared" si="270"/>
        <v>-2661.97</v>
      </c>
      <c r="Y120" s="58">
        <f t="shared" si="270"/>
        <v>-2661.97</v>
      </c>
      <c r="Z120" s="58">
        <f t="shared" si="270"/>
        <v>-2661.97</v>
      </c>
      <c r="AA120" s="58">
        <f t="shared" si="270"/>
        <v>-2661.97</v>
      </c>
      <c r="AB120" s="58">
        <f t="shared" si="270"/>
        <v>-2661.97</v>
      </c>
      <c r="AC120" s="58">
        <f t="shared" si="270"/>
        <v>-2661.97</v>
      </c>
      <c r="AD120" s="58">
        <f t="shared" si="270"/>
        <v>-2661.97</v>
      </c>
      <c r="AE120" s="58">
        <f t="shared" si="270"/>
        <v>-2661.97</v>
      </c>
      <c r="AF120" s="58">
        <f t="shared" si="270"/>
        <v>-2661.97</v>
      </c>
      <c r="AG120" s="58">
        <f t="shared" si="270"/>
        <v>0</v>
      </c>
      <c r="AH120" s="82"/>
      <c r="AI120" s="82"/>
      <c r="AJ120" s="13"/>
      <c r="AK120" s="13"/>
      <c r="AL120" s="13"/>
      <c r="AM120" s="13"/>
      <c r="AN120" s="13"/>
      <c r="AO120" s="58">
        <f t="shared" ref="AO120:AX120" si="271">AO112-AO113-AO115-AO116</f>
        <v>0</v>
      </c>
      <c r="AP120" s="58">
        <f t="shared" si="271"/>
        <v>0</v>
      </c>
      <c r="AQ120" s="58">
        <f t="shared" si="271"/>
        <v>0</v>
      </c>
      <c r="AR120" s="58">
        <f t="shared" si="271"/>
        <v>0</v>
      </c>
      <c r="AS120" s="58">
        <f t="shared" si="271"/>
        <v>0</v>
      </c>
      <c r="AT120" s="58">
        <f t="shared" si="271"/>
        <v>0</v>
      </c>
      <c r="AU120" s="58">
        <f t="shared" si="271"/>
        <v>0</v>
      </c>
      <c r="AV120" s="58">
        <f t="shared" si="271"/>
        <v>0</v>
      </c>
      <c r="AW120" s="58">
        <f t="shared" si="271"/>
        <v>0</v>
      </c>
      <c r="AX120" s="58">
        <f t="shared" si="271"/>
        <v>0</v>
      </c>
      <c r="AY120" s="58">
        <v>-2661.97</v>
      </c>
      <c r="AZ120" s="319">
        <f>AZ112-AZ113-AZ115-AZ116</f>
        <v>0</v>
      </c>
      <c r="BA120" s="344">
        <v>146144.51</v>
      </c>
      <c r="BB120" s="342"/>
      <c r="BC120" s="342"/>
      <c r="BD120" s="13"/>
    </row>
    <row r="121" ht="16.5" customHeight="1" spans="1:56">
      <c r="A121" s="14"/>
      <c r="B121" s="14"/>
      <c r="C121" s="14"/>
      <c r="D121" s="14"/>
      <c r="E121" s="14"/>
      <c r="G121" s="14"/>
      <c r="H121" s="14"/>
      <c r="I121" s="14"/>
      <c r="J121" s="14"/>
      <c r="K121" s="14"/>
      <c r="L121" s="14"/>
      <c r="M121" s="14"/>
      <c r="N121" s="14"/>
      <c r="O121" s="14"/>
      <c r="P121" s="316"/>
      <c r="Q121" s="14"/>
      <c r="R121" s="325" t="s">
        <v>3498</v>
      </c>
      <c r="S121" s="322">
        <f t="shared" ref="S121:AG121" si="272">S120/S112</f>
        <v>0.19680185809725</v>
      </c>
      <c r="T121" s="61">
        <f t="shared" si="272"/>
        <v>0.333937496283475</v>
      </c>
      <c r="U121" s="322">
        <f t="shared" si="272"/>
        <v>0.340138001370378</v>
      </c>
      <c r="V121" s="61">
        <f t="shared" si="272"/>
        <v>-412.708527131783</v>
      </c>
      <c r="W121" s="61">
        <f t="shared" si="272"/>
        <v>-412.708527131783</v>
      </c>
      <c r="X121" s="61">
        <f t="shared" si="272"/>
        <v>-412.708527131783</v>
      </c>
      <c r="Y121" s="61">
        <f t="shared" si="272"/>
        <v>-412.708527131783</v>
      </c>
      <c r="Z121" s="61">
        <f t="shared" si="272"/>
        <v>-412.708527131783</v>
      </c>
      <c r="AA121" s="61">
        <f t="shared" si="272"/>
        <v>-412.708527131783</v>
      </c>
      <c r="AB121" s="61">
        <f t="shared" si="272"/>
        <v>-412.708527131783</v>
      </c>
      <c r="AC121" s="61">
        <f t="shared" si="272"/>
        <v>-412.708527131783</v>
      </c>
      <c r="AD121" s="61">
        <f t="shared" si="272"/>
        <v>-412.708527131783</v>
      </c>
      <c r="AE121" s="61">
        <f t="shared" si="272"/>
        <v>-412.708527131783</v>
      </c>
      <c r="AF121" s="61">
        <f t="shared" si="272"/>
        <v>-412.708527131783</v>
      </c>
      <c r="AG121" s="61" t="e">
        <f t="shared" si="272"/>
        <v>#DIV/0!</v>
      </c>
      <c r="AH121" s="340">
        <f>T121-S121</f>
        <v>0.137135638186225</v>
      </c>
      <c r="AI121" s="82">
        <f>AF121-S121</f>
        <v>-412.90532898988</v>
      </c>
      <c r="AJ121" s="14"/>
      <c r="AK121" s="14"/>
      <c r="AL121" s="14"/>
      <c r="AM121" s="14"/>
      <c r="AN121" s="14"/>
      <c r="AO121" s="61" t="e">
        <f t="shared" ref="AO121:AX121" si="273">AO120/AO112</f>
        <v>#DIV/0!</v>
      </c>
      <c r="AP121" s="61" t="e">
        <f t="shared" si="273"/>
        <v>#DIV/0!</v>
      </c>
      <c r="AQ121" s="61" t="e">
        <f t="shared" si="273"/>
        <v>#DIV/0!</v>
      </c>
      <c r="AR121" s="61" t="e">
        <f t="shared" si="273"/>
        <v>#DIV/0!</v>
      </c>
      <c r="AS121" s="61" t="e">
        <f t="shared" si="273"/>
        <v>#DIV/0!</v>
      </c>
      <c r="AT121" s="61" t="e">
        <f t="shared" si="273"/>
        <v>#DIV/0!</v>
      </c>
      <c r="AU121" s="61" t="e">
        <f t="shared" si="273"/>
        <v>#DIV/0!</v>
      </c>
      <c r="AV121" s="61" t="e">
        <f t="shared" si="273"/>
        <v>#DIV/0!</v>
      </c>
      <c r="AW121" s="61" t="e">
        <f t="shared" si="273"/>
        <v>#DIV/0!</v>
      </c>
      <c r="AX121" s="61" t="e">
        <f t="shared" si="273"/>
        <v>#DIV/0!</v>
      </c>
      <c r="AY121" s="61">
        <v>-412.7085</v>
      </c>
      <c r="AZ121" s="322" t="e">
        <f>AZ120/AZ112</f>
        <v>#DIV/0!</v>
      </c>
      <c r="BA121" s="322">
        <v>0.340138001370378</v>
      </c>
      <c r="BB121" s="342"/>
      <c r="BC121" s="342"/>
      <c r="BD121" s="14"/>
    </row>
    <row r="122" spans="1:56">
      <c r="A122" s="305" t="s">
        <v>2629</v>
      </c>
      <c r="B122" s="306" t="s">
        <v>3569</v>
      </c>
      <c r="C122" s="307">
        <v>45839</v>
      </c>
      <c r="D122" s="307">
        <v>46022</v>
      </c>
      <c r="E122" s="308"/>
      <c r="F122" s="166" t="s">
        <v>3561</v>
      </c>
      <c r="G122" s="309"/>
      <c r="H122" s="310"/>
      <c r="I122" s="310"/>
      <c r="J122" s="311"/>
      <c r="K122" s="312"/>
      <c r="L122" s="312"/>
      <c r="M122" s="312"/>
      <c r="N122" s="312"/>
      <c r="O122" s="312"/>
      <c r="P122" s="313"/>
      <c r="Q122" s="308"/>
      <c r="R122" s="323" t="s">
        <v>3486</v>
      </c>
      <c r="S122" s="319">
        <v>245283.02</v>
      </c>
      <c r="T122" s="58">
        <f t="shared" ref="T122:T126" si="274">SUM(AO122:BC122)</f>
        <v>239053.49</v>
      </c>
      <c r="U122" s="319">
        <f t="shared" ref="U122:U126" si="275">SUM(BA122:BC122)</f>
        <v>239053.49</v>
      </c>
      <c r="V122" s="58">
        <f t="shared" ref="V122:V126" si="276">SUM(AO122:AZ122)</f>
        <v>0</v>
      </c>
      <c r="W122" s="58">
        <f t="shared" ref="W122:W126" si="277">SUM(AP122:AZ122)</f>
        <v>0</v>
      </c>
      <c r="X122" s="58">
        <f t="shared" ref="X122:X126" si="278">SUM(AQ122:AZ122)</f>
        <v>0</v>
      </c>
      <c r="Y122" s="58">
        <f t="shared" ref="Y122:Y126" si="279">SUM(AR122:AZ122)</f>
        <v>0</v>
      </c>
      <c r="Z122" s="58">
        <f t="shared" ref="Z122:Z126" si="280">SUM(AS122:AZ122)</f>
        <v>0</v>
      </c>
      <c r="AA122" s="58">
        <f t="shared" ref="AA122:AA126" si="281">SUM(AT122:AZ122)</f>
        <v>0</v>
      </c>
      <c r="AB122" s="58">
        <f t="shared" ref="AB122:AB126" si="282">SUM(AU122:AZ122)</f>
        <v>0</v>
      </c>
      <c r="AC122" s="58">
        <f t="shared" ref="AC122:AC126" si="283">SUM(AV122:AZ122)</f>
        <v>0</v>
      </c>
      <c r="AD122" s="58">
        <f t="shared" ref="AD122:AD126" si="284">SUM(AW122:AZ122)</f>
        <v>0</v>
      </c>
      <c r="AE122" s="58">
        <f t="shared" ref="AE122:AE126" si="285">SUM(AX122:AZ122)</f>
        <v>0</v>
      </c>
      <c r="AF122" s="58">
        <f t="shared" ref="AF122:AF126" si="286">SUM(AY122:AZ122)</f>
        <v>0</v>
      </c>
      <c r="AG122" s="58">
        <f t="shared" ref="AG122:AG126" si="287">SUM(AZ122:AZ122)</f>
        <v>0</v>
      </c>
      <c r="AH122" s="334"/>
      <c r="AI122" s="328"/>
      <c r="AJ122" s="335"/>
      <c r="AK122" s="336" t="s">
        <v>3570</v>
      </c>
      <c r="AL122" s="337" t="s">
        <v>3571</v>
      </c>
      <c r="AM122" s="335" t="s">
        <v>3572</v>
      </c>
      <c r="AN122" s="338"/>
      <c r="AO122" s="58"/>
      <c r="AP122" s="58"/>
      <c r="AQ122" s="58"/>
      <c r="AR122" s="58"/>
      <c r="AS122" s="58"/>
      <c r="AT122" s="58"/>
      <c r="AU122" s="58"/>
      <c r="AV122" s="58"/>
      <c r="AW122" s="58"/>
      <c r="AX122" s="58"/>
      <c r="AY122" s="319" t="s">
        <v>3561</v>
      </c>
      <c r="AZ122" s="319"/>
      <c r="BA122" s="344">
        <v>239053.49</v>
      </c>
      <c r="BB122" s="342"/>
      <c r="BC122" s="342"/>
      <c r="BD122" s="346" t="s">
        <v>3567</v>
      </c>
    </row>
    <row r="123" spans="1:56">
      <c r="A123" s="13"/>
      <c r="B123" s="13"/>
      <c r="C123" s="13"/>
      <c r="D123" s="13"/>
      <c r="E123" s="13"/>
      <c r="G123" s="13"/>
      <c r="H123" s="13"/>
      <c r="I123" s="13"/>
      <c r="J123" s="13"/>
      <c r="K123" s="13"/>
      <c r="L123" s="13"/>
      <c r="M123" s="13"/>
      <c r="N123" s="13"/>
      <c r="O123" s="13"/>
      <c r="P123" s="314"/>
      <c r="Q123" s="13"/>
      <c r="R123" s="324" t="s">
        <v>3490</v>
      </c>
      <c r="S123" s="319">
        <v>203002.86</v>
      </c>
      <c r="T123" s="58">
        <f t="shared" si="274"/>
        <v>179362.24</v>
      </c>
      <c r="U123" s="319">
        <f t="shared" si="275"/>
        <v>179362.24</v>
      </c>
      <c r="V123" s="58">
        <f t="shared" si="276"/>
        <v>0</v>
      </c>
      <c r="W123" s="58">
        <f t="shared" si="277"/>
        <v>0</v>
      </c>
      <c r="X123" s="58">
        <f t="shared" si="278"/>
        <v>0</v>
      </c>
      <c r="Y123" s="58">
        <f t="shared" si="279"/>
        <v>0</v>
      </c>
      <c r="Z123" s="58">
        <f t="shared" si="280"/>
        <v>0</v>
      </c>
      <c r="AA123" s="58">
        <f t="shared" si="281"/>
        <v>0</v>
      </c>
      <c r="AB123" s="58">
        <f t="shared" si="282"/>
        <v>0</v>
      </c>
      <c r="AC123" s="58">
        <f t="shared" si="283"/>
        <v>0</v>
      </c>
      <c r="AD123" s="58">
        <f t="shared" si="284"/>
        <v>0</v>
      </c>
      <c r="AE123" s="58">
        <f t="shared" si="285"/>
        <v>0</v>
      </c>
      <c r="AF123" s="58">
        <f t="shared" si="286"/>
        <v>0</v>
      </c>
      <c r="AG123" s="58">
        <f t="shared" si="287"/>
        <v>0</v>
      </c>
      <c r="AH123" s="334"/>
      <c r="AI123" s="328"/>
      <c r="AJ123" s="13"/>
      <c r="AK123" s="13"/>
      <c r="AL123" s="13"/>
      <c r="AM123" s="13"/>
      <c r="AN123" s="13"/>
      <c r="AO123" s="58"/>
      <c r="AP123" s="58"/>
      <c r="AQ123" s="58"/>
      <c r="AR123" s="58"/>
      <c r="AS123" s="58"/>
      <c r="AT123" s="58"/>
      <c r="AU123" s="58"/>
      <c r="AV123" s="58"/>
      <c r="AW123" s="58"/>
      <c r="AX123" s="58"/>
      <c r="AY123" s="319" t="s">
        <v>3561</v>
      </c>
      <c r="AZ123" s="319"/>
      <c r="BA123" s="344">
        <v>179362.24</v>
      </c>
      <c r="BB123" s="342"/>
      <c r="BC123" s="342"/>
      <c r="BD123" s="13"/>
    </row>
    <row r="124" spans="1:56">
      <c r="A124" s="13"/>
      <c r="B124" s="13"/>
      <c r="C124" s="13"/>
      <c r="D124" s="13"/>
      <c r="E124" s="13"/>
      <c r="G124" s="13"/>
      <c r="H124" s="13"/>
      <c r="I124" s="13"/>
      <c r="J124" s="13"/>
      <c r="K124" s="13"/>
      <c r="L124" s="13"/>
      <c r="M124" s="13"/>
      <c r="N124" s="13"/>
      <c r="O124" s="13"/>
      <c r="P124" s="314"/>
      <c r="Q124" s="13"/>
      <c r="R124" s="324" t="s">
        <v>3491</v>
      </c>
      <c r="S124" s="319"/>
      <c r="T124" s="58">
        <f t="shared" si="274"/>
        <v>0</v>
      </c>
      <c r="U124" s="319">
        <f t="shared" si="275"/>
        <v>0</v>
      </c>
      <c r="V124" s="58"/>
      <c r="W124" s="58"/>
      <c r="X124" s="58"/>
      <c r="Y124" s="58"/>
      <c r="Z124" s="58"/>
      <c r="AA124" s="58"/>
      <c r="AB124" s="58"/>
      <c r="AC124" s="58"/>
      <c r="AD124" s="58"/>
      <c r="AE124" s="58"/>
      <c r="AF124" s="58"/>
      <c r="AG124" s="58"/>
      <c r="AH124" s="334"/>
      <c r="AI124" s="328"/>
      <c r="AJ124" s="13"/>
      <c r="AK124" s="13"/>
      <c r="AL124" s="13"/>
      <c r="AM124" s="13"/>
      <c r="AN124" s="13"/>
      <c r="AO124" s="58"/>
      <c r="AP124" s="58"/>
      <c r="AQ124" s="58"/>
      <c r="AR124" s="58"/>
      <c r="AS124" s="58"/>
      <c r="AT124" s="58"/>
      <c r="AU124" s="58"/>
      <c r="AV124" s="58"/>
      <c r="AW124" s="58"/>
      <c r="AX124" s="58">
        <v>0</v>
      </c>
      <c r="AY124" s="319"/>
      <c r="AZ124" s="319"/>
      <c r="BA124" s="344"/>
      <c r="BB124" s="342"/>
      <c r="BC124" s="342"/>
      <c r="BD124" s="13"/>
    </row>
    <row r="125" spans="1:56">
      <c r="A125" s="13"/>
      <c r="B125" s="13"/>
      <c r="C125" s="13"/>
      <c r="D125" s="13"/>
      <c r="E125" s="13"/>
      <c r="G125" s="13"/>
      <c r="H125" s="13"/>
      <c r="I125" s="13"/>
      <c r="J125" s="13"/>
      <c r="K125" s="13"/>
      <c r="L125" s="13"/>
      <c r="M125" s="13"/>
      <c r="N125" s="13"/>
      <c r="O125" s="13"/>
      <c r="P125" s="314"/>
      <c r="Q125" s="13"/>
      <c r="R125" s="324" t="s">
        <v>3492</v>
      </c>
      <c r="S125" s="319">
        <v>0</v>
      </c>
      <c r="T125" s="58">
        <f t="shared" si="274"/>
        <v>0</v>
      </c>
      <c r="U125" s="319">
        <f t="shared" si="275"/>
        <v>0</v>
      </c>
      <c r="V125" s="58">
        <f t="shared" si="276"/>
        <v>0</v>
      </c>
      <c r="W125" s="58">
        <f t="shared" si="277"/>
        <v>0</v>
      </c>
      <c r="X125" s="58">
        <f t="shared" si="278"/>
        <v>0</v>
      </c>
      <c r="Y125" s="58">
        <f t="shared" si="279"/>
        <v>0</v>
      </c>
      <c r="Z125" s="58">
        <f t="shared" si="280"/>
        <v>0</v>
      </c>
      <c r="AA125" s="58">
        <f t="shared" si="281"/>
        <v>0</v>
      </c>
      <c r="AB125" s="58">
        <f t="shared" si="282"/>
        <v>0</v>
      </c>
      <c r="AC125" s="58">
        <f t="shared" si="283"/>
        <v>0</v>
      </c>
      <c r="AD125" s="58">
        <f t="shared" si="284"/>
        <v>0</v>
      </c>
      <c r="AE125" s="58">
        <f t="shared" si="285"/>
        <v>0</v>
      </c>
      <c r="AF125" s="58">
        <f t="shared" si="286"/>
        <v>0</v>
      </c>
      <c r="AG125" s="58">
        <f t="shared" si="287"/>
        <v>0</v>
      </c>
      <c r="AH125" s="334"/>
      <c r="AI125" s="328"/>
      <c r="AJ125" s="13"/>
      <c r="AK125" s="13"/>
      <c r="AL125" s="13"/>
      <c r="AM125" s="13"/>
      <c r="AN125" s="13"/>
      <c r="AO125" s="58"/>
      <c r="AP125" s="58"/>
      <c r="AQ125" s="58"/>
      <c r="AR125" s="58"/>
      <c r="AS125" s="58"/>
      <c r="AT125" s="58"/>
      <c r="AU125" s="58"/>
      <c r="AV125" s="58"/>
      <c r="AW125" s="58"/>
      <c r="AX125" s="58"/>
      <c r="AY125" s="319"/>
      <c r="AZ125" s="319"/>
      <c r="BA125" s="344">
        <v>0</v>
      </c>
      <c r="BB125" s="342"/>
      <c r="BC125" s="342"/>
      <c r="BD125" s="13"/>
    </row>
    <row r="126" spans="1:56">
      <c r="A126" s="13"/>
      <c r="B126" s="13"/>
      <c r="C126" s="13"/>
      <c r="D126" s="13"/>
      <c r="E126" s="13"/>
      <c r="G126" s="13"/>
      <c r="H126" s="13"/>
      <c r="I126" s="13"/>
      <c r="J126" s="13"/>
      <c r="K126" s="13"/>
      <c r="L126" s="13"/>
      <c r="M126" s="13"/>
      <c r="N126" s="13"/>
      <c r="O126" s="13"/>
      <c r="P126" s="314"/>
      <c r="Q126" s="13"/>
      <c r="R126" s="324" t="s">
        <v>3493</v>
      </c>
      <c r="S126" s="319">
        <v>3000</v>
      </c>
      <c r="T126" s="58">
        <f t="shared" si="274"/>
        <v>765.38</v>
      </c>
      <c r="U126" s="319">
        <f t="shared" si="275"/>
        <v>666.06</v>
      </c>
      <c r="V126" s="58">
        <f t="shared" si="276"/>
        <v>99.32</v>
      </c>
      <c r="W126" s="58">
        <f t="shared" si="277"/>
        <v>99.32</v>
      </c>
      <c r="X126" s="58">
        <f t="shared" si="278"/>
        <v>99.32</v>
      </c>
      <c r="Y126" s="58">
        <f t="shared" si="279"/>
        <v>99.32</v>
      </c>
      <c r="Z126" s="58">
        <f t="shared" si="280"/>
        <v>99.32</v>
      </c>
      <c r="AA126" s="58">
        <f t="shared" si="281"/>
        <v>99.32</v>
      </c>
      <c r="AB126" s="58">
        <f t="shared" si="282"/>
        <v>99.32</v>
      </c>
      <c r="AC126" s="58">
        <f t="shared" si="283"/>
        <v>99.32</v>
      </c>
      <c r="AD126" s="58">
        <f t="shared" si="284"/>
        <v>99.32</v>
      </c>
      <c r="AE126" s="58">
        <f t="shared" si="285"/>
        <v>99.32</v>
      </c>
      <c r="AF126" s="58">
        <f t="shared" si="286"/>
        <v>99.32</v>
      </c>
      <c r="AG126" s="58">
        <f t="shared" si="287"/>
        <v>0</v>
      </c>
      <c r="AH126" s="334"/>
      <c r="AI126" s="328"/>
      <c r="AJ126" s="13"/>
      <c r="AK126" s="13"/>
      <c r="AL126" s="13"/>
      <c r="AM126" s="13"/>
      <c r="AN126" s="13"/>
      <c r="AO126" s="58"/>
      <c r="AP126" s="58"/>
      <c r="AQ126" s="58"/>
      <c r="AR126" s="58"/>
      <c r="AS126" s="58"/>
      <c r="AT126" s="58"/>
      <c r="AU126" s="58"/>
      <c r="AV126" s="58"/>
      <c r="AW126" s="58"/>
      <c r="AX126" s="58"/>
      <c r="AY126" s="319">
        <v>99.32</v>
      </c>
      <c r="AZ126" s="319"/>
      <c r="BA126" s="344">
        <v>666.06</v>
      </c>
      <c r="BB126" s="342"/>
      <c r="BC126" s="342"/>
      <c r="BD126" s="13"/>
    </row>
    <row r="127" ht="16.5" customHeight="1" spans="1:56">
      <c r="A127" s="13"/>
      <c r="B127" s="13"/>
      <c r="C127" s="13"/>
      <c r="D127" s="13"/>
      <c r="E127" s="13"/>
      <c r="G127" s="13"/>
      <c r="H127" s="13"/>
      <c r="I127" s="13"/>
      <c r="J127" s="13"/>
      <c r="K127" s="13"/>
      <c r="L127" s="13"/>
      <c r="M127" s="13"/>
      <c r="N127" s="13"/>
      <c r="O127" s="13"/>
      <c r="P127" s="315"/>
      <c r="Q127" s="13"/>
      <c r="R127" s="324" t="s">
        <v>3494</v>
      </c>
      <c r="S127" s="320">
        <f t="shared" ref="S127:AG127" si="288">SUM(S123:S126)</f>
        <v>206002.86</v>
      </c>
      <c r="T127" s="214">
        <f t="shared" si="288"/>
        <v>180127.62</v>
      </c>
      <c r="U127" s="320">
        <f t="shared" si="288"/>
        <v>180028.3</v>
      </c>
      <c r="V127" s="214">
        <f t="shared" si="288"/>
        <v>99.32</v>
      </c>
      <c r="W127" s="214">
        <f t="shared" si="288"/>
        <v>99.32</v>
      </c>
      <c r="X127" s="214">
        <f t="shared" si="288"/>
        <v>99.32</v>
      </c>
      <c r="Y127" s="214">
        <f t="shared" si="288"/>
        <v>99.32</v>
      </c>
      <c r="Z127" s="214">
        <f t="shared" si="288"/>
        <v>99.32</v>
      </c>
      <c r="AA127" s="214">
        <f t="shared" si="288"/>
        <v>99.32</v>
      </c>
      <c r="AB127" s="214">
        <f t="shared" si="288"/>
        <v>99.32</v>
      </c>
      <c r="AC127" s="214">
        <f t="shared" si="288"/>
        <v>99.32</v>
      </c>
      <c r="AD127" s="214">
        <f t="shared" si="288"/>
        <v>99.32</v>
      </c>
      <c r="AE127" s="214">
        <f t="shared" si="288"/>
        <v>99.32</v>
      </c>
      <c r="AF127" s="214">
        <f t="shared" si="288"/>
        <v>99.32</v>
      </c>
      <c r="AG127" s="214">
        <f t="shared" si="288"/>
        <v>0</v>
      </c>
      <c r="AH127" s="320">
        <f>SUM(AH123:AH126)</f>
        <v>0</v>
      </c>
      <c r="AI127" s="214">
        <f>SUM(AI123:AI126)</f>
        <v>0</v>
      </c>
      <c r="AJ127" s="13"/>
      <c r="AK127" s="13"/>
      <c r="AL127" s="13"/>
      <c r="AM127" s="13"/>
      <c r="AN127" s="13"/>
      <c r="AO127" s="214">
        <f t="shared" ref="AO127:AX127" si="289">SUM(AO123:AO126)</f>
        <v>0</v>
      </c>
      <c r="AP127" s="214">
        <f t="shared" si="289"/>
        <v>0</v>
      </c>
      <c r="AQ127" s="214">
        <f t="shared" si="289"/>
        <v>0</v>
      </c>
      <c r="AR127" s="214">
        <f t="shared" si="289"/>
        <v>0</v>
      </c>
      <c r="AS127" s="214">
        <f t="shared" si="289"/>
        <v>0</v>
      </c>
      <c r="AT127" s="214">
        <f t="shared" si="289"/>
        <v>0</v>
      </c>
      <c r="AU127" s="214">
        <f t="shared" si="289"/>
        <v>0</v>
      </c>
      <c r="AV127" s="214">
        <f t="shared" si="289"/>
        <v>0</v>
      </c>
      <c r="AW127" s="214">
        <f t="shared" si="289"/>
        <v>0</v>
      </c>
      <c r="AX127" s="214">
        <f t="shared" si="289"/>
        <v>0</v>
      </c>
      <c r="AY127" s="320">
        <v>99.32</v>
      </c>
      <c r="AZ127" s="320">
        <f>SUM(AZ123:AZ126)</f>
        <v>0</v>
      </c>
      <c r="BA127" s="320">
        <v>180028.3</v>
      </c>
      <c r="BB127" s="320">
        <f>SUM(BB123:BB126)</f>
        <v>0</v>
      </c>
      <c r="BC127" s="320">
        <f>SUM(BC123:BC126)</f>
        <v>0</v>
      </c>
      <c r="BD127" s="13"/>
    </row>
    <row r="128" spans="1:56">
      <c r="A128" s="13"/>
      <c r="B128" s="13"/>
      <c r="C128" s="13"/>
      <c r="D128" s="13"/>
      <c r="E128" s="13"/>
      <c r="G128" s="13"/>
      <c r="H128" s="13"/>
      <c r="I128" s="13"/>
      <c r="J128" s="13"/>
      <c r="K128" s="13"/>
      <c r="L128" s="13"/>
      <c r="M128" s="13"/>
      <c r="N128" s="13"/>
      <c r="O128" s="13"/>
      <c r="P128" s="314"/>
      <c r="Q128" s="13"/>
      <c r="R128" s="324" t="s">
        <v>3495</v>
      </c>
      <c r="S128" s="319">
        <f t="shared" ref="S128:AG128" si="290">S122-S123</f>
        <v>42280.16</v>
      </c>
      <c r="T128" s="58">
        <f t="shared" si="290"/>
        <v>59691.25</v>
      </c>
      <c r="U128" s="319">
        <f t="shared" si="290"/>
        <v>59691.25</v>
      </c>
      <c r="V128" s="58">
        <f t="shared" si="290"/>
        <v>0</v>
      </c>
      <c r="W128" s="58">
        <f t="shared" si="290"/>
        <v>0</v>
      </c>
      <c r="X128" s="58">
        <f t="shared" si="290"/>
        <v>0</v>
      </c>
      <c r="Y128" s="58">
        <f t="shared" si="290"/>
        <v>0</v>
      </c>
      <c r="Z128" s="58">
        <f t="shared" si="290"/>
        <v>0</v>
      </c>
      <c r="AA128" s="58">
        <f t="shared" si="290"/>
        <v>0</v>
      </c>
      <c r="AB128" s="58">
        <f t="shared" si="290"/>
        <v>0</v>
      </c>
      <c r="AC128" s="58">
        <f t="shared" si="290"/>
        <v>0</v>
      </c>
      <c r="AD128" s="58">
        <f t="shared" si="290"/>
        <v>0</v>
      </c>
      <c r="AE128" s="58">
        <f t="shared" si="290"/>
        <v>0</v>
      </c>
      <c r="AF128" s="58">
        <f t="shared" si="290"/>
        <v>0</v>
      </c>
      <c r="AG128" s="58">
        <f t="shared" si="290"/>
        <v>0</v>
      </c>
      <c r="AH128" s="339"/>
      <c r="AI128" s="332"/>
      <c r="AJ128" s="13"/>
      <c r="AK128" s="13"/>
      <c r="AL128" s="13"/>
      <c r="AM128" s="13"/>
      <c r="AN128" s="13"/>
      <c r="AO128" s="58">
        <f t="shared" ref="AO128:AX128" si="291">AO122-AO123</f>
        <v>0</v>
      </c>
      <c r="AP128" s="58">
        <f t="shared" si="291"/>
        <v>0</v>
      </c>
      <c r="AQ128" s="58">
        <f t="shared" si="291"/>
        <v>0</v>
      </c>
      <c r="AR128" s="58">
        <f t="shared" si="291"/>
        <v>0</v>
      </c>
      <c r="AS128" s="58">
        <f t="shared" si="291"/>
        <v>0</v>
      </c>
      <c r="AT128" s="58">
        <f t="shared" si="291"/>
        <v>0</v>
      </c>
      <c r="AU128" s="58">
        <f t="shared" si="291"/>
        <v>0</v>
      </c>
      <c r="AV128" s="58">
        <f t="shared" si="291"/>
        <v>0</v>
      </c>
      <c r="AW128" s="58">
        <f t="shared" si="291"/>
        <v>0</v>
      </c>
      <c r="AX128" s="58">
        <f t="shared" si="291"/>
        <v>0</v>
      </c>
      <c r="AY128" s="319" t="s">
        <v>3561</v>
      </c>
      <c r="AZ128" s="319">
        <f>AZ122-AZ123</f>
        <v>0</v>
      </c>
      <c r="BA128" s="344">
        <v>59691.25</v>
      </c>
      <c r="BB128" s="342"/>
      <c r="BC128" s="342"/>
      <c r="BD128" s="13"/>
    </row>
    <row r="129" spans="1:56">
      <c r="A129" s="13"/>
      <c r="B129" s="13"/>
      <c r="C129" s="13"/>
      <c r="D129" s="13"/>
      <c r="E129" s="13"/>
      <c r="G129" s="13"/>
      <c r="H129" s="13"/>
      <c r="I129" s="13"/>
      <c r="J129" s="13"/>
      <c r="K129" s="13"/>
      <c r="L129" s="13"/>
      <c r="M129" s="13"/>
      <c r="N129" s="13"/>
      <c r="O129" s="13"/>
      <c r="P129" s="314"/>
      <c r="Q129" s="13"/>
      <c r="R129" s="325" t="s">
        <v>3496</v>
      </c>
      <c r="S129" s="322">
        <f t="shared" ref="S129:AG129" si="292">S128/S122</f>
        <v>0.172372959204433</v>
      </c>
      <c r="T129" s="61">
        <f t="shared" si="292"/>
        <v>0.249698299740364</v>
      </c>
      <c r="U129" s="322">
        <f t="shared" si="292"/>
        <v>0.249698299740364</v>
      </c>
      <c r="V129" s="61" t="e">
        <f t="shared" si="292"/>
        <v>#DIV/0!</v>
      </c>
      <c r="W129" s="61" t="e">
        <f t="shared" si="292"/>
        <v>#DIV/0!</v>
      </c>
      <c r="X129" s="61" t="e">
        <f t="shared" si="292"/>
        <v>#DIV/0!</v>
      </c>
      <c r="Y129" s="61" t="e">
        <f t="shared" si="292"/>
        <v>#DIV/0!</v>
      </c>
      <c r="Z129" s="61" t="e">
        <f t="shared" si="292"/>
        <v>#DIV/0!</v>
      </c>
      <c r="AA129" s="61" t="e">
        <f t="shared" si="292"/>
        <v>#DIV/0!</v>
      </c>
      <c r="AB129" s="61" t="e">
        <f t="shared" si="292"/>
        <v>#DIV/0!</v>
      </c>
      <c r="AC129" s="61" t="e">
        <f t="shared" si="292"/>
        <v>#DIV/0!</v>
      </c>
      <c r="AD129" s="61" t="e">
        <f t="shared" si="292"/>
        <v>#DIV/0!</v>
      </c>
      <c r="AE129" s="61" t="e">
        <f t="shared" si="292"/>
        <v>#DIV/0!</v>
      </c>
      <c r="AF129" s="61" t="e">
        <f t="shared" si="292"/>
        <v>#DIV/0!</v>
      </c>
      <c r="AG129" s="61" t="e">
        <f t="shared" si="292"/>
        <v>#DIV/0!</v>
      </c>
      <c r="AH129" s="340">
        <f>T129-S129</f>
        <v>0.077325340535931</v>
      </c>
      <c r="AI129" s="82" t="e">
        <f>AF129-S129</f>
        <v>#DIV/0!</v>
      </c>
      <c r="AJ129" s="13"/>
      <c r="AK129" s="13"/>
      <c r="AL129" s="13"/>
      <c r="AM129" s="13"/>
      <c r="AN129" s="13"/>
      <c r="AO129" s="61" t="e">
        <f t="shared" ref="AO129:AX129" si="293">AO128/AO122</f>
        <v>#DIV/0!</v>
      </c>
      <c r="AP129" s="61" t="e">
        <f t="shared" si="293"/>
        <v>#DIV/0!</v>
      </c>
      <c r="AQ129" s="61" t="e">
        <f t="shared" si="293"/>
        <v>#DIV/0!</v>
      </c>
      <c r="AR129" s="61" t="e">
        <f t="shared" si="293"/>
        <v>#DIV/0!</v>
      </c>
      <c r="AS129" s="61" t="e">
        <f t="shared" si="293"/>
        <v>#DIV/0!</v>
      </c>
      <c r="AT129" s="61" t="e">
        <f t="shared" si="293"/>
        <v>#DIV/0!</v>
      </c>
      <c r="AU129" s="61" t="e">
        <f t="shared" si="293"/>
        <v>#DIV/0!</v>
      </c>
      <c r="AV129" s="61" t="e">
        <f t="shared" si="293"/>
        <v>#DIV/0!</v>
      </c>
      <c r="AW129" s="61" t="e">
        <f t="shared" si="293"/>
        <v>#DIV/0!</v>
      </c>
      <c r="AX129" s="61" t="e">
        <f t="shared" si="293"/>
        <v>#DIV/0!</v>
      </c>
      <c r="AY129" s="322" t="e">
        <v>#DIV/0!</v>
      </c>
      <c r="AZ129" s="322" t="e">
        <f>AZ128/AZ122</f>
        <v>#DIV/0!</v>
      </c>
      <c r="BA129" s="322">
        <v>0.249698299740364</v>
      </c>
      <c r="BB129" s="342"/>
      <c r="BC129" s="342"/>
      <c r="BD129" s="13"/>
    </row>
    <row r="130" spans="1:56">
      <c r="A130" s="13"/>
      <c r="B130" s="13"/>
      <c r="C130" s="13"/>
      <c r="D130" s="13"/>
      <c r="E130" s="13"/>
      <c r="G130" s="13"/>
      <c r="H130" s="13"/>
      <c r="I130" s="13"/>
      <c r="J130" s="13"/>
      <c r="K130" s="13"/>
      <c r="L130" s="13"/>
      <c r="M130" s="13"/>
      <c r="N130" s="13"/>
      <c r="O130" s="13"/>
      <c r="P130" s="314"/>
      <c r="Q130" s="13"/>
      <c r="R130" s="324" t="s">
        <v>3497</v>
      </c>
      <c r="S130" s="58">
        <f t="shared" ref="S130:AG130" si="294">S122-S127</f>
        <v>39280.16</v>
      </c>
      <c r="T130" s="58">
        <f t="shared" si="294"/>
        <v>58925.87</v>
      </c>
      <c r="U130" s="58">
        <f t="shared" si="294"/>
        <v>59025.19</v>
      </c>
      <c r="V130" s="58">
        <f t="shared" si="294"/>
        <v>-99.32</v>
      </c>
      <c r="W130" s="58">
        <f t="shared" si="294"/>
        <v>-99.32</v>
      </c>
      <c r="X130" s="58">
        <f t="shared" si="294"/>
        <v>-99.32</v>
      </c>
      <c r="Y130" s="58">
        <f t="shared" si="294"/>
        <v>-99.32</v>
      </c>
      <c r="Z130" s="58">
        <f t="shared" si="294"/>
        <v>-99.32</v>
      </c>
      <c r="AA130" s="58">
        <f t="shared" si="294"/>
        <v>-99.32</v>
      </c>
      <c r="AB130" s="58">
        <f t="shared" si="294"/>
        <v>-99.32</v>
      </c>
      <c r="AC130" s="58">
        <f t="shared" si="294"/>
        <v>-99.32</v>
      </c>
      <c r="AD130" s="58">
        <f t="shared" si="294"/>
        <v>-99.32</v>
      </c>
      <c r="AE130" s="58">
        <f t="shared" si="294"/>
        <v>-99.32</v>
      </c>
      <c r="AF130" s="58">
        <f t="shared" si="294"/>
        <v>-99.32</v>
      </c>
      <c r="AG130" s="58">
        <f t="shared" si="294"/>
        <v>0</v>
      </c>
      <c r="AH130" s="82"/>
      <c r="AI130" s="82"/>
      <c r="AJ130" s="13"/>
      <c r="AK130" s="13"/>
      <c r="AL130" s="13"/>
      <c r="AM130" s="13"/>
      <c r="AN130" s="13"/>
      <c r="AO130" s="58">
        <f t="shared" ref="AO130:BC130" si="295">AO122-AO127</f>
        <v>0</v>
      </c>
      <c r="AP130" s="58">
        <f t="shared" si="295"/>
        <v>0</v>
      </c>
      <c r="AQ130" s="58">
        <f t="shared" si="295"/>
        <v>0</v>
      </c>
      <c r="AR130" s="58">
        <f t="shared" si="295"/>
        <v>0</v>
      </c>
      <c r="AS130" s="58">
        <f t="shared" si="295"/>
        <v>0</v>
      </c>
      <c r="AT130" s="58">
        <f t="shared" si="295"/>
        <v>0</v>
      </c>
      <c r="AU130" s="58">
        <f t="shared" si="295"/>
        <v>0</v>
      </c>
      <c r="AV130" s="58">
        <f t="shared" si="295"/>
        <v>0</v>
      </c>
      <c r="AW130" s="58">
        <f t="shared" si="295"/>
        <v>0</v>
      </c>
      <c r="AX130" s="58">
        <f t="shared" si="295"/>
        <v>0</v>
      </c>
      <c r="AY130" s="58" t="e">
        <f t="shared" si="295"/>
        <v>#VALUE!</v>
      </c>
      <c r="AZ130" s="58">
        <f t="shared" si="295"/>
        <v>0</v>
      </c>
      <c r="BA130" s="58">
        <f t="shared" si="295"/>
        <v>59025.19</v>
      </c>
      <c r="BB130" s="58">
        <f t="shared" si="295"/>
        <v>0</v>
      </c>
      <c r="BC130" s="58">
        <f t="shared" si="295"/>
        <v>0</v>
      </c>
      <c r="BD130" s="13"/>
    </row>
    <row r="131" ht="16.5" customHeight="1" spans="1:56">
      <c r="A131" s="14"/>
      <c r="B131" s="14"/>
      <c r="C131" s="14"/>
      <c r="D131" s="14"/>
      <c r="E131" s="14"/>
      <c r="G131" s="14"/>
      <c r="H131" s="14"/>
      <c r="I131" s="14"/>
      <c r="J131" s="14"/>
      <c r="K131" s="14"/>
      <c r="L131" s="14"/>
      <c r="M131" s="14"/>
      <c r="N131" s="14"/>
      <c r="O131" s="14"/>
      <c r="P131" s="316"/>
      <c r="Q131" s="14"/>
      <c r="R131" s="325" t="s">
        <v>3498</v>
      </c>
      <c r="S131" s="322">
        <f t="shared" ref="S131:AG131" si="296">S130/S122</f>
        <v>0.160142190030113</v>
      </c>
      <c r="T131" s="61">
        <f t="shared" si="296"/>
        <v>0.246496589528979</v>
      </c>
      <c r="U131" s="322">
        <f t="shared" si="296"/>
        <v>0.246912061396803</v>
      </c>
      <c r="V131" s="61" t="e">
        <f t="shared" si="296"/>
        <v>#DIV/0!</v>
      </c>
      <c r="W131" s="61" t="e">
        <f t="shared" si="296"/>
        <v>#DIV/0!</v>
      </c>
      <c r="X131" s="61" t="e">
        <f t="shared" si="296"/>
        <v>#DIV/0!</v>
      </c>
      <c r="Y131" s="61" t="e">
        <f t="shared" si="296"/>
        <v>#DIV/0!</v>
      </c>
      <c r="Z131" s="61" t="e">
        <f t="shared" si="296"/>
        <v>#DIV/0!</v>
      </c>
      <c r="AA131" s="61" t="e">
        <f t="shared" si="296"/>
        <v>#DIV/0!</v>
      </c>
      <c r="AB131" s="61" t="e">
        <f t="shared" si="296"/>
        <v>#DIV/0!</v>
      </c>
      <c r="AC131" s="61" t="e">
        <f t="shared" si="296"/>
        <v>#DIV/0!</v>
      </c>
      <c r="AD131" s="61" t="e">
        <f t="shared" si="296"/>
        <v>#DIV/0!</v>
      </c>
      <c r="AE131" s="61" t="e">
        <f t="shared" si="296"/>
        <v>#DIV/0!</v>
      </c>
      <c r="AF131" s="61" t="e">
        <f t="shared" si="296"/>
        <v>#DIV/0!</v>
      </c>
      <c r="AG131" s="61" t="e">
        <f t="shared" si="296"/>
        <v>#DIV/0!</v>
      </c>
      <c r="AH131" s="340">
        <f>T131-S131</f>
        <v>0.0863543994988665</v>
      </c>
      <c r="AI131" s="82" t="e">
        <f>AF131-S131</f>
        <v>#DIV/0!</v>
      </c>
      <c r="AJ131" s="14"/>
      <c r="AK131" s="14"/>
      <c r="AL131" s="14"/>
      <c r="AM131" s="14"/>
      <c r="AN131" s="14"/>
      <c r="AO131" s="61" t="e">
        <f t="shared" ref="AO131:AX131" si="297">AO130/AO122</f>
        <v>#DIV/0!</v>
      </c>
      <c r="AP131" s="61" t="e">
        <f t="shared" si="297"/>
        <v>#DIV/0!</v>
      </c>
      <c r="AQ131" s="61" t="e">
        <f t="shared" si="297"/>
        <v>#DIV/0!</v>
      </c>
      <c r="AR131" s="61" t="e">
        <f t="shared" si="297"/>
        <v>#DIV/0!</v>
      </c>
      <c r="AS131" s="61" t="e">
        <f t="shared" si="297"/>
        <v>#DIV/0!</v>
      </c>
      <c r="AT131" s="61" t="e">
        <f t="shared" si="297"/>
        <v>#DIV/0!</v>
      </c>
      <c r="AU131" s="61" t="e">
        <f t="shared" si="297"/>
        <v>#DIV/0!</v>
      </c>
      <c r="AV131" s="61" t="e">
        <f t="shared" si="297"/>
        <v>#DIV/0!</v>
      </c>
      <c r="AW131" s="61" t="e">
        <f t="shared" si="297"/>
        <v>#DIV/0!</v>
      </c>
      <c r="AX131" s="61" t="e">
        <f t="shared" si="297"/>
        <v>#DIV/0!</v>
      </c>
      <c r="AY131" s="322" t="e">
        <v>#DIV/0!</v>
      </c>
      <c r="AZ131" s="322" t="e">
        <f>AZ130/AZ122</f>
        <v>#DIV/0!</v>
      </c>
      <c r="BA131" s="322">
        <v>0.246912061396803</v>
      </c>
      <c r="BB131" s="342"/>
      <c r="BC131" s="342"/>
      <c r="BD131" s="14"/>
    </row>
    <row r="132" ht="16.5" customHeight="1" spans="1:56">
      <c r="A132" s="300" t="s">
        <v>549</v>
      </c>
      <c r="B132" s="301" t="s">
        <v>550</v>
      </c>
      <c r="C132" s="302">
        <v>45758</v>
      </c>
      <c r="D132" s="302" t="s">
        <v>3573</v>
      </c>
      <c r="E132" s="304"/>
      <c r="F132" s="233" t="s">
        <v>3561</v>
      </c>
      <c r="G132" s="28">
        <v>0</v>
      </c>
      <c r="H132" s="301"/>
      <c r="I132" s="301"/>
      <c r="J132" s="12"/>
      <c r="K132" s="12"/>
      <c r="L132" s="12"/>
      <c r="M132" s="12"/>
      <c r="N132" s="12"/>
      <c r="O132" s="12"/>
      <c r="P132" s="304"/>
      <c r="Q132" s="12"/>
      <c r="R132" s="318" t="s">
        <v>3486</v>
      </c>
      <c r="S132" s="58">
        <v>471758.49</v>
      </c>
      <c r="T132" s="58">
        <f t="shared" ref="T132:T136" si="298">SUM(AO132:BC132)</f>
        <v>468214.29</v>
      </c>
      <c r="U132" s="319">
        <f t="shared" ref="U132:U136" si="299">SUM(BA132:BC132)</f>
        <v>468214.29</v>
      </c>
      <c r="V132" s="58">
        <f t="shared" ref="V132:V136" si="300">SUM(AO132:AZ132)</f>
        <v>0</v>
      </c>
      <c r="W132" s="58">
        <f t="shared" ref="W132:W136" si="301">SUM(AP132:AZ132)</f>
        <v>0</v>
      </c>
      <c r="X132" s="58">
        <f t="shared" ref="X132:X136" si="302">SUM(AQ132:AZ132)</f>
        <v>0</v>
      </c>
      <c r="Y132" s="58">
        <f t="shared" ref="Y132:Y136" si="303">SUM(AR132:AZ132)</f>
        <v>0</v>
      </c>
      <c r="Z132" s="58">
        <f t="shared" ref="Z132:Z136" si="304">SUM(AS132:AZ132)</f>
        <v>0</v>
      </c>
      <c r="AA132" s="58">
        <f t="shared" ref="AA132:AA136" si="305">SUM(AT132:AZ132)</f>
        <v>0</v>
      </c>
      <c r="AB132" s="58">
        <f t="shared" ref="AB132:AB136" si="306">SUM(AU132:AZ132)</f>
        <v>0</v>
      </c>
      <c r="AC132" s="58">
        <f t="shared" ref="AC132:AC136" si="307">SUM(AV132:AZ132)</f>
        <v>0</v>
      </c>
      <c r="AD132" s="58">
        <f t="shared" ref="AD132:AD136" si="308">SUM(AW132:AZ132)</f>
        <v>0</v>
      </c>
      <c r="AE132" s="58">
        <f t="shared" ref="AE132:AE136" si="309">SUM(AX132:AZ132)</f>
        <v>0</v>
      </c>
      <c r="AF132" s="58">
        <f t="shared" ref="AF132:AF136" si="310">SUM(AY132:AZ132)</f>
        <v>0</v>
      </c>
      <c r="AG132" s="58">
        <f t="shared" ref="AG132:AG136" si="311">SUM(AZ132:AZ132)</f>
        <v>0</v>
      </c>
      <c r="AH132" s="328"/>
      <c r="AI132" s="328"/>
      <c r="AJ132" s="359"/>
      <c r="AK132" s="28" t="s">
        <v>3574</v>
      </c>
      <c r="AL132" s="93" t="s">
        <v>3575</v>
      </c>
      <c r="AM132" s="93" t="s">
        <v>3576</v>
      </c>
      <c r="AN132" s="360"/>
      <c r="AO132" s="58"/>
      <c r="AP132" s="58"/>
      <c r="AQ132" s="58"/>
      <c r="AR132" s="58"/>
      <c r="AS132" s="58"/>
      <c r="AT132" s="58"/>
      <c r="AU132" s="58"/>
      <c r="AV132" s="58"/>
      <c r="AW132" s="58"/>
      <c r="AX132" s="58">
        <v>0</v>
      </c>
      <c r="AY132" s="58">
        <v>0</v>
      </c>
      <c r="AZ132" s="58"/>
      <c r="BA132" s="344">
        <v>468214.29</v>
      </c>
      <c r="BB132" s="342"/>
      <c r="BC132" s="342"/>
      <c r="BD132" s="259"/>
    </row>
    <row r="133" ht="16.5" customHeight="1" spans="1:56">
      <c r="A133" s="13"/>
      <c r="B133" s="13"/>
      <c r="C133" s="13"/>
      <c r="D133" s="13"/>
      <c r="E133" s="13"/>
      <c r="F133" s="13"/>
      <c r="G133" s="13"/>
      <c r="H133" s="13"/>
      <c r="I133" s="13"/>
      <c r="J133" s="13"/>
      <c r="K133" s="13"/>
      <c r="L133" s="13"/>
      <c r="M133" s="13"/>
      <c r="N133" s="13"/>
      <c r="O133" s="13"/>
      <c r="P133" s="13"/>
      <c r="Q133" s="13"/>
      <c r="R133" s="213" t="s">
        <v>3490</v>
      </c>
      <c r="S133" s="58">
        <v>369556.38</v>
      </c>
      <c r="T133" s="58">
        <f t="shared" si="298"/>
        <v>242532.87</v>
      </c>
      <c r="U133" s="319">
        <f t="shared" si="299"/>
        <v>242816.55</v>
      </c>
      <c r="V133" s="58">
        <f t="shared" si="300"/>
        <v>-283.68</v>
      </c>
      <c r="W133" s="58">
        <f t="shared" si="301"/>
        <v>-283.68</v>
      </c>
      <c r="X133" s="58">
        <f t="shared" si="302"/>
        <v>-283.68</v>
      </c>
      <c r="Y133" s="58">
        <f t="shared" si="303"/>
        <v>-283.68</v>
      </c>
      <c r="Z133" s="58">
        <f t="shared" si="304"/>
        <v>-283.68</v>
      </c>
      <c r="AA133" s="58">
        <f t="shared" si="305"/>
        <v>-283.68</v>
      </c>
      <c r="AB133" s="58">
        <f t="shared" si="306"/>
        <v>-283.68</v>
      </c>
      <c r="AC133" s="58">
        <f t="shared" si="307"/>
        <v>-283.68</v>
      </c>
      <c r="AD133" s="58">
        <f t="shared" si="308"/>
        <v>-283.68</v>
      </c>
      <c r="AE133" s="58">
        <f t="shared" si="309"/>
        <v>-283.68</v>
      </c>
      <c r="AF133" s="58">
        <f t="shared" si="310"/>
        <v>0</v>
      </c>
      <c r="AG133" s="58">
        <f t="shared" si="311"/>
        <v>0</v>
      </c>
      <c r="AH133" s="328"/>
      <c r="AI133" s="328"/>
      <c r="AJ133" s="13"/>
      <c r="AK133" s="13"/>
      <c r="AL133" s="13"/>
      <c r="AM133" s="13"/>
      <c r="AN133" s="13"/>
      <c r="AO133" s="58"/>
      <c r="AP133" s="58"/>
      <c r="AQ133" s="58"/>
      <c r="AR133" s="58"/>
      <c r="AS133" s="58"/>
      <c r="AT133" s="58"/>
      <c r="AU133" s="58"/>
      <c r="AV133" s="58"/>
      <c r="AW133" s="58"/>
      <c r="AX133" s="58">
        <v>-283.68</v>
      </c>
      <c r="AY133" s="58">
        <v>0</v>
      </c>
      <c r="AZ133" s="58"/>
      <c r="BA133" s="344">
        <v>242816.55</v>
      </c>
      <c r="BB133" s="342"/>
      <c r="BC133" s="342"/>
      <c r="BD133" s="259"/>
    </row>
    <row r="134" ht="16.5" customHeight="1" spans="1:56">
      <c r="A134" s="13"/>
      <c r="B134" s="13"/>
      <c r="C134" s="13"/>
      <c r="D134" s="13"/>
      <c r="E134" s="13"/>
      <c r="F134" s="13"/>
      <c r="G134" s="13"/>
      <c r="H134" s="13"/>
      <c r="I134" s="13"/>
      <c r="J134" s="13"/>
      <c r="K134" s="13"/>
      <c r="L134" s="13"/>
      <c r="M134" s="13"/>
      <c r="N134" s="13"/>
      <c r="O134" s="13"/>
      <c r="P134" s="13"/>
      <c r="Q134" s="13"/>
      <c r="R134" s="213" t="s">
        <v>3491</v>
      </c>
      <c r="S134" s="58"/>
      <c r="T134" s="58">
        <f t="shared" si="298"/>
        <v>0</v>
      </c>
      <c r="U134" s="319">
        <f t="shared" si="299"/>
        <v>0</v>
      </c>
      <c r="V134" s="58"/>
      <c r="W134" s="58"/>
      <c r="X134" s="58"/>
      <c r="Y134" s="58"/>
      <c r="Z134" s="58"/>
      <c r="AA134" s="58"/>
      <c r="AB134" s="58"/>
      <c r="AC134" s="58"/>
      <c r="AD134" s="58"/>
      <c r="AE134" s="58"/>
      <c r="AF134" s="58"/>
      <c r="AG134" s="58"/>
      <c r="AH134" s="328"/>
      <c r="AI134" s="328"/>
      <c r="AJ134" s="13"/>
      <c r="AK134" s="13"/>
      <c r="AL134" s="13"/>
      <c r="AM134" s="13"/>
      <c r="AN134" s="13"/>
      <c r="AO134" s="58"/>
      <c r="AP134" s="58"/>
      <c r="AQ134" s="58"/>
      <c r="AR134" s="58"/>
      <c r="AS134" s="58"/>
      <c r="AT134" s="58"/>
      <c r="AU134" s="58"/>
      <c r="AV134" s="58"/>
      <c r="AW134" s="58"/>
      <c r="AX134" s="58">
        <v>0</v>
      </c>
      <c r="AY134" s="58"/>
      <c r="AZ134" s="58"/>
      <c r="BA134" s="344"/>
      <c r="BB134" s="342"/>
      <c r="BC134" s="342"/>
      <c r="BD134" s="259"/>
    </row>
    <row r="135" ht="16.5" customHeight="1" spans="1:56">
      <c r="A135" s="13"/>
      <c r="B135" s="13"/>
      <c r="C135" s="13"/>
      <c r="D135" s="13"/>
      <c r="E135" s="13"/>
      <c r="F135" s="13"/>
      <c r="G135" s="13"/>
      <c r="H135" s="13"/>
      <c r="I135" s="13"/>
      <c r="J135" s="13"/>
      <c r="K135" s="13"/>
      <c r="L135" s="13"/>
      <c r="M135" s="13"/>
      <c r="N135" s="13"/>
      <c r="O135" s="13"/>
      <c r="P135" s="13"/>
      <c r="Q135" s="13"/>
      <c r="R135" s="213" t="s">
        <v>3492</v>
      </c>
      <c r="S135" s="58">
        <v>10000</v>
      </c>
      <c r="T135" s="58">
        <f t="shared" si="298"/>
        <v>2111.9</v>
      </c>
      <c r="U135" s="319">
        <f t="shared" si="299"/>
        <v>2111.9</v>
      </c>
      <c r="V135" s="58">
        <f t="shared" si="300"/>
        <v>0</v>
      </c>
      <c r="W135" s="58">
        <f t="shared" si="301"/>
        <v>0</v>
      </c>
      <c r="X135" s="58">
        <f t="shared" si="302"/>
        <v>0</v>
      </c>
      <c r="Y135" s="58">
        <f t="shared" si="303"/>
        <v>0</v>
      </c>
      <c r="Z135" s="58">
        <f t="shared" si="304"/>
        <v>0</v>
      </c>
      <c r="AA135" s="58">
        <f t="shared" si="305"/>
        <v>0</v>
      </c>
      <c r="AB135" s="58">
        <f t="shared" si="306"/>
        <v>0</v>
      </c>
      <c r="AC135" s="58">
        <f t="shared" si="307"/>
        <v>0</v>
      </c>
      <c r="AD135" s="58">
        <f t="shared" si="308"/>
        <v>0</v>
      </c>
      <c r="AE135" s="58">
        <f t="shared" si="309"/>
        <v>0</v>
      </c>
      <c r="AF135" s="58">
        <f t="shared" si="310"/>
        <v>0</v>
      </c>
      <c r="AG135" s="58">
        <f t="shared" si="311"/>
        <v>0</v>
      </c>
      <c r="AH135" s="328"/>
      <c r="AI135" s="328"/>
      <c r="AJ135" s="13"/>
      <c r="AK135" s="13"/>
      <c r="AL135" s="13"/>
      <c r="AM135" s="13"/>
      <c r="AN135" s="13"/>
      <c r="AO135" s="58"/>
      <c r="AP135" s="58"/>
      <c r="AQ135" s="58"/>
      <c r="AR135" s="58"/>
      <c r="AS135" s="58"/>
      <c r="AT135" s="58"/>
      <c r="AU135" s="58"/>
      <c r="AV135" s="58"/>
      <c r="AW135" s="58"/>
      <c r="AX135" s="58"/>
      <c r="AY135" s="58">
        <v>0</v>
      </c>
      <c r="AZ135" s="58"/>
      <c r="BA135" s="344">
        <v>2111.9</v>
      </c>
      <c r="BB135" s="342"/>
      <c r="BC135" s="342"/>
      <c r="BD135" s="259"/>
    </row>
    <row r="136" ht="16.5" customHeight="1" spans="1:56">
      <c r="A136" s="13"/>
      <c r="B136" s="13"/>
      <c r="C136" s="13"/>
      <c r="D136" s="13"/>
      <c r="E136" s="13"/>
      <c r="F136" s="13"/>
      <c r="G136" s="13"/>
      <c r="H136" s="13"/>
      <c r="I136" s="13"/>
      <c r="J136" s="13"/>
      <c r="K136" s="13"/>
      <c r="L136" s="13"/>
      <c r="M136" s="13"/>
      <c r="N136" s="13"/>
      <c r="O136" s="13"/>
      <c r="P136" s="13"/>
      <c r="Q136" s="13"/>
      <c r="R136" s="213" t="s">
        <v>3493</v>
      </c>
      <c r="S136" s="58">
        <v>3000</v>
      </c>
      <c r="T136" s="58">
        <f t="shared" si="298"/>
        <v>4095.25</v>
      </c>
      <c r="U136" s="319">
        <f t="shared" si="299"/>
        <v>1447.86</v>
      </c>
      <c r="V136" s="58">
        <f t="shared" si="300"/>
        <v>2647.39</v>
      </c>
      <c r="W136" s="58">
        <f t="shared" si="301"/>
        <v>2647.39</v>
      </c>
      <c r="X136" s="58">
        <f t="shared" si="302"/>
        <v>2647.39</v>
      </c>
      <c r="Y136" s="58">
        <f t="shared" si="303"/>
        <v>2647.39</v>
      </c>
      <c r="Z136" s="58">
        <f t="shared" si="304"/>
        <v>2647.39</v>
      </c>
      <c r="AA136" s="58">
        <f t="shared" si="305"/>
        <v>2647.39</v>
      </c>
      <c r="AB136" s="58">
        <f t="shared" si="306"/>
        <v>2647.39</v>
      </c>
      <c r="AC136" s="58">
        <f t="shared" si="307"/>
        <v>2647.39</v>
      </c>
      <c r="AD136" s="58">
        <f t="shared" si="308"/>
        <v>2647.39</v>
      </c>
      <c r="AE136" s="58">
        <f t="shared" si="309"/>
        <v>2647.39</v>
      </c>
      <c r="AF136" s="58">
        <f t="shared" si="310"/>
        <v>324.1</v>
      </c>
      <c r="AG136" s="58">
        <f t="shared" si="311"/>
        <v>0</v>
      </c>
      <c r="AH136" s="328"/>
      <c r="AI136" s="328"/>
      <c r="AJ136" s="13"/>
      <c r="AK136" s="13"/>
      <c r="AL136" s="13"/>
      <c r="AM136" s="13"/>
      <c r="AN136" s="13"/>
      <c r="AO136" s="58"/>
      <c r="AP136" s="58"/>
      <c r="AQ136" s="58"/>
      <c r="AR136" s="58"/>
      <c r="AS136" s="58"/>
      <c r="AT136" s="58"/>
      <c r="AU136" s="58"/>
      <c r="AV136" s="58"/>
      <c r="AW136" s="58"/>
      <c r="AX136" s="58">
        <v>2323.29</v>
      </c>
      <c r="AY136" s="58">
        <v>324.1</v>
      </c>
      <c r="AZ136" s="58"/>
      <c r="BA136" s="344">
        <v>1447.86</v>
      </c>
      <c r="BB136" s="342"/>
      <c r="BC136" s="342"/>
      <c r="BD136" s="259"/>
    </row>
    <row r="137" ht="16.5" customHeight="1" spans="1:56">
      <c r="A137" s="13"/>
      <c r="B137" s="13"/>
      <c r="C137" s="13"/>
      <c r="D137" s="13"/>
      <c r="E137" s="13"/>
      <c r="F137" s="13"/>
      <c r="G137" s="13"/>
      <c r="H137" s="13"/>
      <c r="I137" s="13"/>
      <c r="J137" s="13"/>
      <c r="K137" s="13"/>
      <c r="L137" s="13"/>
      <c r="M137" s="13"/>
      <c r="N137" s="13"/>
      <c r="O137" s="13"/>
      <c r="P137" s="13"/>
      <c r="Q137" s="13"/>
      <c r="R137" s="213" t="s">
        <v>3494</v>
      </c>
      <c r="S137" s="214">
        <f t="shared" ref="S137:AG137" si="312">SUM(S133:S136)</f>
        <v>382556.38</v>
      </c>
      <c r="T137" s="214">
        <f t="shared" si="312"/>
        <v>248740.02</v>
      </c>
      <c r="U137" s="320">
        <f t="shared" si="312"/>
        <v>246376.31</v>
      </c>
      <c r="V137" s="214">
        <f t="shared" si="312"/>
        <v>2363.71</v>
      </c>
      <c r="W137" s="214">
        <f t="shared" si="312"/>
        <v>2363.71</v>
      </c>
      <c r="X137" s="214">
        <f t="shared" si="312"/>
        <v>2363.71</v>
      </c>
      <c r="Y137" s="214">
        <f t="shared" si="312"/>
        <v>2363.71</v>
      </c>
      <c r="Z137" s="214">
        <f t="shared" si="312"/>
        <v>2363.71</v>
      </c>
      <c r="AA137" s="214">
        <f t="shared" si="312"/>
        <v>2363.71</v>
      </c>
      <c r="AB137" s="214">
        <f t="shared" si="312"/>
        <v>2363.71</v>
      </c>
      <c r="AC137" s="214">
        <f t="shared" si="312"/>
        <v>2363.71</v>
      </c>
      <c r="AD137" s="214">
        <f t="shared" si="312"/>
        <v>2363.71</v>
      </c>
      <c r="AE137" s="214">
        <f t="shared" si="312"/>
        <v>2363.71</v>
      </c>
      <c r="AF137" s="214">
        <f t="shared" si="312"/>
        <v>324.1</v>
      </c>
      <c r="AG137" s="214">
        <f t="shared" si="312"/>
        <v>0</v>
      </c>
      <c r="AH137" s="214">
        <f>SUM(AH133:AH136)</f>
        <v>0</v>
      </c>
      <c r="AI137" s="214">
        <f>SUM(AI133:AI136)</f>
        <v>0</v>
      </c>
      <c r="AJ137" s="13"/>
      <c r="AK137" s="13"/>
      <c r="AL137" s="13"/>
      <c r="AM137" s="13"/>
      <c r="AN137" s="13"/>
      <c r="AO137" s="214">
        <f t="shared" ref="AO137:AX137" si="313">SUM(AO133:AO136)</f>
        <v>0</v>
      </c>
      <c r="AP137" s="214">
        <f t="shared" si="313"/>
        <v>0</v>
      </c>
      <c r="AQ137" s="214">
        <f t="shared" si="313"/>
        <v>0</v>
      </c>
      <c r="AR137" s="214">
        <f t="shared" si="313"/>
        <v>0</v>
      </c>
      <c r="AS137" s="214">
        <f t="shared" si="313"/>
        <v>0</v>
      </c>
      <c r="AT137" s="214">
        <f t="shared" si="313"/>
        <v>0</v>
      </c>
      <c r="AU137" s="214">
        <f t="shared" si="313"/>
        <v>0</v>
      </c>
      <c r="AV137" s="214">
        <f t="shared" si="313"/>
        <v>0</v>
      </c>
      <c r="AW137" s="214">
        <f t="shared" si="313"/>
        <v>0</v>
      </c>
      <c r="AX137" s="214">
        <f t="shared" si="313"/>
        <v>2039.61</v>
      </c>
      <c r="AY137" s="214">
        <v>324.1</v>
      </c>
      <c r="AZ137" s="214">
        <f>SUM(AZ133:AZ136)</f>
        <v>0</v>
      </c>
      <c r="BA137" s="320">
        <v>246376.31</v>
      </c>
      <c r="BB137" s="320">
        <f>SUM(BB133:BB136)</f>
        <v>0</v>
      </c>
      <c r="BC137" s="320">
        <f>SUM(BC133:BC136)</f>
        <v>0</v>
      </c>
      <c r="BD137" s="345"/>
    </row>
    <row r="138" ht="16.5" customHeight="1" spans="1:56">
      <c r="A138" s="13"/>
      <c r="B138" s="13"/>
      <c r="C138" s="13"/>
      <c r="D138" s="13"/>
      <c r="E138" s="13"/>
      <c r="F138" s="13"/>
      <c r="G138" s="13"/>
      <c r="H138" s="13"/>
      <c r="I138" s="13"/>
      <c r="J138" s="13"/>
      <c r="K138" s="13"/>
      <c r="L138" s="13"/>
      <c r="M138" s="13"/>
      <c r="N138" s="13"/>
      <c r="O138" s="13"/>
      <c r="P138" s="13"/>
      <c r="Q138" s="13"/>
      <c r="R138" s="213" t="s">
        <v>3495</v>
      </c>
      <c r="S138" s="58">
        <f t="shared" ref="S138:AG138" si="314">S132-S133</f>
        <v>102202.11</v>
      </c>
      <c r="T138" s="58">
        <f t="shared" si="314"/>
        <v>225681.42</v>
      </c>
      <c r="U138" s="319">
        <f t="shared" si="314"/>
        <v>225397.74</v>
      </c>
      <c r="V138" s="58">
        <f t="shared" si="314"/>
        <v>283.68</v>
      </c>
      <c r="W138" s="58">
        <f t="shared" si="314"/>
        <v>283.68</v>
      </c>
      <c r="X138" s="58">
        <f t="shared" si="314"/>
        <v>283.68</v>
      </c>
      <c r="Y138" s="58">
        <f t="shared" si="314"/>
        <v>283.68</v>
      </c>
      <c r="Z138" s="58">
        <f t="shared" si="314"/>
        <v>283.68</v>
      </c>
      <c r="AA138" s="58">
        <f t="shared" si="314"/>
        <v>283.68</v>
      </c>
      <c r="AB138" s="58">
        <f t="shared" si="314"/>
        <v>283.68</v>
      </c>
      <c r="AC138" s="58">
        <f t="shared" si="314"/>
        <v>283.68</v>
      </c>
      <c r="AD138" s="58">
        <f t="shared" si="314"/>
        <v>283.68</v>
      </c>
      <c r="AE138" s="58">
        <f t="shared" si="314"/>
        <v>283.68</v>
      </c>
      <c r="AF138" s="58">
        <f t="shared" si="314"/>
        <v>0</v>
      </c>
      <c r="AG138" s="58">
        <f t="shared" si="314"/>
        <v>0</v>
      </c>
      <c r="AH138" s="332"/>
      <c r="AI138" s="332"/>
      <c r="AJ138" s="13"/>
      <c r="AK138" s="13"/>
      <c r="AL138" s="13"/>
      <c r="AM138" s="13"/>
      <c r="AN138" s="13"/>
      <c r="AO138" s="58">
        <f t="shared" ref="AO138:AZ138" si="315">AO132-AO133</f>
        <v>0</v>
      </c>
      <c r="AP138" s="58">
        <f t="shared" si="315"/>
        <v>0</v>
      </c>
      <c r="AQ138" s="58">
        <f t="shared" si="315"/>
        <v>0</v>
      </c>
      <c r="AR138" s="58">
        <f t="shared" si="315"/>
        <v>0</v>
      </c>
      <c r="AS138" s="58">
        <f t="shared" si="315"/>
        <v>0</v>
      </c>
      <c r="AT138" s="58">
        <f t="shared" si="315"/>
        <v>0</v>
      </c>
      <c r="AU138" s="58">
        <f t="shared" si="315"/>
        <v>0</v>
      </c>
      <c r="AV138" s="58">
        <f t="shared" si="315"/>
        <v>0</v>
      </c>
      <c r="AW138" s="58">
        <f t="shared" si="315"/>
        <v>0</v>
      </c>
      <c r="AX138" s="58">
        <f t="shared" si="315"/>
        <v>283.68</v>
      </c>
      <c r="AY138" s="58">
        <f t="shared" si="315"/>
        <v>0</v>
      </c>
      <c r="AZ138" s="58">
        <f t="shared" si="315"/>
        <v>0</v>
      </c>
      <c r="BA138" s="344">
        <v>225397.74</v>
      </c>
      <c r="BB138" s="342"/>
      <c r="BC138" s="342"/>
      <c r="BD138" s="259"/>
    </row>
    <row r="139" ht="16.5" customHeight="1" spans="1:56">
      <c r="A139" s="13"/>
      <c r="B139" s="13"/>
      <c r="C139" s="13"/>
      <c r="D139" s="13"/>
      <c r="E139" s="13"/>
      <c r="F139" s="13"/>
      <c r="G139" s="13"/>
      <c r="H139" s="13"/>
      <c r="I139" s="13"/>
      <c r="J139" s="13"/>
      <c r="K139" s="13"/>
      <c r="L139" s="13"/>
      <c r="M139" s="13"/>
      <c r="N139" s="13"/>
      <c r="O139" s="13"/>
      <c r="P139" s="13"/>
      <c r="Q139" s="13"/>
      <c r="R139" s="321" t="s">
        <v>3496</v>
      </c>
      <c r="S139" s="61">
        <f t="shared" ref="S139:AG139" si="316">S138/S132</f>
        <v>0.216640743444808</v>
      </c>
      <c r="T139" s="61">
        <f t="shared" si="316"/>
        <v>0.482004553940462</v>
      </c>
      <c r="U139" s="322">
        <f t="shared" si="316"/>
        <v>0.481398677515802</v>
      </c>
      <c r="V139" s="61" t="e">
        <f t="shared" si="316"/>
        <v>#DIV/0!</v>
      </c>
      <c r="W139" s="61" t="e">
        <f t="shared" si="316"/>
        <v>#DIV/0!</v>
      </c>
      <c r="X139" s="61" t="e">
        <f t="shared" si="316"/>
        <v>#DIV/0!</v>
      </c>
      <c r="Y139" s="61" t="e">
        <f t="shared" si="316"/>
        <v>#DIV/0!</v>
      </c>
      <c r="Z139" s="61" t="e">
        <f t="shared" si="316"/>
        <v>#DIV/0!</v>
      </c>
      <c r="AA139" s="61" t="e">
        <f t="shared" si="316"/>
        <v>#DIV/0!</v>
      </c>
      <c r="AB139" s="61" t="e">
        <f t="shared" si="316"/>
        <v>#DIV/0!</v>
      </c>
      <c r="AC139" s="61" t="e">
        <f t="shared" si="316"/>
        <v>#DIV/0!</v>
      </c>
      <c r="AD139" s="61" t="e">
        <f t="shared" si="316"/>
        <v>#DIV/0!</v>
      </c>
      <c r="AE139" s="61" t="e">
        <f t="shared" si="316"/>
        <v>#DIV/0!</v>
      </c>
      <c r="AF139" s="61" t="e">
        <f t="shared" si="316"/>
        <v>#DIV/0!</v>
      </c>
      <c r="AG139" s="61" t="e">
        <f t="shared" si="316"/>
        <v>#DIV/0!</v>
      </c>
      <c r="AH139" s="82">
        <f>T139-S139</f>
        <v>0.265363810495654</v>
      </c>
      <c r="AI139" s="82" t="e">
        <f>AF139-S139</f>
        <v>#DIV/0!</v>
      </c>
      <c r="AJ139" s="13"/>
      <c r="AK139" s="13"/>
      <c r="AL139" s="13"/>
      <c r="AM139" s="13"/>
      <c r="AN139" s="13"/>
      <c r="AO139" s="61" t="e">
        <f t="shared" ref="AO139:AZ139" si="317">AO138/AO132</f>
        <v>#DIV/0!</v>
      </c>
      <c r="AP139" s="61" t="e">
        <f t="shared" si="317"/>
        <v>#DIV/0!</v>
      </c>
      <c r="AQ139" s="61" t="e">
        <f t="shared" si="317"/>
        <v>#DIV/0!</v>
      </c>
      <c r="AR139" s="61" t="e">
        <f t="shared" si="317"/>
        <v>#DIV/0!</v>
      </c>
      <c r="AS139" s="61" t="e">
        <f t="shared" si="317"/>
        <v>#DIV/0!</v>
      </c>
      <c r="AT139" s="61" t="e">
        <f t="shared" si="317"/>
        <v>#DIV/0!</v>
      </c>
      <c r="AU139" s="61" t="e">
        <f t="shared" si="317"/>
        <v>#DIV/0!</v>
      </c>
      <c r="AV139" s="61" t="e">
        <f t="shared" si="317"/>
        <v>#DIV/0!</v>
      </c>
      <c r="AW139" s="61" t="e">
        <f t="shared" si="317"/>
        <v>#DIV/0!</v>
      </c>
      <c r="AX139" s="61" t="e">
        <f t="shared" si="317"/>
        <v>#DIV/0!</v>
      </c>
      <c r="AY139" s="61" t="e">
        <f t="shared" si="317"/>
        <v>#DIV/0!</v>
      </c>
      <c r="AZ139" s="61" t="e">
        <f t="shared" si="317"/>
        <v>#DIV/0!</v>
      </c>
      <c r="BA139" s="322">
        <v>0.481398677515802</v>
      </c>
      <c r="BB139" s="342"/>
      <c r="BC139" s="342"/>
      <c r="BD139" s="259"/>
    </row>
    <row r="140" ht="16.5" customHeight="1" spans="1:56">
      <c r="A140" s="13"/>
      <c r="B140" s="13"/>
      <c r="C140" s="13"/>
      <c r="D140" s="13"/>
      <c r="E140" s="13"/>
      <c r="F140" s="13"/>
      <c r="G140" s="13"/>
      <c r="H140" s="13"/>
      <c r="I140" s="13"/>
      <c r="J140" s="13"/>
      <c r="K140" s="13"/>
      <c r="L140" s="13"/>
      <c r="M140" s="13"/>
      <c r="N140" s="13"/>
      <c r="O140" s="13"/>
      <c r="P140" s="13"/>
      <c r="Q140" s="13"/>
      <c r="R140" s="213" t="s">
        <v>3497</v>
      </c>
      <c r="S140" s="58">
        <f t="shared" ref="S140:AG140" si="318">S132-S137</f>
        <v>89202.11</v>
      </c>
      <c r="T140" s="58">
        <f t="shared" si="318"/>
        <v>219474.27</v>
      </c>
      <c r="U140" s="58">
        <f t="shared" si="318"/>
        <v>221837.98</v>
      </c>
      <c r="V140" s="58">
        <f t="shared" si="318"/>
        <v>-2363.71</v>
      </c>
      <c r="W140" s="58">
        <f t="shared" si="318"/>
        <v>-2363.71</v>
      </c>
      <c r="X140" s="58">
        <f t="shared" si="318"/>
        <v>-2363.71</v>
      </c>
      <c r="Y140" s="58">
        <f t="shared" si="318"/>
        <v>-2363.71</v>
      </c>
      <c r="Z140" s="58">
        <f t="shared" si="318"/>
        <v>-2363.71</v>
      </c>
      <c r="AA140" s="58">
        <f t="shared" si="318"/>
        <v>-2363.71</v>
      </c>
      <c r="AB140" s="58">
        <f t="shared" si="318"/>
        <v>-2363.71</v>
      </c>
      <c r="AC140" s="58">
        <f t="shared" si="318"/>
        <v>-2363.71</v>
      </c>
      <c r="AD140" s="58">
        <f t="shared" si="318"/>
        <v>-2363.71</v>
      </c>
      <c r="AE140" s="58">
        <f t="shared" si="318"/>
        <v>-2363.71</v>
      </c>
      <c r="AF140" s="58">
        <f t="shared" si="318"/>
        <v>-324.1</v>
      </c>
      <c r="AG140" s="58">
        <f t="shared" si="318"/>
        <v>0</v>
      </c>
      <c r="AH140" s="82"/>
      <c r="AI140" s="82"/>
      <c r="AJ140" s="13"/>
      <c r="AK140" s="13"/>
      <c r="AL140" s="13"/>
      <c r="AM140" s="13"/>
      <c r="AN140" s="13"/>
      <c r="AO140" s="58">
        <f t="shared" ref="AO140:AZ140" si="319">AO132-AO133-AO135-AO136</f>
        <v>0</v>
      </c>
      <c r="AP140" s="58">
        <f t="shared" si="319"/>
        <v>0</v>
      </c>
      <c r="AQ140" s="58">
        <f t="shared" si="319"/>
        <v>0</v>
      </c>
      <c r="AR140" s="58">
        <f t="shared" si="319"/>
        <v>0</v>
      </c>
      <c r="AS140" s="58">
        <f t="shared" si="319"/>
        <v>0</v>
      </c>
      <c r="AT140" s="58">
        <f t="shared" si="319"/>
        <v>0</v>
      </c>
      <c r="AU140" s="58">
        <f t="shared" si="319"/>
        <v>0</v>
      </c>
      <c r="AV140" s="58">
        <f t="shared" si="319"/>
        <v>0</v>
      </c>
      <c r="AW140" s="58">
        <f t="shared" si="319"/>
        <v>0</v>
      </c>
      <c r="AX140" s="58">
        <f t="shared" si="319"/>
        <v>-2039.61</v>
      </c>
      <c r="AY140" s="58">
        <f t="shared" si="319"/>
        <v>-324.1</v>
      </c>
      <c r="AZ140" s="58">
        <f t="shared" si="319"/>
        <v>0</v>
      </c>
      <c r="BA140" s="344">
        <v>221837.98</v>
      </c>
      <c r="BB140" s="342"/>
      <c r="BC140" s="342"/>
      <c r="BD140" s="259"/>
    </row>
    <row r="141" ht="16.5" customHeight="1" spans="1:56">
      <c r="A141" s="14"/>
      <c r="B141" s="14"/>
      <c r="C141" s="14"/>
      <c r="D141" s="14"/>
      <c r="E141" s="14"/>
      <c r="F141" s="14"/>
      <c r="G141" s="14"/>
      <c r="H141" s="14"/>
      <c r="I141" s="14"/>
      <c r="J141" s="14"/>
      <c r="K141" s="14"/>
      <c r="L141" s="14"/>
      <c r="M141" s="14"/>
      <c r="N141" s="14"/>
      <c r="O141" s="14"/>
      <c r="P141" s="14"/>
      <c r="Q141" s="14"/>
      <c r="R141" s="321" t="s">
        <v>3498</v>
      </c>
      <c r="S141" s="61">
        <f t="shared" ref="S141:AG141" si="320">S140/S132</f>
        <v>0.189084270640259</v>
      </c>
      <c r="T141" s="61">
        <f t="shared" si="320"/>
        <v>0.468747483123593</v>
      </c>
      <c r="U141" s="322">
        <f t="shared" si="320"/>
        <v>0.473795833954577</v>
      </c>
      <c r="V141" s="61" t="e">
        <f t="shared" si="320"/>
        <v>#DIV/0!</v>
      </c>
      <c r="W141" s="61" t="e">
        <f t="shared" si="320"/>
        <v>#DIV/0!</v>
      </c>
      <c r="X141" s="61" t="e">
        <f t="shared" si="320"/>
        <v>#DIV/0!</v>
      </c>
      <c r="Y141" s="61" t="e">
        <f t="shared" si="320"/>
        <v>#DIV/0!</v>
      </c>
      <c r="Z141" s="61" t="e">
        <f t="shared" si="320"/>
        <v>#DIV/0!</v>
      </c>
      <c r="AA141" s="61" t="e">
        <f t="shared" si="320"/>
        <v>#DIV/0!</v>
      </c>
      <c r="AB141" s="61" t="e">
        <f t="shared" si="320"/>
        <v>#DIV/0!</v>
      </c>
      <c r="AC141" s="61" t="e">
        <f t="shared" si="320"/>
        <v>#DIV/0!</v>
      </c>
      <c r="AD141" s="61" t="e">
        <f t="shared" si="320"/>
        <v>#DIV/0!</v>
      </c>
      <c r="AE141" s="61" t="e">
        <f t="shared" si="320"/>
        <v>#DIV/0!</v>
      </c>
      <c r="AF141" s="61" t="e">
        <f t="shared" si="320"/>
        <v>#DIV/0!</v>
      </c>
      <c r="AG141" s="61" t="e">
        <f t="shared" si="320"/>
        <v>#DIV/0!</v>
      </c>
      <c r="AH141" s="82">
        <f>T141-S141</f>
        <v>0.279663212483334</v>
      </c>
      <c r="AI141" s="82" t="e">
        <f>AF141-S141</f>
        <v>#DIV/0!</v>
      </c>
      <c r="AJ141" s="14"/>
      <c r="AK141" s="14"/>
      <c r="AL141" s="14"/>
      <c r="AM141" s="14"/>
      <c r="AN141" s="14"/>
      <c r="AO141" s="61" t="e">
        <f t="shared" ref="AO141:AZ141" si="321">AO140/AO132</f>
        <v>#DIV/0!</v>
      </c>
      <c r="AP141" s="61" t="e">
        <f t="shared" si="321"/>
        <v>#DIV/0!</v>
      </c>
      <c r="AQ141" s="61" t="e">
        <f t="shared" si="321"/>
        <v>#DIV/0!</v>
      </c>
      <c r="AR141" s="61" t="e">
        <f t="shared" si="321"/>
        <v>#DIV/0!</v>
      </c>
      <c r="AS141" s="61" t="e">
        <f t="shared" si="321"/>
        <v>#DIV/0!</v>
      </c>
      <c r="AT141" s="61" t="e">
        <f t="shared" si="321"/>
        <v>#DIV/0!</v>
      </c>
      <c r="AU141" s="61" t="e">
        <f t="shared" si="321"/>
        <v>#DIV/0!</v>
      </c>
      <c r="AV141" s="61" t="e">
        <f t="shared" si="321"/>
        <v>#DIV/0!</v>
      </c>
      <c r="AW141" s="61" t="e">
        <f t="shared" si="321"/>
        <v>#DIV/0!</v>
      </c>
      <c r="AX141" s="61" t="e">
        <f t="shared" si="321"/>
        <v>#DIV/0!</v>
      </c>
      <c r="AY141" s="61" t="e">
        <f t="shared" si="321"/>
        <v>#DIV/0!</v>
      </c>
      <c r="AZ141" s="61" t="e">
        <f t="shared" si="321"/>
        <v>#DIV/0!</v>
      </c>
      <c r="BA141" s="322">
        <v>0.473795833954577</v>
      </c>
      <c r="BB141" s="342"/>
      <c r="BC141" s="342"/>
      <c r="BD141" s="259"/>
    </row>
    <row r="142" ht="16.5" customHeight="1" spans="1:56">
      <c r="A142" s="300" t="s">
        <v>559</v>
      </c>
      <c r="B142" s="301" t="s">
        <v>560</v>
      </c>
      <c r="C142" s="302">
        <v>45809</v>
      </c>
      <c r="D142" s="302">
        <v>46171</v>
      </c>
      <c r="E142" s="304"/>
      <c r="F142" s="233" t="s">
        <v>3561</v>
      </c>
      <c r="G142" s="28">
        <v>0</v>
      </c>
      <c r="H142" s="301"/>
      <c r="I142" s="301"/>
      <c r="J142" s="12"/>
      <c r="K142" s="12"/>
      <c r="L142" s="12"/>
      <c r="M142" s="12"/>
      <c r="N142" s="12"/>
      <c r="O142" s="12"/>
      <c r="P142" s="304"/>
      <c r="Q142" s="12"/>
      <c r="R142" s="318" t="s">
        <v>3486</v>
      </c>
      <c r="S142" s="58">
        <v>300943.4</v>
      </c>
      <c r="T142" s="58">
        <f t="shared" ref="T142:T146" si="322">SUM(AO142:BC142)</f>
        <v>292708.24</v>
      </c>
      <c r="U142" s="319">
        <f t="shared" ref="U142:U146" si="323">SUM(BA142:BC142)</f>
        <v>292708.24</v>
      </c>
      <c r="V142" s="58">
        <f t="shared" ref="V142:V146" si="324">SUM(AO142:AZ142)</f>
        <v>0</v>
      </c>
      <c r="W142" s="58">
        <f t="shared" ref="W142:W146" si="325">SUM(AP142:AZ142)</f>
        <v>0</v>
      </c>
      <c r="X142" s="58">
        <f t="shared" ref="X142:X146" si="326">SUM(AQ142:AZ142)</f>
        <v>0</v>
      </c>
      <c r="Y142" s="58">
        <f t="shared" ref="Y142:Y146" si="327">SUM(AR142:AZ142)</f>
        <v>0</v>
      </c>
      <c r="Z142" s="58">
        <f t="shared" ref="Z142:Z146" si="328">SUM(AS142:AZ142)</f>
        <v>0</v>
      </c>
      <c r="AA142" s="58">
        <f t="shared" ref="AA142:AA146" si="329">SUM(AT142:AZ142)</f>
        <v>0</v>
      </c>
      <c r="AB142" s="58">
        <f t="shared" ref="AB142:AB146" si="330">SUM(AU142:AZ142)</f>
        <v>0</v>
      </c>
      <c r="AC142" s="58">
        <f t="shared" ref="AC142:AC146" si="331">SUM(AV142:AZ142)</f>
        <v>0</v>
      </c>
      <c r="AD142" s="58">
        <f t="shared" ref="AD142:AD146" si="332">SUM(AW142:AZ142)</f>
        <v>0</v>
      </c>
      <c r="AE142" s="58">
        <f t="shared" ref="AE142:AE146" si="333">SUM(AX142:AZ142)</f>
        <v>0</v>
      </c>
      <c r="AF142" s="58">
        <f t="shared" ref="AF142:AF146" si="334">SUM(AY142:AZ142)</f>
        <v>0</v>
      </c>
      <c r="AG142" s="58">
        <f t="shared" ref="AG142:AG146" si="335">SUM(AZ142:AZ142)</f>
        <v>0</v>
      </c>
      <c r="AH142" s="328"/>
      <c r="AI142" s="328"/>
      <c r="AJ142" s="93"/>
      <c r="AK142" s="28" t="s">
        <v>561</v>
      </c>
      <c r="AL142" s="93" t="s">
        <v>562</v>
      </c>
      <c r="AM142" s="93"/>
      <c r="AN142" s="28"/>
      <c r="AO142" s="58"/>
      <c r="AP142" s="58"/>
      <c r="AQ142" s="58"/>
      <c r="AR142" s="58"/>
      <c r="AS142" s="58"/>
      <c r="AT142" s="58"/>
      <c r="AU142" s="58"/>
      <c r="AV142" s="58"/>
      <c r="AW142" s="58"/>
      <c r="AX142" s="58">
        <v>0</v>
      </c>
      <c r="AY142" s="58">
        <v>0</v>
      </c>
      <c r="AZ142" s="58">
        <v>0</v>
      </c>
      <c r="BA142" s="344">
        <v>292708.24</v>
      </c>
      <c r="BB142" s="342"/>
      <c r="BC142" s="342"/>
      <c r="BD142" s="259"/>
    </row>
    <row r="143" ht="16.5" customHeight="1" spans="1:56">
      <c r="A143" s="13"/>
      <c r="B143" s="13"/>
      <c r="C143" s="13"/>
      <c r="D143" s="13"/>
      <c r="E143" s="13"/>
      <c r="F143" s="13"/>
      <c r="G143" s="13"/>
      <c r="H143" s="13"/>
      <c r="I143" s="13"/>
      <c r="J143" s="13"/>
      <c r="K143" s="13"/>
      <c r="L143" s="13"/>
      <c r="M143" s="13"/>
      <c r="N143" s="13"/>
      <c r="O143" s="13"/>
      <c r="P143" s="13"/>
      <c r="Q143" s="13"/>
      <c r="R143" s="213" t="s">
        <v>3490</v>
      </c>
      <c r="S143" s="58">
        <v>234503.41</v>
      </c>
      <c r="T143" s="58">
        <f t="shared" si="322"/>
        <v>236809.14</v>
      </c>
      <c r="U143" s="319">
        <f t="shared" si="323"/>
        <v>236809.14</v>
      </c>
      <c r="V143" s="58">
        <f t="shared" si="324"/>
        <v>0</v>
      </c>
      <c r="W143" s="58">
        <f t="shared" si="325"/>
        <v>0</v>
      </c>
      <c r="X143" s="58">
        <f t="shared" si="326"/>
        <v>0</v>
      </c>
      <c r="Y143" s="58">
        <f t="shared" si="327"/>
        <v>0</v>
      </c>
      <c r="Z143" s="58">
        <f t="shared" si="328"/>
        <v>0</v>
      </c>
      <c r="AA143" s="58">
        <f t="shared" si="329"/>
        <v>0</v>
      </c>
      <c r="AB143" s="58">
        <f t="shared" si="330"/>
        <v>0</v>
      </c>
      <c r="AC143" s="58">
        <f t="shared" si="331"/>
        <v>0</v>
      </c>
      <c r="AD143" s="58">
        <f t="shared" si="332"/>
        <v>0</v>
      </c>
      <c r="AE143" s="58">
        <f t="shared" si="333"/>
        <v>0</v>
      </c>
      <c r="AF143" s="58">
        <f t="shared" si="334"/>
        <v>0</v>
      </c>
      <c r="AG143" s="58">
        <f t="shared" si="335"/>
        <v>0</v>
      </c>
      <c r="AH143" s="328"/>
      <c r="AI143" s="328"/>
      <c r="AJ143" s="13"/>
      <c r="AK143" s="13"/>
      <c r="AL143" s="13"/>
      <c r="AM143" s="13"/>
      <c r="AN143" s="13"/>
      <c r="AO143" s="58"/>
      <c r="AP143" s="58"/>
      <c r="AQ143" s="58"/>
      <c r="AR143" s="58"/>
      <c r="AS143" s="58"/>
      <c r="AT143" s="58"/>
      <c r="AU143" s="58"/>
      <c r="AV143" s="58"/>
      <c r="AW143" s="58"/>
      <c r="AX143" s="58">
        <v>0</v>
      </c>
      <c r="AY143" s="58">
        <v>0</v>
      </c>
      <c r="AZ143" s="58">
        <v>0</v>
      </c>
      <c r="BA143" s="344">
        <v>236809.14</v>
      </c>
      <c r="BB143" s="342"/>
      <c r="BC143" s="342"/>
      <c r="BD143" s="259"/>
    </row>
    <row r="144" ht="16.5" customHeight="1" spans="1:56">
      <c r="A144" s="13"/>
      <c r="B144" s="13"/>
      <c r="C144" s="13"/>
      <c r="D144" s="13"/>
      <c r="E144" s="13"/>
      <c r="F144" s="13"/>
      <c r="G144" s="13"/>
      <c r="H144" s="13"/>
      <c r="I144" s="13"/>
      <c r="J144" s="13"/>
      <c r="K144" s="13"/>
      <c r="L144" s="13"/>
      <c r="M144" s="13"/>
      <c r="N144" s="13"/>
      <c r="O144" s="13"/>
      <c r="P144" s="13"/>
      <c r="Q144" s="13"/>
      <c r="R144" s="213" t="s">
        <v>3491</v>
      </c>
      <c r="S144" s="58"/>
      <c r="T144" s="58">
        <f t="shared" si="322"/>
        <v>0</v>
      </c>
      <c r="U144" s="319">
        <f t="shared" si="323"/>
        <v>0</v>
      </c>
      <c r="V144" s="58"/>
      <c r="W144" s="58"/>
      <c r="X144" s="58"/>
      <c r="Y144" s="58"/>
      <c r="Z144" s="58"/>
      <c r="AA144" s="58"/>
      <c r="AB144" s="58"/>
      <c r="AC144" s="58"/>
      <c r="AD144" s="58"/>
      <c r="AE144" s="58"/>
      <c r="AF144" s="58"/>
      <c r="AG144" s="58"/>
      <c r="AH144" s="328"/>
      <c r="AI144" s="328"/>
      <c r="AJ144" s="13"/>
      <c r="AK144" s="13"/>
      <c r="AL144" s="13"/>
      <c r="AM144" s="13"/>
      <c r="AN144" s="13"/>
      <c r="AO144" s="58"/>
      <c r="AP144" s="58"/>
      <c r="AQ144" s="58"/>
      <c r="AR144" s="58"/>
      <c r="AS144" s="58"/>
      <c r="AT144" s="58"/>
      <c r="AU144" s="58"/>
      <c r="AV144" s="58"/>
      <c r="AW144" s="58"/>
      <c r="AX144" s="58">
        <v>0</v>
      </c>
      <c r="AY144" s="58"/>
      <c r="AZ144" s="58"/>
      <c r="BA144" s="344"/>
      <c r="BB144" s="342"/>
      <c r="BC144" s="342"/>
      <c r="BD144" s="259"/>
    </row>
    <row r="145" ht="16.5" customHeight="1" spans="1:56">
      <c r="A145" s="13"/>
      <c r="B145" s="13"/>
      <c r="C145" s="13"/>
      <c r="D145" s="13"/>
      <c r="E145" s="13"/>
      <c r="F145" s="13"/>
      <c r="G145" s="13"/>
      <c r="H145" s="13"/>
      <c r="I145" s="13"/>
      <c r="J145" s="13"/>
      <c r="K145" s="13"/>
      <c r="L145" s="13"/>
      <c r="M145" s="13"/>
      <c r="N145" s="13"/>
      <c r="O145" s="13"/>
      <c r="P145" s="13"/>
      <c r="Q145" s="13"/>
      <c r="R145" s="213" t="s">
        <v>3492</v>
      </c>
      <c r="S145" s="58">
        <v>24000</v>
      </c>
      <c r="T145" s="58">
        <f t="shared" si="322"/>
        <v>0</v>
      </c>
      <c r="U145" s="319">
        <f t="shared" si="323"/>
        <v>0</v>
      </c>
      <c r="V145" s="58">
        <f t="shared" si="324"/>
        <v>0</v>
      </c>
      <c r="W145" s="58">
        <f t="shared" si="325"/>
        <v>0</v>
      </c>
      <c r="X145" s="58">
        <f t="shared" si="326"/>
        <v>0</v>
      </c>
      <c r="Y145" s="58">
        <f t="shared" si="327"/>
        <v>0</v>
      </c>
      <c r="Z145" s="58">
        <f t="shared" si="328"/>
        <v>0</v>
      </c>
      <c r="AA145" s="58">
        <f t="shared" si="329"/>
        <v>0</v>
      </c>
      <c r="AB145" s="58">
        <f t="shared" si="330"/>
        <v>0</v>
      </c>
      <c r="AC145" s="58">
        <f t="shared" si="331"/>
        <v>0</v>
      </c>
      <c r="AD145" s="58">
        <f t="shared" si="332"/>
        <v>0</v>
      </c>
      <c r="AE145" s="58">
        <f t="shared" si="333"/>
        <v>0</v>
      </c>
      <c r="AF145" s="58">
        <f t="shared" si="334"/>
        <v>0</v>
      </c>
      <c r="AG145" s="58">
        <f t="shared" si="335"/>
        <v>0</v>
      </c>
      <c r="AH145" s="328"/>
      <c r="AI145" s="328"/>
      <c r="AJ145" s="13"/>
      <c r="AK145" s="13"/>
      <c r="AL145" s="13"/>
      <c r="AM145" s="13"/>
      <c r="AN145" s="13"/>
      <c r="AO145" s="58"/>
      <c r="AP145" s="58"/>
      <c r="AQ145" s="58"/>
      <c r="AR145" s="58"/>
      <c r="AS145" s="58"/>
      <c r="AT145" s="58"/>
      <c r="AU145" s="58"/>
      <c r="AV145" s="58"/>
      <c r="AW145" s="58"/>
      <c r="AX145" s="58"/>
      <c r="AY145" s="58"/>
      <c r="AZ145" s="58">
        <v>0</v>
      </c>
      <c r="BA145" s="344">
        <v>0</v>
      </c>
      <c r="BB145" s="342"/>
      <c r="BC145" s="342"/>
      <c r="BD145" s="259"/>
    </row>
    <row r="146" ht="16.5" customHeight="1" spans="1:56">
      <c r="A146" s="13"/>
      <c r="B146" s="13"/>
      <c r="C146" s="13"/>
      <c r="D146" s="13"/>
      <c r="E146" s="13"/>
      <c r="F146" s="13"/>
      <c r="G146" s="13"/>
      <c r="H146" s="13"/>
      <c r="I146" s="13"/>
      <c r="J146" s="13"/>
      <c r="K146" s="13"/>
      <c r="L146" s="13"/>
      <c r="M146" s="13"/>
      <c r="N146" s="13"/>
      <c r="O146" s="13"/>
      <c r="P146" s="13"/>
      <c r="Q146" s="13"/>
      <c r="R146" s="213" t="s">
        <v>3493</v>
      </c>
      <c r="S146" s="58">
        <v>0</v>
      </c>
      <c r="T146" s="58">
        <f t="shared" si="322"/>
        <v>2986.59</v>
      </c>
      <c r="U146" s="319">
        <f t="shared" si="323"/>
        <v>2048.73</v>
      </c>
      <c r="V146" s="58">
        <f t="shared" si="324"/>
        <v>937.86</v>
      </c>
      <c r="W146" s="58">
        <f t="shared" si="325"/>
        <v>937.86</v>
      </c>
      <c r="X146" s="58">
        <f t="shared" si="326"/>
        <v>937.86</v>
      </c>
      <c r="Y146" s="58">
        <f t="shared" si="327"/>
        <v>937.86</v>
      </c>
      <c r="Z146" s="58">
        <f t="shared" si="328"/>
        <v>937.86</v>
      </c>
      <c r="AA146" s="58">
        <f t="shared" si="329"/>
        <v>937.86</v>
      </c>
      <c r="AB146" s="58">
        <f t="shared" si="330"/>
        <v>937.86</v>
      </c>
      <c r="AC146" s="58">
        <f t="shared" si="331"/>
        <v>937.86</v>
      </c>
      <c r="AD146" s="58">
        <f t="shared" si="332"/>
        <v>937.86</v>
      </c>
      <c r="AE146" s="58">
        <f t="shared" si="333"/>
        <v>937.86</v>
      </c>
      <c r="AF146" s="58">
        <f t="shared" si="334"/>
        <v>625.24</v>
      </c>
      <c r="AG146" s="58">
        <f t="shared" si="335"/>
        <v>312.62</v>
      </c>
      <c r="AH146" s="328"/>
      <c r="AI146" s="328"/>
      <c r="AJ146" s="13"/>
      <c r="AK146" s="13"/>
      <c r="AL146" s="13"/>
      <c r="AM146" s="13"/>
      <c r="AN146" s="13"/>
      <c r="AO146" s="58"/>
      <c r="AP146" s="58"/>
      <c r="AQ146" s="58"/>
      <c r="AR146" s="58"/>
      <c r="AS146" s="58"/>
      <c r="AT146" s="58"/>
      <c r="AU146" s="58"/>
      <c r="AV146" s="58"/>
      <c r="AW146" s="58"/>
      <c r="AX146" s="58">
        <v>312.62</v>
      </c>
      <c r="AY146" s="58">
        <v>312.62</v>
      </c>
      <c r="AZ146" s="58">
        <v>312.62</v>
      </c>
      <c r="BA146" s="344">
        <v>2048.73</v>
      </c>
      <c r="BB146" s="342"/>
      <c r="BC146" s="342"/>
      <c r="BD146" s="259"/>
    </row>
    <row r="147" ht="16.5" customHeight="1" spans="1:56">
      <c r="A147" s="13"/>
      <c r="B147" s="13"/>
      <c r="C147" s="13"/>
      <c r="D147" s="13"/>
      <c r="E147" s="13"/>
      <c r="F147" s="13"/>
      <c r="G147" s="13"/>
      <c r="H147" s="13"/>
      <c r="I147" s="13"/>
      <c r="J147" s="13"/>
      <c r="K147" s="13"/>
      <c r="L147" s="13"/>
      <c r="M147" s="13"/>
      <c r="N147" s="13"/>
      <c r="O147" s="13"/>
      <c r="P147" s="13"/>
      <c r="Q147" s="13"/>
      <c r="R147" s="213" t="s">
        <v>3494</v>
      </c>
      <c r="S147" s="214">
        <f t="shared" ref="S147:AG147" si="336">SUM(S143:S146)</f>
        <v>258503.41</v>
      </c>
      <c r="T147" s="214">
        <f t="shared" si="336"/>
        <v>239795.73</v>
      </c>
      <c r="U147" s="320">
        <f t="shared" si="336"/>
        <v>238857.87</v>
      </c>
      <c r="V147" s="214">
        <f t="shared" si="336"/>
        <v>937.86</v>
      </c>
      <c r="W147" s="214">
        <f t="shared" si="336"/>
        <v>937.86</v>
      </c>
      <c r="X147" s="214">
        <f t="shared" si="336"/>
        <v>937.86</v>
      </c>
      <c r="Y147" s="214">
        <f t="shared" si="336"/>
        <v>937.86</v>
      </c>
      <c r="Z147" s="214">
        <f t="shared" si="336"/>
        <v>937.86</v>
      </c>
      <c r="AA147" s="214">
        <f t="shared" si="336"/>
        <v>937.86</v>
      </c>
      <c r="AB147" s="214">
        <f t="shared" si="336"/>
        <v>937.86</v>
      </c>
      <c r="AC147" s="214">
        <f t="shared" si="336"/>
        <v>937.86</v>
      </c>
      <c r="AD147" s="214">
        <f t="shared" si="336"/>
        <v>937.86</v>
      </c>
      <c r="AE147" s="214">
        <f t="shared" si="336"/>
        <v>937.86</v>
      </c>
      <c r="AF147" s="214">
        <f t="shared" si="336"/>
        <v>625.24</v>
      </c>
      <c r="AG147" s="214">
        <f t="shared" si="336"/>
        <v>312.62</v>
      </c>
      <c r="AH147" s="214">
        <f>SUM(AH143:AH146)</f>
        <v>0</v>
      </c>
      <c r="AI147" s="214">
        <f>SUM(AI143:AI146)</f>
        <v>0</v>
      </c>
      <c r="AJ147" s="13"/>
      <c r="AK147" s="13"/>
      <c r="AL147" s="13"/>
      <c r="AM147" s="13"/>
      <c r="AN147" s="13"/>
      <c r="AO147" s="214">
        <f t="shared" ref="AO147:AZ147" si="337">SUM(AO143:AO146)</f>
        <v>0</v>
      </c>
      <c r="AP147" s="214">
        <f t="shared" si="337"/>
        <v>0</v>
      </c>
      <c r="AQ147" s="214">
        <f t="shared" si="337"/>
        <v>0</v>
      </c>
      <c r="AR147" s="214">
        <f t="shared" si="337"/>
        <v>0</v>
      </c>
      <c r="AS147" s="214">
        <f t="shared" si="337"/>
        <v>0</v>
      </c>
      <c r="AT147" s="214">
        <f t="shared" si="337"/>
        <v>0</v>
      </c>
      <c r="AU147" s="214">
        <f t="shared" si="337"/>
        <v>0</v>
      </c>
      <c r="AV147" s="214">
        <f t="shared" si="337"/>
        <v>0</v>
      </c>
      <c r="AW147" s="214">
        <f t="shared" si="337"/>
        <v>0</v>
      </c>
      <c r="AX147" s="214">
        <f t="shared" si="337"/>
        <v>312.62</v>
      </c>
      <c r="AY147" s="214">
        <f t="shared" si="337"/>
        <v>312.62</v>
      </c>
      <c r="AZ147" s="214">
        <f t="shared" si="337"/>
        <v>312.62</v>
      </c>
      <c r="BA147" s="320">
        <v>238857.87</v>
      </c>
      <c r="BB147" s="320">
        <f>SUM(BB143:BB146)</f>
        <v>0</v>
      </c>
      <c r="BC147" s="320">
        <f>SUM(BC143:BC146)</f>
        <v>0</v>
      </c>
      <c r="BD147" s="345"/>
    </row>
    <row r="148" ht="16.5" customHeight="1" spans="1:56">
      <c r="A148" s="13"/>
      <c r="B148" s="13"/>
      <c r="C148" s="13"/>
      <c r="D148" s="13"/>
      <c r="E148" s="13"/>
      <c r="F148" s="13"/>
      <c r="G148" s="13"/>
      <c r="H148" s="13"/>
      <c r="I148" s="13"/>
      <c r="J148" s="13"/>
      <c r="K148" s="13"/>
      <c r="L148" s="13"/>
      <c r="M148" s="13"/>
      <c r="N148" s="13"/>
      <c r="O148" s="13"/>
      <c r="P148" s="13"/>
      <c r="Q148" s="13"/>
      <c r="R148" s="213" t="s">
        <v>3495</v>
      </c>
      <c r="S148" s="58">
        <f t="shared" ref="S148:AG148" si="338">S142-S143</f>
        <v>66439.99</v>
      </c>
      <c r="T148" s="58">
        <f t="shared" si="338"/>
        <v>55899.1</v>
      </c>
      <c r="U148" s="319">
        <f t="shared" si="338"/>
        <v>55899.1</v>
      </c>
      <c r="V148" s="58">
        <f t="shared" si="338"/>
        <v>0</v>
      </c>
      <c r="W148" s="58">
        <f t="shared" si="338"/>
        <v>0</v>
      </c>
      <c r="X148" s="58">
        <f t="shared" si="338"/>
        <v>0</v>
      </c>
      <c r="Y148" s="58">
        <f t="shared" si="338"/>
        <v>0</v>
      </c>
      <c r="Z148" s="58">
        <f t="shared" si="338"/>
        <v>0</v>
      </c>
      <c r="AA148" s="58">
        <f t="shared" si="338"/>
        <v>0</v>
      </c>
      <c r="AB148" s="58">
        <f t="shared" si="338"/>
        <v>0</v>
      </c>
      <c r="AC148" s="58">
        <f t="shared" si="338"/>
        <v>0</v>
      </c>
      <c r="AD148" s="58">
        <f t="shared" si="338"/>
        <v>0</v>
      </c>
      <c r="AE148" s="58">
        <f t="shared" si="338"/>
        <v>0</v>
      </c>
      <c r="AF148" s="58">
        <f t="shared" si="338"/>
        <v>0</v>
      </c>
      <c r="AG148" s="58">
        <f t="shared" si="338"/>
        <v>0</v>
      </c>
      <c r="AH148" s="332"/>
      <c r="AI148" s="332"/>
      <c r="AJ148" s="13"/>
      <c r="AK148" s="13"/>
      <c r="AL148" s="13"/>
      <c r="AM148" s="13"/>
      <c r="AN148" s="13"/>
      <c r="AO148" s="58">
        <f t="shared" ref="AO148:AZ148" si="339">AO142-AO143</f>
        <v>0</v>
      </c>
      <c r="AP148" s="58">
        <f t="shared" si="339"/>
        <v>0</v>
      </c>
      <c r="AQ148" s="58">
        <f t="shared" si="339"/>
        <v>0</v>
      </c>
      <c r="AR148" s="58">
        <f t="shared" si="339"/>
        <v>0</v>
      </c>
      <c r="AS148" s="58">
        <f t="shared" si="339"/>
        <v>0</v>
      </c>
      <c r="AT148" s="58">
        <f t="shared" si="339"/>
        <v>0</v>
      </c>
      <c r="AU148" s="58">
        <f t="shared" si="339"/>
        <v>0</v>
      </c>
      <c r="AV148" s="58">
        <f t="shared" si="339"/>
        <v>0</v>
      </c>
      <c r="AW148" s="58">
        <f t="shared" si="339"/>
        <v>0</v>
      </c>
      <c r="AX148" s="58">
        <f t="shared" si="339"/>
        <v>0</v>
      </c>
      <c r="AY148" s="58">
        <f t="shared" si="339"/>
        <v>0</v>
      </c>
      <c r="AZ148" s="58">
        <f t="shared" si="339"/>
        <v>0</v>
      </c>
      <c r="BA148" s="344">
        <v>55899.1</v>
      </c>
      <c r="BB148" s="342"/>
      <c r="BC148" s="342"/>
      <c r="BD148" s="259"/>
    </row>
    <row r="149" ht="16.5" customHeight="1" spans="1:56">
      <c r="A149" s="13"/>
      <c r="B149" s="13"/>
      <c r="C149" s="13"/>
      <c r="D149" s="13"/>
      <c r="E149" s="13"/>
      <c r="F149" s="13"/>
      <c r="G149" s="13"/>
      <c r="H149" s="13"/>
      <c r="I149" s="13"/>
      <c r="J149" s="13"/>
      <c r="K149" s="13"/>
      <c r="L149" s="13"/>
      <c r="M149" s="13"/>
      <c r="N149" s="13"/>
      <c r="O149" s="13"/>
      <c r="P149" s="13"/>
      <c r="Q149" s="13"/>
      <c r="R149" s="321" t="s">
        <v>3496</v>
      </c>
      <c r="S149" s="61">
        <f t="shared" ref="S149:AG149" si="340">S148/S142</f>
        <v>0.220772377795958</v>
      </c>
      <c r="T149" s="61">
        <f t="shared" si="340"/>
        <v>0.190972075128462</v>
      </c>
      <c r="U149" s="322">
        <f t="shared" si="340"/>
        <v>0.190972075128462</v>
      </c>
      <c r="V149" s="61" t="e">
        <f t="shared" si="340"/>
        <v>#DIV/0!</v>
      </c>
      <c r="W149" s="61" t="e">
        <f t="shared" si="340"/>
        <v>#DIV/0!</v>
      </c>
      <c r="X149" s="61" t="e">
        <f t="shared" si="340"/>
        <v>#DIV/0!</v>
      </c>
      <c r="Y149" s="61" t="e">
        <f t="shared" si="340"/>
        <v>#DIV/0!</v>
      </c>
      <c r="Z149" s="61" t="e">
        <f t="shared" si="340"/>
        <v>#DIV/0!</v>
      </c>
      <c r="AA149" s="61" t="e">
        <f t="shared" si="340"/>
        <v>#DIV/0!</v>
      </c>
      <c r="AB149" s="61" t="e">
        <f t="shared" si="340"/>
        <v>#DIV/0!</v>
      </c>
      <c r="AC149" s="61" t="e">
        <f t="shared" si="340"/>
        <v>#DIV/0!</v>
      </c>
      <c r="AD149" s="61" t="e">
        <f t="shared" si="340"/>
        <v>#DIV/0!</v>
      </c>
      <c r="AE149" s="61" t="e">
        <f t="shared" si="340"/>
        <v>#DIV/0!</v>
      </c>
      <c r="AF149" s="61" t="e">
        <f t="shared" si="340"/>
        <v>#DIV/0!</v>
      </c>
      <c r="AG149" s="61" t="e">
        <f t="shared" si="340"/>
        <v>#DIV/0!</v>
      </c>
      <c r="AH149" s="82">
        <f>T149-S149</f>
        <v>-0.0298003026674954</v>
      </c>
      <c r="AI149" s="82" t="e">
        <f>AF149-S149</f>
        <v>#DIV/0!</v>
      </c>
      <c r="AJ149" s="13"/>
      <c r="AK149" s="13"/>
      <c r="AL149" s="13"/>
      <c r="AM149" s="13"/>
      <c r="AN149" s="13"/>
      <c r="AO149" s="61" t="e">
        <f t="shared" ref="AO149:AZ149" si="341">AO148/AO142</f>
        <v>#DIV/0!</v>
      </c>
      <c r="AP149" s="61" t="e">
        <f t="shared" si="341"/>
        <v>#DIV/0!</v>
      </c>
      <c r="AQ149" s="61" t="e">
        <f t="shared" si="341"/>
        <v>#DIV/0!</v>
      </c>
      <c r="AR149" s="61" t="e">
        <f t="shared" si="341"/>
        <v>#DIV/0!</v>
      </c>
      <c r="AS149" s="61" t="e">
        <f t="shared" si="341"/>
        <v>#DIV/0!</v>
      </c>
      <c r="AT149" s="61" t="e">
        <f t="shared" si="341"/>
        <v>#DIV/0!</v>
      </c>
      <c r="AU149" s="61" t="e">
        <f t="shared" si="341"/>
        <v>#DIV/0!</v>
      </c>
      <c r="AV149" s="61" t="e">
        <f t="shared" si="341"/>
        <v>#DIV/0!</v>
      </c>
      <c r="AW149" s="61" t="e">
        <f t="shared" si="341"/>
        <v>#DIV/0!</v>
      </c>
      <c r="AX149" s="61" t="e">
        <f t="shared" si="341"/>
        <v>#DIV/0!</v>
      </c>
      <c r="AY149" s="61" t="e">
        <f t="shared" si="341"/>
        <v>#DIV/0!</v>
      </c>
      <c r="AZ149" s="61" t="e">
        <f t="shared" si="341"/>
        <v>#DIV/0!</v>
      </c>
      <c r="BA149" s="322">
        <v>0.190972075128462</v>
      </c>
      <c r="BB149" s="342"/>
      <c r="BC149" s="342"/>
      <c r="BD149" s="259"/>
    </row>
    <row r="150" ht="16.5" customHeight="1" spans="1:56">
      <c r="A150" s="13"/>
      <c r="B150" s="13"/>
      <c r="C150" s="13"/>
      <c r="D150" s="13"/>
      <c r="E150" s="13"/>
      <c r="F150" s="13"/>
      <c r="G150" s="13"/>
      <c r="H150" s="13"/>
      <c r="I150" s="13"/>
      <c r="J150" s="13"/>
      <c r="K150" s="13"/>
      <c r="L150" s="13"/>
      <c r="M150" s="13"/>
      <c r="N150" s="13"/>
      <c r="O150" s="13"/>
      <c r="P150" s="13"/>
      <c r="Q150" s="13"/>
      <c r="R150" s="213" t="s">
        <v>3497</v>
      </c>
      <c r="S150" s="58">
        <f t="shared" ref="S150:AG150" si="342">S142-S147</f>
        <v>42439.99</v>
      </c>
      <c r="T150" s="58">
        <f t="shared" si="342"/>
        <v>52912.51</v>
      </c>
      <c r="U150" s="58">
        <f t="shared" si="342"/>
        <v>53850.37</v>
      </c>
      <c r="V150" s="58">
        <f t="shared" si="342"/>
        <v>-937.86</v>
      </c>
      <c r="W150" s="58">
        <f t="shared" si="342"/>
        <v>-937.86</v>
      </c>
      <c r="X150" s="58">
        <f t="shared" si="342"/>
        <v>-937.86</v>
      </c>
      <c r="Y150" s="58">
        <f t="shared" si="342"/>
        <v>-937.86</v>
      </c>
      <c r="Z150" s="58">
        <f t="shared" si="342"/>
        <v>-937.86</v>
      </c>
      <c r="AA150" s="58">
        <f t="shared" si="342"/>
        <v>-937.86</v>
      </c>
      <c r="AB150" s="58">
        <f t="shared" si="342"/>
        <v>-937.86</v>
      </c>
      <c r="AC150" s="58">
        <f t="shared" si="342"/>
        <v>-937.86</v>
      </c>
      <c r="AD150" s="58">
        <f t="shared" si="342"/>
        <v>-937.86</v>
      </c>
      <c r="AE150" s="58">
        <f t="shared" si="342"/>
        <v>-937.86</v>
      </c>
      <c r="AF150" s="58">
        <f t="shared" si="342"/>
        <v>-625.24</v>
      </c>
      <c r="AG150" s="58">
        <f t="shared" si="342"/>
        <v>-312.62</v>
      </c>
      <c r="AH150" s="82"/>
      <c r="AI150" s="82"/>
      <c r="AJ150" s="13"/>
      <c r="AK150" s="13"/>
      <c r="AL150" s="13"/>
      <c r="AM150" s="13"/>
      <c r="AN150" s="13"/>
      <c r="AO150" s="58">
        <f t="shared" ref="AO150:BC150" si="343">AO142-AO147</f>
        <v>0</v>
      </c>
      <c r="AP150" s="58">
        <f t="shared" si="343"/>
        <v>0</v>
      </c>
      <c r="AQ150" s="58">
        <f t="shared" si="343"/>
        <v>0</v>
      </c>
      <c r="AR150" s="58">
        <f t="shared" si="343"/>
        <v>0</v>
      </c>
      <c r="AS150" s="58">
        <f t="shared" si="343"/>
        <v>0</v>
      </c>
      <c r="AT150" s="58">
        <f t="shared" si="343"/>
        <v>0</v>
      </c>
      <c r="AU150" s="58">
        <f t="shared" si="343"/>
        <v>0</v>
      </c>
      <c r="AV150" s="58">
        <f t="shared" si="343"/>
        <v>0</v>
      </c>
      <c r="AW150" s="58">
        <f t="shared" si="343"/>
        <v>0</v>
      </c>
      <c r="AX150" s="58">
        <f t="shared" si="343"/>
        <v>-312.62</v>
      </c>
      <c r="AY150" s="58">
        <f t="shared" si="343"/>
        <v>-312.62</v>
      </c>
      <c r="AZ150" s="58">
        <f t="shared" si="343"/>
        <v>-312.62</v>
      </c>
      <c r="BA150" s="58">
        <f t="shared" si="343"/>
        <v>53850.37</v>
      </c>
      <c r="BB150" s="58">
        <f t="shared" si="343"/>
        <v>0</v>
      </c>
      <c r="BC150" s="58">
        <f t="shared" si="343"/>
        <v>0</v>
      </c>
      <c r="BD150" s="259"/>
    </row>
    <row r="151" ht="16.5" customHeight="1" spans="1:56">
      <c r="A151" s="14"/>
      <c r="B151" s="14"/>
      <c r="C151" s="14"/>
      <c r="D151" s="14"/>
      <c r="E151" s="14"/>
      <c r="F151" s="14"/>
      <c r="G151" s="14"/>
      <c r="H151" s="14"/>
      <c r="I151" s="14"/>
      <c r="J151" s="14"/>
      <c r="K151" s="14"/>
      <c r="L151" s="14"/>
      <c r="M151" s="14"/>
      <c r="N151" s="14"/>
      <c r="O151" s="14"/>
      <c r="P151" s="14"/>
      <c r="Q151" s="14"/>
      <c r="R151" s="321" t="s">
        <v>3498</v>
      </c>
      <c r="S151" s="61">
        <f t="shared" ref="S151:AG151" si="344">S150/S142</f>
        <v>0.141023162495007</v>
      </c>
      <c r="T151" s="61">
        <f t="shared" si="344"/>
        <v>0.180768775077873</v>
      </c>
      <c r="U151" s="322">
        <f t="shared" si="344"/>
        <v>0.183972852967856</v>
      </c>
      <c r="V151" s="61" t="e">
        <f t="shared" si="344"/>
        <v>#DIV/0!</v>
      </c>
      <c r="W151" s="61" t="e">
        <f t="shared" si="344"/>
        <v>#DIV/0!</v>
      </c>
      <c r="X151" s="61" t="e">
        <f t="shared" si="344"/>
        <v>#DIV/0!</v>
      </c>
      <c r="Y151" s="61" t="e">
        <f t="shared" si="344"/>
        <v>#DIV/0!</v>
      </c>
      <c r="Z151" s="61" t="e">
        <f t="shared" si="344"/>
        <v>#DIV/0!</v>
      </c>
      <c r="AA151" s="61" t="e">
        <f t="shared" si="344"/>
        <v>#DIV/0!</v>
      </c>
      <c r="AB151" s="61" t="e">
        <f t="shared" si="344"/>
        <v>#DIV/0!</v>
      </c>
      <c r="AC151" s="61" t="e">
        <f t="shared" si="344"/>
        <v>#DIV/0!</v>
      </c>
      <c r="AD151" s="61" t="e">
        <f t="shared" si="344"/>
        <v>#DIV/0!</v>
      </c>
      <c r="AE151" s="61" t="e">
        <f t="shared" si="344"/>
        <v>#DIV/0!</v>
      </c>
      <c r="AF151" s="61" t="e">
        <f t="shared" si="344"/>
        <v>#DIV/0!</v>
      </c>
      <c r="AG151" s="61" t="e">
        <f t="shared" si="344"/>
        <v>#DIV/0!</v>
      </c>
      <c r="AH151" s="82">
        <f>T151-S151</f>
        <v>0.0397456125828653</v>
      </c>
      <c r="AI151" s="82" t="e">
        <f>AF151-S151</f>
        <v>#DIV/0!</v>
      </c>
      <c r="AJ151" s="14"/>
      <c r="AK151" s="14"/>
      <c r="AL151" s="14"/>
      <c r="AM151" s="14"/>
      <c r="AN151" s="14"/>
      <c r="AO151" s="61" t="e">
        <f t="shared" ref="AO151:AZ151" si="345">AO150/AO142</f>
        <v>#DIV/0!</v>
      </c>
      <c r="AP151" s="61" t="e">
        <f t="shared" si="345"/>
        <v>#DIV/0!</v>
      </c>
      <c r="AQ151" s="61" t="e">
        <f t="shared" si="345"/>
        <v>#DIV/0!</v>
      </c>
      <c r="AR151" s="61" t="e">
        <f t="shared" si="345"/>
        <v>#DIV/0!</v>
      </c>
      <c r="AS151" s="61" t="e">
        <f t="shared" si="345"/>
        <v>#DIV/0!</v>
      </c>
      <c r="AT151" s="61" t="e">
        <f t="shared" si="345"/>
        <v>#DIV/0!</v>
      </c>
      <c r="AU151" s="61" t="e">
        <f t="shared" si="345"/>
        <v>#DIV/0!</v>
      </c>
      <c r="AV151" s="61" t="e">
        <f t="shared" si="345"/>
        <v>#DIV/0!</v>
      </c>
      <c r="AW151" s="61" t="e">
        <f t="shared" si="345"/>
        <v>#DIV/0!</v>
      </c>
      <c r="AX151" s="61" t="e">
        <f t="shared" si="345"/>
        <v>#DIV/0!</v>
      </c>
      <c r="AY151" s="61" t="e">
        <f t="shared" si="345"/>
        <v>#DIV/0!</v>
      </c>
      <c r="AZ151" s="61" t="e">
        <f t="shared" si="345"/>
        <v>#DIV/0!</v>
      </c>
      <c r="BA151" s="322">
        <v>0.183972852967856</v>
      </c>
      <c r="BB151" s="342"/>
      <c r="BC151" s="342"/>
      <c r="BD151" s="259"/>
    </row>
    <row r="152" ht="16.5" customHeight="1" spans="1:56">
      <c r="A152" s="305" t="s">
        <v>445</v>
      </c>
      <c r="B152" s="306" t="s">
        <v>446</v>
      </c>
      <c r="C152" s="307">
        <v>45627</v>
      </c>
      <c r="D152" s="307">
        <v>46022</v>
      </c>
      <c r="E152" s="308"/>
      <c r="F152" s="166" t="s">
        <v>3561</v>
      </c>
      <c r="G152" s="309"/>
      <c r="H152" s="310"/>
      <c r="I152" s="310"/>
      <c r="J152" s="355"/>
      <c r="K152" s="355"/>
      <c r="L152" s="355"/>
      <c r="M152" s="355"/>
      <c r="N152" s="355"/>
      <c r="O152" s="355"/>
      <c r="P152" s="356"/>
      <c r="Q152" s="358"/>
      <c r="R152" s="323" t="s">
        <v>3486</v>
      </c>
      <c r="S152" s="319">
        <v>632075.47</v>
      </c>
      <c r="T152" s="58">
        <f t="shared" ref="T152:T156" si="346">SUM(AO152:BC152)</f>
        <v>869361.71</v>
      </c>
      <c r="U152" s="319">
        <f t="shared" ref="U152:U156" si="347">SUM(BA152:BC152)</f>
        <v>869361.71</v>
      </c>
      <c r="V152" s="58">
        <f t="shared" ref="V152:V156" si="348">SUM(AO152:AZ152)</f>
        <v>0</v>
      </c>
      <c r="W152" s="58">
        <f t="shared" ref="W152:W156" si="349">SUM(AP152:AZ152)</f>
        <v>0</v>
      </c>
      <c r="X152" s="58">
        <f t="shared" ref="X152:X156" si="350">SUM(AQ152:AZ152)</f>
        <v>0</v>
      </c>
      <c r="Y152" s="58">
        <f t="shared" ref="Y152:Y156" si="351">SUM(AR152:AZ152)</f>
        <v>0</v>
      </c>
      <c r="Z152" s="58">
        <f t="shared" ref="Z152:Z156" si="352">SUM(AS152:AZ152)</f>
        <v>0</v>
      </c>
      <c r="AA152" s="58">
        <f t="shared" ref="AA152:AA156" si="353">SUM(AT152:AZ152)</f>
        <v>0</v>
      </c>
      <c r="AB152" s="58">
        <f t="shared" ref="AB152:AB156" si="354">SUM(AU152:AZ152)</f>
        <v>0</v>
      </c>
      <c r="AC152" s="58">
        <f t="shared" ref="AC152:AC156" si="355">SUM(AV152:AZ152)</f>
        <v>0</v>
      </c>
      <c r="AD152" s="58">
        <f t="shared" ref="AD152:AD156" si="356">SUM(AW152:AZ152)</f>
        <v>0</v>
      </c>
      <c r="AE152" s="58">
        <f t="shared" ref="AE152:AE156" si="357">SUM(AX152:AZ152)</f>
        <v>0</v>
      </c>
      <c r="AF152" s="58">
        <f t="shared" ref="AF152:AF156" si="358">SUM(AY152:AZ152)</f>
        <v>0</v>
      </c>
      <c r="AG152" s="58">
        <f t="shared" ref="AG152:AG156" si="359">SUM(AZ152:AZ152)</f>
        <v>0</v>
      </c>
      <c r="AH152" s="334"/>
      <c r="AI152" s="328"/>
      <c r="AJ152" s="361"/>
      <c r="AK152" s="362"/>
      <c r="AL152" s="361"/>
      <c r="AM152" s="361"/>
      <c r="AN152" s="362"/>
      <c r="AO152" s="58"/>
      <c r="AP152" s="58"/>
      <c r="AQ152" s="58"/>
      <c r="AR152" s="58"/>
      <c r="AS152" s="58"/>
      <c r="AT152" s="58"/>
      <c r="AU152" s="58"/>
      <c r="AV152" s="58"/>
      <c r="AW152" s="58"/>
      <c r="AX152" s="58"/>
      <c r="AY152" s="58" t="s">
        <v>3561</v>
      </c>
      <c r="AZ152" s="319"/>
      <c r="BA152" s="344">
        <v>803539.64</v>
      </c>
      <c r="BB152" s="342">
        <v>65822.07</v>
      </c>
      <c r="BC152" s="342"/>
      <c r="BD152" s="346" t="s">
        <v>3567</v>
      </c>
    </row>
    <row r="153" ht="16.5" customHeight="1" spans="1:56">
      <c r="A153" s="13"/>
      <c r="B153" s="13"/>
      <c r="C153" s="13"/>
      <c r="D153" s="13"/>
      <c r="E153" s="13"/>
      <c r="G153" s="13"/>
      <c r="H153" s="13"/>
      <c r="I153" s="13"/>
      <c r="J153" s="13"/>
      <c r="K153" s="13"/>
      <c r="L153" s="13"/>
      <c r="M153" s="13"/>
      <c r="N153" s="13"/>
      <c r="O153" s="13"/>
      <c r="P153" s="356"/>
      <c r="Q153" s="13"/>
      <c r="R153" s="324" t="s">
        <v>3490</v>
      </c>
      <c r="S153" s="319">
        <v>393606.17</v>
      </c>
      <c r="T153" s="58">
        <f t="shared" si="346"/>
        <v>315698.59</v>
      </c>
      <c r="U153" s="319">
        <f t="shared" si="347"/>
        <v>315698.59</v>
      </c>
      <c r="V153" s="58">
        <f t="shared" si="348"/>
        <v>0</v>
      </c>
      <c r="W153" s="58">
        <f t="shared" si="349"/>
        <v>0</v>
      </c>
      <c r="X153" s="58">
        <f t="shared" si="350"/>
        <v>0</v>
      </c>
      <c r="Y153" s="58">
        <f t="shared" si="351"/>
        <v>0</v>
      </c>
      <c r="Z153" s="58">
        <f t="shared" si="352"/>
        <v>0</v>
      </c>
      <c r="AA153" s="58">
        <f t="shared" si="353"/>
        <v>0</v>
      </c>
      <c r="AB153" s="58">
        <f t="shared" si="354"/>
        <v>0</v>
      </c>
      <c r="AC153" s="58">
        <f t="shared" si="355"/>
        <v>0</v>
      </c>
      <c r="AD153" s="58">
        <f t="shared" si="356"/>
        <v>0</v>
      </c>
      <c r="AE153" s="58">
        <f t="shared" si="357"/>
        <v>0</v>
      </c>
      <c r="AF153" s="58">
        <f t="shared" si="358"/>
        <v>0</v>
      </c>
      <c r="AG153" s="58">
        <f t="shared" si="359"/>
        <v>0</v>
      </c>
      <c r="AH153" s="334"/>
      <c r="AI153" s="328"/>
      <c r="AJ153" s="13"/>
      <c r="AK153" s="13"/>
      <c r="AL153" s="13"/>
      <c r="AM153" s="13"/>
      <c r="AN153" s="13"/>
      <c r="AO153" s="58"/>
      <c r="AP153" s="58"/>
      <c r="AQ153" s="58"/>
      <c r="AR153" s="58"/>
      <c r="AS153" s="58"/>
      <c r="AT153" s="58"/>
      <c r="AU153" s="58"/>
      <c r="AV153" s="58"/>
      <c r="AW153" s="58"/>
      <c r="AX153" s="58"/>
      <c r="AY153" s="58" t="s">
        <v>3561</v>
      </c>
      <c r="AZ153" s="319"/>
      <c r="BA153" s="344">
        <v>278076.23</v>
      </c>
      <c r="BB153" s="342">
        <v>37622.36</v>
      </c>
      <c r="BC153" s="342"/>
      <c r="BD153" s="13"/>
    </row>
    <row r="154" ht="16.5" customHeight="1" spans="1:56">
      <c r="A154" s="13"/>
      <c r="B154" s="13"/>
      <c r="C154" s="13"/>
      <c r="D154" s="13"/>
      <c r="E154" s="13"/>
      <c r="G154" s="13"/>
      <c r="H154" s="13"/>
      <c r="I154" s="13"/>
      <c r="J154" s="13"/>
      <c r="K154" s="13"/>
      <c r="L154" s="13"/>
      <c r="M154" s="13"/>
      <c r="N154" s="13"/>
      <c r="O154" s="13"/>
      <c r="P154" s="356"/>
      <c r="Q154" s="13"/>
      <c r="R154" s="324" t="s">
        <v>3491</v>
      </c>
      <c r="S154" s="319"/>
      <c r="T154" s="58">
        <f t="shared" si="346"/>
        <v>0</v>
      </c>
      <c r="U154" s="319">
        <f t="shared" si="347"/>
        <v>0</v>
      </c>
      <c r="V154" s="58"/>
      <c r="W154" s="58"/>
      <c r="X154" s="58"/>
      <c r="Y154" s="58"/>
      <c r="Z154" s="58"/>
      <c r="AA154" s="58"/>
      <c r="AB154" s="58"/>
      <c r="AC154" s="58"/>
      <c r="AD154" s="58"/>
      <c r="AE154" s="58"/>
      <c r="AF154" s="58"/>
      <c r="AG154" s="58"/>
      <c r="AH154" s="334"/>
      <c r="AI154" s="328"/>
      <c r="AJ154" s="13"/>
      <c r="AK154" s="13"/>
      <c r="AL154" s="13"/>
      <c r="AM154" s="13"/>
      <c r="AN154" s="13"/>
      <c r="AO154" s="58"/>
      <c r="AP154" s="58"/>
      <c r="AQ154" s="58"/>
      <c r="AR154" s="58"/>
      <c r="AS154" s="58"/>
      <c r="AT154" s="58"/>
      <c r="AU154" s="58"/>
      <c r="AV154" s="58"/>
      <c r="AW154" s="58"/>
      <c r="AX154" s="58">
        <v>0</v>
      </c>
      <c r="AY154" s="58"/>
      <c r="AZ154" s="319"/>
      <c r="BA154" s="344"/>
      <c r="BB154" s="342"/>
      <c r="BC154" s="342"/>
      <c r="BD154" s="13"/>
    </row>
    <row r="155" ht="16.5" customHeight="1" spans="1:56">
      <c r="A155" s="13"/>
      <c r="B155" s="13"/>
      <c r="C155" s="13"/>
      <c r="D155" s="13"/>
      <c r="E155" s="13"/>
      <c r="G155" s="13"/>
      <c r="H155" s="13"/>
      <c r="I155" s="13"/>
      <c r="J155" s="13"/>
      <c r="K155" s="13"/>
      <c r="L155" s="13"/>
      <c r="M155" s="13"/>
      <c r="N155" s="13"/>
      <c r="O155" s="13"/>
      <c r="P155" s="356"/>
      <c r="Q155" s="13"/>
      <c r="R155" s="324" t="s">
        <v>3492</v>
      </c>
      <c r="S155" s="319">
        <v>60000</v>
      </c>
      <c r="T155" s="58">
        <f t="shared" si="346"/>
        <v>30440.74</v>
      </c>
      <c r="U155" s="319">
        <f t="shared" si="347"/>
        <v>30440.74</v>
      </c>
      <c r="V155" s="58">
        <f t="shared" si="348"/>
        <v>0</v>
      </c>
      <c r="W155" s="58">
        <f t="shared" si="349"/>
        <v>0</v>
      </c>
      <c r="X155" s="58">
        <f t="shared" si="350"/>
        <v>0</v>
      </c>
      <c r="Y155" s="58">
        <f t="shared" si="351"/>
        <v>0</v>
      </c>
      <c r="Z155" s="58">
        <f t="shared" si="352"/>
        <v>0</v>
      </c>
      <c r="AA155" s="58">
        <f t="shared" si="353"/>
        <v>0</v>
      </c>
      <c r="AB155" s="58">
        <f t="shared" si="354"/>
        <v>0</v>
      </c>
      <c r="AC155" s="58">
        <f t="shared" si="355"/>
        <v>0</v>
      </c>
      <c r="AD155" s="58">
        <f t="shared" si="356"/>
        <v>0</v>
      </c>
      <c r="AE155" s="58">
        <f t="shared" si="357"/>
        <v>0</v>
      </c>
      <c r="AF155" s="58">
        <f t="shared" si="358"/>
        <v>0</v>
      </c>
      <c r="AG155" s="58">
        <f t="shared" si="359"/>
        <v>0</v>
      </c>
      <c r="AH155" s="334"/>
      <c r="AI155" s="328"/>
      <c r="AJ155" s="13"/>
      <c r="AK155" s="13"/>
      <c r="AL155" s="13"/>
      <c r="AM155" s="13"/>
      <c r="AN155" s="13"/>
      <c r="AO155" s="58"/>
      <c r="AP155" s="58"/>
      <c r="AQ155" s="58"/>
      <c r="AR155" s="58"/>
      <c r="AS155" s="58"/>
      <c r="AT155" s="58"/>
      <c r="AU155" s="58"/>
      <c r="AV155" s="58"/>
      <c r="AW155" s="58"/>
      <c r="AX155" s="58"/>
      <c r="AY155" s="58"/>
      <c r="AZ155" s="319"/>
      <c r="BA155" s="344">
        <v>30440.74</v>
      </c>
      <c r="BB155" s="342">
        <v>0</v>
      </c>
      <c r="BC155" s="342"/>
      <c r="BD155" s="13"/>
    </row>
    <row r="156" ht="16.5" customHeight="1" spans="1:56">
      <c r="A156" s="13"/>
      <c r="B156" s="13"/>
      <c r="C156" s="13"/>
      <c r="D156" s="13"/>
      <c r="E156" s="13"/>
      <c r="G156" s="13"/>
      <c r="H156" s="13"/>
      <c r="I156" s="13"/>
      <c r="J156" s="13"/>
      <c r="K156" s="13"/>
      <c r="L156" s="13"/>
      <c r="M156" s="13"/>
      <c r="N156" s="13"/>
      <c r="O156" s="13"/>
      <c r="P156" s="356"/>
      <c r="Q156" s="13"/>
      <c r="R156" s="324" t="s">
        <v>3493</v>
      </c>
      <c r="S156" s="319">
        <v>0</v>
      </c>
      <c r="T156" s="58">
        <f t="shared" si="346"/>
        <v>5400.85</v>
      </c>
      <c r="U156" s="319">
        <f t="shared" si="347"/>
        <v>4400.43</v>
      </c>
      <c r="V156" s="58">
        <f t="shared" si="348"/>
        <v>1000.42</v>
      </c>
      <c r="W156" s="58">
        <f t="shared" si="349"/>
        <v>1000.42</v>
      </c>
      <c r="X156" s="58">
        <f t="shared" si="350"/>
        <v>1000.42</v>
      </c>
      <c r="Y156" s="58">
        <f t="shared" si="351"/>
        <v>1000.42</v>
      </c>
      <c r="Z156" s="58">
        <f t="shared" si="352"/>
        <v>1000.42</v>
      </c>
      <c r="AA156" s="58">
        <f t="shared" si="353"/>
        <v>1000.42</v>
      </c>
      <c r="AB156" s="58">
        <f t="shared" si="354"/>
        <v>1000.42</v>
      </c>
      <c r="AC156" s="58">
        <f t="shared" si="355"/>
        <v>1000.42</v>
      </c>
      <c r="AD156" s="58">
        <f t="shared" si="356"/>
        <v>1000.42</v>
      </c>
      <c r="AE156" s="58">
        <f t="shared" si="357"/>
        <v>1000.42</v>
      </c>
      <c r="AF156" s="58">
        <f t="shared" si="358"/>
        <v>1000.42</v>
      </c>
      <c r="AG156" s="58">
        <f t="shared" si="359"/>
        <v>0</v>
      </c>
      <c r="AH156" s="334"/>
      <c r="AI156" s="328"/>
      <c r="AJ156" s="13"/>
      <c r="AK156" s="13"/>
      <c r="AL156" s="13"/>
      <c r="AM156" s="13"/>
      <c r="AN156" s="13"/>
      <c r="AO156" s="58"/>
      <c r="AP156" s="58"/>
      <c r="AQ156" s="58"/>
      <c r="AR156" s="58"/>
      <c r="AS156" s="58"/>
      <c r="AT156" s="58"/>
      <c r="AU156" s="58"/>
      <c r="AV156" s="58"/>
      <c r="AW156" s="58"/>
      <c r="AX156" s="58"/>
      <c r="AY156" s="58">
        <v>1000.42</v>
      </c>
      <c r="AZ156" s="319"/>
      <c r="BA156" s="344">
        <v>4379.37</v>
      </c>
      <c r="BB156" s="342">
        <v>21.06</v>
      </c>
      <c r="BC156" s="342"/>
      <c r="BD156" s="13"/>
    </row>
    <row r="157" ht="16.5" customHeight="1" spans="1:56">
      <c r="A157" s="13"/>
      <c r="B157" s="13"/>
      <c r="C157" s="13"/>
      <c r="D157" s="13"/>
      <c r="E157" s="13"/>
      <c r="G157" s="13"/>
      <c r="H157" s="13"/>
      <c r="I157" s="13"/>
      <c r="J157" s="13"/>
      <c r="K157" s="13"/>
      <c r="L157" s="13"/>
      <c r="M157" s="13"/>
      <c r="N157" s="13"/>
      <c r="O157" s="13"/>
      <c r="P157" s="315"/>
      <c r="Q157" s="13"/>
      <c r="R157" s="324" t="s">
        <v>3494</v>
      </c>
      <c r="S157" s="320">
        <f t="shared" ref="S157:AG157" si="360">SUM(S153:S156)</f>
        <v>453606.17</v>
      </c>
      <c r="T157" s="214">
        <f t="shared" si="360"/>
        <v>351540.18</v>
      </c>
      <c r="U157" s="320">
        <f t="shared" si="360"/>
        <v>350539.76</v>
      </c>
      <c r="V157" s="214">
        <f t="shared" si="360"/>
        <v>1000.42</v>
      </c>
      <c r="W157" s="214">
        <f t="shared" si="360"/>
        <v>1000.42</v>
      </c>
      <c r="X157" s="214">
        <f t="shared" si="360"/>
        <v>1000.42</v>
      </c>
      <c r="Y157" s="214">
        <f t="shared" si="360"/>
        <v>1000.42</v>
      </c>
      <c r="Z157" s="214">
        <f t="shared" si="360"/>
        <v>1000.42</v>
      </c>
      <c r="AA157" s="214">
        <f t="shared" si="360"/>
        <v>1000.42</v>
      </c>
      <c r="AB157" s="214">
        <f t="shared" si="360"/>
        <v>1000.42</v>
      </c>
      <c r="AC157" s="214">
        <f t="shared" si="360"/>
        <v>1000.42</v>
      </c>
      <c r="AD157" s="214">
        <f t="shared" si="360"/>
        <v>1000.42</v>
      </c>
      <c r="AE157" s="214">
        <f t="shared" si="360"/>
        <v>1000.42</v>
      </c>
      <c r="AF157" s="214">
        <f t="shared" si="360"/>
        <v>1000.42</v>
      </c>
      <c r="AG157" s="214">
        <f t="shared" si="360"/>
        <v>0</v>
      </c>
      <c r="AH157" s="320">
        <f>SUM(AH153:AH156)</f>
        <v>0</v>
      </c>
      <c r="AI157" s="214">
        <f>SUM(AI153:AI156)</f>
        <v>0</v>
      </c>
      <c r="AJ157" s="13"/>
      <c r="AK157" s="13"/>
      <c r="AL157" s="13"/>
      <c r="AM157" s="13"/>
      <c r="AN157" s="13"/>
      <c r="AO157" s="214">
        <f t="shared" ref="AO157:AX157" si="361">SUM(AO153:AO156)</f>
        <v>0</v>
      </c>
      <c r="AP157" s="214">
        <f t="shared" si="361"/>
        <v>0</v>
      </c>
      <c r="AQ157" s="214">
        <f t="shared" si="361"/>
        <v>0</v>
      </c>
      <c r="AR157" s="214">
        <f t="shared" si="361"/>
        <v>0</v>
      </c>
      <c r="AS157" s="214">
        <f t="shared" si="361"/>
        <v>0</v>
      </c>
      <c r="AT157" s="214">
        <f t="shared" si="361"/>
        <v>0</v>
      </c>
      <c r="AU157" s="214">
        <f t="shared" si="361"/>
        <v>0</v>
      </c>
      <c r="AV157" s="214">
        <f t="shared" si="361"/>
        <v>0</v>
      </c>
      <c r="AW157" s="214">
        <f t="shared" si="361"/>
        <v>0</v>
      </c>
      <c r="AX157" s="214">
        <f t="shared" si="361"/>
        <v>0</v>
      </c>
      <c r="AY157" s="214">
        <v>1000.42</v>
      </c>
      <c r="AZ157" s="320">
        <f>SUM(AZ153:AZ156)</f>
        <v>0</v>
      </c>
      <c r="BA157" s="320">
        <v>312896.34</v>
      </c>
      <c r="BB157" s="320">
        <f>SUM(BB153:BB156)</f>
        <v>37643.42</v>
      </c>
      <c r="BC157" s="320">
        <f>SUM(BC153:BC156)</f>
        <v>0</v>
      </c>
      <c r="BD157" s="13"/>
    </row>
    <row r="158" ht="16.5" customHeight="1" spans="1:56">
      <c r="A158" s="13"/>
      <c r="B158" s="13"/>
      <c r="C158" s="13"/>
      <c r="D158" s="13"/>
      <c r="E158" s="13"/>
      <c r="G158" s="13"/>
      <c r="H158" s="13"/>
      <c r="I158" s="13"/>
      <c r="J158" s="13"/>
      <c r="K158" s="13"/>
      <c r="L158" s="13"/>
      <c r="M158" s="13"/>
      <c r="N158" s="13"/>
      <c r="O158" s="13"/>
      <c r="P158" s="356"/>
      <c r="Q158" s="13"/>
      <c r="R158" s="324" t="s">
        <v>3495</v>
      </c>
      <c r="S158" s="319">
        <v>248717.46</v>
      </c>
      <c r="T158" s="58">
        <f t="shared" ref="T158:AG158" si="362">T152-T153</f>
        <v>553663.12</v>
      </c>
      <c r="U158" s="319">
        <f t="shared" si="362"/>
        <v>553663.12</v>
      </c>
      <c r="V158" s="58">
        <f t="shared" si="362"/>
        <v>0</v>
      </c>
      <c r="W158" s="58">
        <f t="shared" si="362"/>
        <v>0</v>
      </c>
      <c r="X158" s="58">
        <f t="shared" si="362"/>
        <v>0</v>
      </c>
      <c r="Y158" s="58">
        <f t="shared" si="362"/>
        <v>0</v>
      </c>
      <c r="Z158" s="58">
        <f t="shared" si="362"/>
        <v>0</v>
      </c>
      <c r="AA158" s="58">
        <f t="shared" si="362"/>
        <v>0</v>
      </c>
      <c r="AB158" s="58">
        <f t="shared" si="362"/>
        <v>0</v>
      </c>
      <c r="AC158" s="58">
        <f t="shared" si="362"/>
        <v>0</v>
      </c>
      <c r="AD158" s="58">
        <f t="shared" si="362"/>
        <v>0</v>
      </c>
      <c r="AE158" s="58">
        <f t="shared" si="362"/>
        <v>0</v>
      </c>
      <c r="AF158" s="58">
        <f t="shared" si="362"/>
        <v>0</v>
      </c>
      <c r="AG158" s="58">
        <f t="shared" si="362"/>
        <v>0</v>
      </c>
      <c r="AH158" s="339"/>
      <c r="AI158" s="332"/>
      <c r="AJ158" s="13"/>
      <c r="AK158" s="13"/>
      <c r="AL158" s="13"/>
      <c r="AM158" s="13"/>
      <c r="AN158" s="13"/>
      <c r="AO158" s="58">
        <f t="shared" ref="AO158:AX158" si="363">AO152-AO153</f>
        <v>0</v>
      </c>
      <c r="AP158" s="58">
        <f t="shared" si="363"/>
        <v>0</v>
      </c>
      <c r="AQ158" s="58">
        <f t="shared" si="363"/>
        <v>0</v>
      </c>
      <c r="AR158" s="58">
        <f t="shared" si="363"/>
        <v>0</v>
      </c>
      <c r="AS158" s="58">
        <f t="shared" si="363"/>
        <v>0</v>
      </c>
      <c r="AT158" s="58">
        <f t="shared" si="363"/>
        <v>0</v>
      </c>
      <c r="AU158" s="58">
        <f t="shared" si="363"/>
        <v>0</v>
      </c>
      <c r="AV158" s="58">
        <f t="shared" si="363"/>
        <v>0</v>
      </c>
      <c r="AW158" s="58">
        <f t="shared" si="363"/>
        <v>0</v>
      </c>
      <c r="AX158" s="58">
        <f t="shared" si="363"/>
        <v>0</v>
      </c>
      <c r="AY158" s="58" t="s">
        <v>3561</v>
      </c>
      <c r="AZ158" s="319">
        <f>AZ152-AZ153</f>
        <v>0</v>
      </c>
      <c r="BA158" s="344">
        <v>525463.41</v>
      </c>
      <c r="BB158" s="319">
        <v>28199.71</v>
      </c>
      <c r="BC158" s="342"/>
      <c r="BD158" s="13"/>
    </row>
    <row r="159" ht="16.5" customHeight="1" spans="1:56">
      <c r="A159" s="13"/>
      <c r="B159" s="13"/>
      <c r="C159" s="13"/>
      <c r="D159" s="13"/>
      <c r="E159" s="13"/>
      <c r="G159" s="13"/>
      <c r="H159" s="13"/>
      <c r="I159" s="13"/>
      <c r="J159" s="13"/>
      <c r="K159" s="13"/>
      <c r="L159" s="13"/>
      <c r="M159" s="13"/>
      <c r="N159" s="13"/>
      <c r="O159" s="13"/>
      <c r="P159" s="356"/>
      <c r="Q159" s="13"/>
      <c r="R159" s="325" t="s">
        <v>3496</v>
      </c>
      <c r="S159" s="322">
        <v>0.393493295982519</v>
      </c>
      <c r="T159" s="61">
        <f t="shared" ref="T159:AG159" si="364">T158/T152</f>
        <v>0.636861634957445</v>
      </c>
      <c r="U159" s="322">
        <f t="shared" si="364"/>
        <v>0.636861634957445</v>
      </c>
      <c r="V159" s="61" t="e">
        <f t="shared" si="364"/>
        <v>#DIV/0!</v>
      </c>
      <c r="W159" s="61" t="e">
        <f t="shared" si="364"/>
        <v>#DIV/0!</v>
      </c>
      <c r="X159" s="61" t="e">
        <f t="shared" si="364"/>
        <v>#DIV/0!</v>
      </c>
      <c r="Y159" s="61" t="e">
        <f t="shared" si="364"/>
        <v>#DIV/0!</v>
      </c>
      <c r="Z159" s="61" t="e">
        <f t="shared" si="364"/>
        <v>#DIV/0!</v>
      </c>
      <c r="AA159" s="61" t="e">
        <f t="shared" si="364"/>
        <v>#DIV/0!</v>
      </c>
      <c r="AB159" s="61" t="e">
        <f t="shared" si="364"/>
        <v>#DIV/0!</v>
      </c>
      <c r="AC159" s="61" t="e">
        <f t="shared" si="364"/>
        <v>#DIV/0!</v>
      </c>
      <c r="AD159" s="61" t="e">
        <f t="shared" si="364"/>
        <v>#DIV/0!</v>
      </c>
      <c r="AE159" s="61" t="e">
        <f t="shared" si="364"/>
        <v>#DIV/0!</v>
      </c>
      <c r="AF159" s="61" t="e">
        <f t="shared" si="364"/>
        <v>#DIV/0!</v>
      </c>
      <c r="AG159" s="61" t="e">
        <f t="shared" si="364"/>
        <v>#DIV/0!</v>
      </c>
      <c r="AH159" s="340">
        <f>T159-S159</f>
        <v>0.243368338974926</v>
      </c>
      <c r="AI159" s="82" t="e">
        <f>AF159-S159</f>
        <v>#DIV/0!</v>
      </c>
      <c r="AJ159" s="13"/>
      <c r="AK159" s="13"/>
      <c r="AL159" s="13"/>
      <c r="AM159" s="13"/>
      <c r="AN159" s="13"/>
      <c r="AO159" s="61" t="e">
        <f t="shared" ref="AO159:AX159" si="365">AO158/AO152</f>
        <v>#DIV/0!</v>
      </c>
      <c r="AP159" s="61" t="e">
        <f t="shared" si="365"/>
        <v>#DIV/0!</v>
      </c>
      <c r="AQ159" s="61" t="e">
        <f t="shared" si="365"/>
        <v>#DIV/0!</v>
      </c>
      <c r="AR159" s="61" t="e">
        <f t="shared" si="365"/>
        <v>#DIV/0!</v>
      </c>
      <c r="AS159" s="61" t="e">
        <f t="shared" si="365"/>
        <v>#DIV/0!</v>
      </c>
      <c r="AT159" s="61" t="e">
        <f t="shared" si="365"/>
        <v>#DIV/0!</v>
      </c>
      <c r="AU159" s="61" t="e">
        <f t="shared" si="365"/>
        <v>#DIV/0!</v>
      </c>
      <c r="AV159" s="61" t="e">
        <f t="shared" si="365"/>
        <v>#DIV/0!</v>
      </c>
      <c r="AW159" s="61" t="e">
        <f t="shared" si="365"/>
        <v>#DIV/0!</v>
      </c>
      <c r="AX159" s="61" t="e">
        <f t="shared" si="365"/>
        <v>#DIV/0!</v>
      </c>
      <c r="AY159" s="61" t="e">
        <v>#DIV/0!</v>
      </c>
      <c r="AZ159" s="322" t="e">
        <f>AZ158/AZ152</f>
        <v>#DIV/0!</v>
      </c>
      <c r="BA159" s="322">
        <v>0.653935890455883</v>
      </c>
      <c r="BB159" s="322">
        <v>0.428423323666363</v>
      </c>
      <c r="BC159" s="342"/>
      <c r="BD159" s="13"/>
    </row>
    <row r="160" ht="16.5" customHeight="1" spans="1:56">
      <c r="A160" s="13"/>
      <c r="B160" s="13"/>
      <c r="C160" s="13"/>
      <c r="D160" s="13"/>
      <c r="E160" s="13"/>
      <c r="G160" s="13"/>
      <c r="H160" s="13"/>
      <c r="I160" s="13"/>
      <c r="J160" s="13"/>
      <c r="K160" s="13"/>
      <c r="L160" s="13"/>
      <c r="M160" s="13"/>
      <c r="N160" s="13"/>
      <c r="O160" s="13"/>
      <c r="P160" s="356"/>
      <c r="Q160" s="13"/>
      <c r="R160" s="324" t="s">
        <v>3497</v>
      </c>
      <c r="S160" s="58">
        <f t="shared" ref="S160:AG160" si="366">S152-S157</f>
        <v>178469.3</v>
      </c>
      <c r="T160" s="58">
        <f t="shared" si="366"/>
        <v>517821.53</v>
      </c>
      <c r="U160" s="58">
        <f t="shared" si="366"/>
        <v>518821.95</v>
      </c>
      <c r="V160" s="58">
        <f t="shared" si="366"/>
        <v>-1000.42</v>
      </c>
      <c r="W160" s="58">
        <f t="shared" si="366"/>
        <v>-1000.42</v>
      </c>
      <c r="X160" s="58">
        <f t="shared" si="366"/>
        <v>-1000.42</v>
      </c>
      <c r="Y160" s="58">
        <f t="shared" si="366"/>
        <v>-1000.42</v>
      </c>
      <c r="Z160" s="58">
        <f t="shared" si="366"/>
        <v>-1000.42</v>
      </c>
      <c r="AA160" s="58">
        <f t="shared" si="366"/>
        <v>-1000.42</v>
      </c>
      <c r="AB160" s="58">
        <f t="shared" si="366"/>
        <v>-1000.42</v>
      </c>
      <c r="AC160" s="58">
        <f t="shared" si="366"/>
        <v>-1000.42</v>
      </c>
      <c r="AD160" s="58">
        <f t="shared" si="366"/>
        <v>-1000.42</v>
      </c>
      <c r="AE160" s="58">
        <f t="shared" si="366"/>
        <v>-1000.42</v>
      </c>
      <c r="AF160" s="58">
        <f t="shared" si="366"/>
        <v>-1000.42</v>
      </c>
      <c r="AG160" s="58">
        <f t="shared" si="366"/>
        <v>0</v>
      </c>
      <c r="AH160" s="82"/>
      <c r="AI160" s="82"/>
      <c r="AJ160" s="13"/>
      <c r="AK160" s="13"/>
      <c r="AL160" s="13"/>
      <c r="AM160" s="13"/>
      <c r="AN160" s="13"/>
      <c r="AO160" s="58">
        <f t="shared" ref="AO160:AX160" si="367">AO152-AO153-AO155-AO156</f>
        <v>0</v>
      </c>
      <c r="AP160" s="58">
        <f t="shared" si="367"/>
        <v>0</v>
      </c>
      <c r="AQ160" s="58">
        <f t="shared" si="367"/>
        <v>0</v>
      </c>
      <c r="AR160" s="58">
        <f t="shared" si="367"/>
        <v>0</v>
      </c>
      <c r="AS160" s="58">
        <f t="shared" si="367"/>
        <v>0</v>
      </c>
      <c r="AT160" s="58">
        <f t="shared" si="367"/>
        <v>0</v>
      </c>
      <c r="AU160" s="58">
        <f t="shared" si="367"/>
        <v>0</v>
      </c>
      <c r="AV160" s="58">
        <f t="shared" si="367"/>
        <v>0</v>
      </c>
      <c r="AW160" s="58">
        <f t="shared" si="367"/>
        <v>0</v>
      </c>
      <c r="AX160" s="58">
        <f t="shared" si="367"/>
        <v>0</v>
      </c>
      <c r="AY160" s="58">
        <v>-1000.42</v>
      </c>
      <c r="AZ160" s="319">
        <f>AZ152-AZ153-AZ155-AZ156</f>
        <v>0</v>
      </c>
      <c r="BA160" s="344">
        <v>490643.3</v>
      </c>
      <c r="BB160" s="319">
        <v>28178.65</v>
      </c>
      <c r="BC160" s="342"/>
      <c r="BD160" s="13"/>
    </row>
    <row r="161" ht="16.5" customHeight="1" spans="1:56">
      <c r="A161" s="14"/>
      <c r="B161" s="14"/>
      <c r="C161" s="14"/>
      <c r="D161" s="14"/>
      <c r="E161" s="14"/>
      <c r="G161" s="14"/>
      <c r="H161" s="14"/>
      <c r="I161" s="14"/>
      <c r="J161" s="14"/>
      <c r="K161" s="14"/>
      <c r="L161" s="14"/>
      <c r="M161" s="14"/>
      <c r="N161" s="14"/>
      <c r="O161" s="14"/>
      <c r="P161" s="355"/>
      <c r="Q161" s="14"/>
      <c r="R161" s="325" t="s">
        <v>3498</v>
      </c>
      <c r="S161" s="322">
        <v>0.298567922593168</v>
      </c>
      <c r="T161" s="61">
        <f t="shared" ref="T161:AG161" si="368">T160/T152</f>
        <v>0.595634157846681</v>
      </c>
      <c r="U161" s="322">
        <f t="shared" si="368"/>
        <v>0.596784910161272</v>
      </c>
      <c r="V161" s="61" t="e">
        <f t="shared" si="368"/>
        <v>#DIV/0!</v>
      </c>
      <c r="W161" s="61" t="e">
        <f t="shared" si="368"/>
        <v>#DIV/0!</v>
      </c>
      <c r="X161" s="61" t="e">
        <f t="shared" si="368"/>
        <v>#DIV/0!</v>
      </c>
      <c r="Y161" s="61" t="e">
        <f t="shared" si="368"/>
        <v>#DIV/0!</v>
      </c>
      <c r="Z161" s="61" t="e">
        <f t="shared" si="368"/>
        <v>#DIV/0!</v>
      </c>
      <c r="AA161" s="61" t="e">
        <f t="shared" si="368"/>
        <v>#DIV/0!</v>
      </c>
      <c r="AB161" s="61" t="e">
        <f t="shared" si="368"/>
        <v>#DIV/0!</v>
      </c>
      <c r="AC161" s="61" t="e">
        <f t="shared" si="368"/>
        <v>#DIV/0!</v>
      </c>
      <c r="AD161" s="61" t="e">
        <f t="shared" si="368"/>
        <v>#DIV/0!</v>
      </c>
      <c r="AE161" s="61" t="e">
        <f t="shared" si="368"/>
        <v>#DIV/0!</v>
      </c>
      <c r="AF161" s="61" t="e">
        <f t="shared" si="368"/>
        <v>#DIV/0!</v>
      </c>
      <c r="AG161" s="61" t="e">
        <f t="shared" si="368"/>
        <v>#DIV/0!</v>
      </c>
      <c r="AH161" s="340">
        <f>T161-S161</f>
        <v>0.297066235253513</v>
      </c>
      <c r="AI161" s="82" t="e">
        <f>AF161-S161</f>
        <v>#DIV/0!</v>
      </c>
      <c r="AJ161" s="14"/>
      <c r="AK161" s="14"/>
      <c r="AL161" s="14"/>
      <c r="AM161" s="14"/>
      <c r="AN161" s="14"/>
      <c r="AO161" s="61" t="e">
        <f t="shared" ref="AO161:AX161" si="369">AO160/AO152</f>
        <v>#DIV/0!</v>
      </c>
      <c r="AP161" s="61" t="e">
        <f t="shared" si="369"/>
        <v>#DIV/0!</v>
      </c>
      <c r="AQ161" s="61" t="e">
        <f t="shared" si="369"/>
        <v>#DIV/0!</v>
      </c>
      <c r="AR161" s="61" t="e">
        <f t="shared" si="369"/>
        <v>#DIV/0!</v>
      </c>
      <c r="AS161" s="61" t="e">
        <f t="shared" si="369"/>
        <v>#DIV/0!</v>
      </c>
      <c r="AT161" s="61" t="e">
        <f t="shared" si="369"/>
        <v>#DIV/0!</v>
      </c>
      <c r="AU161" s="61" t="e">
        <f t="shared" si="369"/>
        <v>#DIV/0!</v>
      </c>
      <c r="AV161" s="61" t="e">
        <f t="shared" si="369"/>
        <v>#DIV/0!</v>
      </c>
      <c r="AW161" s="61" t="e">
        <f t="shared" si="369"/>
        <v>#DIV/0!</v>
      </c>
      <c r="AX161" s="61" t="e">
        <f t="shared" si="369"/>
        <v>#DIV/0!</v>
      </c>
      <c r="AY161" s="61" t="e">
        <v>#DIV/0!</v>
      </c>
      <c r="AZ161" s="322" t="e">
        <f>AZ160/AZ152</f>
        <v>#DIV/0!</v>
      </c>
      <c r="BA161" s="322">
        <v>0.61060248378039</v>
      </c>
      <c r="BB161" s="322">
        <v>0.428103370191791</v>
      </c>
      <c r="BC161" s="342"/>
      <c r="BD161" s="14"/>
    </row>
    <row r="162" ht="16.5" customHeight="1" spans="1:56">
      <c r="A162" s="212" t="s">
        <v>535</v>
      </c>
      <c r="B162" s="265" t="s">
        <v>536</v>
      </c>
      <c r="C162" s="352">
        <v>45473</v>
      </c>
      <c r="D162" s="352">
        <v>46142</v>
      </c>
      <c r="E162" s="304"/>
      <c r="F162" s="233" t="s">
        <v>3561</v>
      </c>
      <c r="G162" s="331">
        <v>0</v>
      </c>
      <c r="H162" s="331"/>
      <c r="I162" s="331"/>
      <c r="J162" s="331"/>
      <c r="K162" s="331"/>
      <c r="L162" s="331"/>
      <c r="M162" s="331"/>
      <c r="N162" s="331"/>
      <c r="O162" s="357"/>
      <c r="P162" s="304"/>
      <c r="Q162" s="357"/>
      <c r="R162" s="318" t="s">
        <v>3486</v>
      </c>
      <c r="S162" s="58">
        <v>141509.43</v>
      </c>
      <c r="T162" s="58">
        <f t="shared" ref="T162:T166" si="370">SUM(AO162:BC162)</f>
        <v>126404.63</v>
      </c>
      <c r="U162" s="319">
        <f t="shared" ref="U162:U166" si="371">SUM(BA162:BC162)</f>
        <v>99719.98</v>
      </c>
      <c r="V162" s="58">
        <f t="shared" ref="V162:V166" si="372">SUM(AO162:AZ162)</f>
        <v>26684.65</v>
      </c>
      <c r="W162" s="58">
        <f t="shared" ref="W162:W166" si="373">SUM(AP162:AZ162)</f>
        <v>26684.65</v>
      </c>
      <c r="X162" s="58">
        <f t="shared" ref="X162:X166" si="374">SUM(AQ162:AZ162)</f>
        <v>26684.65</v>
      </c>
      <c r="Y162" s="58">
        <f t="shared" ref="Y162:Y166" si="375">SUM(AR162:AZ162)</f>
        <v>26684.65</v>
      </c>
      <c r="Z162" s="58">
        <f t="shared" ref="Z162:Z166" si="376">SUM(AS162:AZ162)</f>
        <v>26684.65</v>
      </c>
      <c r="AA162" s="58">
        <f t="shared" ref="AA162:AA166" si="377">SUM(AT162:AZ162)</f>
        <v>26684.65</v>
      </c>
      <c r="AB162" s="58">
        <f t="shared" ref="AB162:AB166" si="378">SUM(AU162:AZ162)</f>
        <v>26684.65</v>
      </c>
      <c r="AC162" s="58">
        <f t="shared" ref="AC162:AC166" si="379">SUM(AV162:AZ162)</f>
        <v>26684.65</v>
      </c>
      <c r="AD162" s="58">
        <f t="shared" ref="AD162:AD166" si="380">SUM(AW162:AZ162)</f>
        <v>26684.65</v>
      </c>
      <c r="AE162" s="58">
        <f t="shared" ref="AE162:AE166" si="381">SUM(AX162:AZ162)</f>
        <v>26684.65</v>
      </c>
      <c r="AF162" s="58">
        <f t="shared" ref="AF162:AF166" si="382">SUM(AY162:AZ162)</f>
        <v>15449.01</v>
      </c>
      <c r="AG162" s="58">
        <f t="shared" ref="AG162:AG166" si="383">SUM(AZ162:AZ162)</f>
        <v>12640.1</v>
      </c>
      <c r="AH162" s="328"/>
      <c r="AI162" s="328"/>
      <c r="AJ162" s="333"/>
      <c r="AK162" s="331"/>
      <c r="AL162" s="233"/>
      <c r="AM162" s="233"/>
      <c r="AN162" s="331"/>
      <c r="AO162" s="58"/>
      <c r="AP162" s="58"/>
      <c r="AQ162" s="58"/>
      <c r="AR162" s="58"/>
      <c r="AS162" s="58"/>
      <c r="AT162" s="58"/>
      <c r="AU162" s="58"/>
      <c r="AV162" s="58"/>
      <c r="AW162" s="58"/>
      <c r="AX162" s="58">
        <v>11235.64</v>
      </c>
      <c r="AY162" s="58">
        <v>2808.91</v>
      </c>
      <c r="AZ162" s="58">
        <v>12640.1</v>
      </c>
      <c r="BA162" s="344">
        <v>99719.98</v>
      </c>
      <c r="BB162" s="342"/>
      <c r="BC162" s="342"/>
      <c r="BD162" s="259"/>
    </row>
    <row r="163" ht="16.5" customHeight="1" spans="1:56">
      <c r="A163" s="13"/>
      <c r="B163" s="13"/>
      <c r="C163" s="13"/>
      <c r="D163" s="13"/>
      <c r="E163" s="13"/>
      <c r="F163" s="13"/>
      <c r="G163" s="13"/>
      <c r="H163" s="13"/>
      <c r="I163" s="13"/>
      <c r="J163" s="13"/>
      <c r="K163" s="13"/>
      <c r="L163" s="13"/>
      <c r="M163" s="13"/>
      <c r="N163" s="13"/>
      <c r="O163" s="13"/>
      <c r="P163" s="13"/>
      <c r="Q163" s="13"/>
      <c r="R163" s="213" t="s">
        <v>3490</v>
      </c>
      <c r="S163" s="58">
        <v>87575.75</v>
      </c>
      <c r="T163" s="58">
        <f t="shared" si="370"/>
        <v>44868.6</v>
      </c>
      <c r="U163" s="319">
        <f t="shared" si="371"/>
        <v>33619.14</v>
      </c>
      <c r="V163" s="58">
        <f t="shared" si="372"/>
        <v>11249.46</v>
      </c>
      <c r="W163" s="58">
        <f t="shared" si="373"/>
        <v>11249.46</v>
      </c>
      <c r="X163" s="58">
        <f t="shared" si="374"/>
        <v>11249.46</v>
      </c>
      <c r="Y163" s="58">
        <f t="shared" si="375"/>
        <v>11249.46</v>
      </c>
      <c r="Z163" s="58">
        <f t="shared" si="376"/>
        <v>11249.46</v>
      </c>
      <c r="AA163" s="58">
        <f t="shared" si="377"/>
        <v>11249.46</v>
      </c>
      <c r="AB163" s="58">
        <f t="shared" si="378"/>
        <v>11249.46</v>
      </c>
      <c r="AC163" s="58">
        <f t="shared" si="379"/>
        <v>11249.46</v>
      </c>
      <c r="AD163" s="58">
        <f t="shared" si="380"/>
        <v>11249.46</v>
      </c>
      <c r="AE163" s="58">
        <f t="shared" si="381"/>
        <v>11249.46</v>
      </c>
      <c r="AF163" s="58">
        <f t="shared" si="382"/>
        <v>11249.46</v>
      </c>
      <c r="AG163" s="58">
        <f t="shared" si="383"/>
        <v>11206.38</v>
      </c>
      <c r="AH163" s="328"/>
      <c r="AI163" s="328"/>
      <c r="AJ163" s="333"/>
      <c r="AK163" s="13"/>
      <c r="AL163" s="13"/>
      <c r="AM163" s="13"/>
      <c r="AN163" s="13"/>
      <c r="AO163" s="58"/>
      <c r="AP163" s="58"/>
      <c r="AQ163" s="58"/>
      <c r="AR163" s="58"/>
      <c r="AS163" s="58"/>
      <c r="AT163" s="58"/>
      <c r="AU163" s="58"/>
      <c r="AV163" s="58"/>
      <c r="AW163" s="58"/>
      <c r="AX163" s="58">
        <v>0</v>
      </c>
      <c r="AY163" s="58">
        <v>43.08</v>
      </c>
      <c r="AZ163" s="58">
        <v>11206.38</v>
      </c>
      <c r="BA163" s="344">
        <v>33619.14</v>
      </c>
      <c r="BB163" s="342"/>
      <c r="BC163" s="342"/>
      <c r="BD163" s="259"/>
    </row>
    <row r="164" ht="16.5" customHeight="1" spans="1:56">
      <c r="A164" s="13"/>
      <c r="B164" s="13"/>
      <c r="C164" s="13"/>
      <c r="D164" s="13"/>
      <c r="E164" s="13"/>
      <c r="F164" s="13"/>
      <c r="G164" s="13"/>
      <c r="H164" s="13"/>
      <c r="I164" s="13"/>
      <c r="J164" s="13"/>
      <c r="K164" s="13"/>
      <c r="L164" s="13"/>
      <c r="M164" s="13"/>
      <c r="N164" s="13"/>
      <c r="O164" s="13"/>
      <c r="P164" s="13"/>
      <c r="Q164" s="13"/>
      <c r="R164" s="213" t="s">
        <v>3491</v>
      </c>
      <c r="S164" s="58"/>
      <c r="T164" s="58">
        <f t="shared" si="370"/>
        <v>0</v>
      </c>
      <c r="U164" s="319">
        <f t="shared" si="371"/>
        <v>0</v>
      </c>
      <c r="V164" s="58"/>
      <c r="W164" s="58"/>
      <c r="X164" s="58"/>
      <c r="Y164" s="58"/>
      <c r="Z164" s="58"/>
      <c r="AA164" s="58"/>
      <c r="AB164" s="58"/>
      <c r="AC164" s="58"/>
      <c r="AD164" s="58"/>
      <c r="AE164" s="58"/>
      <c r="AF164" s="58"/>
      <c r="AG164" s="58"/>
      <c r="AH164" s="328"/>
      <c r="AI164" s="328"/>
      <c r="AJ164" s="333"/>
      <c r="AK164" s="13"/>
      <c r="AL164" s="13"/>
      <c r="AM164" s="13"/>
      <c r="AN164" s="13"/>
      <c r="AO164" s="58"/>
      <c r="AP164" s="58"/>
      <c r="AQ164" s="58"/>
      <c r="AR164" s="58"/>
      <c r="AS164" s="58"/>
      <c r="AT164" s="58"/>
      <c r="AU164" s="58"/>
      <c r="AV164" s="58"/>
      <c r="AW164" s="58"/>
      <c r="AX164" s="58">
        <v>0</v>
      </c>
      <c r="AY164" s="58"/>
      <c r="AZ164" s="58"/>
      <c r="BA164" s="344"/>
      <c r="BB164" s="342"/>
      <c r="BC164" s="342"/>
      <c r="BD164" s="259"/>
    </row>
    <row r="165" ht="16.5" customHeight="1" spans="1:56">
      <c r="A165" s="13"/>
      <c r="B165" s="13"/>
      <c r="C165" s="13"/>
      <c r="D165" s="13"/>
      <c r="E165" s="13"/>
      <c r="F165" s="13"/>
      <c r="G165" s="13"/>
      <c r="H165" s="13"/>
      <c r="I165" s="13"/>
      <c r="J165" s="13"/>
      <c r="K165" s="13"/>
      <c r="L165" s="13"/>
      <c r="M165" s="13"/>
      <c r="N165" s="13"/>
      <c r="O165" s="13"/>
      <c r="P165" s="13"/>
      <c r="Q165" s="13"/>
      <c r="R165" s="213" t="s">
        <v>3492</v>
      </c>
      <c r="S165" s="58">
        <v>28040</v>
      </c>
      <c r="T165" s="58">
        <f t="shared" si="370"/>
        <v>11229.02</v>
      </c>
      <c r="U165" s="319">
        <f t="shared" si="371"/>
        <v>11220.99</v>
      </c>
      <c r="V165" s="58">
        <f t="shared" si="372"/>
        <v>8.03</v>
      </c>
      <c r="W165" s="58">
        <f t="shared" si="373"/>
        <v>8.03</v>
      </c>
      <c r="X165" s="58">
        <f t="shared" si="374"/>
        <v>8.03</v>
      </c>
      <c r="Y165" s="58">
        <f t="shared" si="375"/>
        <v>8.03</v>
      </c>
      <c r="Z165" s="58">
        <f t="shared" si="376"/>
        <v>8.03</v>
      </c>
      <c r="AA165" s="58">
        <f t="shared" si="377"/>
        <v>8.03</v>
      </c>
      <c r="AB165" s="58">
        <f t="shared" si="378"/>
        <v>8.03</v>
      </c>
      <c r="AC165" s="58">
        <f t="shared" si="379"/>
        <v>8.03</v>
      </c>
      <c r="AD165" s="58">
        <f t="shared" si="380"/>
        <v>8.03</v>
      </c>
      <c r="AE165" s="58">
        <f t="shared" si="381"/>
        <v>8.03</v>
      </c>
      <c r="AF165" s="58">
        <f t="shared" si="382"/>
        <v>8.03</v>
      </c>
      <c r="AG165" s="58">
        <f t="shared" si="383"/>
        <v>8.03</v>
      </c>
      <c r="AH165" s="328"/>
      <c r="AI165" s="328"/>
      <c r="AJ165" s="333"/>
      <c r="AK165" s="13"/>
      <c r="AL165" s="13"/>
      <c r="AM165" s="13"/>
      <c r="AN165" s="13"/>
      <c r="AO165" s="58"/>
      <c r="AP165" s="58"/>
      <c r="AQ165" s="58"/>
      <c r="AR165" s="58"/>
      <c r="AS165" s="58"/>
      <c r="AT165" s="58"/>
      <c r="AU165" s="58"/>
      <c r="AV165" s="58"/>
      <c r="AW165" s="58"/>
      <c r="AX165" s="58"/>
      <c r="AY165" s="58">
        <v>0</v>
      </c>
      <c r="AZ165" s="58">
        <v>8.03</v>
      </c>
      <c r="BA165" s="344">
        <v>11220.99</v>
      </c>
      <c r="BB165" s="342"/>
      <c r="BC165" s="342"/>
      <c r="BD165" s="259"/>
    </row>
    <row r="166" ht="16.5" customHeight="1" spans="1:56">
      <c r="A166" s="13"/>
      <c r="B166" s="13"/>
      <c r="C166" s="13"/>
      <c r="D166" s="13"/>
      <c r="E166" s="13"/>
      <c r="F166" s="13"/>
      <c r="G166" s="13"/>
      <c r="H166" s="13"/>
      <c r="I166" s="13"/>
      <c r="J166" s="13"/>
      <c r="K166" s="13"/>
      <c r="L166" s="13"/>
      <c r="M166" s="13"/>
      <c r="N166" s="13"/>
      <c r="O166" s="13"/>
      <c r="P166" s="13"/>
      <c r="Q166" s="13"/>
      <c r="R166" s="213" t="s">
        <v>3493</v>
      </c>
      <c r="S166" s="58">
        <v>4000</v>
      </c>
      <c r="T166" s="58">
        <f t="shared" si="370"/>
        <v>15008.33</v>
      </c>
      <c r="U166" s="319">
        <f t="shared" si="371"/>
        <v>220.42</v>
      </c>
      <c r="V166" s="58">
        <f t="shared" si="372"/>
        <v>14787.91</v>
      </c>
      <c r="W166" s="58">
        <f t="shared" si="373"/>
        <v>14787.91</v>
      </c>
      <c r="X166" s="58">
        <f t="shared" si="374"/>
        <v>14787.91</v>
      </c>
      <c r="Y166" s="58">
        <f t="shared" si="375"/>
        <v>14787.91</v>
      </c>
      <c r="Z166" s="58">
        <f t="shared" si="376"/>
        <v>14787.91</v>
      </c>
      <c r="AA166" s="58">
        <f t="shared" si="377"/>
        <v>14787.91</v>
      </c>
      <c r="AB166" s="58">
        <f t="shared" si="378"/>
        <v>14787.91</v>
      </c>
      <c r="AC166" s="58">
        <f t="shared" si="379"/>
        <v>14787.91</v>
      </c>
      <c r="AD166" s="58">
        <f t="shared" si="380"/>
        <v>14787.91</v>
      </c>
      <c r="AE166" s="58">
        <f t="shared" si="381"/>
        <v>14787.91</v>
      </c>
      <c r="AF166" s="58">
        <f t="shared" si="382"/>
        <v>243.48</v>
      </c>
      <c r="AG166" s="58">
        <f t="shared" si="383"/>
        <v>120.48</v>
      </c>
      <c r="AH166" s="328"/>
      <c r="AI166" s="328"/>
      <c r="AJ166" s="333"/>
      <c r="AK166" s="13"/>
      <c r="AL166" s="13"/>
      <c r="AM166" s="13"/>
      <c r="AN166" s="13"/>
      <c r="AO166" s="58"/>
      <c r="AP166" s="58"/>
      <c r="AQ166" s="58"/>
      <c r="AR166" s="58"/>
      <c r="AS166" s="58"/>
      <c r="AT166" s="58"/>
      <c r="AU166" s="58"/>
      <c r="AV166" s="58"/>
      <c r="AW166" s="58"/>
      <c r="AX166" s="58">
        <v>14544.43</v>
      </c>
      <c r="AY166" s="58">
        <v>123</v>
      </c>
      <c r="AZ166" s="58">
        <v>120.48</v>
      </c>
      <c r="BA166" s="344">
        <v>220.42</v>
      </c>
      <c r="BB166" s="342"/>
      <c r="BC166" s="342"/>
      <c r="BD166" s="259"/>
    </row>
    <row r="167" ht="16.5" customHeight="1" spans="1:56">
      <c r="A167" s="13"/>
      <c r="B167" s="13"/>
      <c r="C167" s="13"/>
      <c r="D167" s="13"/>
      <c r="E167" s="13"/>
      <c r="F167" s="13"/>
      <c r="G167" s="13"/>
      <c r="H167" s="13"/>
      <c r="I167" s="13"/>
      <c r="J167" s="13"/>
      <c r="K167" s="13"/>
      <c r="L167" s="13"/>
      <c r="M167" s="13"/>
      <c r="N167" s="13"/>
      <c r="O167" s="13"/>
      <c r="P167" s="13"/>
      <c r="Q167" s="13"/>
      <c r="R167" s="213" t="s">
        <v>3494</v>
      </c>
      <c r="S167" s="214">
        <f t="shared" ref="S167:AG167" si="384">SUM(S163:S166)</f>
        <v>119615.75</v>
      </c>
      <c r="T167" s="214">
        <f t="shared" si="384"/>
        <v>71105.95</v>
      </c>
      <c r="U167" s="320">
        <f t="shared" si="384"/>
        <v>45060.55</v>
      </c>
      <c r="V167" s="214">
        <f t="shared" si="384"/>
        <v>26045.4</v>
      </c>
      <c r="W167" s="214">
        <f t="shared" si="384"/>
        <v>26045.4</v>
      </c>
      <c r="X167" s="214">
        <f t="shared" si="384"/>
        <v>26045.4</v>
      </c>
      <c r="Y167" s="214">
        <f t="shared" si="384"/>
        <v>26045.4</v>
      </c>
      <c r="Z167" s="214">
        <f t="shared" si="384"/>
        <v>26045.4</v>
      </c>
      <c r="AA167" s="214">
        <f t="shared" si="384"/>
        <v>26045.4</v>
      </c>
      <c r="AB167" s="214">
        <f t="shared" si="384"/>
        <v>26045.4</v>
      </c>
      <c r="AC167" s="214">
        <f t="shared" si="384"/>
        <v>26045.4</v>
      </c>
      <c r="AD167" s="214">
        <f t="shared" si="384"/>
        <v>26045.4</v>
      </c>
      <c r="AE167" s="214">
        <f t="shared" si="384"/>
        <v>26045.4</v>
      </c>
      <c r="AF167" s="214">
        <f t="shared" si="384"/>
        <v>11500.97</v>
      </c>
      <c r="AG167" s="214">
        <f t="shared" si="384"/>
        <v>11334.89</v>
      </c>
      <c r="AH167" s="214">
        <f>SUM(AH163:AH166)</f>
        <v>0</v>
      </c>
      <c r="AI167" s="214">
        <f>SUM(AI163:AI166)</f>
        <v>0</v>
      </c>
      <c r="AJ167" s="214"/>
      <c r="AK167" s="13"/>
      <c r="AL167" s="13"/>
      <c r="AM167" s="13"/>
      <c r="AN167" s="13"/>
      <c r="AO167" s="214">
        <f t="shared" ref="AO167:AZ167" si="385">SUM(AO163:AO166)</f>
        <v>0</v>
      </c>
      <c r="AP167" s="214">
        <f t="shared" si="385"/>
        <v>0</v>
      </c>
      <c r="AQ167" s="214">
        <f t="shared" si="385"/>
        <v>0</v>
      </c>
      <c r="AR167" s="214">
        <f t="shared" si="385"/>
        <v>0</v>
      </c>
      <c r="AS167" s="214">
        <f t="shared" si="385"/>
        <v>0</v>
      </c>
      <c r="AT167" s="214">
        <f t="shared" si="385"/>
        <v>0</v>
      </c>
      <c r="AU167" s="214">
        <f t="shared" si="385"/>
        <v>0</v>
      </c>
      <c r="AV167" s="214">
        <f t="shared" si="385"/>
        <v>0</v>
      </c>
      <c r="AW167" s="214">
        <f t="shared" si="385"/>
        <v>0</v>
      </c>
      <c r="AX167" s="214">
        <f t="shared" si="385"/>
        <v>14544.43</v>
      </c>
      <c r="AY167" s="214">
        <f t="shared" si="385"/>
        <v>166.08</v>
      </c>
      <c r="AZ167" s="214">
        <f t="shared" si="385"/>
        <v>11334.89</v>
      </c>
      <c r="BA167" s="320">
        <v>45060.55</v>
      </c>
      <c r="BB167" s="320">
        <f>SUM(BB163:BB166)</f>
        <v>0</v>
      </c>
      <c r="BC167" s="320">
        <f>SUM(BC163:BC166)</f>
        <v>0</v>
      </c>
      <c r="BD167" s="345"/>
    </row>
    <row r="168" ht="16.5" customHeight="1" spans="1:56">
      <c r="A168" s="13"/>
      <c r="B168" s="13"/>
      <c r="C168" s="13"/>
      <c r="D168" s="13"/>
      <c r="E168" s="13"/>
      <c r="F168" s="13"/>
      <c r="G168" s="13"/>
      <c r="H168" s="13"/>
      <c r="I168" s="13"/>
      <c r="J168" s="13"/>
      <c r="K168" s="13"/>
      <c r="L168" s="13"/>
      <c r="M168" s="13"/>
      <c r="N168" s="13"/>
      <c r="O168" s="13"/>
      <c r="P168" s="13"/>
      <c r="Q168" s="13"/>
      <c r="R168" s="213" t="s">
        <v>3495</v>
      </c>
      <c r="S168" s="58">
        <f t="shared" ref="S168:AG168" si="386">S162-S163</f>
        <v>53933.68</v>
      </c>
      <c r="T168" s="58">
        <f t="shared" si="386"/>
        <v>81536.03</v>
      </c>
      <c r="U168" s="319">
        <f t="shared" si="386"/>
        <v>66100.84</v>
      </c>
      <c r="V168" s="58">
        <f t="shared" si="386"/>
        <v>15435.19</v>
      </c>
      <c r="W168" s="58">
        <f t="shared" si="386"/>
        <v>15435.19</v>
      </c>
      <c r="X168" s="58">
        <f t="shared" si="386"/>
        <v>15435.19</v>
      </c>
      <c r="Y168" s="58">
        <f t="shared" si="386"/>
        <v>15435.19</v>
      </c>
      <c r="Z168" s="58">
        <f t="shared" si="386"/>
        <v>15435.19</v>
      </c>
      <c r="AA168" s="58">
        <f t="shared" si="386"/>
        <v>15435.19</v>
      </c>
      <c r="AB168" s="58">
        <f t="shared" si="386"/>
        <v>15435.19</v>
      </c>
      <c r="AC168" s="58">
        <f t="shared" si="386"/>
        <v>15435.19</v>
      </c>
      <c r="AD168" s="58">
        <f t="shared" si="386"/>
        <v>15435.19</v>
      </c>
      <c r="AE168" s="58">
        <f t="shared" si="386"/>
        <v>15435.19</v>
      </c>
      <c r="AF168" s="58">
        <f t="shared" si="386"/>
        <v>4199.55</v>
      </c>
      <c r="AG168" s="58">
        <f t="shared" si="386"/>
        <v>1433.72</v>
      </c>
      <c r="AH168" s="332"/>
      <c r="AI168" s="332"/>
      <c r="AJ168" s="333"/>
      <c r="AK168" s="13"/>
      <c r="AL168" s="13"/>
      <c r="AM168" s="13"/>
      <c r="AN168" s="13"/>
      <c r="AO168" s="58">
        <f t="shared" ref="AO168:AZ168" si="387">AO162-AO163</f>
        <v>0</v>
      </c>
      <c r="AP168" s="58">
        <f t="shared" si="387"/>
        <v>0</v>
      </c>
      <c r="AQ168" s="58">
        <f t="shared" si="387"/>
        <v>0</v>
      </c>
      <c r="AR168" s="58">
        <f t="shared" si="387"/>
        <v>0</v>
      </c>
      <c r="AS168" s="58">
        <f t="shared" si="387"/>
        <v>0</v>
      </c>
      <c r="AT168" s="58">
        <f t="shared" si="387"/>
        <v>0</v>
      </c>
      <c r="AU168" s="58">
        <f t="shared" si="387"/>
        <v>0</v>
      </c>
      <c r="AV168" s="58">
        <f t="shared" si="387"/>
        <v>0</v>
      </c>
      <c r="AW168" s="58">
        <f t="shared" si="387"/>
        <v>0</v>
      </c>
      <c r="AX168" s="58">
        <f t="shared" si="387"/>
        <v>11235.64</v>
      </c>
      <c r="AY168" s="58">
        <f t="shared" si="387"/>
        <v>2765.83</v>
      </c>
      <c r="AZ168" s="58">
        <f t="shared" si="387"/>
        <v>1433.72</v>
      </c>
      <c r="BA168" s="344">
        <v>66100.84</v>
      </c>
      <c r="BB168" s="342"/>
      <c r="BC168" s="342"/>
      <c r="BD168" s="259"/>
    </row>
    <row r="169" ht="16.5" customHeight="1" spans="1:56">
      <c r="A169" s="13"/>
      <c r="B169" s="13"/>
      <c r="C169" s="13"/>
      <c r="D169" s="13"/>
      <c r="E169" s="13"/>
      <c r="F169" s="13"/>
      <c r="G169" s="13"/>
      <c r="H169" s="13"/>
      <c r="I169" s="13"/>
      <c r="J169" s="13"/>
      <c r="K169" s="13"/>
      <c r="L169" s="13"/>
      <c r="M169" s="13"/>
      <c r="N169" s="13"/>
      <c r="O169" s="13"/>
      <c r="P169" s="13"/>
      <c r="Q169" s="13"/>
      <c r="R169" s="321" t="s">
        <v>3496</v>
      </c>
      <c r="S169" s="61">
        <f t="shared" ref="S169:AG169" si="388">S168/S162</f>
        <v>0.381131349338344</v>
      </c>
      <c r="T169" s="61">
        <f t="shared" si="388"/>
        <v>0.645039900832746</v>
      </c>
      <c r="U169" s="322">
        <f t="shared" si="388"/>
        <v>0.662864553322213</v>
      </c>
      <c r="V169" s="61">
        <f t="shared" si="388"/>
        <v>0.578429546574529</v>
      </c>
      <c r="W169" s="61">
        <f t="shared" si="388"/>
        <v>0.578429546574529</v>
      </c>
      <c r="X169" s="61">
        <f t="shared" si="388"/>
        <v>0.578429546574529</v>
      </c>
      <c r="Y169" s="61">
        <f t="shared" si="388"/>
        <v>0.578429546574529</v>
      </c>
      <c r="Z169" s="61">
        <f t="shared" si="388"/>
        <v>0.578429546574529</v>
      </c>
      <c r="AA169" s="61">
        <f t="shared" si="388"/>
        <v>0.578429546574529</v>
      </c>
      <c r="AB169" s="61">
        <f t="shared" si="388"/>
        <v>0.578429546574529</v>
      </c>
      <c r="AC169" s="61">
        <f t="shared" si="388"/>
        <v>0.578429546574529</v>
      </c>
      <c r="AD169" s="61">
        <f t="shared" si="388"/>
        <v>0.578429546574529</v>
      </c>
      <c r="AE169" s="61">
        <f t="shared" si="388"/>
        <v>0.578429546574529</v>
      </c>
      <c r="AF169" s="61">
        <f t="shared" si="388"/>
        <v>0.271832952402775</v>
      </c>
      <c r="AG169" s="61">
        <f t="shared" si="388"/>
        <v>0.113426317829764</v>
      </c>
      <c r="AH169" s="82">
        <f>T169-S169</f>
        <v>0.263908551494402</v>
      </c>
      <c r="AI169" s="82">
        <f>AF169-S169</f>
        <v>-0.109298396935569</v>
      </c>
      <c r="AJ169" s="333"/>
      <c r="AK169" s="13"/>
      <c r="AL169" s="13"/>
      <c r="AM169" s="13"/>
      <c r="AN169" s="13"/>
      <c r="AO169" s="61" t="e">
        <f t="shared" ref="AO169:AZ169" si="389">AO168/AO162</f>
        <v>#DIV/0!</v>
      </c>
      <c r="AP169" s="61" t="e">
        <f t="shared" si="389"/>
        <v>#DIV/0!</v>
      </c>
      <c r="AQ169" s="61" t="e">
        <f t="shared" si="389"/>
        <v>#DIV/0!</v>
      </c>
      <c r="AR169" s="61" t="e">
        <f t="shared" si="389"/>
        <v>#DIV/0!</v>
      </c>
      <c r="AS169" s="61" t="e">
        <f t="shared" si="389"/>
        <v>#DIV/0!</v>
      </c>
      <c r="AT169" s="61" t="e">
        <f t="shared" si="389"/>
        <v>#DIV/0!</v>
      </c>
      <c r="AU169" s="61" t="e">
        <f t="shared" si="389"/>
        <v>#DIV/0!</v>
      </c>
      <c r="AV169" s="61" t="e">
        <f t="shared" si="389"/>
        <v>#DIV/0!</v>
      </c>
      <c r="AW169" s="61" t="e">
        <f t="shared" si="389"/>
        <v>#DIV/0!</v>
      </c>
      <c r="AX169" s="61">
        <f t="shared" si="389"/>
        <v>1</v>
      </c>
      <c r="AY169" s="61">
        <f t="shared" si="389"/>
        <v>0.984663089953042</v>
      </c>
      <c r="AZ169" s="61">
        <f t="shared" si="389"/>
        <v>0.113426317829764</v>
      </c>
      <c r="BA169" s="322">
        <v>0.662864553322213</v>
      </c>
      <c r="BB169" s="342"/>
      <c r="BC169" s="342"/>
      <c r="BD169" s="259"/>
    </row>
    <row r="170" ht="16.5" customHeight="1" spans="1:56">
      <c r="A170" s="13"/>
      <c r="B170" s="13"/>
      <c r="C170" s="13"/>
      <c r="D170" s="13"/>
      <c r="E170" s="13"/>
      <c r="F170" s="13"/>
      <c r="G170" s="13"/>
      <c r="H170" s="13"/>
      <c r="I170" s="13"/>
      <c r="J170" s="13"/>
      <c r="K170" s="13"/>
      <c r="L170" s="13"/>
      <c r="M170" s="13"/>
      <c r="N170" s="13"/>
      <c r="O170" s="13"/>
      <c r="P170" s="13"/>
      <c r="Q170" s="13"/>
      <c r="R170" s="213" t="s">
        <v>3497</v>
      </c>
      <c r="S170" s="58">
        <f t="shared" ref="S170:AG170" si="390">S162-S167</f>
        <v>21893.68</v>
      </c>
      <c r="T170" s="58">
        <f t="shared" si="390"/>
        <v>55298.68</v>
      </c>
      <c r="U170" s="58">
        <f t="shared" si="390"/>
        <v>54659.43</v>
      </c>
      <c r="V170" s="58">
        <f t="shared" si="390"/>
        <v>639.25</v>
      </c>
      <c r="W170" s="58">
        <f t="shared" si="390"/>
        <v>639.25</v>
      </c>
      <c r="X170" s="58">
        <f t="shared" si="390"/>
        <v>639.25</v>
      </c>
      <c r="Y170" s="58">
        <f t="shared" si="390"/>
        <v>639.25</v>
      </c>
      <c r="Z170" s="58">
        <f t="shared" si="390"/>
        <v>639.25</v>
      </c>
      <c r="AA170" s="58">
        <f t="shared" si="390"/>
        <v>639.25</v>
      </c>
      <c r="AB170" s="58">
        <f t="shared" si="390"/>
        <v>639.25</v>
      </c>
      <c r="AC170" s="58">
        <f t="shared" si="390"/>
        <v>639.25</v>
      </c>
      <c r="AD170" s="58">
        <f t="shared" si="390"/>
        <v>639.25</v>
      </c>
      <c r="AE170" s="58">
        <f t="shared" si="390"/>
        <v>639.25</v>
      </c>
      <c r="AF170" s="58">
        <f t="shared" si="390"/>
        <v>3948.04</v>
      </c>
      <c r="AG170" s="58">
        <f t="shared" si="390"/>
        <v>1305.21</v>
      </c>
      <c r="AH170" s="82"/>
      <c r="AI170" s="82"/>
      <c r="AJ170" s="333"/>
      <c r="AK170" s="13"/>
      <c r="AL170" s="13"/>
      <c r="AM170" s="13"/>
      <c r="AN170" s="13"/>
      <c r="AO170" s="58">
        <f t="shared" ref="AO170:BC170" si="391">AO162-AO167</f>
        <v>0</v>
      </c>
      <c r="AP170" s="58">
        <f t="shared" si="391"/>
        <v>0</v>
      </c>
      <c r="AQ170" s="58">
        <f t="shared" si="391"/>
        <v>0</v>
      </c>
      <c r="AR170" s="58">
        <f t="shared" si="391"/>
        <v>0</v>
      </c>
      <c r="AS170" s="58">
        <f t="shared" si="391"/>
        <v>0</v>
      </c>
      <c r="AT170" s="58">
        <f t="shared" si="391"/>
        <v>0</v>
      </c>
      <c r="AU170" s="58">
        <f t="shared" si="391"/>
        <v>0</v>
      </c>
      <c r="AV170" s="58">
        <f t="shared" si="391"/>
        <v>0</v>
      </c>
      <c r="AW170" s="58">
        <f t="shared" si="391"/>
        <v>0</v>
      </c>
      <c r="AX170" s="58">
        <f t="shared" si="391"/>
        <v>-3308.79</v>
      </c>
      <c r="AY170" s="58">
        <f t="shared" si="391"/>
        <v>2642.83</v>
      </c>
      <c r="AZ170" s="58">
        <f t="shared" si="391"/>
        <v>1305.21</v>
      </c>
      <c r="BA170" s="58">
        <f t="shared" si="391"/>
        <v>54659.43</v>
      </c>
      <c r="BB170" s="58">
        <f t="shared" si="391"/>
        <v>0</v>
      </c>
      <c r="BC170" s="58">
        <f t="shared" si="391"/>
        <v>0</v>
      </c>
      <c r="BD170" s="259"/>
    </row>
    <row r="171" ht="16.5" customHeight="1" spans="1:56">
      <c r="A171" s="14"/>
      <c r="B171" s="14"/>
      <c r="C171" s="14"/>
      <c r="D171" s="14"/>
      <c r="E171" s="14"/>
      <c r="F171" s="14"/>
      <c r="G171" s="14"/>
      <c r="H171" s="14"/>
      <c r="I171" s="14"/>
      <c r="J171" s="14"/>
      <c r="K171" s="14"/>
      <c r="L171" s="14"/>
      <c r="M171" s="14"/>
      <c r="N171" s="14"/>
      <c r="O171" s="14"/>
      <c r="P171" s="14"/>
      <c r="Q171" s="14"/>
      <c r="R171" s="321" t="s">
        <v>3498</v>
      </c>
      <c r="S171" s="61">
        <f t="shared" ref="S171:AG171" si="392">S170/S162</f>
        <v>0.154715342998696</v>
      </c>
      <c r="T171" s="61">
        <f t="shared" si="392"/>
        <v>0.437473532417286</v>
      </c>
      <c r="U171" s="322">
        <f t="shared" si="392"/>
        <v>0.54812917130549</v>
      </c>
      <c r="V171" s="61">
        <f t="shared" si="392"/>
        <v>0.0239557198614185</v>
      </c>
      <c r="W171" s="61">
        <f t="shared" si="392"/>
        <v>0.0239557198614185</v>
      </c>
      <c r="X171" s="61">
        <f t="shared" si="392"/>
        <v>0.0239557198614185</v>
      </c>
      <c r="Y171" s="61">
        <f t="shared" si="392"/>
        <v>0.0239557198614185</v>
      </c>
      <c r="Z171" s="61">
        <f t="shared" si="392"/>
        <v>0.0239557198614185</v>
      </c>
      <c r="AA171" s="61">
        <f t="shared" si="392"/>
        <v>0.0239557198614185</v>
      </c>
      <c r="AB171" s="61">
        <f t="shared" si="392"/>
        <v>0.0239557198614185</v>
      </c>
      <c r="AC171" s="61">
        <f t="shared" si="392"/>
        <v>0.0239557198614185</v>
      </c>
      <c r="AD171" s="61">
        <f t="shared" si="392"/>
        <v>0.0239557198614185</v>
      </c>
      <c r="AE171" s="61">
        <f t="shared" si="392"/>
        <v>0.0239557198614185</v>
      </c>
      <c r="AF171" s="61">
        <f t="shared" si="392"/>
        <v>0.255552944816529</v>
      </c>
      <c r="AG171" s="61">
        <f t="shared" si="392"/>
        <v>0.103259467883957</v>
      </c>
      <c r="AH171" s="82">
        <f>T171-S171</f>
        <v>0.282758189418589</v>
      </c>
      <c r="AI171" s="82">
        <f>AF171-S171</f>
        <v>0.100837601817832</v>
      </c>
      <c r="AJ171" s="333"/>
      <c r="AK171" s="14"/>
      <c r="AL171" s="14"/>
      <c r="AM171" s="14"/>
      <c r="AN171" s="14"/>
      <c r="AO171" s="61" t="e">
        <f t="shared" ref="AO171:AZ171" si="393">AO170/AO162</f>
        <v>#DIV/0!</v>
      </c>
      <c r="AP171" s="61" t="e">
        <f t="shared" si="393"/>
        <v>#DIV/0!</v>
      </c>
      <c r="AQ171" s="61" t="e">
        <f t="shared" si="393"/>
        <v>#DIV/0!</v>
      </c>
      <c r="AR171" s="61" t="e">
        <f t="shared" si="393"/>
        <v>#DIV/0!</v>
      </c>
      <c r="AS171" s="61" t="e">
        <f t="shared" si="393"/>
        <v>#DIV/0!</v>
      </c>
      <c r="AT171" s="61" t="e">
        <f t="shared" si="393"/>
        <v>#DIV/0!</v>
      </c>
      <c r="AU171" s="61" t="e">
        <f t="shared" si="393"/>
        <v>#DIV/0!</v>
      </c>
      <c r="AV171" s="61" t="e">
        <f t="shared" si="393"/>
        <v>#DIV/0!</v>
      </c>
      <c r="AW171" s="61" t="e">
        <f t="shared" si="393"/>
        <v>#DIV/0!</v>
      </c>
      <c r="AX171" s="61">
        <f t="shared" si="393"/>
        <v>-0.294490567515513</v>
      </c>
      <c r="AY171" s="61">
        <f t="shared" si="393"/>
        <v>0.940873862103093</v>
      </c>
      <c r="AZ171" s="61">
        <f t="shared" si="393"/>
        <v>0.103259467883957</v>
      </c>
      <c r="BA171" s="322">
        <v>0.54812917130549</v>
      </c>
      <c r="BB171" s="342"/>
      <c r="BC171" s="342"/>
      <c r="BD171" s="259"/>
    </row>
    <row r="172" ht="16.5" customHeight="1" spans="1:56">
      <c r="A172" s="300" t="s">
        <v>286</v>
      </c>
      <c r="B172" s="301" t="s">
        <v>532</v>
      </c>
      <c r="C172" s="302">
        <v>45292</v>
      </c>
      <c r="D172" s="302">
        <v>46387</v>
      </c>
      <c r="E172" s="304"/>
      <c r="F172" s="233">
        <v>1</v>
      </c>
      <c r="G172" s="28">
        <v>1</v>
      </c>
      <c r="H172" s="301"/>
      <c r="I172" s="301"/>
      <c r="J172" s="12"/>
      <c r="K172" s="12"/>
      <c r="L172" s="12"/>
      <c r="M172" s="301"/>
      <c r="N172" s="301"/>
      <c r="O172" s="301"/>
      <c r="P172" s="304"/>
      <c r="Q172" s="301"/>
      <c r="R172" s="318" t="s">
        <v>3486</v>
      </c>
      <c r="S172" s="58">
        <v>943395.28</v>
      </c>
      <c r="T172" s="58">
        <f t="shared" ref="T172:T176" si="394">SUM(AO172:BC172)</f>
        <v>787886.07</v>
      </c>
      <c r="U172" s="319">
        <f t="shared" ref="U172:U176" si="395">SUM(BA172:BC172)</f>
        <v>695602.58</v>
      </c>
      <c r="V172" s="58">
        <f t="shared" ref="V172:V176" si="396">SUM(AO172:AZ172)</f>
        <v>92283.49</v>
      </c>
      <c r="W172" s="58">
        <f t="shared" ref="W172:W176" si="397">SUM(AP172:AZ172)</f>
        <v>92283.49</v>
      </c>
      <c r="X172" s="58">
        <f t="shared" ref="X172:X176" si="398">SUM(AQ172:AZ172)</f>
        <v>92283.49</v>
      </c>
      <c r="Y172" s="58">
        <f t="shared" ref="Y172:Y176" si="399">SUM(AR172:AZ172)</f>
        <v>92283.49</v>
      </c>
      <c r="Z172" s="58">
        <f t="shared" ref="Z172:Z176" si="400">SUM(AS172:AZ172)</f>
        <v>92283.49</v>
      </c>
      <c r="AA172" s="58">
        <f t="shared" ref="AA172:AA176" si="401">SUM(AT172:AZ172)</f>
        <v>92283.49</v>
      </c>
      <c r="AB172" s="58">
        <f t="shared" ref="AB172:AB176" si="402">SUM(AU172:AZ172)</f>
        <v>92283.49</v>
      </c>
      <c r="AC172" s="58">
        <f t="shared" ref="AC172:AC176" si="403">SUM(AV172:AZ172)</f>
        <v>92283.49</v>
      </c>
      <c r="AD172" s="58">
        <f t="shared" ref="AD172:AD176" si="404">SUM(AW172:AZ172)</f>
        <v>92283.49</v>
      </c>
      <c r="AE172" s="58">
        <f t="shared" ref="AE172:AE176" si="405">SUM(AX172:AZ172)</f>
        <v>92283.49</v>
      </c>
      <c r="AF172" s="58">
        <f t="shared" ref="AF172:AF176" si="406">SUM(AY172:AZ172)</f>
        <v>52490.63</v>
      </c>
      <c r="AG172" s="58">
        <f t="shared" ref="AG172:AG176" si="407">SUM(AZ172:AZ172)</f>
        <v>25405.36</v>
      </c>
      <c r="AH172" s="328"/>
      <c r="AI172" s="328"/>
      <c r="AJ172" s="359" t="s">
        <v>3577</v>
      </c>
      <c r="AK172" s="28" t="s">
        <v>3578</v>
      </c>
      <c r="AL172" s="93" t="s">
        <v>3579</v>
      </c>
      <c r="AM172" s="93" t="s">
        <v>3580</v>
      </c>
      <c r="AN172" s="360"/>
      <c r="AO172" s="58"/>
      <c r="AP172" s="58"/>
      <c r="AQ172" s="58"/>
      <c r="AR172" s="58"/>
      <c r="AS172" s="58"/>
      <c r="AT172" s="58"/>
      <c r="AU172" s="58"/>
      <c r="AV172" s="58"/>
      <c r="AW172" s="58"/>
      <c r="AX172" s="58">
        <v>39792.86</v>
      </c>
      <c r="AY172" s="58">
        <v>27085.27</v>
      </c>
      <c r="AZ172" s="58">
        <v>25405.36</v>
      </c>
      <c r="BA172" s="344">
        <v>695602.58</v>
      </c>
      <c r="BB172" s="342"/>
      <c r="BC172" s="342"/>
      <c r="BD172" s="259"/>
    </row>
    <row r="173" ht="16.5" customHeight="1" spans="1:56">
      <c r="A173" s="13"/>
      <c r="B173" s="13"/>
      <c r="C173" s="13"/>
      <c r="D173" s="13"/>
      <c r="E173" s="13"/>
      <c r="F173" s="13"/>
      <c r="G173" s="13"/>
      <c r="H173" s="13"/>
      <c r="I173" s="13"/>
      <c r="J173" s="13"/>
      <c r="K173" s="13"/>
      <c r="L173" s="13"/>
      <c r="M173" s="13"/>
      <c r="N173" s="13"/>
      <c r="O173" s="13"/>
      <c r="P173" s="13"/>
      <c r="Q173" s="13"/>
      <c r="R173" s="213" t="s">
        <v>3490</v>
      </c>
      <c r="S173" s="58">
        <v>429046.61</v>
      </c>
      <c r="T173" s="58">
        <f t="shared" si="394"/>
        <v>670165.17</v>
      </c>
      <c r="U173" s="319">
        <f t="shared" si="395"/>
        <v>606286.52</v>
      </c>
      <c r="V173" s="58">
        <f t="shared" si="396"/>
        <v>63878.65</v>
      </c>
      <c r="W173" s="58">
        <f t="shared" si="397"/>
        <v>63878.65</v>
      </c>
      <c r="X173" s="58">
        <f t="shared" si="398"/>
        <v>63878.65</v>
      </c>
      <c r="Y173" s="58">
        <f t="shared" si="399"/>
        <v>63878.65</v>
      </c>
      <c r="Z173" s="58">
        <f t="shared" si="400"/>
        <v>63878.65</v>
      </c>
      <c r="AA173" s="58">
        <f t="shared" si="401"/>
        <v>63878.65</v>
      </c>
      <c r="AB173" s="58">
        <f t="shared" si="402"/>
        <v>63878.65</v>
      </c>
      <c r="AC173" s="58">
        <f t="shared" si="403"/>
        <v>63878.65</v>
      </c>
      <c r="AD173" s="58">
        <f t="shared" si="404"/>
        <v>63878.65</v>
      </c>
      <c r="AE173" s="58">
        <f t="shared" si="405"/>
        <v>63878.65</v>
      </c>
      <c r="AF173" s="58">
        <f t="shared" si="406"/>
        <v>46253.84</v>
      </c>
      <c r="AG173" s="58">
        <f t="shared" si="407"/>
        <v>29590.96</v>
      </c>
      <c r="AH173" s="328"/>
      <c r="AI173" s="328"/>
      <c r="AJ173" s="13"/>
      <c r="AK173" s="13"/>
      <c r="AL173" s="13"/>
      <c r="AM173" s="13"/>
      <c r="AN173" s="13"/>
      <c r="AO173" s="58"/>
      <c r="AP173" s="58"/>
      <c r="AQ173" s="58"/>
      <c r="AR173" s="58"/>
      <c r="AS173" s="58"/>
      <c r="AT173" s="58"/>
      <c r="AU173" s="58"/>
      <c r="AV173" s="58"/>
      <c r="AW173" s="58"/>
      <c r="AX173" s="58">
        <v>17624.81</v>
      </c>
      <c r="AY173" s="58">
        <v>16662.88</v>
      </c>
      <c r="AZ173" s="58">
        <v>29590.96</v>
      </c>
      <c r="BA173" s="344">
        <v>606286.52</v>
      </c>
      <c r="BB173" s="342"/>
      <c r="BC173" s="342"/>
      <c r="BD173" s="259"/>
    </row>
    <row r="174" ht="16.5" customHeight="1" spans="1:56">
      <c r="A174" s="13"/>
      <c r="B174" s="13"/>
      <c r="C174" s="13"/>
      <c r="D174" s="13"/>
      <c r="E174" s="13"/>
      <c r="F174" s="13"/>
      <c r="G174" s="13"/>
      <c r="H174" s="13"/>
      <c r="I174" s="13"/>
      <c r="J174" s="13"/>
      <c r="K174" s="13"/>
      <c r="L174" s="13"/>
      <c r="M174" s="13"/>
      <c r="N174" s="13"/>
      <c r="O174" s="13"/>
      <c r="P174" s="13"/>
      <c r="Q174" s="13"/>
      <c r="R174" s="213" t="s">
        <v>3491</v>
      </c>
      <c r="S174" s="58"/>
      <c r="T174" s="58">
        <f t="shared" si="394"/>
        <v>34991.9</v>
      </c>
      <c r="U174" s="319">
        <f t="shared" si="395"/>
        <v>0</v>
      </c>
      <c r="V174" s="58"/>
      <c r="W174" s="58"/>
      <c r="X174" s="58"/>
      <c r="Y174" s="58"/>
      <c r="Z174" s="58"/>
      <c r="AA174" s="58"/>
      <c r="AB174" s="58"/>
      <c r="AC174" s="58"/>
      <c r="AD174" s="58"/>
      <c r="AE174" s="58"/>
      <c r="AF174" s="58"/>
      <c r="AG174" s="58"/>
      <c r="AH174" s="328"/>
      <c r="AI174" s="328"/>
      <c r="AJ174" s="13"/>
      <c r="AK174" s="13"/>
      <c r="AL174" s="13"/>
      <c r="AM174" s="13"/>
      <c r="AN174" s="13"/>
      <c r="AO174" s="58"/>
      <c r="AP174" s="58"/>
      <c r="AQ174" s="58"/>
      <c r="AR174" s="58"/>
      <c r="AS174" s="58"/>
      <c r="AT174" s="58"/>
      <c r="AU174" s="58"/>
      <c r="AV174" s="58"/>
      <c r="AW174" s="58"/>
      <c r="AX174" s="58">
        <v>7704.24</v>
      </c>
      <c r="AY174" s="58">
        <v>17765.41</v>
      </c>
      <c r="AZ174" s="58">
        <v>9522.25</v>
      </c>
      <c r="BA174" s="344"/>
      <c r="BB174" s="342"/>
      <c r="BC174" s="342"/>
      <c r="BD174" s="259"/>
    </row>
    <row r="175" ht="16.5" customHeight="1" spans="1:56">
      <c r="A175" s="13"/>
      <c r="B175" s="13"/>
      <c r="C175" s="13"/>
      <c r="D175" s="13"/>
      <c r="E175" s="13"/>
      <c r="F175" s="13"/>
      <c r="G175" s="13"/>
      <c r="H175" s="13"/>
      <c r="I175" s="13"/>
      <c r="J175" s="13"/>
      <c r="K175" s="13"/>
      <c r="L175" s="13"/>
      <c r="M175" s="13"/>
      <c r="N175" s="13"/>
      <c r="O175" s="13"/>
      <c r="P175" s="13"/>
      <c r="Q175" s="13"/>
      <c r="R175" s="213" t="s">
        <v>3492</v>
      </c>
      <c r="S175" s="58">
        <v>0</v>
      </c>
      <c r="T175" s="58">
        <f t="shared" si="394"/>
        <v>21435.43</v>
      </c>
      <c r="U175" s="319">
        <f t="shared" si="395"/>
        <v>21435.43</v>
      </c>
      <c r="V175" s="58">
        <f t="shared" si="396"/>
        <v>0</v>
      </c>
      <c r="W175" s="58">
        <f t="shared" si="397"/>
        <v>0</v>
      </c>
      <c r="X175" s="58">
        <f t="shared" si="398"/>
        <v>0</v>
      </c>
      <c r="Y175" s="58">
        <f t="shared" si="399"/>
        <v>0</v>
      </c>
      <c r="Z175" s="58">
        <f t="shared" si="400"/>
        <v>0</v>
      </c>
      <c r="AA175" s="58">
        <f t="shared" si="401"/>
        <v>0</v>
      </c>
      <c r="AB175" s="58">
        <f t="shared" si="402"/>
        <v>0</v>
      </c>
      <c r="AC175" s="58">
        <f t="shared" si="403"/>
        <v>0</v>
      </c>
      <c r="AD175" s="58">
        <f t="shared" si="404"/>
        <v>0</v>
      </c>
      <c r="AE175" s="58">
        <f t="shared" si="405"/>
        <v>0</v>
      </c>
      <c r="AF175" s="58">
        <f t="shared" si="406"/>
        <v>0</v>
      </c>
      <c r="AG175" s="58">
        <f t="shared" si="407"/>
        <v>0</v>
      </c>
      <c r="AH175" s="328"/>
      <c r="AI175" s="328"/>
      <c r="AJ175" s="13"/>
      <c r="AK175" s="13"/>
      <c r="AL175" s="13"/>
      <c r="AM175" s="13"/>
      <c r="AN175" s="13"/>
      <c r="AO175" s="58"/>
      <c r="AP175" s="58"/>
      <c r="AQ175" s="58"/>
      <c r="AR175" s="58"/>
      <c r="AS175" s="58"/>
      <c r="AT175" s="58"/>
      <c r="AU175" s="58"/>
      <c r="AV175" s="58"/>
      <c r="AW175" s="58"/>
      <c r="AX175" s="58"/>
      <c r="AY175" s="58">
        <v>0</v>
      </c>
      <c r="AZ175" s="58">
        <v>0</v>
      </c>
      <c r="BA175" s="344">
        <v>21435.43</v>
      </c>
      <c r="BB175" s="342"/>
      <c r="BC175" s="342"/>
      <c r="BD175" s="259"/>
    </row>
    <row r="176" ht="16.5" customHeight="1" spans="1:56">
      <c r="A176" s="13"/>
      <c r="B176" s="13"/>
      <c r="C176" s="13"/>
      <c r="D176" s="13"/>
      <c r="E176" s="13"/>
      <c r="F176" s="13"/>
      <c r="G176" s="13"/>
      <c r="H176" s="13"/>
      <c r="I176" s="13"/>
      <c r="J176" s="13"/>
      <c r="K176" s="13"/>
      <c r="L176" s="13"/>
      <c r="M176" s="13"/>
      <c r="N176" s="13"/>
      <c r="O176" s="13"/>
      <c r="P176" s="13"/>
      <c r="Q176" s="13"/>
      <c r="R176" s="213" t="s">
        <v>3493</v>
      </c>
      <c r="S176" s="58">
        <v>28503.73</v>
      </c>
      <c r="T176" s="58">
        <f t="shared" si="394"/>
        <v>7580.98</v>
      </c>
      <c r="U176" s="319">
        <f t="shared" si="395"/>
        <v>5170.41</v>
      </c>
      <c r="V176" s="58">
        <f t="shared" si="396"/>
        <v>2410.57</v>
      </c>
      <c r="W176" s="58">
        <f t="shared" si="397"/>
        <v>2410.57</v>
      </c>
      <c r="X176" s="58">
        <f t="shared" si="398"/>
        <v>2410.57</v>
      </c>
      <c r="Y176" s="58">
        <f t="shared" si="399"/>
        <v>2410.57</v>
      </c>
      <c r="Z176" s="58">
        <f t="shared" si="400"/>
        <v>2410.57</v>
      </c>
      <c r="AA176" s="58">
        <f t="shared" si="401"/>
        <v>2410.57</v>
      </c>
      <c r="AB176" s="58">
        <f t="shared" si="402"/>
        <v>2410.57</v>
      </c>
      <c r="AC176" s="58">
        <f t="shared" si="403"/>
        <v>2410.57</v>
      </c>
      <c r="AD176" s="58">
        <f t="shared" si="404"/>
        <v>2410.57</v>
      </c>
      <c r="AE176" s="58">
        <f t="shared" si="405"/>
        <v>2410.57</v>
      </c>
      <c r="AF176" s="58">
        <f t="shared" si="406"/>
        <v>1569.07</v>
      </c>
      <c r="AG176" s="58">
        <f t="shared" si="407"/>
        <v>770.07</v>
      </c>
      <c r="AH176" s="328"/>
      <c r="AI176" s="328"/>
      <c r="AJ176" s="13"/>
      <c r="AK176" s="13"/>
      <c r="AL176" s="13"/>
      <c r="AM176" s="13"/>
      <c r="AN176" s="13"/>
      <c r="AO176" s="58"/>
      <c r="AP176" s="58"/>
      <c r="AQ176" s="58"/>
      <c r="AR176" s="58"/>
      <c r="AS176" s="58"/>
      <c r="AT176" s="58"/>
      <c r="AU176" s="58"/>
      <c r="AV176" s="58"/>
      <c r="AW176" s="58"/>
      <c r="AX176" s="58">
        <v>841.5</v>
      </c>
      <c r="AY176" s="58">
        <v>799</v>
      </c>
      <c r="AZ176" s="58">
        <v>770.07</v>
      </c>
      <c r="BA176" s="344">
        <v>5170.41</v>
      </c>
      <c r="BB176" s="342"/>
      <c r="BC176" s="342"/>
      <c r="BD176" s="259"/>
    </row>
    <row r="177" ht="16.5" customHeight="1" spans="1:56">
      <c r="A177" s="13"/>
      <c r="B177" s="13"/>
      <c r="C177" s="13"/>
      <c r="D177" s="13"/>
      <c r="E177" s="13"/>
      <c r="F177" s="13"/>
      <c r="G177" s="13"/>
      <c r="H177" s="13"/>
      <c r="I177" s="13"/>
      <c r="J177" s="13"/>
      <c r="K177" s="13"/>
      <c r="L177" s="13"/>
      <c r="M177" s="13"/>
      <c r="N177" s="13"/>
      <c r="O177" s="13"/>
      <c r="P177" s="13"/>
      <c r="Q177" s="13"/>
      <c r="R177" s="213" t="s">
        <v>3494</v>
      </c>
      <c r="S177" s="214">
        <f t="shared" ref="S177:AG177" si="408">SUM(S173:S176)</f>
        <v>457550.34</v>
      </c>
      <c r="T177" s="214">
        <f t="shared" si="408"/>
        <v>734173.48</v>
      </c>
      <c r="U177" s="320">
        <f t="shared" si="408"/>
        <v>632892.36</v>
      </c>
      <c r="V177" s="214">
        <f t="shared" si="408"/>
        <v>66289.22</v>
      </c>
      <c r="W177" s="214">
        <f t="shared" si="408"/>
        <v>66289.22</v>
      </c>
      <c r="X177" s="214">
        <f t="shared" si="408"/>
        <v>66289.22</v>
      </c>
      <c r="Y177" s="214">
        <f t="shared" si="408"/>
        <v>66289.22</v>
      </c>
      <c r="Z177" s="214">
        <f t="shared" si="408"/>
        <v>66289.22</v>
      </c>
      <c r="AA177" s="214">
        <f t="shared" si="408"/>
        <v>66289.22</v>
      </c>
      <c r="AB177" s="214">
        <f t="shared" si="408"/>
        <v>66289.22</v>
      </c>
      <c r="AC177" s="214">
        <f t="shared" si="408"/>
        <v>66289.22</v>
      </c>
      <c r="AD177" s="214">
        <f t="shared" si="408"/>
        <v>66289.22</v>
      </c>
      <c r="AE177" s="214">
        <f t="shared" si="408"/>
        <v>66289.22</v>
      </c>
      <c r="AF177" s="214">
        <f t="shared" si="408"/>
        <v>47822.91</v>
      </c>
      <c r="AG177" s="214">
        <f t="shared" si="408"/>
        <v>30361.03</v>
      </c>
      <c r="AH177" s="214">
        <f>SUM(AH173:AH176)</f>
        <v>0</v>
      </c>
      <c r="AI177" s="214">
        <f>SUM(AI173:AI176)</f>
        <v>0</v>
      </c>
      <c r="AJ177" s="13"/>
      <c r="AK177" s="13"/>
      <c r="AL177" s="13"/>
      <c r="AM177" s="13"/>
      <c r="AN177" s="13"/>
      <c r="AO177" s="214">
        <f t="shared" ref="AO177:AX177" si="409">SUM(AO173:AO176)</f>
        <v>0</v>
      </c>
      <c r="AP177" s="214">
        <f t="shared" si="409"/>
        <v>0</v>
      </c>
      <c r="AQ177" s="214">
        <f t="shared" si="409"/>
        <v>0</v>
      </c>
      <c r="AR177" s="214">
        <f t="shared" si="409"/>
        <v>0</v>
      </c>
      <c r="AS177" s="214">
        <f t="shared" si="409"/>
        <v>0</v>
      </c>
      <c r="AT177" s="214">
        <f t="shared" si="409"/>
        <v>0</v>
      </c>
      <c r="AU177" s="214">
        <f t="shared" si="409"/>
        <v>0</v>
      </c>
      <c r="AV177" s="214">
        <f t="shared" si="409"/>
        <v>0</v>
      </c>
      <c r="AW177" s="214">
        <f t="shared" si="409"/>
        <v>0</v>
      </c>
      <c r="AX177" s="214">
        <f t="shared" si="409"/>
        <v>26170.55</v>
      </c>
      <c r="AY177" s="214">
        <v>17461.88</v>
      </c>
      <c r="AZ177" s="214">
        <f>SUM(AZ173:AZ176)</f>
        <v>39883.28</v>
      </c>
      <c r="BA177" s="320">
        <v>632892.36</v>
      </c>
      <c r="BB177" s="320">
        <f>SUM(BB173:BB176)</f>
        <v>0</v>
      </c>
      <c r="BC177" s="320">
        <f>SUM(BC173:BC176)</f>
        <v>0</v>
      </c>
      <c r="BD177" s="345"/>
    </row>
    <row r="178" ht="16.5" customHeight="1" spans="1:56">
      <c r="A178" s="13"/>
      <c r="B178" s="13"/>
      <c r="C178" s="13"/>
      <c r="D178" s="13"/>
      <c r="E178" s="13"/>
      <c r="F178" s="13"/>
      <c r="G178" s="13"/>
      <c r="H178" s="13"/>
      <c r="I178" s="13"/>
      <c r="J178" s="13"/>
      <c r="K178" s="13"/>
      <c r="L178" s="13"/>
      <c r="M178" s="13"/>
      <c r="N178" s="13"/>
      <c r="O178" s="13"/>
      <c r="P178" s="13"/>
      <c r="Q178" s="13"/>
      <c r="R178" s="213" t="s">
        <v>3495</v>
      </c>
      <c r="S178" s="58">
        <f t="shared" ref="S178:AG178" si="410">S172-S173</f>
        <v>514348.67</v>
      </c>
      <c r="T178" s="58">
        <f t="shared" si="410"/>
        <v>117720.9</v>
      </c>
      <c r="U178" s="319">
        <f t="shared" si="410"/>
        <v>89316.0599999999</v>
      </c>
      <c r="V178" s="58">
        <f t="shared" si="410"/>
        <v>28404.84</v>
      </c>
      <c r="W178" s="58">
        <f t="shared" si="410"/>
        <v>28404.84</v>
      </c>
      <c r="X178" s="58">
        <f t="shared" si="410"/>
        <v>28404.84</v>
      </c>
      <c r="Y178" s="58">
        <f t="shared" si="410"/>
        <v>28404.84</v>
      </c>
      <c r="Z178" s="58">
        <f t="shared" si="410"/>
        <v>28404.84</v>
      </c>
      <c r="AA178" s="58">
        <f t="shared" si="410"/>
        <v>28404.84</v>
      </c>
      <c r="AB178" s="58">
        <f t="shared" si="410"/>
        <v>28404.84</v>
      </c>
      <c r="AC178" s="58">
        <f t="shared" si="410"/>
        <v>28404.84</v>
      </c>
      <c r="AD178" s="58">
        <f t="shared" si="410"/>
        <v>28404.84</v>
      </c>
      <c r="AE178" s="58">
        <f t="shared" si="410"/>
        <v>28404.84</v>
      </c>
      <c r="AF178" s="58">
        <f t="shared" si="410"/>
        <v>6236.79000000001</v>
      </c>
      <c r="AG178" s="58">
        <f t="shared" si="410"/>
        <v>-4185.6</v>
      </c>
      <c r="AH178" s="332"/>
      <c r="AI178" s="332"/>
      <c r="AJ178" s="13"/>
      <c r="AK178" s="13"/>
      <c r="AL178" s="13"/>
      <c r="AM178" s="13"/>
      <c r="AN178" s="13"/>
      <c r="AO178" s="58">
        <f t="shared" ref="AO178:AZ178" si="411">AO172-AO173</f>
        <v>0</v>
      </c>
      <c r="AP178" s="58">
        <f t="shared" si="411"/>
        <v>0</v>
      </c>
      <c r="AQ178" s="58">
        <f t="shared" si="411"/>
        <v>0</v>
      </c>
      <c r="AR178" s="58">
        <f t="shared" si="411"/>
        <v>0</v>
      </c>
      <c r="AS178" s="58">
        <f t="shared" si="411"/>
        <v>0</v>
      </c>
      <c r="AT178" s="58">
        <f t="shared" si="411"/>
        <v>0</v>
      </c>
      <c r="AU178" s="58">
        <f t="shared" si="411"/>
        <v>0</v>
      </c>
      <c r="AV178" s="58">
        <f t="shared" si="411"/>
        <v>0</v>
      </c>
      <c r="AW178" s="58">
        <f t="shared" si="411"/>
        <v>0</v>
      </c>
      <c r="AX178" s="58">
        <f t="shared" si="411"/>
        <v>22168.05</v>
      </c>
      <c r="AY178" s="58">
        <f t="shared" si="411"/>
        <v>10422.39</v>
      </c>
      <c r="AZ178" s="58">
        <f t="shared" si="411"/>
        <v>-4185.6</v>
      </c>
      <c r="BA178" s="344">
        <v>89316.0600000001</v>
      </c>
      <c r="BB178" s="342"/>
      <c r="BC178" s="342"/>
      <c r="BD178" s="259"/>
    </row>
    <row r="179" ht="16.5" customHeight="1" spans="1:56">
      <c r="A179" s="13"/>
      <c r="B179" s="13"/>
      <c r="C179" s="13"/>
      <c r="D179" s="13"/>
      <c r="E179" s="13"/>
      <c r="F179" s="13"/>
      <c r="G179" s="13"/>
      <c r="H179" s="13"/>
      <c r="I179" s="13"/>
      <c r="J179" s="13"/>
      <c r="K179" s="13"/>
      <c r="L179" s="13"/>
      <c r="M179" s="13"/>
      <c r="N179" s="13"/>
      <c r="O179" s="13"/>
      <c r="P179" s="13"/>
      <c r="Q179" s="13"/>
      <c r="R179" s="321" t="s">
        <v>3496</v>
      </c>
      <c r="S179" s="61">
        <f t="shared" ref="S179:AG179" si="412">S178/S172</f>
        <v>0.54521013715481</v>
      </c>
      <c r="T179" s="61">
        <f t="shared" si="412"/>
        <v>0.149413607477538</v>
      </c>
      <c r="U179" s="322">
        <f t="shared" si="412"/>
        <v>0.128400990117087</v>
      </c>
      <c r="V179" s="61">
        <f t="shared" si="412"/>
        <v>0.307799802543229</v>
      </c>
      <c r="W179" s="61">
        <f t="shared" si="412"/>
        <v>0.307799802543229</v>
      </c>
      <c r="X179" s="61">
        <f t="shared" si="412"/>
        <v>0.307799802543229</v>
      </c>
      <c r="Y179" s="61">
        <f t="shared" si="412"/>
        <v>0.307799802543229</v>
      </c>
      <c r="Z179" s="61">
        <f t="shared" si="412"/>
        <v>0.307799802543229</v>
      </c>
      <c r="AA179" s="61">
        <f t="shared" si="412"/>
        <v>0.307799802543229</v>
      </c>
      <c r="AB179" s="61">
        <f t="shared" si="412"/>
        <v>0.307799802543229</v>
      </c>
      <c r="AC179" s="61">
        <f t="shared" si="412"/>
        <v>0.307799802543229</v>
      </c>
      <c r="AD179" s="61">
        <f t="shared" si="412"/>
        <v>0.307799802543229</v>
      </c>
      <c r="AE179" s="61">
        <f t="shared" si="412"/>
        <v>0.307799802543229</v>
      </c>
      <c r="AF179" s="61">
        <f t="shared" si="412"/>
        <v>0.118817206042298</v>
      </c>
      <c r="AG179" s="61">
        <f t="shared" si="412"/>
        <v>-0.164752634877049</v>
      </c>
      <c r="AH179" s="82">
        <f>T179-S179</f>
        <v>-0.395796529677272</v>
      </c>
      <c r="AI179" s="82">
        <f>AF179-S179</f>
        <v>-0.426392931112512</v>
      </c>
      <c r="AJ179" s="13"/>
      <c r="AK179" s="13"/>
      <c r="AL179" s="13"/>
      <c r="AM179" s="13"/>
      <c r="AN179" s="13"/>
      <c r="AO179" s="61" t="e">
        <f t="shared" ref="AO179:AZ179" si="413">AO178/AO172</f>
        <v>#DIV/0!</v>
      </c>
      <c r="AP179" s="61" t="e">
        <f t="shared" si="413"/>
        <v>#DIV/0!</v>
      </c>
      <c r="AQ179" s="61" t="e">
        <f t="shared" si="413"/>
        <v>#DIV/0!</v>
      </c>
      <c r="AR179" s="61" t="e">
        <f t="shared" si="413"/>
        <v>#DIV/0!</v>
      </c>
      <c r="AS179" s="61" t="e">
        <f t="shared" si="413"/>
        <v>#DIV/0!</v>
      </c>
      <c r="AT179" s="61" t="e">
        <f t="shared" si="413"/>
        <v>#DIV/0!</v>
      </c>
      <c r="AU179" s="61" t="e">
        <f t="shared" si="413"/>
        <v>#DIV/0!</v>
      </c>
      <c r="AV179" s="61" t="e">
        <f t="shared" si="413"/>
        <v>#DIV/0!</v>
      </c>
      <c r="AW179" s="61" t="e">
        <f t="shared" si="413"/>
        <v>#DIV/0!</v>
      </c>
      <c r="AX179" s="61">
        <f t="shared" si="413"/>
        <v>0.557086120474879</v>
      </c>
      <c r="AY179" s="61">
        <f t="shared" si="413"/>
        <v>0.384799191590115</v>
      </c>
      <c r="AZ179" s="61">
        <f t="shared" si="413"/>
        <v>-0.164752634877049</v>
      </c>
      <c r="BA179" s="322">
        <v>0.128400990117087</v>
      </c>
      <c r="BB179" s="342"/>
      <c r="BC179" s="342"/>
      <c r="BD179" s="259"/>
    </row>
    <row r="180" ht="16.5" customHeight="1" spans="1:56">
      <c r="A180" s="13"/>
      <c r="B180" s="13"/>
      <c r="C180" s="13"/>
      <c r="D180" s="13"/>
      <c r="E180" s="13"/>
      <c r="F180" s="13"/>
      <c r="G180" s="13"/>
      <c r="H180" s="13"/>
      <c r="I180" s="13"/>
      <c r="J180" s="13"/>
      <c r="K180" s="13"/>
      <c r="L180" s="13"/>
      <c r="M180" s="13"/>
      <c r="N180" s="13"/>
      <c r="O180" s="13"/>
      <c r="P180" s="13"/>
      <c r="Q180" s="13"/>
      <c r="R180" s="213" t="s">
        <v>3497</v>
      </c>
      <c r="S180" s="58">
        <f t="shared" ref="S180:AG180" si="414">S172-S177</f>
        <v>485844.94</v>
      </c>
      <c r="T180" s="58">
        <f t="shared" si="414"/>
        <v>53712.5899999999</v>
      </c>
      <c r="U180" s="58">
        <f t="shared" si="414"/>
        <v>62710.2199999999</v>
      </c>
      <c r="V180" s="58">
        <f t="shared" si="414"/>
        <v>25994.27</v>
      </c>
      <c r="W180" s="58">
        <f t="shared" si="414"/>
        <v>25994.27</v>
      </c>
      <c r="X180" s="58">
        <f t="shared" si="414"/>
        <v>25994.27</v>
      </c>
      <c r="Y180" s="58">
        <f t="shared" si="414"/>
        <v>25994.27</v>
      </c>
      <c r="Z180" s="58">
        <f t="shared" si="414"/>
        <v>25994.27</v>
      </c>
      <c r="AA180" s="58">
        <f t="shared" si="414"/>
        <v>25994.27</v>
      </c>
      <c r="AB180" s="58">
        <f t="shared" si="414"/>
        <v>25994.27</v>
      </c>
      <c r="AC180" s="58">
        <f t="shared" si="414"/>
        <v>25994.27</v>
      </c>
      <c r="AD180" s="58">
        <f t="shared" si="414"/>
        <v>25994.27</v>
      </c>
      <c r="AE180" s="58">
        <f t="shared" si="414"/>
        <v>25994.27</v>
      </c>
      <c r="AF180" s="58">
        <f t="shared" si="414"/>
        <v>4667.72000000001</v>
      </c>
      <c r="AG180" s="58">
        <f t="shared" si="414"/>
        <v>-4955.67</v>
      </c>
      <c r="AH180" s="82"/>
      <c r="AI180" s="82"/>
      <c r="AJ180" s="13"/>
      <c r="AK180" s="13"/>
      <c r="AL180" s="13"/>
      <c r="AM180" s="13"/>
      <c r="AN180" s="13"/>
      <c r="AO180" s="58">
        <f t="shared" ref="AO180:BC180" si="415">AO172-AO177</f>
        <v>0</v>
      </c>
      <c r="AP180" s="58">
        <f t="shared" si="415"/>
        <v>0</v>
      </c>
      <c r="AQ180" s="58">
        <f t="shared" si="415"/>
        <v>0</v>
      </c>
      <c r="AR180" s="58">
        <f t="shared" si="415"/>
        <v>0</v>
      </c>
      <c r="AS180" s="58">
        <f t="shared" si="415"/>
        <v>0</v>
      </c>
      <c r="AT180" s="58">
        <f t="shared" si="415"/>
        <v>0</v>
      </c>
      <c r="AU180" s="58">
        <f t="shared" si="415"/>
        <v>0</v>
      </c>
      <c r="AV180" s="58">
        <f t="shared" si="415"/>
        <v>0</v>
      </c>
      <c r="AW180" s="58">
        <f t="shared" si="415"/>
        <v>0</v>
      </c>
      <c r="AX180" s="58">
        <f t="shared" si="415"/>
        <v>13622.31</v>
      </c>
      <c r="AY180" s="58">
        <f t="shared" si="415"/>
        <v>9623.39</v>
      </c>
      <c r="AZ180" s="58">
        <f t="shared" si="415"/>
        <v>-14477.92</v>
      </c>
      <c r="BA180" s="58">
        <f t="shared" si="415"/>
        <v>62710.22</v>
      </c>
      <c r="BB180" s="58">
        <f t="shared" si="415"/>
        <v>0</v>
      </c>
      <c r="BC180" s="58">
        <f t="shared" si="415"/>
        <v>0</v>
      </c>
      <c r="BD180" s="259"/>
    </row>
    <row r="181" ht="16.5" customHeight="1" spans="1:56">
      <c r="A181" s="14"/>
      <c r="B181" s="14"/>
      <c r="C181" s="14"/>
      <c r="D181" s="14"/>
      <c r="E181" s="14"/>
      <c r="F181" s="14"/>
      <c r="G181" s="14"/>
      <c r="H181" s="14"/>
      <c r="I181" s="14"/>
      <c r="J181" s="14"/>
      <c r="K181" s="14"/>
      <c r="L181" s="14"/>
      <c r="M181" s="14"/>
      <c r="N181" s="14"/>
      <c r="O181" s="14"/>
      <c r="P181" s="14"/>
      <c r="Q181" s="14"/>
      <c r="R181" s="321" t="s">
        <v>3498</v>
      </c>
      <c r="S181" s="61">
        <f t="shared" ref="S181:AG181" si="416">S180/S172</f>
        <v>0.514996153044141</v>
      </c>
      <c r="T181" s="61">
        <f t="shared" si="416"/>
        <v>0.0681730418206275</v>
      </c>
      <c r="U181" s="322">
        <f t="shared" si="416"/>
        <v>0.0901523683250282</v>
      </c>
      <c r="V181" s="61">
        <f t="shared" si="416"/>
        <v>0.281678445407732</v>
      </c>
      <c r="W181" s="61">
        <f t="shared" si="416"/>
        <v>0.281678445407732</v>
      </c>
      <c r="X181" s="61">
        <f t="shared" si="416"/>
        <v>0.281678445407732</v>
      </c>
      <c r="Y181" s="61">
        <f t="shared" si="416"/>
        <v>0.281678445407732</v>
      </c>
      <c r="Z181" s="61">
        <f t="shared" si="416"/>
        <v>0.281678445407732</v>
      </c>
      <c r="AA181" s="61">
        <f t="shared" si="416"/>
        <v>0.281678445407732</v>
      </c>
      <c r="AB181" s="61">
        <f t="shared" si="416"/>
        <v>0.281678445407732</v>
      </c>
      <c r="AC181" s="61">
        <f t="shared" si="416"/>
        <v>0.281678445407732</v>
      </c>
      <c r="AD181" s="61">
        <f t="shared" si="416"/>
        <v>0.281678445407732</v>
      </c>
      <c r="AE181" s="61">
        <f t="shared" si="416"/>
        <v>0.281678445407732</v>
      </c>
      <c r="AF181" s="61">
        <f t="shared" si="416"/>
        <v>0.0889248233446619</v>
      </c>
      <c r="AG181" s="61">
        <f t="shared" si="416"/>
        <v>-0.19506395500792</v>
      </c>
      <c r="AH181" s="82">
        <f>T181-S181</f>
        <v>-0.446823111223513</v>
      </c>
      <c r="AI181" s="82">
        <f>AF181-S181</f>
        <v>-0.426071329699479</v>
      </c>
      <c r="AJ181" s="14"/>
      <c r="AK181" s="14"/>
      <c r="AL181" s="14"/>
      <c r="AM181" s="14"/>
      <c r="AN181" s="14"/>
      <c r="AO181" s="61" t="e">
        <f t="shared" ref="AO181:AZ181" si="417">AO180/AO172</f>
        <v>#DIV/0!</v>
      </c>
      <c r="AP181" s="61" t="e">
        <f t="shared" si="417"/>
        <v>#DIV/0!</v>
      </c>
      <c r="AQ181" s="61" t="e">
        <f t="shared" si="417"/>
        <v>#DIV/0!</v>
      </c>
      <c r="AR181" s="61" t="e">
        <f t="shared" si="417"/>
        <v>#DIV/0!</v>
      </c>
      <c r="AS181" s="61" t="e">
        <f t="shared" si="417"/>
        <v>#DIV/0!</v>
      </c>
      <c r="AT181" s="61" t="e">
        <f t="shared" si="417"/>
        <v>#DIV/0!</v>
      </c>
      <c r="AU181" s="61" t="e">
        <f t="shared" si="417"/>
        <v>#DIV/0!</v>
      </c>
      <c r="AV181" s="61" t="e">
        <f t="shared" si="417"/>
        <v>#DIV/0!</v>
      </c>
      <c r="AW181" s="61" t="e">
        <f t="shared" si="417"/>
        <v>#DIV/0!</v>
      </c>
      <c r="AX181" s="61">
        <f t="shared" si="417"/>
        <v>0.342330508538466</v>
      </c>
      <c r="AY181" s="61">
        <f t="shared" si="417"/>
        <v>0.355299762564671</v>
      </c>
      <c r="AZ181" s="61">
        <f t="shared" si="417"/>
        <v>-0.569876592970932</v>
      </c>
      <c r="BA181" s="322">
        <v>0.0901523683250284</v>
      </c>
      <c r="BB181" s="342"/>
      <c r="BC181" s="342"/>
      <c r="BD181" s="259"/>
    </row>
    <row r="182" ht="16.5" customHeight="1" spans="1:56">
      <c r="A182" s="32" t="s">
        <v>438</v>
      </c>
      <c r="B182" s="353" t="s">
        <v>439</v>
      </c>
      <c r="C182" s="27">
        <v>45536</v>
      </c>
      <c r="D182" s="354">
        <v>46203</v>
      </c>
      <c r="E182" s="304"/>
      <c r="F182" s="233">
        <v>1</v>
      </c>
      <c r="G182" s="28">
        <v>0</v>
      </c>
      <c r="H182" s="301"/>
      <c r="I182" s="301"/>
      <c r="J182" s="12"/>
      <c r="K182" s="12"/>
      <c r="L182" s="12"/>
      <c r="M182" s="301"/>
      <c r="N182" s="301"/>
      <c r="O182" s="301"/>
      <c r="P182" s="304"/>
      <c r="Q182" s="301"/>
      <c r="R182" s="318" t="s">
        <v>3486</v>
      </c>
      <c r="S182" s="58">
        <v>943395.28</v>
      </c>
      <c r="T182" s="58">
        <f t="shared" ref="T182:T186" si="418">SUM(AO182:BC182)</f>
        <v>123872.89</v>
      </c>
      <c r="U182" s="319">
        <f t="shared" ref="U182:U186" si="419">SUM(BA182:BC182)</f>
        <v>123872.89</v>
      </c>
      <c r="V182" s="58">
        <f t="shared" ref="V182:V186" si="420">SUM(AO182:AZ182)</f>
        <v>0</v>
      </c>
      <c r="W182" s="58">
        <f t="shared" ref="W182:W186" si="421">SUM(AP182:AZ182)</f>
        <v>0</v>
      </c>
      <c r="X182" s="58">
        <f t="shared" ref="X182:X186" si="422">SUM(AQ182:AZ182)</f>
        <v>0</v>
      </c>
      <c r="Y182" s="58">
        <f t="shared" ref="Y182:Y186" si="423">SUM(AR182:AZ182)</f>
        <v>0</v>
      </c>
      <c r="Z182" s="58">
        <f t="shared" ref="Z182:Z186" si="424">SUM(AS182:AZ182)</f>
        <v>0</v>
      </c>
      <c r="AA182" s="58">
        <f t="shared" ref="AA182:AA186" si="425">SUM(AT182:AZ182)</f>
        <v>0</v>
      </c>
      <c r="AB182" s="58">
        <f t="shared" ref="AB182:AB186" si="426">SUM(AU182:AZ182)</f>
        <v>0</v>
      </c>
      <c r="AC182" s="58">
        <f t="shared" ref="AC182:AC186" si="427">SUM(AV182:AZ182)</f>
        <v>0</v>
      </c>
      <c r="AD182" s="58">
        <f t="shared" ref="AD182:AD186" si="428">SUM(AW182:AZ182)</f>
        <v>0</v>
      </c>
      <c r="AE182" s="58">
        <f t="shared" ref="AE182:AE186" si="429">SUM(AX182:AZ182)</f>
        <v>0</v>
      </c>
      <c r="AF182" s="58">
        <f t="shared" ref="AF182:AF186" si="430">SUM(AY182:AZ182)</f>
        <v>0</v>
      </c>
      <c r="AG182" s="58">
        <f t="shared" ref="AG182:AG186" si="431">SUM(AZ182:AZ182)</f>
        <v>0</v>
      </c>
      <c r="AH182" s="328"/>
      <c r="AI182" s="328"/>
      <c r="AJ182" s="359"/>
      <c r="AK182" s="28"/>
      <c r="AL182" s="93"/>
      <c r="AM182" s="93"/>
      <c r="AN182" s="360"/>
      <c r="AO182" s="58"/>
      <c r="AP182" s="58"/>
      <c r="AQ182" s="58"/>
      <c r="AR182" s="58"/>
      <c r="AS182" s="58"/>
      <c r="AT182" s="58"/>
      <c r="AU182" s="58"/>
      <c r="AV182" s="58"/>
      <c r="AW182" s="58"/>
      <c r="AX182" s="58">
        <v>0</v>
      </c>
      <c r="AY182" s="58">
        <v>0</v>
      </c>
      <c r="AZ182" s="58">
        <v>0</v>
      </c>
      <c r="BA182" s="344">
        <v>89122.92</v>
      </c>
      <c r="BB182" s="363">
        <v>34749.97</v>
      </c>
      <c r="BC182" s="342"/>
      <c r="BD182" s="259"/>
    </row>
    <row r="183" ht="16.5" customHeight="1" spans="1:56">
      <c r="A183" s="22"/>
      <c r="B183" s="22"/>
      <c r="C183" s="22"/>
      <c r="D183" s="34"/>
      <c r="E183" s="13"/>
      <c r="F183" s="13"/>
      <c r="G183" s="13"/>
      <c r="H183" s="13"/>
      <c r="I183" s="13"/>
      <c r="J183" s="13"/>
      <c r="K183" s="13"/>
      <c r="L183" s="13"/>
      <c r="M183" s="13"/>
      <c r="N183" s="13"/>
      <c r="O183" s="13"/>
      <c r="P183" s="13"/>
      <c r="Q183" s="13"/>
      <c r="R183" s="213" t="s">
        <v>3490</v>
      </c>
      <c r="S183" s="58">
        <v>429046.61</v>
      </c>
      <c r="T183" s="58">
        <f t="shared" si="418"/>
        <v>55666.67</v>
      </c>
      <c r="U183" s="319">
        <f t="shared" si="419"/>
        <v>55666.67</v>
      </c>
      <c r="V183" s="58">
        <f t="shared" si="420"/>
        <v>0</v>
      </c>
      <c r="W183" s="58">
        <f t="shared" si="421"/>
        <v>0</v>
      </c>
      <c r="X183" s="58">
        <f t="shared" si="422"/>
        <v>0</v>
      </c>
      <c r="Y183" s="58">
        <f t="shared" si="423"/>
        <v>0</v>
      </c>
      <c r="Z183" s="58">
        <f t="shared" si="424"/>
        <v>0</v>
      </c>
      <c r="AA183" s="58">
        <f t="shared" si="425"/>
        <v>0</v>
      </c>
      <c r="AB183" s="58">
        <f t="shared" si="426"/>
        <v>0</v>
      </c>
      <c r="AC183" s="58">
        <f t="shared" si="427"/>
        <v>0</v>
      </c>
      <c r="AD183" s="58">
        <f t="shared" si="428"/>
        <v>0</v>
      </c>
      <c r="AE183" s="58">
        <f t="shared" si="429"/>
        <v>0</v>
      </c>
      <c r="AF183" s="58">
        <f t="shared" si="430"/>
        <v>0</v>
      </c>
      <c r="AG183" s="58">
        <f t="shared" si="431"/>
        <v>0</v>
      </c>
      <c r="AH183" s="328"/>
      <c r="AI183" s="328"/>
      <c r="AJ183" s="13"/>
      <c r="AK183" s="13"/>
      <c r="AL183" s="13"/>
      <c r="AM183" s="13"/>
      <c r="AN183" s="13"/>
      <c r="AO183" s="58"/>
      <c r="AP183" s="58"/>
      <c r="AQ183" s="58"/>
      <c r="AR183" s="58"/>
      <c r="AS183" s="58"/>
      <c r="AT183" s="58"/>
      <c r="AU183" s="58"/>
      <c r="AV183" s="58"/>
      <c r="AW183" s="58"/>
      <c r="AX183" s="58">
        <v>0</v>
      </c>
      <c r="AY183" s="58">
        <v>0</v>
      </c>
      <c r="AZ183" s="58">
        <v>0</v>
      </c>
      <c r="BA183" s="344">
        <v>27296.39</v>
      </c>
      <c r="BB183" s="363">
        <v>28370.28</v>
      </c>
      <c r="BC183" s="342"/>
      <c r="BD183" s="259"/>
    </row>
    <row r="184" ht="16.5" customHeight="1" spans="1:56">
      <c r="A184" s="22"/>
      <c r="B184" s="22"/>
      <c r="C184" s="22"/>
      <c r="D184" s="34"/>
      <c r="E184" s="13"/>
      <c r="F184" s="13"/>
      <c r="G184" s="13"/>
      <c r="H184" s="13"/>
      <c r="I184" s="13"/>
      <c r="J184" s="13"/>
      <c r="K184" s="13"/>
      <c r="L184" s="13"/>
      <c r="M184" s="13"/>
      <c r="N184" s="13"/>
      <c r="O184" s="13"/>
      <c r="P184" s="13"/>
      <c r="Q184" s="13"/>
      <c r="R184" s="213" t="s">
        <v>3491</v>
      </c>
      <c r="S184" s="58"/>
      <c r="T184" s="58">
        <f t="shared" si="418"/>
        <v>0</v>
      </c>
      <c r="U184" s="319">
        <f t="shared" si="419"/>
        <v>0</v>
      </c>
      <c r="V184" s="58"/>
      <c r="W184" s="58"/>
      <c r="X184" s="58"/>
      <c r="Y184" s="58"/>
      <c r="Z184" s="58"/>
      <c r="AA184" s="58"/>
      <c r="AB184" s="58"/>
      <c r="AC184" s="58"/>
      <c r="AD184" s="58"/>
      <c r="AE184" s="58"/>
      <c r="AF184" s="58"/>
      <c r="AG184" s="58"/>
      <c r="AH184" s="328"/>
      <c r="AI184" s="328"/>
      <c r="AJ184" s="13"/>
      <c r="AK184" s="13"/>
      <c r="AL184" s="13"/>
      <c r="AM184" s="13"/>
      <c r="AN184" s="13"/>
      <c r="AO184" s="58"/>
      <c r="AP184" s="58"/>
      <c r="AQ184" s="58"/>
      <c r="AR184" s="58"/>
      <c r="AS184" s="58"/>
      <c r="AT184" s="58"/>
      <c r="AU184" s="58"/>
      <c r="AV184" s="58"/>
      <c r="AW184" s="58"/>
      <c r="AX184" s="58">
        <v>0</v>
      </c>
      <c r="AY184" s="58"/>
      <c r="AZ184" s="58"/>
      <c r="BA184" s="344"/>
      <c r="BB184" s="363"/>
      <c r="BC184" s="342"/>
      <c r="BD184" s="259"/>
    </row>
    <row r="185" ht="16.5" customHeight="1" spans="1:56">
      <c r="A185" s="22"/>
      <c r="B185" s="22"/>
      <c r="C185" s="22"/>
      <c r="D185" s="34"/>
      <c r="E185" s="13"/>
      <c r="F185" s="13"/>
      <c r="G185" s="13"/>
      <c r="H185" s="13"/>
      <c r="I185" s="13"/>
      <c r="J185" s="13"/>
      <c r="K185" s="13"/>
      <c r="L185" s="13"/>
      <c r="M185" s="13"/>
      <c r="N185" s="13"/>
      <c r="O185" s="13"/>
      <c r="P185" s="13"/>
      <c r="Q185" s="13"/>
      <c r="R185" s="213" t="s">
        <v>3492</v>
      </c>
      <c r="S185" s="58">
        <v>0</v>
      </c>
      <c r="T185" s="58">
        <f t="shared" si="418"/>
        <v>0</v>
      </c>
      <c r="U185" s="319">
        <f t="shared" si="419"/>
        <v>0</v>
      </c>
      <c r="V185" s="58">
        <f t="shared" si="420"/>
        <v>0</v>
      </c>
      <c r="W185" s="58">
        <f t="shared" si="421"/>
        <v>0</v>
      </c>
      <c r="X185" s="58">
        <f t="shared" si="422"/>
        <v>0</v>
      </c>
      <c r="Y185" s="58">
        <f t="shared" si="423"/>
        <v>0</v>
      </c>
      <c r="Z185" s="58">
        <f t="shared" si="424"/>
        <v>0</v>
      </c>
      <c r="AA185" s="58">
        <f t="shared" si="425"/>
        <v>0</v>
      </c>
      <c r="AB185" s="58">
        <f t="shared" si="426"/>
        <v>0</v>
      </c>
      <c r="AC185" s="58">
        <f t="shared" si="427"/>
        <v>0</v>
      </c>
      <c r="AD185" s="58">
        <f t="shared" si="428"/>
        <v>0</v>
      </c>
      <c r="AE185" s="58">
        <f t="shared" si="429"/>
        <v>0</v>
      </c>
      <c r="AF185" s="58">
        <f t="shared" si="430"/>
        <v>0</v>
      </c>
      <c r="AG185" s="58">
        <f t="shared" si="431"/>
        <v>0</v>
      </c>
      <c r="AH185" s="328"/>
      <c r="AI185" s="328"/>
      <c r="AJ185" s="13"/>
      <c r="AK185" s="13"/>
      <c r="AL185" s="13"/>
      <c r="AM185" s="13"/>
      <c r="AN185" s="13"/>
      <c r="AO185" s="58"/>
      <c r="AP185" s="58"/>
      <c r="AQ185" s="58"/>
      <c r="AR185" s="58"/>
      <c r="AS185" s="58"/>
      <c r="AT185" s="58"/>
      <c r="AU185" s="58"/>
      <c r="AV185" s="58"/>
      <c r="AW185" s="58"/>
      <c r="AX185" s="58">
        <v>0</v>
      </c>
      <c r="AY185" s="58">
        <v>0</v>
      </c>
      <c r="AZ185" s="58">
        <v>0</v>
      </c>
      <c r="BA185" s="344">
        <v>0</v>
      </c>
      <c r="BB185" s="364">
        <v>0</v>
      </c>
      <c r="BC185" s="342"/>
      <c r="BD185" s="259"/>
    </row>
    <row r="186" ht="16.5" customHeight="1" spans="1:56">
      <c r="A186" s="22"/>
      <c r="B186" s="22"/>
      <c r="C186" s="22"/>
      <c r="D186" s="34"/>
      <c r="E186" s="13"/>
      <c r="F186" s="13"/>
      <c r="G186" s="13"/>
      <c r="H186" s="13"/>
      <c r="I186" s="13"/>
      <c r="J186" s="13"/>
      <c r="K186" s="13"/>
      <c r="L186" s="13"/>
      <c r="M186" s="13"/>
      <c r="N186" s="13"/>
      <c r="O186" s="13"/>
      <c r="P186" s="13"/>
      <c r="Q186" s="13"/>
      <c r="R186" s="213" t="s">
        <v>3493</v>
      </c>
      <c r="S186" s="58">
        <v>28503.73</v>
      </c>
      <c r="T186" s="58">
        <f t="shared" si="418"/>
        <v>1548.71</v>
      </c>
      <c r="U186" s="319">
        <f t="shared" si="419"/>
        <v>1151.84</v>
      </c>
      <c r="V186" s="58">
        <f t="shared" si="420"/>
        <v>396.87</v>
      </c>
      <c r="W186" s="58">
        <f t="shared" si="421"/>
        <v>396.87</v>
      </c>
      <c r="X186" s="58">
        <f t="shared" si="422"/>
        <v>396.87</v>
      </c>
      <c r="Y186" s="58">
        <f t="shared" si="423"/>
        <v>396.87</v>
      </c>
      <c r="Z186" s="58">
        <f t="shared" si="424"/>
        <v>396.87</v>
      </c>
      <c r="AA186" s="58">
        <f t="shared" si="425"/>
        <v>396.87</v>
      </c>
      <c r="AB186" s="58">
        <f t="shared" si="426"/>
        <v>396.87</v>
      </c>
      <c r="AC186" s="58">
        <f t="shared" si="427"/>
        <v>396.87</v>
      </c>
      <c r="AD186" s="58">
        <f t="shared" si="428"/>
        <v>396.87</v>
      </c>
      <c r="AE186" s="58">
        <f t="shared" si="429"/>
        <v>396.87</v>
      </c>
      <c r="AF186" s="58">
        <f t="shared" si="430"/>
        <v>264.58</v>
      </c>
      <c r="AG186" s="58">
        <f t="shared" si="431"/>
        <v>132.29</v>
      </c>
      <c r="AH186" s="328"/>
      <c r="AI186" s="328"/>
      <c r="AJ186" s="13"/>
      <c r="AK186" s="13"/>
      <c r="AL186" s="13"/>
      <c r="AM186" s="13"/>
      <c r="AN186" s="13"/>
      <c r="AO186" s="58"/>
      <c r="AP186" s="58"/>
      <c r="AQ186" s="58"/>
      <c r="AR186" s="58"/>
      <c r="AS186" s="58"/>
      <c r="AT186" s="58"/>
      <c r="AU186" s="58"/>
      <c r="AV186" s="58"/>
      <c r="AW186" s="58"/>
      <c r="AX186" s="58">
        <v>132.29</v>
      </c>
      <c r="AY186" s="58">
        <v>132.29</v>
      </c>
      <c r="AZ186" s="58">
        <v>132.29</v>
      </c>
      <c r="BA186" s="344">
        <v>1140.71</v>
      </c>
      <c r="BB186" s="365">
        <v>11.13</v>
      </c>
      <c r="BC186" s="342"/>
      <c r="BD186" s="259"/>
    </row>
    <row r="187" ht="16.5" customHeight="1" spans="1:56">
      <c r="A187" s="22"/>
      <c r="B187" s="22"/>
      <c r="C187" s="22"/>
      <c r="D187" s="34"/>
      <c r="E187" s="13"/>
      <c r="F187" s="13"/>
      <c r="G187" s="13"/>
      <c r="H187" s="13"/>
      <c r="I187" s="13"/>
      <c r="J187" s="13"/>
      <c r="K187" s="13"/>
      <c r="L187" s="13"/>
      <c r="M187" s="13"/>
      <c r="N187" s="13"/>
      <c r="O187" s="13"/>
      <c r="P187" s="13"/>
      <c r="Q187" s="13"/>
      <c r="R187" s="213" t="s">
        <v>3494</v>
      </c>
      <c r="S187" s="214">
        <f t="shared" ref="S187:AG187" si="432">SUM(S183:S186)</f>
        <v>457550.34</v>
      </c>
      <c r="T187" s="214">
        <f t="shared" si="432"/>
        <v>57215.38</v>
      </c>
      <c r="U187" s="320">
        <f t="shared" si="432"/>
        <v>56818.51</v>
      </c>
      <c r="V187" s="214">
        <f t="shared" si="432"/>
        <v>396.87</v>
      </c>
      <c r="W187" s="214">
        <f t="shared" si="432"/>
        <v>396.87</v>
      </c>
      <c r="X187" s="214">
        <f t="shared" si="432"/>
        <v>396.87</v>
      </c>
      <c r="Y187" s="214">
        <f t="shared" si="432"/>
        <v>396.87</v>
      </c>
      <c r="Z187" s="214">
        <f t="shared" si="432"/>
        <v>396.87</v>
      </c>
      <c r="AA187" s="214">
        <f t="shared" si="432"/>
        <v>396.87</v>
      </c>
      <c r="AB187" s="214">
        <f t="shared" si="432"/>
        <v>396.87</v>
      </c>
      <c r="AC187" s="214">
        <f t="shared" si="432"/>
        <v>396.87</v>
      </c>
      <c r="AD187" s="214">
        <f t="shared" si="432"/>
        <v>396.87</v>
      </c>
      <c r="AE187" s="214">
        <f t="shared" si="432"/>
        <v>396.87</v>
      </c>
      <c r="AF187" s="214">
        <f t="shared" si="432"/>
        <v>264.58</v>
      </c>
      <c r="AG187" s="214">
        <f t="shared" si="432"/>
        <v>132.29</v>
      </c>
      <c r="AH187" s="214">
        <f>SUM(AH183:AH186)</f>
        <v>0</v>
      </c>
      <c r="AI187" s="214">
        <f>SUM(AI183:AI186)</f>
        <v>0</v>
      </c>
      <c r="AJ187" s="13"/>
      <c r="AK187" s="13"/>
      <c r="AL187" s="13"/>
      <c r="AM187" s="13"/>
      <c r="AN187" s="13"/>
      <c r="AO187" s="214">
        <f t="shared" ref="AO187:AZ187" si="433">SUM(AO183:AO186)</f>
        <v>0</v>
      </c>
      <c r="AP187" s="214">
        <f t="shared" si="433"/>
        <v>0</v>
      </c>
      <c r="AQ187" s="214">
        <f t="shared" si="433"/>
        <v>0</v>
      </c>
      <c r="AR187" s="214">
        <f t="shared" si="433"/>
        <v>0</v>
      </c>
      <c r="AS187" s="214">
        <f t="shared" si="433"/>
        <v>0</v>
      </c>
      <c r="AT187" s="214">
        <f t="shared" si="433"/>
        <v>0</v>
      </c>
      <c r="AU187" s="214">
        <f t="shared" si="433"/>
        <v>0</v>
      </c>
      <c r="AV187" s="214">
        <f t="shared" si="433"/>
        <v>0</v>
      </c>
      <c r="AW187" s="214">
        <f t="shared" si="433"/>
        <v>0</v>
      </c>
      <c r="AX187" s="214">
        <f t="shared" si="433"/>
        <v>132.29</v>
      </c>
      <c r="AY187" s="214">
        <f t="shared" si="433"/>
        <v>132.29</v>
      </c>
      <c r="AZ187" s="214">
        <f t="shared" si="433"/>
        <v>132.29</v>
      </c>
      <c r="BA187" s="366">
        <v>28437.1</v>
      </c>
      <c r="BB187" s="366">
        <f>SUM(BB183:BB186)</f>
        <v>28381.41</v>
      </c>
      <c r="BC187" s="320">
        <f>SUM(BC183:BC186)</f>
        <v>0</v>
      </c>
      <c r="BD187" s="345"/>
    </row>
    <row r="188" ht="16.5" customHeight="1" spans="1:56">
      <c r="A188" s="22"/>
      <c r="B188" s="22"/>
      <c r="C188" s="22"/>
      <c r="D188" s="34"/>
      <c r="E188" s="13"/>
      <c r="F188" s="13"/>
      <c r="G188" s="13"/>
      <c r="H188" s="13"/>
      <c r="I188" s="13"/>
      <c r="J188" s="13"/>
      <c r="K188" s="13"/>
      <c r="L188" s="13"/>
      <c r="M188" s="13"/>
      <c r="N188" s="13"/>
      <c r="O188" s="13"/>
      <c r="P188" s="13"/>
      <c r="Q188" s="13"/>
      <c r="R188" s="213" t="s">
        <v>3495</v>
      </c>
      <c r="S188" s="58">
        <f t="shared" ref="S188:AG188" si="434">S182-S183</f>
        <v>514348.67</v>
      </c>
      <c r="T188" s="58">
        <f t="shared" si="434"/>
        <v>68206.22</v>
      </c>
      <c r="U188" s="319">
        <f t="shared" si="434"/>
        <v>68206.22</v>
      </c>
      <c r="V188" s="58">
        <f t="shared" si="434"/>
        <v>0</v>
      </c>
      <c r="W188" s="58">
        <f t="shared" si="434"/>
        <v>0</v>
      </c>
      <c r="X188" s="58">
        <f t="shared" si="434"/>
        <v>0</v>
      </c>
      <c r="Y188" s="58">
        <f t="shared" si="434"/>
        <v>0</v>
      </c>
      <c r="Z188" s="58">
        <f t="shared" si="434"/>
        <v>0</v>
      </c>
      <c r="AA188" s="58">
        <f t="shared" si="434"/>
        <v>0</v>
      </c>
      <c r="AB188" s="58">
        <f t="shared" si="434"/>
        <v>0</v>
      </c>
      <c r="AC188" s="58">
        <f t="shared" si="434"/>
        <v>0</v>
      </c>
      <c r="AD188" s="58">
        <f t="shared" si="434"/>
        <v>0</v>
      </c>
      <c r="AE188" s="58">
        <f t="shared" si="434"/>
        <v>0</v>
      </c>
      <c r="AF188" s="58">
        <f t="shared" si="434"/>
        <v>0</v>
      </c>
      <c r="AG188" s="58">
        <f t="shared" si="434"/>
        <v>0</v>
      </c>
      <c r="AH188" s="332"/>
      <c r="AI188" s="332"/>
      <c r="AJ188" s="13"/>
      <c r="AK188" s="13"/>
      <c r="AL188" s="13"/>
      <c r="AM188" s="13"/>
      <c r="AN188" s="13"/>
      <c r="AO188" s="58">
        <f t="shared" ref="AO188:AZ188" si="435">AO182-AO183</f>
        <v>0</v>
      </c>
      <c r="AP188" s="58">
        <f t="shared" si="435"/>
        <v>0</v>
      </c>
      <c r="AQ188" s="58">
        <f t="shared" si="435"/>
        <v>0</v>
      </c>
      <c r="AR188" s="58">
        <f t="shared" si="435"/>
        <v>0</v>
      </c>
      <c r="AS188" s="58">
        <f t="shared" si="435"/>
        <v>0</v>
      </c>
      <c r="AT188" s="58">
        <f t="shared" si="435"/>
        <v>0</v>
      </c>
      <c r="AU188" s="58">
        <f t="shared" si="435"/>
        <v>0</v>
      </c>
      <c r="AV188" s="58">
        <f t="shared" si="435"/>
        <v>0</v>
      </c>
      <c r="AW188" s="58">
        <f t="shared" si="435"/>
        <v>0</v>
      </c>
      <c r="AX188" s="58">
        <f t="shared" si="435"/>
        <v>0</v>
      </c>
      <c r="AY188" s="58">
        <f t="shared" si="435"/>
        <v>0</v>
      </c>
      <c r="AZ188" s="58">
        <f t="shared" si="435"/>
        <v>0</v>
      </c>
      <c r="BA188" s="344">
        <v>61826.53</v>
      </c>
      <c r="BB188" s="367">
        <v>361363.579</v>
      </c>
      <c r="BC188" s="342"/>
      <c r="BD188" s="259"/>
    </row>
    <row r="189" ht="16.5" customHeight="1" spans="1:56">
      <c r="A189" s="22"/>
      <c r="B189" s="22"/>
      <c r="C189" s="22"/>
      <c r="D189" s="34"/>
      <c r="E189" s="13"/>
      <c r="F189" s="13"/>
      <c r="G189" s="13"/>
      <c r="H189" s="13"/>
      <c r="I189" s="13"/>
      <c r="J189" s="13"/>
      <c r="K189" s="13"/>
      <c r="L189" s="13"/>
      <c r="M189" s="13"/>
      <c r="N189" s="13"/>
      <c r="O189" s="13"/>
      <c r="P189" s="13"/>
      <c r="Q189" s="13"/>
      <c r="R189" s="321" t="s">
        <v>3496</v>
      </c>
      <c r="S189" s="61">
        <f t="shared" ref="S189:AG189" si="436">S188/S182</f>
        <v>0.54521013715481</v>
      </c>
      <c r="T189" s="61">
        <f t="shared" si="436"/>
        <v>0.550614585645011</v>
      </c>
      <c r="U189" s="322">
        <f t="shared" si="436"/>
        <v>0.550614585645011</v>
      </c>
      <c r="V189" s="61" t="e">
        <f t="shared" si="436"/>
        <v>#DIV/0!</v>
      </c>
      <c r="W189" s="61" t="e">
        <f t="shared" si="436"/>
        <v>#DIV/0!</v>
      </c>
      <c r="X189" s="61" t="e">
        <f t="shared" si="436"/>
        <v>#DIV/0!</v>
      </c>
      <c r="Y189" s="61" t="e">
        <f t="shared" si="436"/>
        <v>#DIV/0!</v>
      </c>
      <c r="Z189" s="61" t="e">
        <f t="shared" si="436"/>
        <v>#DIV/0!</v>
      </c>
      <c r="AA189" s="61" t="e">
        <f t="shared" si="436"/>
        <v>#DIV/0!</v>
      </c>
      <c r="AB189" s="61" t="e">
        <f t="shared" si="436"/>
        <v>#DIV/0!</v>
      </c>
      <c r="AC189" s="61" t="e">
        <f t="shared" si="436"/>
        <v>#DIV/0!</v>
      </c>
      <c r="AD189" s="61" t="e">
        <f t="shared" si="436"/>
        <v>#DIV/0!</v>
      </c>
      <c r="AE189" s="61" t="e">
        <f t="shared" si="436"/>
        <v>#DIV/0!</v>
      </c>
      <c r="AF189" s="61" t="e">
        <f t="shared" si="436"/>
        <v>#DIV/0!</v>
      </c>
      <c r="AG189" s="61" t="e">
        <f t="shared" si="436"/>
        <v>#DIV/0!</v>
      </c>
      <c r="AH189" s="82">
        <f>T189-S189</f>
        <v>0.00540444849020116</v>
      </c>
      <c r="AI189" s="82" t="e">
        <f>AF189-S189</f>
        <v>#DIV/0!</v>
      </c>
      <c r="AJ189" s="13"/>
      <c r="AK189" s="13"/>
      <c r="AL189" s="13"/>
      <c r="AM189" s="13"/>
      <c r="AN189" s="13"/>
      <c r="AO189" s="61" t="e">
        <f t="shared" ref="AO189:AZ189" si="437">AO188/AO182</f>
        <v>#DIV/0!</v>
      </c>
      <c r="AP189" s="61" t="e">
        <f t="shared" si="437"/>
        <v>#DIV/0!</v>
      </c>
      <c r="AQ189" s="61" t="e">
        <f t="shared" si="437"/>
        <v>#DIV/0!</v>
      </c>
      <c r="AR189" s="61" t="e">
        <f t="shared" si="437"/>
        <v>#DIV/0!</v>
      </c>
      <c r="AS189" s="61" t="e">
        <f t="shared" si="437"/>
        <v>#DIV/0!</v>
      </c>
      <c r="AT189" s="61" t="e">
        <f t="shared" si="437"/>
        <v>#DIV/0!</v>
      </c>
      <c r="AU189" s="61" t="e">
        <f t="shared" si="437"/>
        <v>#DIV/0!</v>
      </c>
      <c r="AV189" s="61" t="e">
        <f t="shared" si="437"/>
        <v>#DIV/0!</v>
      </c>
      <c r="AW189" s="61" t="e">
        <f t="shared" si="437"/>
        <v>#DIV/0!</v>
      </c>
      <c r="AX189" s="61" t="e">
        <f t="shared" si="437"/>
        <v>#DIV/0!</v>
      </c>
      <c r="AY189" s="61" t="e">
        <f t="shared" si="437"/>
        <v>#DIV/0!</v>
      </c>
      <c r="AZ189" s="61" t="e">
        <f t="shared" si="437"/>
        <v>#DIV/0!</v>
      </c>
      <c r="BA189" s="322">
        <v>0.693721996541406</v>
      </c>
      <c r="BB189" s="368">
        <v>0.283362651163011</v>
      </c>
      <c r="BC189" s="342"/>
      <c r="BD189" s="259"/>
    </row>
    <row r="190" ht="16.5" customHeight="1" spans="1:56">
      <c r="A190" s="22"/>
      <c r="B190" s="22"/>
      <c r="C190" s="22"/>
      <c r="D190" s="34"/>
      <c r="E190" s="13"/>
      <c r="F190" s="13"/>
      <c r="G190" s="13"/>
      <c r="H190" s="13"/>
      <c r="I190" s="13"/>
      <c r="J190" s="13"/>
      <c r="K190" s="13"/>
      <c r="L190" s="13"/>
      <c r="M190" s="13"/>
      <c r="N190" s="13"/>
      <c r="O190" s="13"/>
      <c r="P190" s="13"/>
      <c r="Q190" s="13"/>
      <c r="R190" s="213" t="s">
        <v>3497</v>
      </c>
      <c r="S190" s="58">
        <f t="shared" ref="S190:AG190" si="438">S182-S187</f>
        <v>485844.94</v>
      </c>
      <c r="T190" s="58">
        <f t="shared" si="438"/>
        <v>66657.51</v>
      </c>
      <c r="U190" s="58">
        <f t="shared" si="438"/>
        <v>67054.38</v>
      </c>
      <c r="V190" s="58">
        <f t="shared" si="438"/>
        <v>-396.87</v>
      </c>
      <c r="W190" s="58">
        <f t="shared" si="438"/>
        <v>-396.87</v>
      </c>
      <c r="X190" s="58">
        <f t="shared" si="438"/>
        <v>-396.87</v>
      </c>
      <c r="Y190" s="58">
        <f t="shared" si="438"/>
        <v>-396.87</v>
      </c>
      <c r="Z190" s="58">
        <f t="shared" si="438"/>
        <v>-396.87</v>
      </c>
      <c r="AA190" s="58">
        <f t="shared" si="438"/>
        <v>-396.87</v>
      </c>
      <c r="AB190" s="58">
        <f t="shared" si="438"/>
        <v>-396.87</v>
      </c>
      <c r="AC190" s="58">
        <f t="shared" si="438"/>
        <v>-396.87</v>
      </c>
      <c r="AD190" s="58">
        <f t="shared" si="438"/>
        <v>-396.87</v>
      </c>
      <c r="AE190" s="58">
        <f t="shared" si="438"/>
        <v>-396.87</v>
      </c>
      <c r="AF190" s="58">
        <f t="shared" si="438"/>
        <v>-264.58</v>
      </c>
      <c r="AG190" s="58">
        <f t="shared" si="438"/>
        <v>-132.29</v>
      </c>
      <c r="AH190" s="82"/>
      <c r="AI190" s="82"/>
      <c r="AJ190" s="13"/>
      <c r="AK190" s="13"/>
      <c r="AL190" s="13"/>
      <c r="AM190" s="13"/>
      <c r="AN190" s="13"/>
      <c r="AO190" s="58">
        <f t="shared" ref="AO190:BC190" si="439">AO182-AO187</f>
        <v>0</v>
      </c>
      <c r="AP190" s="58">
        <f t="shared" si="439"/>
        <v>0</v>
      </c>
      <c r="AQ190" s="58">
        <f t="shared" si="439"/>
        <v>0</v>
      </c>
      <c r="AR190" s="58">
        <f t="shared" si="439"/>
        <v>0</v>
      </c>
      <c r="AS190" s="58">
        <f t="shared" si="439"/>
        <v>0</v>
      </c>
      <c r="AT190" s="58">
        <f t="shared" si="439"/>
        <v>0</v>
      </c>
      <c r="AU190" s="58">
        <f t="shared" si="439"/>
        <v>0</v>
      </c>
      <c r="AV190" s="58">
        <f t="shared" si="439"/>
        <v>0</v>
      </c>
      <c r="AW190" s="58">
        <f t="shared" si="439"/>
        <v>0</v>
      </c>
      <c r="AX190" s="58">
        <f t="shared" si="439"/>
        <v>-132.29</v>
      </c>
      <c r="AY190" s="58">
        <f t="shared" si="439"/>
        <v>-132.29</v>
      </c>
      <c r="AZ190" s="58">
        <f t="shared" si="439"/>
        <v>-132.29</v>
      </c>
      <c r="BA190" s="58">
        <f t="shared" si="439"/>
        <v>60685.82</v>
      </c>
      <c r="BB190" s="58">
        <f t="shared" si="439"/>
        <v>6368.56</v>
      </c>
      <c r="BC190" s="58">
        <f t="shared" si="439"/>
        <v>0</v>
      </c>
      <c r="BD190" s="259"/>
    </row>
    <row r="191" ht="16.5" customHeight="1" spans="1:56">
      <c r="A191" s="24"/>
      <c r="B191" s="24"/>
      <c r="C191" s="24"/>
      <c r="D191" s="83"/>
      <c r="E191" s="14"/>
      <c r="F191" s="14"/>
      <c r="G191" s="14"/>
      <c r="H191" s="14"/>
      <c r="I191" s="14"/>
      <c r="J191" s="14"/>
      <c r="K191" s="14"/>
      <c r="L191" s="14"/>
      <c r="M191" s="14"/>
      <c r="N191" s="14"/>
      <c r="O191" s="14"/>
      <c r="P191" s="14"/>
      <c r="Q191" s="14"/>
      <c r="R191" s="321" t="s">
        <v>3498</v>
      </c>
      <c r="S191" s="61">
        <f t="shared" ref="S191:AG191" si="440">S190/S182</f>
        <v>0.514996153044141</v>
      </c>
      <c r="T191" s="61">
        <f t="shared" si="440"/>
        <v>0.538112172889484</v>
      </c>
      <c r="U191" s="322">
        <f t="shared" si="440"/>
        <v>0.541316021608925</v>
      </c>
      <c r="V191" s="61" t="e">
        <f t="shared" si="440"/>
        <v>#DIV/0!</v>
      </c>
      <c r="W191" s="61" t="e">
        <f t="shared" si="440"/>
        <v>#DIV/0!</v>
      </c>
      <c r="X191" s="61" t="e">
        <f t="shared" si="440"/>
        <v>#DIV/0!</v>
      </c>
      <c r="Y191" s="61" t="e">
        <f t="shared" si="440"/>
        <v>#DIV/0!</v>
      </c>
      <c r="Z191" s="61" t="e">
        <f t="shared" si="440"/>
        <v>#DIV/0!</v>
      </c>
      <c r="AA191" s="61" t="e">
        <f t="shared" si="440"/>
        <v>#DIV/0!</v>
      </c>
      <c r="AB191" s="61" t="e">
        <f t="shared" si="440"/>
        <v>#DIV/0!</v>
      </c>
      <c r="AC191" s="61" t="e">
        <f t="shared" si="440"/>
        <v>#DIV/0!</v>
      </c>
      <c r="AD191" s="61" t="e">
        <f t="shared" si="440"/>
        <v>#DIV/0!</v>
      </c>
      <c r="AE191" s="61" t="e">
        <f t="shared" si="440"/>
        <v>#DIV/0!</v>
      </c>
      <c r="AF191" s="61" t="e">
        <f t="shared" si="440"/>
        <v>#DIV/0!</v>
      </c>
      <c r="AG191" s="61" t="e">
        <f t="shared" si="440"/>
        <v>#DIV/0!</v>
      </c>
      <c r="AH191" s="82">
        <f>T191-S191</f>
        <v>0.0231160198453429</v>
      </c>
      <c r="AI191" s="82" t="e">
        <f>AF191-S191</f>
        <v>#DIV/0!</v>
      </c>
      <c r="AJ191" s="14"/>
      <c r="AK191" s="14"/>
      <c r="AL191" s="14"/>
      <c r="AM191" s="14"/>
      <c r="AN191" s="14"/>
      <c r="AO191" s="61" t="e">
        <f t="shared" ref="AO191:AZ191" si="441">AO190/AO182</f>
        <v>#DIV/0!</v>
      </c>
      <c r="AP191" s="61" t="e">
        <f t="shared" si="441"/>
        <v>#DIV/0!</v>
      </c>
      <c r="AQ191" s="61" t="e">
        <f t="shared" si="441"/>
        <v>#DIV/0!</v>
      </c>
      <c r="AR191" s="61" t="e">
        <f t="shared" si="441"/>
        <v>#DIV/0!</v>
      </c>
      <c r="AS191" s="61" t="e">
        <f t="shared" si="441"/>
        <v>#DIV/0!</v>
      </c>
      <c r="AT191" s="61" t="e">
        <f t="shared" si="441"/>
        <v>#DIV/0!</v>
      </c>
      <c r="AU191" s="61" t="e">
        <f t="shared" si="441"/>
        <v>#DIV/0!</v>
      </c>
      <c r="AV191" s="61" t="e">
        <f t="shared" si="441"/>
        <v>#DIV/0!</v>
      </c>
      <c r="AW191" s="61" t="e">
        <f t="shared" si="441"/>
        <v>#DIV/0!</v>
      </c>
      <c r="AX191" s="61" t="e">
        <f t="shared" si="441"/>
        <v>#DIV/0!</v>
      </c>
      <c r="AY191" s="61" t="e">
        <f t="shared" si="441"/>
        <v>#DIV/0!</v>
      </c>
      <c r="AZ191" s="61" t="e">
        <f t="shared" si="441"/>
        <v>#DIV/0!</v>
      </c>
      <c r="BA191" s="322">
        <v>0.680922707649166</v>
      </c>
      <c r="BB191" s="368">
        <v>0.282401363711126</v>
      </c>
      <c r="BC191" s="342"/>
      <c r="BD191" s="259"/>
    </row>
    <row r="192" ht="16.5" customHeight="1" spans="1:56">
      <c r="A192" s="32" t="s">
        <v>2273</v>
      </c>
      <c r="B192" s="353" t="s">
        <v>3513</v>
      </c>
      <c r="C192" s="27">
        <v>45809</v>
      </c>
      <c r="D192" s="354">
        <v>46387</v>
      </c>
      <c r="E192" s="304"/>
      <c r="F192" s="233">
        <v>1</v>
      </c>
      <c r="G192" s="28">
        <v>4.227</v>
      </c>
      <c r="H192" s="301"/>
      <c r="I192" s="301"/>
      <c r="J192" s="12"/>
      <c r="K192" s="12"/>
      <c r="L192" s="12"/>
      <c r="M192" s="301"/>
      <c r="N192" s="301"/>
      <c r="O192" s="301"/>
      <c r="P192" s="304"/>
      <c r="Q192" s="301"/>
      <c r="R192" s="318" t="s">
        <v>3486</v>
      </c>
      <c r="S192" s="56">
        <v>578727.83</v>
      </c>
      <c r="T192" s="58">
        <f t="shared" ref="T192:T196" si="442">SUM(AO192:BC192)</f>
        <v>528426.89</v>
      </c>
      <c r="U192" s="319">
        <f t="shared" ref="U192:U196" si="443">SUM(BA192:BC192)</f>
        <v>325884.92</v>
      </c>
      <c r="V192" s="58">
        <f t="shared" ref="V192:V196" si="444">SUM(AO192:AZ192)</f>
        <v>202541.97</v>
      </c>
      <c r="W192" s="58">
        <f t="shared" ref="W192:W196" si="445">SUM(AP192:AZ192)</f>
        <v>202541.97</v>
      </c>
      <c r="X192" s="58">
        <f t="shared" ref="X192:X196" si="446">SUM(AQ192:AZ192)</f>
        <v>202541.97</v>
      </c>
      <c r="Y192" s="58">
        <f t="shared" ref="Y192:Y196" si="447">SUM(AR192:AZ192)</f>
        <v>202541.97</v>
      </c>
      <c r="Z192" s="58">
        <f t="shared" ref="Z192:Z196" si="448">SUM(AS192:AZ192)</f>
        <v>202541.97</v>
      </c>
      <c r="AA192" s="58">
        <f t="shared" ref="AA192:AA196" si="449">SUM(AT192:AZ192)</f>
        <v>202541.97</v>
      </c>
      <c r="AB192" s="58">
        <f t="shared" ref="AB192:AB196" si="450">SUM(AU192:AZ192)</f>
        <v>202541.97</v>
      </c>
      <c r="AC192" s="58">
        <f t="shared" ref="AC192:AC196" si="451">SUM(AV192:AZ192)</f>
        <v>202541.97</v>
      </c>
      <c r="AD192" s="58">
        <f t="shared" ref="AD192:AD196" si="452">SUM(AW192:AZ192)</f>
        <v>202541.97</v>
      </c>
      <c r="AE192" s="58">
        <f t="shared" ref="AE192:AE196" si="453">SUM(AX192:AZ192)</f>
        <v>202541.97</v>
      </c>
      <c r="AF192" s="58">
        <f t="shared" ref="AF192:AF196" si="454">SUM(AY192:AZ192)</f>
        <v>70673.06</v>
      </c>
      <c r="AG192" s="58">
        <f t="shared" ref="AG192:AG196" si="455">SUM(AZ192:AZ192)</f>
        <v>38022.6</v>
      </c>
      <c r="AH192" s="328"/>
      <c r="AI192" s="328"/>
      <c r="AJ192" s="359"/>
      <c r="AK192" s="28" t="s">
        <v>3514</v>
      </c>
      <c r="AL192" s="93"/>
      <c r="AM192" s="93"/>
      <c r="AN192" s="360"/>
      <c r="AO192" s="58"/>
      <c r="AP192" s="58"/>
      <c r="AQ192" s="58"/>
      <c r="AR192" s="58"/>
      <c r="AS192" s="58"/>
      <c r="AT192" s="58"/>
      <c r="AU192" s="58"/>
      <c r="AV192" s="58"/>
      <c r="AW192" s="58"/>
      <c r="AX192" s="58">
        <v>131868.91</v>
      </c>
      <c r="AY192" s="58">
        <v>32650.46</v>
      </c>
      <c r="AZ192" s="369">
        <v>38022.6</v>
      </c>
      <c r="BA192" s="363">
        <v>325884.92</v>
      </c>
      <c r="BB192" s="342"/>
      <c r="BC192" s="342"/>
      <c r="BD192" s="259"/>
    </row>
    <row r="193" ht="16.5" customHeight="1" spans="1:56">
      <c r="A193" s="22"/>
      <c r="B193" s="22"/>
      <c r="C193" s="22"/>
      <c r="D193" s="34"/>
      <c r="E193" s="13"/>
      <c r="F193" s="13"/>
      <c r="G193" s="13"/>
      <c r="H193" s="13"/>
      <c r="I193" s="13"/>
      <c r="J193" s="13"/>
      <c r="K193" s="13"/>
      <c r="L193" s="13"/>
      <c r="M193" s="13"/>
      <c r="N193" s="13"/>
      <c r="O193" s="13"/>
      <c r="P193" s="13"/>
      <c r="Q193" s="13"/>
      <c r="R193" s="213" t="s">
        <v>3490</v>
      </c>
      <c r="S193" s="56">
        <v>382211.99</v>
      </c>
      <c r="T193" s="58">
        <f t="shared" si="442"/>
        <v>452266.2</v>
      </c>
      <c r="U193" s="319">
        <f t="shared" si="443"/>
        <v>271184.83</v>
      </c>
      <c r="V193" s="58">
        <f t="shared" si="444"/>
        <v>181081.37</v>
      </c>
      <c r="W193" s="58">
        <f t="shared" si="445"/>
        <v>181081.37</v>
      </c>
      <c r="X193" s="58">
        <f t="shared" si="446"/>
        <v>181081.37</v>
      </c>
      <c r="Y193" s="58">
        <f t="shared" si="447"/>
        <v>181081.37</v>
      </c>
      <c r="Z193" s="58">
        <f t="shared" si="448"/>
        <v>181081.37</v>
      </c>
      <c r="AA193" s="58">
        <f t="shared" si="449"/>
        <v>181081.37</v>
      </c>
      <c r="AB193" s="58">
        <f t="shared" si="450"/>
        <v>181081.37</v>
      </c>
      <c r="AC193" s="58">
        <f t="shared" si="451"/>
        <v>181081.37</v>
      </c>
      <c r="AD193" s="58">
        <f t="shared" si="452"/>
        <v>181081.37</v>
      </c>
      <c r="AE193" s="58">
        <f t="shared" si="453"/>
        <v>181081.37</v>
      </c>
      <c r="AF193" s="58">
        <f t="shared" si="454"/>
        <v>121376.65</v>
      </c>
      <c r="AG193" s="58">
        <f t="shared" si="455"/>
        <v>65332.15</v>
      </c>
      <c r="AH193" s="328"/>
      <c r="AI193" s="328"/>
      <c r="AJ193" s="13"/>
      <c r="AK193" s="13"/>
      <c r="AL193" s="13"/>
      <c r="AM193" s="13"/>
      <c r="AN193" s="13"/>
      <c r="AO193" s="58"/>
      <c r="AP193" s="58"/>
      <c r="AQ193" s="58"/>
      <c r="AR193" s="58"/>
      <c r="AS193" s="58"/>
      <c r="AT193" s="58"/>
      <c r="AU193" s="58"/>
      <c r="AV193" s="58"/>
      <c r="AW193" s="58"/>
      <c r="AX193" s="58">
        <v>59704.72</v>
      </c>
      <c r="AY193" s="58">
        <v>56044.5</v>
      </c>
      <c r="AZ193" s="369">
        <v>65332.15</v>
      </c>
      <c r="BA193" s="363">
        <v>271184.83</v>
      </c>
      <c r="BB193" s="342"/>
      <c r="BC193" s="342"/>
      <c r="BD193" s="259"/>
    </row>
    <row r="194" ht="16.5" customHeight="1" spans="1:56">
      <c r="A194" s="22"/>
      <c r="B194" s="22"/>
      <c r="C194" s="22"/>
      <c r="D194" s="34"/>
      <c r="E194" s="13"/>
      <c r="F194" s="13"/>
      <c r="G194" s="13"/>
      <c r="H194" s="13"/>
      <c r="I194" s="13"/>
      <c r="J194" s="13"/>
      <c r="K194" s="13"/>
      <c r="L194" s="13"/>
      <c r="M194" s="13"/>
      <c r="N194" s="13"/>
      <c r="O194" s="13"/>
      <c r="P194" s="13"/>
      <c r="Q194" s="13"/>
      <c r="R194" s="213" t="s">
        <v>3491</v>
      </c>
      <c r="S194" s="56"/>
      <c r="T194" s="58">
        <f t="shared" si="442"/>
        <v>0</v>
      </c>
      <c r="U194" s="319">
        <f t="shared" si="443"/>
        <v>0</v>
      </c>
      <c r="V194" s="58"/>
      <c r="W194" s="58"/>
      <c r="X194" s="58"/>
      <c r="Y194" s="58"/>
      <c r="Z194" s="58"/>
      <c r="AA194" s="58"/>
      <c r="AB194" s="58"/>
      <c r="AC194" s="58"/>
      <c r="AD194" s="58"/>
      <c r="AE194" s="58"/>
      <c r="AF194" s="58"/>
      <c r="AG194" s="58"/>
      <c r="AH194" s="328"/>
      <c r="AI194" s="328"/>
      <c r="AJ194" s="13"/>
      <c r="AK194" s="13"/>
      <c r="AL194" s="13"/>
      <c r="AM194" s="13"/>
      <c r="AN194" s="13"/>
      <c r="AO194" s="58"/>
      <c r="AP194" s="58"/>
      <c r="AQ194" s="58"/>
      <c r="AR194" s="58"/>
      <c r="AS194" s="58"/>
      <c r="AT194" s="58"/>
      <c r="AU194" s="58"/>
      <c r="AV194" s="58"/>
      <c r="AW194" s="58"/>
      <c r="AX194" s="58">
        <v>0</v>
      </c>
      <c r="AY194" s="58"/>
      <c r="AZ194" s="369"/>
      <c r="BA194" s="363"/>
      <c r="BB194" s="342"/>
      <c r="BC194" s="342"/>
      <c r="BD194" s="259"/>
    </row>
    <row r="195" ht="16.5" customHeight="1" spans="1:56">
      <c r="A195" s="22"/>
      <c r="B195" s="22"/>
      <c r="C195" s="22"/>
      <c r="D195" s="34"/>
      <c r="E195" s="13"/>
      <c r="F195" s="13"/>
      <c r="G195" s="13"/>
      <c r="H195" s="13"/>
      <c r="I195" s="13"/>
      <c r="J195" s="13"/>
      <c r="K195" s="13"/>
      <c r="L195" s="13"/>
      <c r="M195" s="13"/>
      <c r="N195" s="13"/>
      <c r="O195" s="13"/>
      <c r="P195" s="13"/>
      <c r="Q195" s="13"/>
      <c r="R195" s="213" t="s">
        <v>3492</v>
      </c>
      <c r="S195" s="56">
        <v>11850</v>
      </c>
      <c r="T195" s="58">
        <f t="shared" si="442"/>
        <v>0</v>
      </c>
      <c r="U195" s="319">
        <f t="shared" si="443"/>
        <v>0</v>
      </c>
      <c r="V195" s="58">
        <f t="shared" si="444"/>
        <v>0</v>
      </c>
      <c r="W195" s="58">
        <f t="shared" si="445"/>
        <v>0</v>
      </c>
      <c r="X195" s="58">
        <f t="shared" si="446"/>
        <v>0</v>
      </c>
      <c r="Y195" s="58">
        <f t="shared" si="447"/>
        <v>0</v>
      </c>
      <c r="Z195" s="58">
        <f t="shared" si="448"/>
        <v>0</v>
      </c>
      <c r="AA195" s="58">
        <f t="shared" si="449"/>
        <v>0</v>
      </c>
      <c r="AB195" s="58">
        <f t="shared" si="450"/>
        <v>0</v>
      </c>
      <c r="AC195" s="58">
        <f t="shared" si="451"/>
        <v>0</v>
      </c>
      <c r="AD195" s="58">
        <f t="shared" si="452"/>
        <v>0</v>
      </c>
      <c r="AE195" s="58">
        <f t="shared" si="453"/>
        <v>0</v>
      </c>
      <c r="AF195" s="58">
        <f t="shared" si="454"/>
        <v>0</v>
      </c>
      <c r="AG195" s="58">
        <f t="shared" si="455"/>
        <v>0</v>
      </c>
      <c r="AH195" s="328"/>
      <c r="AI195" s="328"/>
      <c r="AJ195" s="13"/>
      <c r="AK195" s="13"/>
      <c r="AL195" s="13"/>
      <c r="AM195" s="13"/>
      <c r="AN195" s="13"/>
      <c r="AO195" s="58"/>
      <c r="AP195" s="58"/>
      <c r="AQ195" s="58"/>
      <c r="AR195" s="58"/>
      <c r="AS195" s="58"/>
      <c r="AT195" s="58"/>
      <c r="AU195" s="58"/>
      <c r="AV195" s="58"/>
      <c r="AW195" s="58"/>
      <c r="AX195" s="58"/>
      <c r="AY195" s="58">
        <v>0</v>
      </c>
      <c r="AZ195" s="369">
        <v>0</v>
      </c>
      <c r="BA195" s="364">
        <v>0</v>
      </c>
      <c r="BB195" s="342"/>
      <c r="BC195" s="342"/>
      <c r="BD195" s="259"/>
    </row>
    <row r="196" ht="16.5" customHeight="1" spans="1:56">
      <c r="A196" s="22"/>
      <c r="B196" s="22"/>
      <c r="C196" s="22"/>
      <c r="D196" s="34"/>
      <c r="E196" s="13"/>
      <c r="F196" s="13"/>
      <c r="G196" s="13"/>
      <c r="H196" s="13"/>
      <c r="I196" s="13"/>
      <c r="J196" s="13"/>
      <c r="K196" s="13"/>
      <c r="L196" s="13"/>
      <c r="M196" s="13"/>
      <c r="N196" s="13"/>
      <c r="O196" s="13"/>
      <c r="P196" s="13"/>
      <c r="Q196" s="13"/>
      <c r="R196" s="213" t="s">
        <v>3493</v>
      </c>
      <c r="S196" s="56">
        <f>4500+7500</f>
        <v>12000</v>
      </c>
      <c r="T196" s="58">
        <f t="shared" si="442"/>
        <v>2628.16</v>
      </c>
      <c r="U196" s="319">
        <f t="shared" si="443"/>
        <v>1251.58</v>
      </c>
      <c r="V196" s="58">
        <f t="shared" si="444"/>
        <v>1376.58</v>
      </c>
      <c r="W196" s="58">
        <f t="shared" si="445"/>
        <v>1376.58</v>
      </c>
      <c r="X196" s="58">
        <f t="shared" si="446"/>
        <v>1376.58</v>
      </c>
      <c r="Y196" s="58">
        <f t="shared" si="447"/>
        <v>1376.58</v>
      </c>
      <c r="Z196" s="58">
        <f t="shared" si="448"/>
        <v>1376.58</v>
      </c>
      <c r="AA196" s="58">
        <f t="shared" si="449"/>
        <v>1376.58</v>
      </c>
      <c r="AB196" s="58">
        <f t="shared" si="450"/>
        <v>1376.58</v>
      </c>
      <c r="AC196" s="58">
        <f t="shared" si="451"/>
        <v>1376.58</v>
      </c>
      <c r="AD196" s="58">
        <f t="shared" si="452"/>
        <v>1376.58</v>
      </c>
      <c r="AE196" s="58">
        <f t="shared" si="453"/>
        <v>1376.58</v>
      </c>
      <c r="AF196" s="58">
        <f t="shared" si="454"/>
        <v>812.2</v>
      </c>
      <c r="AG196" s="58">
        <f t="shared" si="455"/>
        <v>388.66</v>
      </c>
      <c r="AH196" s="328"/>
      <c r="AI196" s="328"/>
      <c r="AJ196" s="13"/>
      <c r="AK196" s="13"/>
      <c r="AL196" s="13"/>
      <c r="AM196" s="13"/>
      <c r="AN196" s="13"/>
      <c r="AO196" s="58"/>
      <c r="AP196" s="58"/>
      <c r="AQ196" s="58"/>
      <c r="AR196" s="58"/>
      <c r="AS196" s="58"/>
      <c r="AT196" s="58"/>
      <c r="AU196" s="58"/>
      <c r="AV196" s="58"/>
      <c r="AW196" s="58"/>
      <c r="AX196" s="58">
        <v>564.38</v>
      </c>
      <c r="AY196" s="58">
        <v>423.54</v>
      </c>
      <c r="AZ196" s="369">
        <v>388.66</v>
      </c>
      <c r="BA196" s="365">
        <v>1251.58</v>
      </c>
      <c r="BB196" s="342"/>
      <c r="BC196" s="342"/>
      <c r="BD196" s="259"/>
    </row>
    <row r="197" ht="16.5" customHeight="1" spans="1:56">
      <c r="A197" s="22"/>
      <c r="B197" s="22"/>
      <c r="C197" s="22"/>
      <c r="D197" s="34"/>
      <c r="E197" s="13"/>
      <c r="F197" s="13"/>
      <c r="G197" s="13"/>
      <c r="H197" s="13"/>
      <c r="I197" s="13"/>
      <c r="J197" s="13"/>
      <c r="K197" s="13"/>
      <c r="L197" s="13"/>
      <c r="M197" s="13"/>
      <c r="N197" s="13"/>
      <c r="O197" s="13"/>
      <c r="P197" s="13"/>
      <c r="Q197" s="13"/>
      <c r="R197" s="213" t="s">
        <v>3494</v>
      </c>
      <c r="S197" s="214">
        <f t="shared" ref="S197:AG197" si="456">SUM(S193:S196)</f>
        <v>406061.99</v>
      </c>
      <c r="T197" s="214">
        <f t="shared" si="456"/>
        <v>454894.36</v>
      </c>
      <c r="U197" s="320">
        <f t="shared" si="456"/>
        <v>272436.41</v>
      </c>
      <c r="V197" s="214">
        <f t="shared" si="456"/>
        <v>182457.95</v>
      </c>
      <c r="W197" s="214">
        <f t="shared" si="456"/>
        <v>182457.95</v>
      </c>
      <c r="X197" s="214">
        <f t="shared" si="456"/>
        <v>182457.95</v>
      </c>
      <c r="Y197" s="214">
        <f t="shared" si="456"/>
        <v>182457.95</v>
      </c>
      <c r="Z197" s="214">
        <f t="shared" si="456"/>
        <v>182457.95</v>
      </c>
      <c r="AA197" s="214">
        <f t="shared" si="456"/>
        <v>182457.95</v>
      </c>
      <c r="AB197" s="214">
        <f t="shared" si="456"/>
        <v>182457.95</v>
      </c>
      <c r="AC197" s="214">
        <f t="shared" si="456"/>
        <v>182457.95</v>
      </c>
      <c r="AD197" s="214">
        <f t="shared" si="456"/>
        <v>182457.95</v>
      </c>
      <c r="AE197" s="214">
        <f t="shared" si="456"/>
        <v>182457.95</v>
      </c>
      <c r="AF197" s="214">
        <f t="shared" si="456"/>
        <v>122188.85</v>
      </c>
      <c r="AG197" s="214">
        <f t="shared" si="456"/>
        <v>65720.81</v>
      </c>
      <c r="AH197" s="214">
        <f>SUM(AH193:AH196)</f>
        <v>0</v>
      </c>
      <c r="AI197" s="214">
        <f>SUM(AI193:AI196)</f>
        <v>0</v>
      </c>
      <c r="AJ197" s="13"/>
      <c r="AK197" s="13"/>
      <c r="AL197" s="13"/>
      <c r="AM197" s="13"/>
      <c r="AN197" s="13"/>
      <c r="AO197" s="214">
        <f t="shared" ref="AO197:BC197" si="457">SUM(AO193:AO196)</f>
        <v>0</v>
      </c>
      <c r="AP197" s="214">
        <f t="shared" si="457"/>
        <v>0</v>
      </c>
      <c r="AQ197" s="214">
        <f t="shared" si="457"/>
        <v>0</v>
      </c>
      <c r="AR197" s="214">
        <f t="shared" si="457"/>
        <v>0</v>
      </c>
      <c r="AS197" s="214">
        <f t="shared" si="457"/>
        <v>0</v>
      </c>
      <c r="AT197" s="214">
        <f t="shared" si="457"/>
        <v>0</v>
      </c>
      <c r="AU197" s="214">
        <f t="shared" si="457"/>
        <v>0</v>
      </c>
      <c r="AV197" s="214">
        <f t="shared" si="457"/>
        <v>0</v>
      </c>
      <c r="AW197" s="214">
        <f t="shared" si="457"/>
        <v>0</v>
      </c>
      <c r="AX197" s="214">
        <f t="shared" si="457"/>
        <v>60269.1</v>
      </c>
      <c r="AY197" s="214">
        <f t="shared" si="457"/>
        <v>56468.04</v>
      </c>
      <c r="AZ197" s="214">
        <f t="shared" si="457"/>
        <v>65720.81</v>
      </c>
      <c r="BA197" s="374">
        <f t="shared" si="457"/>
        <v>272436.41</v>
      </c>
      <c r="BB197" s="320">
        <f t="shared" si="457"/>
        <v>0</v>
      </c>
      <c r="BC197" s="320">
        <f t="shared" si="457"/>
        <v>0</v>
      </c>
      <c r="BD197" s="345"/>
    </row>
    <row r="198" ht="16.5" customHeight="1" spans="1:56">
      <c r="A198" s="22"/>
      <c r="B198" s="22"/>
      <c r="C198" s="22"/>
      <c r="D198" s="34"/>
      <c r="E198" s="13"/>
      <c r="F198" s="13"/>
      <c r="G198" s="13"/>
      <c r="H198" s="13"/>
      <c r="I198" s="13"/>
      <c r="J198" s="13"/>
      <c r="K198" s="13"/>
      <c r="L198" s="13"/>
      <c r="M198" s="13"/>
      <c r="N198" s="13"/>
      <c r="O198" s="13"/>
      <c r="P198" s="13"/>
      <c r="Q198" s="13"/>
      <c r="R198" s="213" t="s">
        <v>3495</v>
      </c>
      <c r="S198" s="58">
        <f t="shared" ref="S198:AG198" si="458">S192-S193</f>
        <v>196515.84</v>
      </c>
      <c r="T198" s="58">
        <f t="shared" si="458"/>
        <v>76160.69</v>
      </c>
      <c r="U198" s="319">
        <f t="shared" si="458"/>
        <v>54700.09</v>
      </c>
      <c r="V198" s="58">
        <f t="shared" si="458"/>
        <v>21460.6</v>
      </c>
      <c r="W198" s="58">
        <f t="shared" si="458"/>
        <v>21460.6</v>
      </c>
      <c r="X198" s="58">
        <f t="shared" si="458"/>
        <v>21460.6</v>
      </c>
      <c r="Y198" s="58">
        <f t="shared" si="458"/>
        <v>21460.6</v>
      </c>
      <c r="Z198" s="58">
        <f t="shared" si="458"/>
        <v>21460.6</v>
      </c>
      <c r="AA198" s="58">
        <f t="shared" si="458"/>
        <v>21460.6</v>
      </c>
      <c r="AB198" s="58">
        <f t="shared" si="458"/>
        <v>21460.6</v>
      </c>
      <c r="AC198" s="58">
        <f t="shared" si="458"/>
        <v>21460.6</v>
      </c>
      <c r="AD198" s="58">
        <f t="shared" si="458"/>
        <v>21460.6</v>
      </c>
      <c r="AE198" s="58">
        <f t="shared" si="458"/>
        <v>21460.6</v>
      </c>
      <c r="AF198" s="58">
        <f t="shared" si="458"/>
        <v>-50703.59</v>
      </c>
      <c r="AG198" s="58">
        <f t="shared" si="458"/>
        <v>-27309.55</v>
      </c>
      <c r="AH198" s="332"/>
      <c r="AI198" s="332"/>
      <c r="AJ198" s="13"/>
      <c r="AK198" s="13"/>
      <c r="AL198" s="13"/>
      <c r="AM198" s="13"/>
      <c r="AN198" s="13"/>
      <c r="AO198" s="58">
        <f t="shared" ref="AO198:BA198" si="459">AO192-AO193</f>
        <v>0</v>
      </c>
      <c r="AP198" s="58">
        <f t="shared" si="459"/>
        <v>0</v>
      </c>
      <c r="AQ198" s="58">
        <f t="shared" si="459"/>
        <v>0</v>
      </c>
      <c r="AR198" s="58">
        <f t="shared" si="459"/>
        <v>0</v>
      </c>
      <c r="AS198" s="58">
        <f t="shared" si="459"/>
        <v>0</v>
      </c>
      <c r="AT198" s="58">
        <f t="shared" si="459"/>
        <v>0</v>
      </c>
      <c r="AU198" s="58">
        <f t="shared" si="459"/>
        <v>0</v>
      </c>
      <c r="AV198" s="58">
        <f t="shared" si="459"/>
        <v>0</v>
      </c>
      <c r="AW198" s="58">
        <f t="shared" si="459"/>
        <v>0</v>
      </c>
      <c r="AX198" s="58">
        <f t="shared" si="459"/>
        <v>72164.19</v>
      </c>
      <c r="AY198" s="58">
        <f t="shared" si="459"/>
        <v>-23394.04</v>
      </c>
      <c r="AZ198" s="58">
        <f t="shared" si="459"/>
        <v>-27309.55</v>
      </c>
      <c r="BA198" s="375">
        <f t="shared" si="459"/>
        <v>54700.09</v>
      </c>
      <c r="BB198" s="342"/>
      <c r="BC198" s="342"/>
      <c r="BD198" s="259"/>
    </row>
    <row r="199" ht="16.5" customHeight="1" spans="1:56">
      <c r="A199" s="22"/>
      <c r="B199" s="22"/>
      <c r="C199" s="22"/>
      <c r="D199" s="34"/>
      <c r="E199" s="13"/>
      <c r="F199" s="13"/>
      <c r="G199" s="13"/>
      <c r="H199" s="13"/>
      <c r="I199" s="13"/>
      <c r="J199" s="13"/>
      <c r="K199" s="13"/>
      <c r="L199" s="13"/>
      <c r="M199" s="13"/>
      <c r="N199" s="13"/>
      <c r="O199" s="13"/>
      <c r="P199" s="13"/>
      <c r="Q199" s="13"/>
      <c r="R199" s="321" t="s">
        <v>3496</v>
      </c>
      <c r="S199" s="61">
        <f t="shared" ref="S199:AG199" si="460">S198/S192</f>
        <v>0.339565214964692</v>
      </c>
      <c r="T199" s="61">
        <f t="shared" si="460"/>
        <v>0.144127203670502</v>
      </c>
      <c r="U199" s="322">
        <f t="shared" si="460"/>
        <v>0.167850939527978</v>
      </c>
      <c r="V199" s="61">
        <f t="shared" si="460"/>
        <v>0.10595631117837</v>
      </c>
      <c r="W199" s="61">
        <f t="shared" si="460"/>
        <v>0.10595631117837</v>
      </c>
      <c r="X199" s="61">
        <f t="shared" si="460"/>
        <v>0.10595631117837</v>
      </c>
      <c r="Y199" s="61">
        <f t="shared" si="460"/>
        <v>0.10595631117837</v>
      </c>
      <c r="Z199" s="61">
        <f t="shared" si="460"/>
        <v>0.10595631117837</v>
      </c>
      <c r="AA199" s="61">
        <f t="shared" si="460"/>
        <v>0.10595631117837</v>
      </c>
      <c r="AB199" s="61">
        <f t="shared" si="460"/>
        <v>0.10595631117837</v>
      </c>
      <c r="AC199" s="61">
        <f t="shared" si="460"/>
        <v>0.10595631117837</v>
      </c>
      <c r="AD199" s="61">
        <f t="shared" si="460"/>
        <v>0.10595631117837</v>
      </c>
      <c r="AE199" s="61">
        <f t="shared" si="460"/>
        <v>0.10595631117837</v>
      </c>
      <c r="AF199" s="61">
        <f t="shared" si="460"/>
        <v>-0.717438724175803</v>
      </c>
      <c r="AG199" s="61">
        <f t="shared" si="460"/>
        <v>-0.718245201538033</v>
      </c>
      <c r="AH199" s="82">
        <f>T199-S199</f>
        <v>-0.19543801129419</v>
      </c>
      <c r="AI199" s="82">
        <f>AF199-S199</f>
        <v>-1.0570039391405</v>
      </c>
      <c r="AJ199" s="13"/>
      <c r="AK199" s="13"/>
      <c r="AL199" s="13"/>
      <c r="AM199" s="13"/>
      <c r="AN199" s="13"/>
      <c r="AO199" s="61" t="e">
        <f t="shared" ref="AO199:BA199" si="461">AO198/AO192</f>
        <v>#DIV/0!</v>
      </c>
      <c r="AP199" s="61" t="e">
        <f t="shared" si="461"/>
        <v>#DIV/0!</v>
      </c>
      <c r="AQ199" s="61" t="e">
        <f t="shared" si="461"/>
        <v>#DIV/0!</v>
      </c>
      <c r="AR199" s="61" t="e">
        <f t="shared" si="461"/>
        <v>#DIV/0!</v>
      </c>
      <c r="AS199" s="61" t="e">
        <f t="shared" si="461"/>
        <v>#DIV/0!</v>
      </c>
      <c r="AT199" s="61" t="e">
        <f t="shared" si="461"/>
        <v>#DIV/0!</v>
      </c>
      <c r="AU199" s="61" t="e">
        <f t="shared" si="461"/>
        <v>#DIV/0!</v>
      </c>
      <c r="AV199" s="61" t="e">
        <f t="shared" si="461"/>
        <v>#DIV/0!</v>
      </c>
      <c r="AW199" s="61" t="e">
        <f t="shared" si="461"/>
        <v>#DIV/0!</v>
      </c>
      <c r="AX199" s="61">
        <f t="shared" si="461"/>
        <v>0.547241878316883</v>
      </c>
      <c r="AY199" s="61">
        <f t="shared" si="461"/>
        <v>-0.716499553145653</v>
      </c>
      <c r="AZ199" s="61">
        <f t="shared" si="461"/>
        <v>-0.718245201538033</v>
      </c>
      <c r="BA199" s="376">
        <f t="shared" si="461"/>
        <v>0.167850939527978</v>
      </c>
      <c r="BB199" s="342"/>
      <c r="BC199" s="342"/>
      <c r="BD199" s="259"/>
    </row>
    <row r="200" ht="16.5" customHeight="1" spans="1:56">
      <c r="A200" s="22"/>
      <c r="B200" s="22"/>
      <c r="C200" s="22"/>
      <c r="D200" s="34"/>
      <c r="E200" s="13"/>
      <c r="F200" s="13"/>
      <c r="G200" s="13"/>
      <c r="H200" s="13"/>
      <c r="I200" s="13"/>
      <c r="J200" s="13"/>
      <c r="K200" s="13"/>
      <c r="L200" s="13"/>
      <c r="M200" s="13"/>
      <c r="N200" s="13"/>
      <c r="O200" s="13"/>
      <c r="P200" s="13"/>
      <c r="Q200" s="13"/>
      <c r="R200" s="213" t="s">
        <v>3497</v>
      </c>
      <c r="S200" s="58">
        <f t="shared" ref="S200:AG200" si="462">S192-S197</f>
        <v>172665.84</v>
      </c>
      <c r="T200" s="58">
        <f t="shared" si="462"/>
        <v>73532.53</v>
      </c>
      <c r="U200" s="58">
        <f t="shared" si="462"/>
        <v>53448.51</v>
      </c>
      <c r="V200" s="58">
        <f t="shared" si="462"/>
        <v>20084.02</v>
      </c>
      <c r="W200" s="58">
        <f t="shared" si="462"/>
        <v>20084.02</v>
      </c>
      <c r="X200" s="58">
        <f t="shared" si="462"/>
        <v>20084.02</v>
      </c>
      <c r="Y200" s="58">
        <f t="shared" si="462"/>
        <v>20084.02</v>
      </c>
      <c r="Z200" s="58">
        <f t="shared" si="462"/>
        <v>20084.02</v>
      </c>
      <c r="AA200" s="58">
        <f t="shared" si="462"/>
        <v>20084.02</v>
      </c>
      <c r="AB200" s="58">
        <f t="shared" si="462"/>
        <v>20084.02</v>
      </c>
      <c r="AC200" s="58">
        <f t="shared" si="462"/>
        <v>20084.02</v>
      </c>
      <c r="AD200" s="58">
        <f t="shared" si="462"/>
        <v>20084.02</v>
      </c>
      <c r="AE200" s="58">
        <f t="shared" si="462"/>
        <v>20084.02</v>
      </c>
      <c r="AF200" s="58">
        <f t="shared" si="462"/>
        <v>-51515.79</v>
      </c>
      <c r="AG200" s="58">
        <f t="shared" si="462"/>
        <v>-27698.21</v>
      </c>
      <c r="AH200" s="82"/>
      <c r="AI200" s="82"/>
      <c r="AJ200" s="13"/>
      <c r="AK200" s="13"/>
      <c r="AL200" s="13"/>
      <c r="AM200" s="13"/>
      <c r="AN200" s="13"/>
      <c r="AO200" s="58">
        <f t="shared" ref="AO200:BA200" si="463">AO192-AO193-AO195-AO196</f>
        <v>0</v>
      </c>
      <c r="AP200" s="58">
        <f t="shared" si="463"/>
        <v>0</v>
      </c>
      <c r="AQ200" s="58">
        <f t="shared" si="463"/>
        <v>0</v>
      </c>
      <c r="AR200" s="58">
        <f t="shared" si="463"/>
        <v>0</v>
      </c>
      <c r="AS200" s="58">
        <f t="shared" si="463"/>
        <v>0</v>
      </c>
      <c r="AT200" s="58">
        <f t="shared" si="463"/>
        <v>0</v>
      </c>
      <c r="AU200" s="58">
        <f t="shared" si="463"/>
        <v>0</v>
      </c>
      <c r="AV200" s="58">
        <f t="shared" si="463"/>
        <v>0</v>
      </c>
      <c r="AW200" s="58">
        <f t="shared" si="463"/>
        <v>0</v>
      </c>
      <c r="AX200" s="58">
        <f t="shared" si="463"/>
        <v>71599.81</v>
      </c>
      <c r="AY200" s="58">
        <f t="shared" si="463"/>
        <v>-23817.58</v>
      </c>
      <c r="AZ200" s="58">
        <f t="shared" si="463"/>
        <v>-27698.21</v>
      </c>
      <c r="BA200" s="375">
        <f t="shared" si="463"/>
        <v>53448.51</v>
      </c>
      <c r="BB200" s="342"/>
      <c r="BC200" s="342"/>
      <c r="BD200" s="259"/>
    </row>
    <row r="201" ht="16.5" customHeight="1" spans="1:56">
      <c r="A201" s="24"/>
      <c r="B201" s="24"/>
      <c r="C201" s="24"/>
      <c r="D201" s="83"/>
      <c r="E201" s="14"/>
      <c r="F201" s="14"/>
      <c r="G201" s="14"/>
      <c r="H201" s="14"/>
      <c r="I201" s="14"/>
      <c r="J201" s="14"/>
      <c r="K201" s="14"/>
      <c r="L201" s="14"/>
      <c r="M201" s="14"/>
      <c r="N201" s="14"/>
      <c r="O201" s="14"/>
      <c r="P201" s="14"/>
      <c r="Q201" s="14"/>
      <c r="R201" s="321" t="s">
        <v>3498</v>
      </c>
      <c r="S201" s="61">
        <f t="shared" ref="S201:AG201" si="464">S200/S192</f>
        <v>0.298354133064588</v>
      </c>
      <c r="T201" s="61">
        <f t="shared" si="464"/>
        <v>0.139153649050676</v>
      </c>
      <c r="U201" s="322">
        <f t="shared" si="464"/>
        <v>0.164010381333386</v>
      </c>
      <c r="V201" s="61">
        <f t="shared" si="464"/>
        <v>0.0991597938935817</v>
      </c>
      <c r="W201" s="61">
        <f t="shared" si="464"/>
        <v>0.0991597938935817</v>
      </c>
      <c r="X201" s="61">
        <f t="shared" si="464"/>
        <v>0.0991597938935817</v>
      </c>
      <c r="Y201" s="61">
        <f t="shared" si="464"/>
        <v>0.0991597938935817</v>
      </c>
      <c r="Z201" s="61">
        <f t="shared" si="464"/>
        <v>0.0991597938935817</v>
      </c>
      <c r="AA201" s="61">
        <f t="shared" si="464"/>
        <v>0.0991597938935817</v>
      </c>
      <c r="AB201" s="61">
        <f t="shared" si="464"/>
        <v>0.0991597938935817</v>
      </c>
      <c r="AC201" s="61">
        <f t="shared" si="464"/>
        <v>0.0991597938935817</v>
      </c>
      <c r="AD201" s="61">
        <f t="shared" si="464"/>
        <v>0.0991597938935817</v>
      </c>
      <c r="AE201" s="61">
        <f t="shared" si="464"/>
        <v>0.0991597938935817</v>
      </c>
      <c r="AF201" s="61">
        <f t="shared" si="464"/>
        <v>-0.728931080669211</v>
      </c>
      <c r="AG201" s="61">
        <f t="shared" si="464"/>
        <v>-0.728467016984635</v>
      </c>
      <c r="AH201" s="82">
        <f>T201-S201</f>
        <v>-0.159200484013912</v>
      </c>
      <c r="AI201" s="82">
        <f>AF201-S201</f>
        <v>-1.0272852137338</v>
      </c>
      <c r="AJ201" s="14"/>
      <c r="AK201" s="14"/>
      <c r="AL201" s="14"/>
      <c r="AM201" s="14"/>
      <c r="AN201" s="14"/>
      <c r="AO201" s="61" t="e">
        <f t="shared" ref="AO201:BA201" si="465">AO200/AO192</f>
        <v>#DIV/0!</v>
      </c>
      <c r="AP201" s="61" t="e">
        <f t="shared" si="465"/>
        <v>#DIV/0!</v>
      </c>
      <c r="AQ201" s="61" t="e">
        <f t="shared" si="465"/>
        <v>#DIV/0!</v>
      </c>
      <c r="AR201" s="61" t="e">
        <f t="shared" si="465"/>
        <v>#DIV/0!</v>
      </c>
      <c r="AS201" s="61" t="e">
        <f t="shared" si="465"/>
        <v>#DIV/0!</v>
      </c>
      <c r="AT201" s="61" t="e">
        <f t="shared" si="465"/>
        <v>#DIV/0!</v>
      </c>
      <c r="AU201" s="61" t="e">
        <f t="shared" si="465"/>
        <v>#DIV/0!</v>
      </c>
      <c r="AV201" s="61" t="e">
        <f t="shared" si="465"/>
        <v>#DIV/0!</v>
      </c>
      <c r="AW201" s="61" t="e">
        <f t="shared" si="465"/>
        <v>#DIV/0!</v>
      </c>
      <c r="AX201" s="61">
        <f t="shared" si="465"/>
        <v>0.542962021904936</v>
      </c>
      <c r="AY201" s="61">
        <f t="shared" si="465"/>
        <v>-0.729471499023291</v>
      </c>
      <c r="AZ201" s="61">
        <f t="shared" si="465"/>
        <v>-0.728467016984636</v>
      </c>
      <c r="BA201" s="376">
        <f t="shared" si="465"/>
        <v>0.164010381333386</v>
      </c>
      <c r="BB201" s="342"/>
      <c r="BC201" s="342"/>
      <c r="BD201" s="259"/>
    </row>
    <row r="202" ht="16.5" customHeight="1" spans="1:56">
      <c r="A202" s="32" t="s">
        <v>633</v>
      </c>
      <c r="B202" s="353" t="s">
        <v>3515</v>
      </c>
      <c r="C202" s="27">
        <v>45748</v>
      </c>
      <c r="D202" s="354">
        <v>46113</v>
      </c>
      <c r="E202" s="304"/>
      <c r="F202" s="233">
        <v>1</v>
      </c>
      <c r="G202" s="28">
        <v>0</v>
      </c>
      <c r="H202" s="301"/>
      <c r="I202" s="301"/>
      <c r="J202" s="12"/>
      <c r="K202" s="12"/>
      <c r="L202" s="12"/>
      <c r="M202" s="301"/>
      <c r="N202" s="301"/>
      <c r="O202" s="301"/>
      <c r="P202" s="304"/>
      <c r="Q202" s="301"/>
      <c r="R202" s="318" t="s">
        <v>3486</v>
      </c>
      <c r="S202" s="162">
        <v>55660.38</v>
      </c>
      <c r="T202" s="58">
        <f t="shared" ref="T202:T206" si="466">SUM(AO202:BC202)</f>
        <v>53032.24</v>
      </c>
      <c r="U202" s="319">
        <f t="shared" ref="U202:U206" si="467">SUM(BA202:BC202)</f>
        <v>53032.24</v>
      </c>
      <c r="V202" s="58">
        <f t="shared" ref="V202:V206" si="468">SUM(AO202:AZ202)</f>
        <v>0</v>
      </c>
      <c r="W202" s="58">
        <f t="shared" ref="W202:W206" si="469">SUM(AP202:AZ202)</f>
        <v>0</v>
      </c>
      <c r="X202" s="58">
        <f t="shared" ref="X202:X206" si="470">SUM(AQ202:AZ202)</f>
        <v>0</v>
      </c>
      <c r="Y202" s="58">
        <f t="shared" ref="Y202:Y206" si="471">SUM(AR202:AZ202)</f>
        <v>0</v>
      </c>
      <c r="Z202" s="58">
        <f t="shared" ref="Z202:Z206" si="472">SUM(AS202:AZ202)</f>
        <v>0</v>
      </c>
      <c r="AA202" s="58">
        <f t="shared" ref="AA202:AA206" si="473">SUM(AT202:AZ202)</f>
        <v>0</v>
      </c>
      <c r="AB202" s="58">
        <f t="shared" ref="AB202:AB206" si="474">SUM(AU202:AZ202)</f>
        <v>0</v>
      </c>
      <c r="AC202" s="58">
        <f t="shared" ref="AC202:AC206" si="475">SUM(AV202:AZ202)</f>
        <v>0</v>
      </c>
      <c r="AD202" s="58">
        <f t="shared" ref="AD202:AD206" si="476">SUM(AW202:AZ202)</f>
        <v>0</v>
      </c>
      <c r="AE202" s="58">
        <f t="shared" ref="AE202:AE206" si="477">SUM(AX202:AZ202)</f>
        <v>0</v>
      </c>
      <c r="AF202" s="58">
        <f t="shared" ref="AF202:AF206" si="478">SUM(AY202:AZ202)</f>
        <v>0</v>
      </c>
      <c r="AG202" s="58">
        <f t="shared" ref="AG202:AG206" si="479">SUM(AZ202:AZ202)</f>
        <v>0</v>
      </c>
      <c r="AH202" s="328"/>
      <c r="AI202" s="328"/>
      <c r="AJ202" s="359"/>
      <c r="AK202" s="28"/>
      <c r="AL202" s="93"/>
      <c r="AM202" s="93"/>
      <c r="AN202" s="360"/>
      <c r="AO202" s="58"/>
      <c r="AP202" s="58"/>
      <c r="AQ202" s="58"/>
      <c r="AR202" s="58"/>
      <c r="AS202" s="58"/>
      <c r="AT202" s="58"/>
      <c r="AU202" s="58"/>
      <c r="AV202" s="58"/>
      <c r="AW202" s="58"/>
      <c r="AX202" s="58">
        <v>0</v>
      </c>
      <c r="AY202" s="58">
        <v>0</v>
      </c>
      <c r="AZ202" s="369">
        <v>0</v>
      </c>
      <c r="BA202" s="363">
        <v>53032.24</v>
      </c>
      <c r="BB202" s="342"/>
      <c r="BC202" s="342"/>
      <c r="BD202" s="259"/>
    </row>
    <row r="203" ht="16.5" customHeight="1" spans="1:56">
      <c r="A203" s="22"/>
      <c r="B203" s="22"/>
      <c r="C203" s="22"/>
      <c r="D203" s="34"/>
      <c r="E203" s="13"/>
      <c r="F203" s="13"/>
      <c r="G203" s="13"/>
      <c r="H203" s="13"/>
      <c r="I203" s="13"/>
      <c r="J203" s="13"/>
      <c r="K203" s="13"/>
      <c r="L203" s="13"/>
      <c r="M203" s="13"/>
      <c r="N203" s="13"/>
      <c r="O203" s="13"/>
      <c r="P203" s="13"/>
      <c r="Q203" s="13"/>
      <c r="R203" s="213" t="s">
        <v>3490</v>
      </c>
      <c r="S203" s="162">
        <v>88381.86</v>
      </c>
      <c r="T203" s="58">
        <f t="shared" si="466"/>
        <v>28410.76</v>
      </c>
      <c r="U203" s="319">
        <f t="shared" si="467"/>
        <v>28410.76</v>
      </c>
      <c r="V203" s="58">
        <f t="shared" si="468"/>
        <v>0</v>
      </c>
      <c r="W203" s="58">
        <f t="shared" si="469"/>
        <v>0</v>
      </c>
      <c r="X203" s="58">
        <f t="shared" si="470"/>
        <v>0</v>
      </c>
      <c r="Y203" s="58">
        <f t="shared" si="471"/>
        <v>0</v>
      </c>
      <c r="Z203" s="58">
        <f t="shared" si="472"/>
        <v>0</v>
      </c>
      <c r="AA203" s="58">
        <f t="shared" si="473"/>
        <v>0</v>
      </c>
      <c r="AB203" s="58">
        <f t="shared" si="474"/>
        <v>0</v>
      </c>
      <c r="AC203" s="58">
        <f t="shared" si="475"/>
        <v>0</v>
      </c>
      <c r="AD203" s="58">
        <f t="shared" si="476"/>
        <v>0</v>
      </c>
      <c r="AE203" s="58">
        <f t="shared" si="477"/>
        <v>0</v>
      </c>
      <c r="AF203" s="58">
        <f t="shared" si="478"/>
        <v>0</v>
      </c>
      <c r="AG203" s="58">
        <f t="shared" si="479"/>
        <v>0</v>
      </c>
      <c r="AH203" s="328"/>
      <c r="AI203" s="328"/>
      <c r="AJ203" s="13"/>
      <c r="AK203" s="13"/>
      <c r="AL203" s="13"/>
      <c r="AM203" s="13"/>
      <c r="AN203" s="13"/>
      <c r="AO203" s="58"/>
      <c r="AP203" s="58"/>
      <c r="AQ203" s="58"/>
      <c r="AR203" s="58"/>
      <c r="AS203" s="58"/>
      <c r="AT203" s="58"/>
      <c r="AU203" s="58"/>
      <c r="AV203" s="58"/>
      <c r="AW203" s="58"/>
      <c r="AX203" s="58">
        <v>0</v>
      </c>
      <c r="AY203" s="58">
        <v>0</v>
      </c>
      <c r="AZ203" s="369">
        <v>0</v>
      </c>
      <c r="BA203" s="363">
        <v>28410.76</v>
      </c>
      <c r="BB203" s="342"/>
      <c r="BC203" s="342"/>
      <c r="BD203" s="259"/>
    </row>
    <row r="204" ht="16.5" customHeight="1" spans="1:56">
      <c r="A204" s="22"/>
      <c r="B204" s="22"/>
      <c r="C204" s="22"/>
      <c r="D204" s="34"/>
      <c r="E204" s="13"/>
      <c r="F204" s="13"/>
      <c r="G204" s="13"/>
      <c r="H204" s="13"/>
      <c r="I204" s="13"/>
      <c r="J204" s="13"/>
      <c r="K204" s="13"/>
      <c r="L204" s="13"/>
      <c r="M204" s="13"/>
      <c r="N204" s="13"/>
      <c r="O204" s="13"/>
      <c r="P204" s="13"/>
      <c r="Q204" s="13"/>
      <c r="R204" s="213" t="s">
        <v>3491</v>
      </c>
      <c r="S204" s="162"/>
      <c r="T204" s="58">
        <f t="shared" si="466"/>
        <v>0</v>
      </c>
      <c r="U204" s="319">
        <f t="shared" si="467"/>
        <v>0</v>
      </c>
      <c r="V204" s="58"/>
      <c r="W204" s="58"/>
      <c r="X204" s="58"/>
      <c r="Y204" s="58"/>
      <c r="Z204" s="58"/>
      <c r="AA204" s="58"/>
      <c r="AB204" s="58"/>
      <c r="AC204" s="58"/>
      <c r="AD204" s="58"/>
      <c r="AE204" s="58"/>
      <c r="AF204" s="58"/>
      <c r="AG204" s="58"/>
      <c r="AH204" s="328"/>
      <c r="AI204" s="328"/>
      <c r="AJ204" s="13"/>
      <c r="AK204" s="13"/>
      <c r="AL204" s="13"/>
      <c r="AM204" s="13"/>
      <c r="AN204" s="13"/>
      <c r="AO204" s="58"/>
      <c r="AP204" s="58"/>
      <c r="AQ204" s="58"/>
      <c r="AR204" s="58"/>
      <c r="AS204" s="58"/>
      <c r="AT204" s="58"/>
      <c r="AU204" s="58"/>
      <c r="AV204" s="58"/>
      <c r="AW204" s="58"/>
      <c r="AX204" s="58">
        <v>0</v>
      </c>
      <c r="AY204" s="58"/>
      <c r="AZ204" s="369"/>
      <c r="BA204" s="363"/>
      <c r="BB204" s="342"/>
      <c r="BC204" s="342"/>
      <c r="BD204" s="259"/>
    </row>
    <row r="205" ht="16.5" customHeight="1" spans="1:56">
      <c r="A205" s="22"/>
      <c r="B205" s="22"/>
      <c r="C205" s="22"/>
      <c r="D205" s="34"/>
      <c r="E205" s="13"/>
      <c r="F205" s="13"/>
      <c r="G205" s="13"/>
      <c r="H205" s="13"/>
      <c r="I205" s="13"/>
      <c r="J205" s="13"/>
      <c r="K205" s="13"/>
      <c r="L205" s="13"/>
      <c r="M205" s="13"/>
      <c r="N205" s="13"/>
      <c r="O205" s="13"/>
      <c r="P205" s="13"/>
      <c r="Q205" s="13"/>
      <c r="R205" s="213" t="s">
        <v>3492</v>
      </c>
      <c r="S205" s="162">
        <v>1650</v>
      </c>
      <c r="T205" s="58">
        <f t="shared" si="466"/>
        <v>1375.5</v>
      </c>
      <c r="U205" s="319">
        <f t="shared" si="467"/>
        <v>1273.28</v>
      </c>
      <c r="V205" s="58">
        <f t="shared" si="468"/>
        <v>102.22</v>
      </c>
      <c r="W205" s="58">
        <f t="shared" si="469"/>
        <v>102.22</v>
      </c>
      <c r="X205" s="58">
        <f t="shared" si="470"/>
        <v>102.22</v>
      </c>
      <c r="Y205" s="58">
        <f t="shared" si="471"/>
        <v>102.22</v>
      </c>
      <c r="Z205" s="58">
        <f t="shared" si="472"/>
        <v>102.22</v>
      </c>
      <c r="AA205" s="58">
        <f t="shared" si="473"/>
        <v>102.22</v>
      </c>
      <c r="AB205" s="58">
        <f t="shared" si="474"/>
        <v>102.22</v>
      </c>
      <c r="AC205" s="58">
        <f t="shared" si="475"/>
        <v>102.22</v>
      </c>
      <c r="AD205" s="58">
        <f t="shared" si="476"/>
        <v>102.22</v>
      </c>
      <c r="AE205" s="58">
        <f t="shared" si="477"/>
        <v>102.22</v>
      </c>
      <c r="AF205" s="58">
        <f t="shared" si="478"/>
        <v>0</v>
      </c>
      <c r="AG205" s="58">
        <f t="shared" si="479"/>
        <v>-1273.28</v>
      </c>
      <c r="AH205" s="328"/>
      <c r="AI205" s="328"/>
      <c r="AJ205" s="13"/>
      <c r="AK205" s="13"/>
      <c r="AL205" s="13"/>
      <c r="AM205" s="13"/>
      <c r="AN205" s="13"/>
      <c r="AO205" s="58"/>
      <c r="AP205" s="58"/>
      <c r="AQ205" s="58"/>
      <c r="AR205" s="58"/>
      <c r="AS205" s="58"/>
      <c r="AT205" s="58"/>
      <c r="AU205" s="58"/>
      <c r="AV205" s="58"/>
      <c r="AW205" s="58"/>
      <c r="AX205" s="58">
        <v>102.22</v>
      </c>
      <c r="AY205" s="58">
        <v>1273.28</v>
      </c>
      <c r="AZ205" s="369">
        <v>-1273.28</v>
      </c>
      <c r="BA205" s="364">
        <v>1273.28</v>
      </c>
      <c r="BB205" s="342"/>
      <c r="BC205" s="342"/>
      <c r="BD205" s="259"/>
    </row>
    <row r="206" ht="16.5" customHeight="1" spans="1:56">
      <c r="A206" s="22"/>
      <c r="B206" s="22"/>
      <c r="C206" s="22"/>
      <c r="D206" s="34"/>
      <c r="E206" s="13"/>
      <c r="F206" s="13"/>
      <c r="G206" s="13"/>
      <c r="H206" s="13"/>
      <c r="I206" s="13"/>
      <c r="J206" s="13"/>
      <c r="K206" s="13"/>
      <c r="L206" s="13"/>
      <c r="M206" s="13"/>
      <c r="N206" s="13"/>
      <c r="O206" s="13"/>
      <c r="P206" s="13"/>
      <c r="Q206" s="13"/>
      <c r="R206" s="213" t="s">
        <v>3493</v>
      </c>
      <c r="S206" s="162">
        <v>0</v>
      </c>
      <c r="T206" s="58">
        <f t="shared" si="466"/>
        <v>305.47</v>
      </c>
      <c r="U206" s="319">
        <f t="shared" si="467"/>
        <v>121.83</v>
      </c>
      <c r="V206" s="58">
        <f t="shared" si="468"/>
        <v>183.64</v>
      </c>
      <c r="W206" s="58">
        <f t="shared" si="469"/>
        <v>183.64</v>
      </c>
      <c r="X206" s="58">
        <f t="shared" si="470"/>
        <v>183.64</v>
      </c>
      <c r="Y206" s="58">
        <f t="shared" si="471"/>
        <v>183.64</v>
      </c>
      <c r="Z206" s="58">
        <f t="shared" si="472"/>
        <v>183.64</v>
      </c>
      <c r="AA206" s="58">
        <f t="shared" si="473"/>
        <v>183.64</v>
      </c>
      <c r="AB206" s="58">
        <f t="shared" si="474"/>
        <v>183.64</v>
      </c>
      <c r="AC206" s="58">
        <f t="shared" si="475"/>
        <v>183.64</v>
      </c>
      <c r="AD206" s="58">
        <f t="shared" si="476"/>
        <v>183.64</v>
      </c>
      <c r="AE206" s="58">
        <f t="shared" si="477"/>
        <v>183.64</v>
      </c>
      <c r="AF206" s="58">
        <f t="shared" si="478"/>
        <v>54.28</v>
      </c>
      <c r="AG206" s="58">
        <f t="shared" si="479"/>
        <v>27.14</v>
      </c>
      <c r="AH206" s="328"/>
      <c r="AI206" s="328"/>
      <c r="AJ206" s="13"/>
      <c r="AK206" s="13"/>
      <c r="AL206" s="13"/>
      <c r="AM206" s="13"/>
      <c r="AN206" s="13"/>
      <c r="AO206" s="58"/>
      <c r="AP206" s="58"/>
      <c r="AQ206" s="58"/>
      <c r="AR206" s="58"/>
      <c r="AS206" s="58"/>
      <c r="AT206" s="58"/>
      <c r="AU206" s="58"/>
      <c r="AV206" s="58"/>
      <c r="AW206" s="58"/>
      <c r="AX206" s="58">
        <v>129.36</v>
      </c>
      <c r="AY206" s="58">
        <v>27.14</v>
      </c>
      <c r="AZ206" s="369">
        <v>27.14</v>
      </c>
      <c r="BA206" s="365">
        <v>121.83</v>
      </c>
      <c r="BB206" s="342"/>
      <c r="BC206" s="342"/>
      <c r="BD206" s="259"/>
    </row>
    <row r="207" ht="16.5" customHeight="1" spans="1:56">
      <c r="A207" s="22"/>
      <c r="B207" s="22"/>
      <c r="C207" s="22"/>
      <c r="D207" s="34"/>
      <c r="E207" s="13"/>
      <c r="F207" s="13"/>
      <c r="G207" s="13"/>
      <c r="H207" s="13"/>
      <c r="I207" s="13"/>
      <c r="J207" s="13"/>
      <c r="K207" s="13"/>
      <c r="L207" s="13"/>
      <c r="M207" s="13"/>
      <c r="N207" s="13"/>
      <c r="O207" s="13"/>
      <c r="P207" s="13"/>
      <c r="Q207" s="13"/>
      <c r="R207" s="213" t="s">
        <v>3494</v>
      </c>
      <c r="S207" s="214">
        <f t="shared" ref="S207:AG207" si="480">SUM(S203:S206)</f>
        <v>90031.86</v>
      </c>
      <c r="T207" s="214">
        <f t="shared" si="480"/>
        <v>30091.73</v>
      </c>
      <c r="U207" s="320">
        <f t="shared" si="480"/>
        <v>29805.87</v>
      </c>
      <c r="V207" s="214">
        <f t="shared" si="480"/>
        <v>285.86</v>
      </c>
      <c r="W207" s="214">
        <f t="shared" si="480"/>
        <v>285.86</v>
      </c>
      <c r="X207" s="214">
        <f t="shared" si="480"/>
        <v>285.86</v>
      </c>
      <c r="Y207" s="214">
        <f t="shared" si="480"/>
        <v>285.86</v>
      </c>
      <c r="Z207" s="214">
        <f t="shared" si="480"/>
        <v>285.86</v>
      </c>
      <c r="AA207" s="214">
        <f t="shared" si="480"/>
        <v>285.86</v>
      </c>
      <c r="AB207" s="214">
        <f t="shared" si="480"/>
        <v>285.86</v>
      </c>
      <c r="AC207" s="214">
        <f t="shared" si="480"/>
        <v>285.86</v>
      </c>
      <c r="AD207" s="214">
        <f t="shared" si="480"/>
        <v>285.86</v>
      </c>
      <c r="AE207" s="214">
        <f t="shared" si="480"/>
        <v>285.86</v>
      </c>
      <c r="AF207" s="214">
        <f t="shared" si="480"/>
        <v>54.28</v>
      </c>
      <c r="AG207" s="214">
        <f t="shared" si="480"/>
        <v>-1246.14</v>
      </c>
      <c r="AH207" s="214">
        <f>SUM(AH203:AH206)</f>
        <v>0</v>
      </c>
      <c r="AI207" s="214">
        <f>SUM(AI203:AI206)</f>
        <v>0</v>
      </c>
      <c r="AJ207" s="13"/>
      <c r="AK207" s="13"/>
      <c r="AL207" s="13"/>
      <c r="AM207" s="13"/>
      <c r="AN207" s="13"/>
      <c r="AO207" s="214">
        <f t="shared" ref="AO207:BC207" si="481">SUM(AO203:AO206)</f>
        <v>0</v>
      </c>
      <c r="AP207" s="214">
        <f t="shared" si="481"/>
        <v>0</v>
      </c>
      <c r="AQ207" s="214">
        <f t="shared" si="481"/>
        <v>0</v>
      </c>
      <c r="AR207" s="214">
        <f t="shared" si="481"/>
        <v>0</v>
      </c>
      <c r="AS207" s="214">
        <f t="shared" si="481"/>
        <v>0</v>
      </c>
      <c r="AT207" s="214">
        <f t="shared" si="481"/>
        <v>0</v>
      </c>
      <c r="AU207" s="214">
        <f t="shared" si="481"/>
        <v>0</v>
      </c>
      <c r="AV207" s="214">
        <f t="shared" si="481"/>
        <v>0</v>
      </c>
      <c r="AW207" s="214">
        <f t="shared" si="481"/>
        <v>0</v>
      </c>
      <c r="AX207" s="214">
        <f t="shared" si="481"/>
        <v>231.58</v>
      </c>
      <c r="AY207" s="214">
        <f t="shared" si="481"/>
        <v>1300.42</v>
      </c>
      <c r="AZ207" s="214">
        <f t="shared" si="481"/>
        <v>-1246.14</v>
      </c>
      <c r="BA207" s="374">
        <f t="shared" si="481"/>
        <v>29805.87</v>
      </c>
      <c r="BB207" s="320">
        <f t="shared" si="481"/>
        <v>0</v>
      </c>
      <c r="BC207" s="320">
        <f t="shared" si="481"/>
        <v>0</v>
      </c>
      <c r="BD207" s="345"/>
    </row>
    <row r="208" ht="16.5" customHeight="1" spans="1:56">
      <c r="A208" s="22"/>
      <c r="B208" s="22"/>
      <c r="C208" s="22"/>
      <c r="D208" s="34"/>
      <c r="E208" s="13"/>
      <c r="F208" s="13"/>
      <c r="G208" s="13"/>
      <c r="H208" s="13"/>
      <c r="I208" s="13"/>
      <c r="J208" s="13"/>
      <c r="K208" s="13"/>
      <c r="L208" s="13"/>
      <c r="M208" s="13"/>
      <c r="N208" s="13"/>
      <c r="O208" s="13"/>
      <c r="P208" s="13"/>
      <c r="Q208" s="13"/>
      <c r="R208" s="213" t="s">
        <v>3495</v>
      </c>
      <c r="S208" s="58">
        <f t="shared" ref="S208:AG208" si="482">S202-S203</f>
        <v>-32721.48</v>
      </c>
      <c r="T208" s="58">
        <f t="shared" si="482"/>
        <v>24621.48</v>
      </c>
      <c r="U208" s="319">
        <f t="shared" si="482"/>
        <v>24621.48</v>
      </c>
      <c r="V208" s="58">
        <f t="shared" si="482"/>
        <v>0</v>
      </c>
      <c r="W208" s="58">
        <f t="shared" si="482"/>
        <v>0</v>
      </c>
      <c r="X208" s="58">
        <f t="shared" si="482"/>
        <v>0</v>
      </c>
      <c r="Y208" s="58">
        <f t="shared" si="482"/>
        <v>0</v>
      </c>
      <c r="Z208" s="58">
        <f t="shared" si="482"/>
        <v>0</v>
      </c>
      <c r="AA208" s="58">
        <f t="shared" si="482"/>
        <v>0</v>
      </c>
      <c r="AB208" s="58">
        <f t="shared" si="482"/>
        <v>0</v>
      </c>
      <c r="AC208" s="58">
        <f t="shared" si="482"/>
        <v>0</v>
      </c>
      <c r="AD208" s="58">
        <f t="shared" si="482"/>
        <v>0</v>
      </c>
      <c r="AE208" s="58">
        <f t="shared" si="482"/>
        <v>0</v>
      </c>
      <c r="AF208" s="58">
        <f t="shared" si="482"/>
        <v>0</v>
      </c>
      <c r="AG208" s="58">
        <f t="shared" si="482"/>
        <v>0</v>
      </c>
      <c r="AH208" s="332"/>
      <c r="AI208" s="332"/>
      <c r="AJ208" s="13"/>
      <c r="AK208" s="13"/>
      <c r="AL208" s="13"/>
      <c r="AM208" s="13"/>
      <c r="AN208" s="13"/>
      <c r="AO208" s="58">
        <f t="shared" ref="AO208:BA208" si="483">AO202-AO203</f>
        <v>0</v>
      </c>
      <c r="AP208" s="58">
        <f t="shared" si="483"/>
        <v>0</v>
      </c>
      <c r="AQ208" s="58">
        <f t="shared" si="483"/>
        <v>0</v>
      </c>
      <c r="AR208" s="58">
        <f t="shared" si="483"/>
        <v>0</v>
      </c>
      <c r="AS208" s="58">
        <f t="shared" si="483"/>
        <v>0</v>
      </c>
      <c r="AT208" s="58">
        <f t="shared" si="483"/>
        <v>0</v>
      </c>
      <c r="AU208" s="58">
        <f t="shared" si="483"/>
        <v>0</v>
      </c>
      <c r="AV208" s="58">
        <f t="shared" si="483"/>
        <v>0</v>
      </c>
      <c r="AW208" s="58">
        <f t="shared" si="483"/>
        <v>0</v>
      </c>
      <c r="AX208" s="58">
        <f t="shared" si="483"/>
        <v>0</v>
      </c>
      <c r="AY208" s="58">
        <f t="shared" si="483"/>
        <v>0</v>
      </c>
      <c r="AZ208" s="58">
        <f t="shared" si="483"/>
        <v>0</v>
      </c>
      <c r="BA208" s="375">
        <f t="shared" si="483"/>
        <v>24621.48</v>
      </c>
      <c r="BB208" s="342"/>
      <c r="BC208" s="342"/>
      <c r="BD208" s="259"/>
    </row>
    <row r="209" ht="16.5" customHeight="1" spans="1:56">
      <c r="A209" s="22"/>
      <c r="B209" s="22"/>
      <c r="C209" s="22"/>
      <c r="D209" s="34"/>
      <c r="E209" s="13"/>
      <c r="F209" s="13"/>
      <c r="G209" s="13"/>
      <c r="H209" s="13"/>
      <c r="I209" s="13"/>
      <c r="J209" s="13"/>
      <c r="K209" s="13"/>
      <c r="L209" s="13"/>
      <c r="M209" s="13"/>
      <c r="N209" s="13"/>
      <c r="O209" s="13"/>
      <c r="P209" s="13"/>
      <c r="Q209" s="13"/>
      <c r="R209" s="321" t="s">
        <v>3496</v>
      </c>
      <c r="S209" s="61">
        <f t="shared" ref="S209:AG209" si="484">S208/S202</f>
        <v>-0.587877409388869</v>
      </c>
      <c r="T209" s="61">
        <f t="shared" si="484"/>
        <v>0.464273807781832</v>
      </c>
      <c r="U209" s="322">
        <f t="shared" si="484"/>
        <v>0.464273807781832</v>
      </c>
      <c r="V209" s="61" t="e">
        <f t="shared" si="484"/>
        <v>#DIV/0!</v>
      </c>
      <c r="W209" s="61" t="e">
        <f t="shared" si="484"/>
        <v>#DIV/0!</v>
      </c>
      <c r="X209" s="61" t="e">
        <f t="shared" si="484"/>
        <v>#DIV/0!</v>
      </c>
      <c r="Y209" s="61" t="e">
        <f t="shared" si="484"/>
        <v>#DIV/0!</v>
      </c>
      <c r="Z209" s="61" t="e">
        <f t="shared" si="484"/>
        <v>#DIV/0!</v>
      </c>
      <c r="AA209" s="61" t="e">
        <f t="shared" si="484"/>
        <v>#DIV/0!</v>
      </c>
      <c r="AB209" s="61" t="e">
        <f t="shared" si="484"/>
        <v>#DIV/0!</v>
      </c>
      <c r="AC209" s="61" t="e">
        <f t="shared" si="484"/>
        <v>#DIV/0!</v>
      </c>
      <c r="AD209" s="61" t="e">
        <f t="shared" si="484"/>
        <v>#DIV/0!</v>
      </c>
      <c r="AE209" s="61" t="e">
        <f t="shared" si="484"/>
        <v>#DIV/0!</v>
      </c>
      <c r="AF209" s="61" t="e">
        <f t="shared" si="484"/>
        <v>#DIV/0!</v>
      </c>
      <c r="AG209" s="61" t="e">
        <f t="shared" si="484"/>
        <v>#DIV/0!</v>
      </c>
      <c r="AH209" s="82">
        <f>T209-S209</f>
        <v>1.0521512171707</v>
      </c>
      <c r="AI209" s="82" t="e">
        <f>AF209-S209</f>
        <v>#DIV/0!</v>
      </c>
      <c r="AJ209" s="13"/>
      <c r="AK209" s="13"/>
      <c r="AL209" s="13"/>
      <c r="AM209" s="13"/>
      <c r="AN209" s="13"/>
      <c r="AO209" s="61" t="e">
        <f t="shared" ref="AO209:BA209" si="485">AO208/AO202</f>
        <v>#DIV/0!</v>
      </c>
      <c r="AP209" s="61" t="e">
        <f t="shared" si="485"/>
        <v>#DIV/0!</v>
      </c>
      <c r="AQ209" s="61" t="e">
        <f t="shared" si="485"/>
        <v>#DIV/0!</v>
      </c>
      <c r="AR209" s="61" t="e">
        <f t="shared" si="485"/>
        <v>#DIV/0!</v>
      </c>
      <c r="AS209" s="61" t="e">
        <f t="shared" si="485"/>
        <v>#DIV/0!</v>
      </c>
      <c r="AT209" s="61" t="e">
        <f t="shared" si="485"/>
        <v>#DIV/0!</v>
      </c>
      <c r="AU209" s="61" t="e">
        <f t="shared" si="485"/>
        <v>#DIV/0!</v>
      </c>
      <c r="AV209" s="61" t="e">
        <f t="shared" si="485"/>
        <v>#DIV/0!</v>
      </c>
      <c r="AW209" s="61" t="e">
        <f t="shared" si="485"/>
        <v>#DIV/0!</v>
      </c>
      <c r="AX209" s="61" t="e">
        <f t="shared" si="485"/>
        <v>#DIV/0!</v>
      </c>
      <c r="AY209" s="61" t="e">
        <f t="shared" si="485"/>
        <v>#DIV/0!</v>
      </c>
      <c r="AZ209" s="61" t="e">
        <f t="shared" si="485"/>
        <v>#DIV/0!</v>
      </c>
      <c r="BA209" s="376">
        <f t="shared" si="485"/>
        <v>0.464273807781832</v>
      </c>
      <c r="BB209" s="342"/>
      <c r="BC209" s="342"/>
      <c r="BD209" s="259"/>
    </row>
    <row r="210" ht="16.5" customHeight="1" spans="1:56">
      <c r="A210" s="22"/>
      <c r="B210" s="22"/>
      <c r="C210" s="22"/>
      <c r="D210" s="34"/>
      <c r="E210" s="13"/>
      <c r="F210" s="13"/>
      <c r="G210" s="13"/>
      <c r="H210" s="13"/>
      <c r="I210" s="13"/>
      <c r="J210" s="13"/>
      <c r="K210" s="13"/>
      <c r="L210" s="13"/>
      <c r="M210" s="13"/>
      <c r="N210" s="13"/>
      <c r="O210" s="13"/>
      <c r="P210" s="13"/>
      <c r="Q210" s="13"/>
      <c r="R210" s="213" t="s">
        <v>3497</v>
      </c>
      <c r="S210" s="58">
        <f t="shared" ref="S210:AG210" si="486">S202-S207</f>
        <v>-34371.48</v>
      </c>
      <c r="T210" s="58">
        <f t="shared" si="486"/>
        <v>22940.51</v>
      </c>
      <c r="U210" s="58">
        <f t="shared" si="486"/>
        <v>23226.37</v>
      </c>
      <c r="V210" s="58">
        <f t="shared" si="486"/>
        <v>-285.86</v>
      </c>
      <c r="W210" s="58">
        <f t="shared" si="486"/>
        <v>-285.86</v>
      </c>
      <c r="X210" s="58">
        <f t="shared" si="486"/>
        <v>-285.86</v>
      </c>
      <c r="Y210" s="58">
        <f t="shared" si="486"/>
        <v>-285.86</v>
      </c>
      <c r="Z210" s="58">
        <f t="shared" si="486"/>
        <v>-285.86</v>
      </c>
      <c r="AA210" s="58">
        <f t="shared" si="486"/>
        <v>-285.86</v>
      </c>
      <c r="AB210" s="58">
        <f t="shared" si="486"/>
        <v>-285.86</v>
      </c>
      <c r="AC210" s="58">
        <f t="shared" si="486"/>
        <v>-285.86</v>
      </c>
      <c r="AD210" s="58">
        <f t="shared" si="486"/>
        <v>-285.86</v>
      </c>
      <c r="AE210" s="58">
        <f t="shared" si="486"/>
        <v>-285.86</v>
      </c>
      <c r="AF210" s="58">
        <f t="shared" si="486"/>
        <v>-54.28</v>
      </c>
      <c r="AG210" s="58">
        <f t="shared" si="486"/>
        <v>1246.14</v>
      </c>
      <c r="AH210" s="82"/>
      <c r="AI210" s="82"/>
      <c r="AJ210" s="13"/>
      <c r="AK210" s="13"/>
      <c r="AL210" s="13"/>
      <c r="AM210" s="13"/>
      <c r="AN210" s="13"/>
      <c r="AO210" s="58">
        <f t="shared" ref="AO210:BC210" si="487">AO202-AO207</f>
        <v>0</v>
      </c>
      <c r="AP210" s="58">
        <f t="shared" si="487"/>
        <v>0</v>
      </c>
      <c r="AQ210" s="58">
        <f t="shared" si="487"/>
        <v>0</v>
      </c>
      <c r="AR210" s="58">
        <f t="shared" si="487"/>
        <v>0</v>
      </c>
      <c r="AS210" s="58">
        <f t="shared" si="487"/>
        <v>0</v>
      </c>
      <c r="AT210" s="58">
        <f t="shared" si="487"/>
        <v>0</v>
      </c>
      <c r="AU210" s="58">
        <f t="shared" si="487"/>
        <v>0</v>
      </c>
      <c r="AV210" s="58">
        <f t="shared" si="487"/>
        <v>0</v>
      </c>
      <c r="AW210" s="58">
        <f t="shared" si="487"/>
        <v>0</v>
      </c>
      <c r="AX210" s="58">
        <f t="shared" si="487"/>
        <v>-231.58</v>
      </c>
      <c r="AY210" s="58">
        <f t="shared" si="487"/>
        <v>-1300.42</v>
      </c>
      <c r="AZ210" s="58">
        <f t="shared" si="487"/>
        <v>1246.14</v>
      </c>
      <c r="BA210" s="58">
        <f t="shared" si="487"/>
        <v>23226.37</v>
      </c>
      <c r="BB210" s="58">
        <f t="shared" si="487"/>
        <v>0</v>
      </c>
      <c r="BC210" s="58">
        <f t="shared" si="487"/>
        <v>0</v>
      </c>
      <c r="BD210" s="259"/>
    </row>
    <row r="211" ht="16.5" customHeight="1" spans="1:56">
      <c r="A211" s="24"/>
      <c r="B211" s="24"/>
      <c r="C211" s="24"/>
      <c r="D211" s="83"/>
      <c r="E211" s="14"/>
      <c r="F211" s="14"/>
      <c r="G211" s="14"/>
      <c r="H211" s="14"/>
      <c r="I211" s="14"/>
      <c r="J211" s="14"/>
      <c r="K211" s="14"/>
      <c r="L211" s="14"/>
      <c r="M211" s="14"/>
      <c r="N211" s="14"/>
      <c r="O211" s="14"/>
      <c r="P211" s="14"/>
      <c r="Q211" s="14"/>
      <c r="R211" s="321" t="s">
        <v>3498</v>
      </c>
      <c r="S211" s="61">
        <f t="shared" ref="S211:AG211" si="488">S210/S202</f>
        <v>-0.617521475778642</v>
      </c>
      <c r="T211" s="61">
        <f t="shared" si="488"/>
        <v>0.432576674113709</v>
      </c>
      <c r="U211" s="322">
        <f t="shared" si="488"/>
        <v>0.437966980086076</v>
      </c>
      <c r="V211" s="61" t="e">
        <f t="shared" si="488"/>
        <v>#DIV/0!</v>
      </c>
      <c r="W211" s="61" t="e">
        <f t="shared" si="488"/>
        <v>#DIV/0!</v>
      </c>
      <c r="X211" s="61" t="e">
        <f t="shared" si="488"/>
        <v>#DIV/0!</v>
      </c>
      <c r="Y211" s="61" t="e">
        <f t="shared" si="488"/>
        <v>#DIV/0!</v>
      </c>
      <c r="Z211" s="61" t="e">
        <f t="shared" si="488"/>
        <v>#DIV/0!</v>
      </c>
      <c r="AA211" s="61" t="e">
        <f t="shared" si="488"/>
        <v>#DIV/0!</v>
      </c>
      <c r="AB211" s="61" t="e">
        <f t="shared" si="488"/>
        <v>#DIV/0!</v>
      </c>
      <c r="AC211" s="61" t="e">
        <f t="shared" si="488"/>
        <v>#DIV/0!</v>
      </c>
      <c r="AD211" s="61" t="e">
        <f t="shared" si="488"/>
        <v>#DIV/0!</v>
      </c>
      <c r="AE211" s="61" t="e">
        <f t="shared" si="488"/>
        <v>#DIV/0!</v>
      </c>
      <c r="AF211" s="61" t="e">
        <f t="shared" si="488"/>
        <v>#DIV/0!</v>
      </c>
      <c r="AG211" s="61" t="e">
        <f t="shared" si="488"/>
        <v>#DIV/0!</v>
      </c>
      <c r="AH211" s="82">
        <f>T211-S211</f>
        <v>1.05009814989235</v>
      </c>
      <c r="AI211" s="82" t="e">
        <f>AF211-S211</f>
        <v>#DIV/0!</v>
      </c>
      <c r="AJ211" s="14"/>
      <c r="AK211" s="14"/>
      <c r="AL211" s="14"/>
      <c r="AM211" s="14"/>
      <c r="AN211" s="14"/>
      <c r="AO211" s="61" t="e">
        <f t="shared" ref="AO211:BA211" si="489">AO210/AO202</f>
        <v>#DIV/0!</v>
      </c>
      <c r="AP211" s="61" t="e">
        <f t="shared" si="489"/>
        <v>#DIV/0!</v>
      </c>
      <c r="AQ211" s="61" t="e">
        <f t="shared" si="489"/>
        <v>#DIV/0!</v>
      </c>
      <c r="AR211" s="61" t="e">
        <f t="shared" si="489"/>
        <v>#DIV/0!</v>
      </c>
      <c r="AS211" s="61" t="e">
        <f t="shared" si="489"/>
        <v>#DIV/0!</v>
      </c>
      <c r="AT211" s="61" t="e">
        <f t="shared" si="489"/>
        <v>#DIV/0!</v>
      </c>
      <c r="AU211" s="61" t="e">
        <f t="shared" si="489"/>
        <v>#DIV/0!</v>
      </c>
      <c r="AV211" s="61" t="e">
        <f t="shared" si="489"/>
        <v>#DIV/0!</v>
      </c>
      <c r="AW211" s="61" t="e">
        <f t="shared" si="489"/>
        <v>#DIV/0!</v>
      </c>
      <c r="AX211" s="61" t="e">
        <f t="shared" si="489"/>
        <v>#DIV/0!</v>
      </c>
      <c r="AY211" s="61" t="e">
        <f t="shared" si="489"/>
        <v>#DIV/0!</v>
      </c>
      <c r="AZ211" s="61" t="e">
        <f t="shared" si="489"/>
        <v>#DIV/0!</v>
      </c>
      <c r="BA211" s="376">
        <f t="shared" si="489"/>
        <v>0.437966980086076</v>
      </c>
      <c r="BB211" s="342"/>
      <c r="BC211" s="342"/>
      <c r="BD211" s="259"/>
    </row>
    <row r="212" ht="16.5" customHeight="1" spans="1:56">
      <c r="A212" s="32" t="s">
        <v>3581</v>
      </c>
      <c r="B212" s="353" t="s">
        <v>3582</v>
      </c>
      <c r="C212" s="27">
        <v>46089</v>
      </c>
      <c r="D212" s="354">
        <v>46430</v>
      </c>
      <c r="E212" s="304"/>
      <c r="F212" s="233">
        <v>1</v>
      </c>
      <c r="G212" s="28">
        <v>0.091</v>
      </c>
      <c r="H212" s="301"/>
      <c r="I212" s="301"/>
      <c r="J212" s="12"/>
      <c r="K212" s="12"/>
      <c r="L212" s="12"/>
      <c r="M212" s="301"/>
      <c r="N212" s="301"/>
      <c r="O212" s="301"/>
      <c r="P212" s="304"/>
      <c r="Q212" s="301"/>
      <c r="R212" s="318" t="s">
        <v>3486</v>
      </c>
      <c r="S212" s="58">
        <v>49056.6</v>
      </c>
      <c r="T212" s="58">
        <f t="shared" ref="T212:T216" si="490">SUM(AO212:BC212)</f>
        <v>1947.51</v>
      </c>
      <c r="U212" s="319">
        <f t="shared" ref="U212:U216" si="491">SUM(BA212:BC212)</f>
        <v>0</v>
      </c>
      <c r="V212" s="58">
        <f t="shared" ref="V212:V216" si="492">SUM(AO212:AZ212)</f>
        <v>1947.51</v>
      </c>
      <c r="W212" s="58">
        <f t="shared" ref="W212:W216" si="493">SUM(AP212:AZ212)</f>
        <v>1947.51</v>
      </c>
      <c r="X212" s="58">
        <f t="shared" ref="X212:X216" si="494">SUM(AQ212:AZ212)</f>
        <v>1947.51</v>
      </c>
      <c r="Y212" s="58">
        <f t="shared" ref="Y212:Y216" si="495">SUM(AR212:AZ212)</f>
        <v>1947.51</v>
      </c>
      <c r="Z212" s="58">
        <f t="shared" ref="Z212:Z216" si="496">SUM(AS212:AZ212)</f>
        <v>1947.51</v>
      </c>
      <c r="AA212" s="58">
        <f t="shared" ref="AA212:AA216" si="497">SUM(AT212:AZ212)</f>
        <v>1947.51</v>
      </c>
      <c r="AB212" s="58">
        <f t="shared" ref="AB212:AB216" si="498">SUM(AU212:AZ212)</f>
        <v>1947.51</v>
      </c>
      <c r="AC212" s="58">
        <f t="shared" ref="AC212:AC216" si="499">SUM(AV212:AZ212)</f>
        <v>1947.51</v>
      </c>
      <c r="AD212" s="58">
        <f t="shared" ref="AD212:AD216" si="500">SUM(AW212:AZ212)</f>
        <v>1947.51</v>
      </c>
      <c r="AE212" s="58">
        <f t="shared" ref="AE212:AE216" si="501">SUM(AX212:AZ212)</f>
        <v>1947.51</v>
      </c>
      <c r="AF212" s="58">
        <f t="shared" ref="AF212:AF216" si="502">SUM(AY212:AZ212)</f>
        <v>0</v>
      </c>
      <c r="AG212" s="58">
        <f t="shared" ref="AG212:AG216" si="503">SUM(AZ212:AZ212)</f>
        <v>0</v>
      </c>
      <c r="AH212" s="328"/>
      <c r="AI212" s="328"/>
      <c r="AJ212" s="359"/>
      <c r="AK212" s="28"/>
      <c r="AL212" s="93"/>
      <c r="AM212" s="93"/>
      <c r="AN212" s="360"/>
      <c r="AO212" s="58"/>
      <c r="AP212" s="58"/>
      <c r="AQ212" s="58"/>
      <c r="AR212" s="58"/>
      <c r="AS212" s="58"/>
      <c r="AT212" s="58"/>
      <c r="AU212" s="58"/>
      <c r="AV212" s="58"/>
      <c r="AW212" s="58"/>
      <c r="AX212" s="58">
        <v>1947.51</v>
      </c>
      <c r="AY212" s="58"/>
      <c r="AZ212" s="58"/>
      <c r="BA212" s="344"/>
      <c r="BB212" s="342"/>
      <c r="BC212" s="342"/>
      <c r="BD212" s="259"/>
    </row>
    <row r="213" ht="16.5" customHeight="1" spans="1:56">
      <c r="A213" s="22"/>
      <c r="B213" s="22"/>
      <c r="C213" s="22"/>
      <c r="D213" s="34"/>
      <c r="E213" s="13"/>
      <c r="F213" s="13"/>
      <c r="G213" s="13"/>
      <c r="H213" s="13"/>
      <c r="I213" s="13"/>
      <c r="J213" s="13"/>
      <c r="K213" s="13"/>
      <c r="L213" s="13"/>
      <c r="M213" s="13"/>
      <c r="N213" s="13"/>
      <c r="O213" s="13"/>
      <c r="P213" s="13"/>
      <c r="Q213" s="13"/>
      <c r="R213" s="213" t="s">
        <v>3490</v>
      </c>
      <c r="S213" s="58">
        <v>35471.48</v>
      </c>
      <c r="T213" s="58">
        <f t="shared" si="490"/>
        <v>1435.81</v>
      </c>
      <c r="U213" s="319">
        <f t="shared" si="491"/>
        <v>0</v>
      </c>
      <c r="V213" s="58">
        <f t="shared" si="492"/>
        <v>1435.81</v>
      </c>
      <c r="W213" s="58">
        <f t="shared" si="493"/>
        <v>1435.81</v>
      </c>
      <c r="X213" s="58">
        <f t="shared" si="494"/>
        <v>1435.81</v>
      </c>
      <c r="Y213" s="58">
        <f t="shared" si="495"/>
        <v>1435.81</v>
      </c>
      <c r="Z213" s="58">
        <f t="shared" si="496"/>
        <v>1435.81</v>
      </c>
      <c r="AA213" s="58">
        <f t="shared" si="497"/>
        <v>1435.81</v>
      </c>
      <c r="AB213" s="58">
        <f t="shared" si="498"/>
        <v>1435.81</v>
      </c>
      <c r="AC213" s="58">
        <f t="shared" si="499"/>
        <v>1435.81</v>
      </c>
      <c r="AD213" s="58">
        <f t="shared" si="500"/>
        <v>1435.81</v>
      </c>
      <c r="AE213" s="58">
        <f t="shared" si="501"/>
        <v>1435.81</v>
      </c>
      <c r="AF213" s="58">
        <f t="shared" si="502"/>
        <v>0</v>
      </c>
      <c r="AG213" s="58">
        <f t="shared" si="503"/>
        <v>0</v>
      </c>
      <c r="AH213" s="328"/>
      <c r="AI213" s="328"/>
      <c r="AJ213" s="13"/>
      <c r="AK213" s="13"/>
      <c r="AL213" s="13"/>
      <c r="AM213" s="13"/>
      <c r="AN213" s="13"/>
      <c r="AO213" s="58"/>
      <c r="AP213" s="58"/>
      <c r="AQ213" s="58"/>
      <c r="AR213" s="58"/>
      <c r="AS213" s="58"/>
      <c r="AT213" s="58"/>
      <c r="AU213" s="58"/>
      <c r="AV213" s="58"/>
      <c r="AW213" s="58"/>
      <c r="AX213" s="58">
        <v>1435.81</v>
      </c>
      <c r="AY213" s="58"/>
      <c r="AZ213" s="58"/>
      <c r="BA213" s="344"/>
      <c r="BB213" s="342"/>
      <c r="BC213" s="342"/>
      <c r="BD213" s="259"/>
    </row>
    <row r="214" ht="16.5" customHeight="1" spans="1:56">
      <c r="A214" s="22"/>
      <c r="B214" s="22"/>
      <c r="C214" s="22"/>
      <c r="D214" s="34"/>
      <c r="E214" s="13"/>
      <c r="F214" s="13"/>
      <c r="G214" s="13"/>
      <c r="H214" s="13"/>
      <c r="I214" s="13"/>
      <c r="J214" s="13"/>
      <c r="K214" s="13"/>
      <c r="L214" s="13"/>
      <c r="M214" s="13"/>
      <c r="N214" s="13"/>
      <c r="O214" s="13"/>
      <c r="P214" s="13"/>
      <c r="Q214" s="13"/>
      <c r="R214" s="213" t="s">
        <v>3491</v>
      </c>
      <c r="S214" s="58"/>
      <c r="T214" s="58">
        <f t="shared" si="490"/>
        <v>0</v>
      </c>
      <c r="U214" s="319">
        <f t="shared" si="491"/>
        <v>0</v>
      </c>
      <c r="V214" s="58"/>
      <c r="W214" s="58"/>
      <c r="X214" s="58"/>
      <c r="Y214" s="58"/>
      <c r="Z214" s="58"/>
      <c r="AA214" s="58"/>
      <c r="AB214" s="58"/>
      <c r="AC214" s="58"/>
      <c r="AD214" s="58"/>
      <c r="AE214" s="58"/>
      <c r="AF214" s="58"/>
      <c r="AG214" s="58"/>
      <c r="AH214" s="328"/>
      <c r="AI214" s="328"/>
      <c r="AJ214" s="13"/>
      <c r="AK214" s="13"/>
      <c r="AL214" s="13"/>
      <c r="AM214" s="13"/>
      <c r="AN214" s="13"/>
      <c r="AO214" s="58"/>
      <c r="AP214" s="58"/>
      <c r="AQ214" s="58"/>
      <c r="AR214" s="58"/>
      <c r="AS214" s="58"/>
      <c r="AT214" s="58"/>
      <c r="AU214" s="58"/>
      <c r="AV214" s="58"/>
      <c r="AW214" s="58"/>
      <c r="AX214" s="58">
        <v>0</v>
      </c>
      <c r="AY214" s="58"/>
      <c r="AZ214" s="58"/>
      <c r="BA214" s="344"/>
      <c r="BB214" s="342"/>
      <c r="BC214" s="342"/>
      <c r="BD214" s="259"/>
    </row>
    <row r="215" ht="16.5" customHeight="1" spans="1:56">
      <c r="A215" s="22"/>
      <c r="B215" s="22"/>
      <c r="C215" s="22"/>
      <c r="D215" s="34"/>
      <c r="E215" s="13"/>
      <c r="F215" s="13"/>
      <c r="G215" s="13"/>
      <c r="H215" s="13"/>
      <c r="I215" s="13"/>
      <c r="J215" s="13"/>
      <c r="K215" s="13"/>
      <c r="L215" s="13"/>
      <c r="M215" s="13"/>
      <c r="N215" s="13"/>
      <c r="O215" s="13"/>
      <c r="P215" s="13"/>
      <c r="Q215" s="13"/>
      <c r="R215" s="213" t="s">
        <v>3492</v>
      </c>
      <c r="S215" s="58">
        <v>3000</v>
      </c>
      <c r="T215" s="58">
        <f t="shared" si="490"/>
        <v>0</v>
      </c>
      <c r="U215" s="319">
        <f t="shared" si="491"/>
        <v>0</v>
      </c>
      <c r="V215" s="58">
        <f t="shared" si="492"/>
        <v>0</v>
      </c>
      <c r="W215" s="58">
        <f t="shared" si="493"/>
        <v>0</v>
      </c>
      <c r="X215" s="58">
        <f t="shared" si="494"/>
        <v>0</v>
      </c>
      <c r="Y215" s="58">
        <f t="shared" si="495"/>
        <v>0</v>
      </c>
      <c r="Z215" s="58">
        <f t="shared" si="496"/>
        <v>0</v>
      </c>
      <c r="AA215" s="58">
        <f t="shared" si="497"/>
        <v>0</v>
      </c>
      <c r="AB215" s="58">
        <f t="shared" si="498"/>
        <v>0</v>
      </c>
      <c r="AC215" s="58">
        <f t="shared" si="499"/>
        <v>0</v>
      </c>
      <c r="AD215" s="58">
        <f t="shared" si="500"/>
        <v>0</v>
      </c>
      <c r="AE215" s="58">
        <f t="shared" si="501"/>
        <v>0</v>
      </c>
      <c r="AF215" s="58">
        <f t="shared" si="502"/>
        <v>0</v>
      </c>
      <c r="AG215" s="58">
        <f t="shared" si="503"/>
        <v>0</v>
      </c>
      <c r="AH215" s="328"/>
      <c r="AI215" s="328"/>
      <c r="AJ215" s="13"/>
      <c r="AK215" s="13"/>
      <c r="AL215" s="13"/>
      <c r="AM215" s="13"/>
      <c r="AN215" s="13"/>
      <c r="AO215" s="58"/>
      <c r="AP215" s="58"/>
      <c r="AQ215" s="58"/>
      <c r="AR215" s="58"/>
      <c r="AS215" s="58"/>
      <c r="AT215" s="58"/>
      <c r="AU215" s="58"/>
      <c r="AV215" s="58"/>
      <c r="AW215" s="58"/>
      <c r="AX215" s="58">
        <v>0</v>
      </c>
      <c r="AY215" s="58"/>
      <c r="AZ215" s="58"/>
      <c r="BA215" s="344"/>
      <c r="BB215" s="342"/>
      <c r="BC215" s="342"/>
      <c r="BD215" s="259"/>
    </row>
    <row r="216" ht="16.5" customHeight="1" spans="1:56">
      <c r="A216" s="22"/>
      <c r="B216" s="22"/>
      <c r="C216" s="22"/>
      <c r="D216" s="34"/>
      <c r="E216" s="13"/>
      <c r="F216" s="13"/>
      <c r="G216" s="13"/>
      <c r="H216" s="13"/>
      <c r="I216" s="13"/>
      <c r="J216" s="13"/>
      <c r="K216" s="13"/>
      <c r="L216" s="13"/>
      <c r="M216" s="13"/>
      <c r="N216" s="13"/>
      <c r="O216" s="13"/>
      <c r="P216" s="13"/>
      <c r="Q216" s="13"/>
      <c r="R216" s="213" t="s">
        <v>3493</v>
      </c>
      <c r="S216" s="58">
        <v>0</v>
      </c>
      <c r="T216" s="58">
        <f t="shared" si="490"/>
        <v>0</v>
      </c>
      <c r="U216" s="319">
        <f t="shared" si="491"/>
        <v>0</v>
      </c>
      <c r="V216" s="58">
        <f t="shared" si="492"/>
        <v>0</v>
      </c>
      <c r="W216" s="58">
        <f t="shared" si="493"/>
        <v>0</v>
      </c>
      <c r="X216" s="58">
        <f t="shared" si="494"/>
        <v>0</v>
      </c>
      <c r="Y216" s="58">
        <f t="shared" si="495"/>
        <v>0</v>
      </c>
      <c r="Z216" s="58">
        <f t="shared" si="496"/>
        <v>0</v>
      </c>
      <c r="AA216" s="58">
        <f t="shared" si="497"/>
        <v>0</v>
      </c>
      <c r="AB216" s="58">
        <f t="shared" si="498"/>
        <v>0</v>
      </c>
      <c r="AC216" s="58">
        <f t="shared" si="499"/>
        <v>0</v>
      </c>
      <c r="AD216" s="58">
        <f t="shared" si="500"/>
        <v>0</v>
      </c>
      <c r="AE216" s="58">
        <f t="shared" si="501"/>
        <v>0</v>
      </c>
      <c r="AF216" s="58">
        <f t="shared" si="502"/>
        <v>0</v>
      </c>
      <c r="AG216" s="58">
        <f t="shared" si="503"/>
        <v>0</v>
      </c>
      <c r="AH216" s="328"/>
      <c r="AI216" s="328"/>
      <c r="AJ216" s="13"/>
      <c r="AK216" s="13"/>
      <c r="AL216" s="13"/>
      <c r="AM216" s="13"/>
      <c r="AN216" s="13"/>
      <c r="AO216" s="58"/>
      <c r="AP216" s="58"/>
      <c r="AQ216" s="58"/>
      <c r="AR216" s="58"/>
      <c r="AS216" s="58"/>
      <c r="AT216" s="58"/>
      <c r="AU216" s="58"/>
      <c r="AV216" s="58"/>
      <c r="AW216" s="58"/>
      <c r="AX216" s="58">
        <v>0</v>
      </c>
      <c r="AY216" s="58"/>
      <c r="AZ216" s="58"/>
      <c r="BA216" s="344"/>
      <c r="BB216" s="342"/>
      <c r="BC216" s="342"/>
      <c r="BD216" s="259"/>
    </row>
    <row r="217" ht="16.5" customHeight="1" spans="1:56">
      <c r="A217" s="22"/>
      <c r="B217" s="22"/>
      <c r="C217" s="22"/>
      <c r="D217" s="34"/>
      <c r="E217" s="13"/>
      <c r="F217" s="13"/>
      <c r="G217" s="13"/>
      <c r="H217" s="13"/>
      <c r="I217" s="13"/>
      <c r="J217" s="13"/>
      <c r="K217" s="13"/>
      <c r="L217" s="13"/>
      <c r="M217" s="13"/>
      <c r="N217" s="13"/>
      <c r="O217" s="13"/>
      <c r="P217" s="13"/>
      <c r="Q217" s="13"/>
      <c r="R217" s="213" t="s">
        <v>3494</v>
      </c>
      <c r="S217" s="214">
        <f t="shared" ref="S217:AG217" si="504">SUM(S213:S216)</f>
        <v>38471.48</v>
      </c>
      <c r="T217" s="214">
        <f t="shared" si="504"/>
        <v>1435.81</v>
      </c>
      <c r="U217" s="320">
        <f t="shared" si="504"/>
        <v>0</v>
      </c>
      <c r="V217" s="214">
        <f t="shared" si="504"/>
        <v>1435.81</v>
      </c>
      <c r="W217" s="214">
        <f t="shared" si="504"/>
        <v>1435.81</v>
      </c>
      <c r="X217" s="214">
        <f t="shared" si="504"/>
        <v>1435.81</v>
      </c>
      <c r="Y217" s="214">
        <f t="shared" si="504"/>
        <v>1435.81</v>
      </c>
      <c r="Z217" s="214">
        <f t="shared" si="504"/>
        <v>1435.81</v>
      </c>
      <c r="AA217" s="214">
        <f t="shared" si="504"/>
        <v>1435.81</v>
      </c>
      <c r="AB217" s="214">
        <f t="shared" si="504"/>
        <v>1435.81</v>
      </c>
      <c r="AC217" s="214">
        <f t="shared" si="504"/>
        <v>1435.81</v>
      </c>
      <c r="AD217" s="214">
        <f t="shared" si="504"/>
        <v>1435.81</v>
      </c>
      <c r="AE217" s="214">
        <f t="shared" si="504"/>
        <v>1435.81</v>
      </c>
      <c r="AF217" s="214">
        <f t="shared" si="504"/>
        <v>0</v>
      </c>
      <c r="AG217" s="214">
        <f t="shared" si="504"/>
        <v>0</v>
      </c>
      <c r="AH217" s="214">
        <f>SUM(AH213:AH216)</f>
        <v>0</v>
      </c>
      <c r="AI217" s="214">
        <f>SUM(AI213:AI216)</f>
        <v>0</v>
      </c>
      <c r="AJ217" s="13"/>
      <c r="AK217" s="13"/>
      <c r="AL217" s="13"/>
      <c r="AM217" s="13"/>
      <c r="AN217" s="13"/>
      <c r="AO217" s="214">
        <f t="shared" ref="AO217:AZ217" si="505">SUM(AO213:AO216)</f>
        <v>0</v>
      </c>
      <c r="AP217" s="214">
        <f t="shared" si="505"/>
        <v>0</v>
      </c>
      <c r="AQ217" s="214">
        <f t="shared" si="505"/>
        <v>0</v>
      </c>
      <c r="AR217" s="214">
        <f t="shared" si="505"/>
        <v>0</v>
      </c>
      <c r="AS217" s="214">
        <f t="shared" si="505"/>
        <v>0</v>
      </c>
      <c r="AT217" s="214">
        <f t="shared" si="505"/>
        <v>0</v>
      </c>
      <c r="AU217" s="214">
        <f t="shared" si="505"/>
        <v>0</v>
      </c>
      <c r="AV217" s="214">
        <f t="shared" si="505"/>
        <v>0</v>
      </c>
      <c r="AW217" s="214">
        <f t="shared" si="505"/>
        <v>0</v>
      </c>
      <c r="AX217" s="214">
        <f t="shared" si="505"/>
        <v>1435.81</v>
      </c>
      <c r="AY217" s="214">
        <f t="shared" si="505"/>
        <v>0</v>
      </c>
      <c r="AZ217" s="214">
        <f t="shared" si="505"/>
        <v>0</v>
      </c>
      <c r="BA217" s="320"/>
      <c r="BB217" s="320">
        <f>SUM(BB213:BB216)</f>
        <v>0</v>
      </c>
      <c r="BC217" s="320">
        <f>SUM(BC213:BC216)</f>
        <v>0</v>
      </c>
      <c r="BD217" s="345"/>
    </row>
    <row r="218" ht="16.5" customHeight="1" spans="1:56">
      <c r="A218" s="22"/>
      <c r="B218" s="22"/>
      <c r="C218" s="22"/>
      <c r="D218" s="34"/>
      <c r="E218" s="13"/>
      <c r="F218" s="13"/>
      <c r="G218" s="13"/>
      <c r="H218" s="13"/>
      <c r="I218" s="13"/>
      <c r="J218" s="13"/>
      <c r="K218" s="13"/>
      <c r="L218" s="13"/>
      <c r="M218" s="13"/>
      <c r="N218" s="13"/>
      <c r="O218" s="13"/>
      <c r="P218" s="13"/>
      <c r="Q218" s="13"/>
      <c r="R218" s="213" t="s">
        <v>3495</v>
      </c>
      <c r="S218" s="58">
        <f t="shared" ref="S218:AG218" si="506">S212-S213</f>
        <v>13585.12</v>
      </c>
      <c r="T218" s="58">
        <f t="shared" si="506"/>
        <v>511.7</v>
      </c>
      <c r="U218" s="319">
        <f t="shared" si="506"/>
        <v>0</v>
      </c>
      <c r="V218" s="58">
        <f t="shared" si="506"/>
        <v>511.7</v>
      </c>
      <c r="W218" s="58">
        <f t="shared" si="506"/>
        <v>511.7</v>
      </c>
      <c r="X218" s="58">
        <f t="shared" si="506"/>
        <v>511.7</v>
      </c>
      <c r="Y218" s="58">
        <f t="shared" si="506"/>
        <v>511.7</v>
      </c>
      <c r="Z218" s="58">
        <f t="shared" si="506"/>
        <v>511.7</v>
      </c>
      <c r="AA218" s="58">
        <f t="shared" si="506"/>
        <v>511.7</v>
      </c>
      <c r="AB218" s="58">
        <f t="shared" si="506"/>
        <v>511.7</v>
      </c>
      <c r="AC218" s="58">
        <f t="shared" si="506"/>
        <v>511.7</v>
      </c>
      <c r="AD218" s="58">
        <f t="shared" si="506"/>
        <v>511.7</v>
      </c>
      <c r="AE218" s="58">
        <f t="shared" si="506"/>
        <v>511.7</v>
      </c>
      <c r="AF218" s="58">
        <f t="shared" si="506"/>
        <v>0</v>
      </c>
      <c r="AG218" s="58">
        <f t="shared" si="506"/>
        <v>0</v>
      </c>
      <c r="AH218" s="332"/>
      <c r="AI218" s="332"/>
      <c r="AJ218" s="13"/>
      <c r="AK218" s="13"/>
      <c r="AL218" s="13"/>
      <c r="AM218" s="13"/>
      <c r="AN218" s="13"/>
      <c r="AO218" s="58">
        <f t="shared" ref="AO218:AZ218" si="507">AO212-AO213</f>
        <v>0</v>
      </c>
      <c r="AP218" s="58">
        <f t="shared" si="507"/>
        <v>0</v>
      </c>
      <c r="AQ218" s="58">
        <f t="shared" si="507"/>
        <v>0</v>
      </c>
      <c r="AR218" s="58">
        <f t="shared" si="507"/>
        <v>0</v>
      </c>
      <c r="AS218" s="58">
        <f t="shared" si="507"/>
        <v>0</v>
      </c>
      <c r="AT218" s="58">
        <f t="shared" si="507"/>
        <v>0</v>
      </c>
      <c r="AU218" s="58">
        <f t="shared" si="507"/>
        <v>0</v>
      </c>
      <c r="AV218" s="58">
        <f t="shared" si="507"/>
        <v>0</v>
      </c>
      <c r="AW218" s="58">
        <f t="shared" si="507"/>
        <v>0</v>
      </c>
      <c r="AX218" s="58">
        <f t="shared" si="507"/>
        <v>511.7</v>
      </c>
      <c r="AY218" s="58">
        <f t="shared" si="507"/>
        <v>0</v>
      </c>
      <c r="AZ218" s="58">
        <f t="shared" si="507"/>
        <v>0</v>
      </c>
      <c r="BA218" s="344"/>
      <c r="BB218" s="342"/>
      <c r="BC218" s="342"/>
      <c r="BD218" s="259"/>
    </row>
    <row r="219" ht="16.5" customHeight="1" spans="1:56">
      <c r="A219" s="22"/>
      <c r="B219" s="22"/>
      <c r="C219" s="22"/>
      <c r="D219" s="34"/>
      <c r="E219" s="13"/>
      <c r="F219" s="13"/>
      <c r="G219" s="13"/>
      <c r="H219" s="13"/>
      <c r="I219" s="13"/>
      <c r="J219" s="13"/>
      <c r="K219" s="13"/>
      <c r="L219" s="13"/>
      <c r="M219" s="13"/>
      <c r="N219" s="13"/>
      <c r="O219" s="13"/>
      <c r="P219" s="13"/>
      <c r="Q219" s="13"/>
      <c r="R219" s="321" t="s">
        <v>3496</v>
      </c>
      <c r="S219" s="61">
        <f t="shared" ref="S219:AG219" si="508">S218/S212</f>
        <v>0.276927467455959</v>
      </c>
      <c r="T219" s="61">
        <f t="shared" si="508"/>
        <v>0.262745762537805</v>
      </c>
      <c r="U219" s="322" t="e">
        <f t="shared" si="508"/>
        <v>#DIV/0!</v>
      </c>
      <c r="V219" s="61">
        <f t="shared" si="508"/>
        <v>0.262745762537805</v>
      </c>
      <c r="W219" s="61">
        <f t="shared" si="508"/>
        <v>0.262745762537805</v>
      </c>
      <c r="X219" s="61">
        <f t="shared" si="508"/>
        <v>0.262745762537805</v>
      </c>
      <c r="Y219" s="61">
        <f t="shared" si="508"/>
        <v>0.262745762537805</v>
      </c>
      <c r="Z219" s="61">
        <f t="shared" si="508"/>
        <v>0.262745762537805</v>
      </c>
      <c r="AA219" s="61">
        <f t="shared" si="508"/>
        <v>0.262745762537805</v>
      </c>
      <c r="AB219" s="61">
        <f t="shared" si="508"/>
        <v>0.262745762537805</v>
      </c>
      <c r="AC219" s="61">
        <f t="shared" si="508"/>
        <v>0.262745762537805</v>
      </c>
      <c r="AD219" s="61">
        <f t="shared" si="508"/>
        <v>0.262745762537805</v>
      </c>
      <c r="AE219" s="61">
        <f t="shared" si="508"/>
        <v>0.262745762537805</v>
      </c>
      <c r="AF219" s="61" t="e">
        <f t="shared" si="508"/>
        <v>#DIV/0!</v>
      </c>
      <c r="AG219" s="61" t="e">
        <f t="shared" si="508"/>
        <v>#DIV/0!</v>
      </c>
      <c r="AH219" s="82">
        <f>T219-S219</f>
        <v>-0.0141817049181543</v>
      </c>
      <c r="AI219" s="82" t="e">
        <f>AF219-S219</f>
        <v>#DIV/0!</v>
      </c>
      <c r="AJ219" s="13"/>
      <c r="AK219" s="13"/>
      <c r="AL219" s="13"/>
      <c r="AM219" s="13"/>
      <c r="AN219" s="13"/>
      <c r="AO219" s="61" t="e">
        <f t="shared" ref="AO219:AZ219" si="509">AO218/AO212</f>
        <v>#DIV/0!</v>
      </c>
      <c r="AP219" s="61" t="e">
        <f t="shared" si="509"/>
        <v>#DIV/0!</v>
      </c>
      <c r="AQ219" s="61" t="e">
        <f t="shared" si="509"/>
        <v>#DIV/0!</v>
      </c>
      <c r="AR219" s="61" t="e">
        <f t="shared" si="509"/>
        <v>#DIV/0!</v>
      </c>
      <c r="AS219" s="61" t="e">
        <f t="shared" si="509"/>
        <v>#DIV/0!</v>
      </c>
      <c r="AT219" s="61" t="e">
        <f t="shared" si="509"/>
        <v>#DIV/0!</v>
      </c>
      <c r="AU219" s="61" t="e">
        <f t="shared" si="509"/>
        <v>#DIV/0!</v>
      </c>
      <c r="AV219" s="61" t="e">
        <f t="shared" si="509"/>
        <v>#DIV/0!</v>
      </c>
      <c r="AW219" s="61" t="e">
        <f t="shared" si="509"/>
        <v>#DIV/0!</v>
      </c>
      <c r="AX219" s="61">
        <f t="shared" si="509"/>
        <v>0.262745762537805</v>
      </c>
      <c r="AY219" s="61" t="e">
        <f t="shared" si="509"/>
        <v>#DIV/0!</v>
      </c>
      <c r="AZ219" s="61" t="e">
        <f t="shared" si="509"/>
        <v>#DIV/0!</v>
      </c>
      <c r="BA219" s="322"/>
      <c r="BB219" s="342"/>
      <c r="BC219" s="342"/>
      <c r="BD219" s="259"/>
    </row>
    <row r="220" ht="16.5" customHeight="1" spans="1:56">
      <c r="A220" s="22"/>
      <c r="B220" s="22"/>
      <c r="C220" s="22"/>
      <c r="D220" s="34"/>
      <c r="E220" s="13"/>
      <c r="F220" s="13"/>
      <c r="G220" s="13"/>
      <c r="H220" s="13"/>
      <c r="I220" s="13"/>
      <c r="J220" s="13"/>
      <c r="K220" s="13"/>
      <c r="L220" s="13"/>
      <c r="M220" s="13"/>
      <c r="N220" s="13"/>
      <c r="O220" s="13"/>
      <c r="P220" s="13"/>
      <c r="Q220" s="13"/>
      <c r="R220" s="213" t="s">
        <v>3497</v>
      </c>
      <c r="S220" s="58">
        <f t="shared" ref="S220:AG220" si="510">S212-S217</f>
        <v>10585.12</v>
      </c>
      <c r="T220" s="58">
        <f t="shared" si="510"/>
        <v>511.7</v>
      </c>
      <c r="U220" s="58">
        <f t="shared" si="510"/>
        <v>0</v>
      </c>
      <c r="V220" s="58">
        <f t="shared" si="510"/>
        <v>511.7</v>
      </c>
      <c r="W220" s="58">
        <f t="shared" si="510"/>
        <v>511.7</v>
      </c>
      <c r="X220" s="58">
        <f t="shared" si="510"/>
        <v>511.7</v>
      </c>
      <c r="Y220" s="58">
        <f t="shared" si="510"/>
        <v>511.7</v>
      </c>
      <c r="Z220" s="58">
        <f t="shared" si="510"/>
        <v>511.7</v>
      </c>
      <c r="AA220" s="58">
        <f t="shared" si="510"/>
        <v>511.7</v>
      </c>
      <c r="AB220" s="58">
        <f t="shared" si="510"/>
        <v>511.7</v>
      </c>
      <c r="AC220" s="58">
        <f t="shared" si="510"/>
        <v>511.7</v>
      </c>
      <c r="AD220" s="58">
        <f t="shared" si="510"/>
        <v>511.7</v>
      </c>
      <c r="AE220" s="58">
        <f t="shared" si="510"/>
        <v>511.7</v>
      </c>
      <c r="AF220" s="58">
        <f t="shared" si="510"/>
        <v>0</v>
      </c>
      <c r="AG220" s="58">
        <f t="shared" si="510"/>
        <v>0</v>
      </c>
      <c r="AH220" s="82"/>
      <c r="AI220" s="82"/>
      <c r="AJ220" s="13"/>
      <c r="AK220" s="13"/>
      <c r="AL220" s="13"/>
      <c r="AM220" s="13"/>
      <c r="AN220" s="13"/>
      <c r="AO220" s="58">
        <f t="shared" ref="AO220:BC220" si="511">AO212-AO217</f>
        <v>0</v>
      </c>
      <c r="AP220" s="58">
        <f t="shared" si="511"/>
        <v>0</v>
      </c>
      <c r="AQ220" s="58">
        <f t="shared" si="511"/>
        <v>0</v>
      </c>
      <c r="AR220" s="58">
        <f t="shared" si="511"/>
        <v>0</v>
      </c>
      <c r="AS220" s="58">
        <f t="shared" si="511"/>
        <v>0</v>
      </c>
      <c r="AT220" s="58">
        <f t="shared" si="511"/>
        <v>0</v>
      </c>
      <c r="AU220" s="58">
        <f t="shared" si="511"/>
        <v>0</v>
      </c>
      <c r="AV220" s="58">
        <f t="shared" si="511"/>
        <v>0</v>
      </c>
      <c r="AW220" s="58">
        <f t="shared" si="511"/>
        <v>0</v>
      </c>
      <c r="AX220" s="58">
        <f t="shared" si="511"/>
        <v>511.7</v>
      </c>
      <c r="AY220" s="58">
        <f t="shared" si="511"/>
        <v>0</v>
      </c>
      <c r="AZ220" s="58">
        <f t="shared" si="511"/>
        <v>0</v>
      </c>
      <c r="BA220" s="58">
        <f t="shared" si="511"/>
        <v>0</v>
      </c>
      <c r="BB220" s="58">
        <f t="shared" si="511"/>
        <v>0</v>
      </c>
      <c r="BC220" s="58">
        <f t="shared" si="511"/>
        <v>0</v>
      </c>
      <c r="BD220" s="259"/>
    </row>
    <row r="221" ht="16.5" customHeight="1" spans="1:56">
      <c r="A221" s="24"/>
      <c r="B221" s="24"/>
      <c r="C221" s="24"/>
      <c r="D221" s="83"/>
      <c r="E221" s="14"/>
      <c r="F221" s="14"/>
      <c r="G221" s="14"/>
      <c r="H221" s="14"/>
      <c r="I221" s="14"/>
      <c r="J221" s="14"/>
      <c r="K221" s="14"/>
      <c r="L221" s="14"/>
      <c r="M221" s="14"/>
      <c r="N221" s="14"/>
      <c r="O221" s="14"/>
      <c r="P221" s="14"/>
      <c r="Q221" s="14"/>
      <c r="R221" s="321" t="s">
        <v>3498</v>
      </c>
      <c r="S221" s="61">
        <f t="shared" ref="S221:AG221" si="512">S220/S212</f>
        <v>0.21577361659797</v>
      </c>
      <c r="T221" s="61">
        <f t="shared" si="512"/>
        <v>0.262745762537805</v>
      </c>
      <c r="U221" s="322" t="e">
        <f t="shared" si="512"/>
        <v>#DIV/0!</v>
      </c>
      <c r="V221" s="61">
        <f t="shared" si="512"/>
        <v>0.262745762537805</v>
      </c>
      <c r="W221" s="61">
        <f t="shared" si="512"/>
        <v>0.262745762537805</v>
      </c>
      <c r="X221" s="61">
        <f t="shared" si="512"/>
        <v>0.262745762537805</v>
      </c>
      <c r="Y221" s="61">
        <f t="shared" si="512"/>
        <v>0.262745762537805</v>
      </c>
      <c r="Z221" s="61">
        <f t="shared" si="512"/>
        <v>0.262745762537805</v>
      </c>
      <c r="AA221" s="61">
        <f t="shared" si="512"/>
        <v>0.262745762537805</v>
      </c>
      <c r="AB221" s="61">
        <f t="shared" si="512"/>
        <v>0.262745762537805</v>
      </c>
      <c r="AC221" s="61">
        <f t="shared" si="512"/>
        <v>0.262745762537805</v>
      </c>
      <c r="AD221" s="61">
        <f t="shared" si="512"/>
        <v>0.262745762537805</v>
      </c>
      <c r="AE221" s="61">
        <f t="shared" si="512"/>
        <v>0.262745762537805</v>
      </c>
      <c r="AF221" s="61" t="e">
        <f t="shared" si="512"/>
        <v>#DIV/0!</v>
      </c>
      <c r="AG221" s="61" t="e">
        <f t="shared" si="512"/>
        <v>#DIV/0!</v>
      </c>
      <c r="AH221" s="82">
        <f>T221-S221</f>
        <v>0.0469721459398343</v>
      </c>
      <c r="AI221" s="82" t="e">
        <f>AF221-S221</f>
        <v>#DIV/0!</v>
      </c>
      <c r="AJ221" s="14"/>
      <c r="AK221" s="14"/>
      <c r="AL221" s="14"/>
      <c r="AM221" s="14"/>
      <c r="AN221" s="14"/>
      <c r="AO221" s="61" t="e">
        <f t="shared" ref="AO221:AZ221" si="513">AO220/AO212</f>
        <v>#DIV/0!</v>
      </c>
      <c r="AP221" s="61" t="e">
        <f t="shared" si="513"/>
        <v>#DIV/0!</v>
      </c>
      <c r="AQ221" s="61" t="e">
        <f t="shared" si="513"/>
        <v>#DIV/0!</v>
      </c>
      <c r="AR221" s="61" t="e">
        <f t="shared" si="513"/>
        <v>#DIV/0!</v>
      </c>
      <c r="AS221" s="61" t="e">
        <f t="shared" si="513"/>
        <v>#DIV/0!</v>
      </c>
      <c r="AT221" s="61" t="e">
        <f t="shared" si="513"/>
        <v>#DIV/0!</v>
      </c>
      <c r="AU221" s="61" t="e">
        <f t="shared" si="513"/>
        <v>#DIV/0!</v>
      </c>
      <c r="AV221" s="61" t="e">
        <f t="shared" si="513"/>
        <v>#DIV/0!</v>
      </c>
      <c r="AW221" s="61" t="e">
        <f t="shared" si="513"/>
        <v>#DIV/0!</v>
      </c>
      <c r="AX221" s="61">
        <f t="shared" si="513"/>
        <v>0.262745762537805</v>
      </c>
      <c r="AY221" s="61" t="e">
        <f t="shared" si="513"/>
        <v>#DIV/0!</v>
      </c>
      <c r="AZ221" s="61" t="e">
        <f t="shared" si="513"/>
        <v>#DIV/0!</v>
      </c>
      <c r="BA221" s="322"/>
      <c r="BB221" s="342"/>
      <c r="BC221" s="342"/>
      <c r="BD221" s="259"/>
    </row>
    <row r="222" ht="16.5" customHeight="1" spans="1:56">
      <c r="A222" s="32" t="s">
        <v>594</v>
      </c>
      <c r="B222" s="353" t="s">
        <v>3517</v>
      </c>
      <c r="C222" s="27">
        <v>45689</v>
      </c>
      <c r="D222" s="354">
        <v>46054</v>
      </c>
      <c r="E222" s="304"/>
      <c r="F222" s="233"/>
      <c r="G222" s="28">
        <v>0</v>
      </c>
      <c r="H222" s="301"/>
      <c r="I222" s="301"/>
      <c r="J222" s="12"/>
      <c r="K222" s="12"/>
      <c r="L222" s="12"/>
      <c r="M222" s="301"/>
      <c r="N222" s="301"/>
      <c r="O222" s="301"/>
      <c r="P222" s="304"/>
      <c r="Q222" s="301"/>
      <c r="R222" s="318" t="s">
        <v>3486</v>
      </c>
      <c r="S222" s="56">
        <v>171000</v>
      </c>
      <c r="T222" s="58">
        <f t="shared" ref="T222:T226" si="514">SUM(AO222:BC222)</f>
        <v>169714.43</v>
      </c>
      <c r="U222" s="319">
        <f t="shared" ref="U222:U226" si="515">SUM(BA222:BC222)</f>
        <v>158621.21</v>
      </c>
      <c r="V222" s="58">
        <f t="shared" ref="V222:V226" si="516">SUM(AO222:AZ222)</f>
        <v>11093.22</v>
      </c>
      <c r="W222" s="58">
        <f t="shared" ref="W222:W226" si="517">SUM(AP222:AZ222)</f>
        <v>11093.22</v>
      </c>
      <c r="X222" s="58">
        <f t="shared" ref="X222:X226" si="518">SUM(AQ222:AZ222)</f>
        <v>11093.22</v>
      </c>
      <c r="Y222" s="58">
        <f t="shared" ref="Y222:Y226" si="519">SUM(AR222:AZ222)</f>
        <v>11093.22</v>
      </c>
      <c r="Z222" s="58">
        <f t="shared" ref="Z222:Z226" si="520">SUM(AS222:AZ222)</f>
        <v>11093.22</v>
      </c>
      <c r="AA222" s="58">
        <f t="shared" ref="AA222:AA226" si="521">SUM(AT222:AZ222)</f>
        <v>11093.22</v>
      </c>
      <c r="AB222" s="58">
        <f t="shared" ref="AB222:AB226" si="522">SUM(AU222:AZ222)</f>
        <v>11093.22</v>
      </c>
      <c r="AC222" s="58">
        <f t="shared" ref="AC222:AC226" si="523">SUM(AV222:AZ222)</f>
        <v>11093.22</v>
      </c>
      <c r="AD222" s="58">
        <f t="shared" ref="AD222:AD226" si="524">SUM(AW222:AZ222)</f>
        <v>11093.22</v>
      </c>
      <c r="AE222" s="58">
        <f t="shared" ref="AE222:AE226" si="525">SUM(AX222:AZ222)</f>
        <v>11093.22</v>
      </c>
      <c r="AF222" s="58">
        <f t="shared" ref="AF222:AF226" si="526">SUM(AY222:AZ222)</f>
        <v>11093.22</v>
      </c>
      <c r="AG222" s="58">
        <f t="shared" ref="AG222:AG226" si="527">SUM(AZ222:AZ222)</f>
        <v>11093.22</v>
      </c>
      <c r="AH222" s="328"/>
      <c r="AI222" s="328"/>
      <c r="AJ222" s="359"/>
      <c r="AK222" s="28"/>
      <c r="AL222" s="93"/>
      <c r="AM222" s="93"/>
      <c r="AN222" s="360"/>
      <c r="AO222" s="58"/>
      <c r="AP222" s="58"/>
      <c r="AQ222" s="58"/>
      <c r="AR222" s="58"/>
      <c r="AS222" s="58"/>
      <c r="AT222" s="58"/>
      <c r="AU222" s="58"/>
      <c r="AV222" s="58"/>
      <c r="AW222" s="58"/>
      <c r="AX222" s="58">
        <v>0</v>
      </c>
      <c r="AY222" s="58">
        <v>0</v>
      </c>
      <c r="AZ222" s="369">
        <v>11093.22</v>
      </c>
      <c r="BA222" s="363">
        <v>158621.21</v>
      </c>
      <c r="BB222" s="342"/>
      <c r="BC222" s="342"/>
      <c r="BD222" s="259"/>
    </row>
    <row r="223" ht="16.5" customHeight="1" spans="1:56">
      <c r="A223" s="22"/>
      <c r="B223" s="22"/>
      <c r="C223" s="22"/>
      <c r="D223" s="34"/>
      <c r="E223" s="13"/>
      <c r="F223" s="13"/>
      <c r="G223" s="13"/>
      <c r="H223" s="13"/>
      <c r="I223" s="13"/>
      <c r="J223" s="13"/>
      <c r="K223" s="13"/>
      <c r="L223" s="13"/>
      <c r="M223" s="13"/>
      <c r="N223" s="13"/>
      <c r="O223" s="13"/>
      <c r="P223" s="13"/>
      <c r="Q223" s="13"/>
      <c r="R223" s="213" t="s">
        <v>3490</v>
      </c>
      <c r="S223" s="56">
        <v>132478.43</v>
      </c>
      <c r="T223" s="58">
        <f t="shared" si="514"/>
        <v>165541.57</v>
      </c>
      <c r="U223" s="319">
        <f t="shared" si="515"/>
        <v>165541.57</v>
      </c>
      <c r="V223" s="58">
        <f t="shared" si="516"/>
        <v>0</v>
      </c>
      <c r="W223" s="58">
        <f t="shared" si="517"/>
        <v>0</v>
      </c>
      <c r="X223" s="58">
        <f t="shared" si="518"/>
        <v>0</v>
      </c>
      <c r="Y223" s="58">
        <f t="shared" si="519"/>
        <v>0</v>
      </c>
      <c r="Z223" s="58">
        <f t="shared" si="520"/>
        <v>0</v>
      </c>
      <c r="AA223" s="58">
        <f t="shared" si="521"/>
        <v>0</v>
      </c>
      <c r="AB223" s="58">
        <f t="shared" si="522"/>
        <v>0</v>
      </c>
      <c r="AC223" s="58">
        <f t="shared" si="523"/>
        <v>0</v>
      </c>
      <c r="AD223" s="58">
        <f t="shared" si="524"/>
        <v>0</v>
      </c>
      <c r="AE223" s="58">
        <f t="shared" si="525"/>
        <v>0</v>
      </c>
      <c r="AF223" s="58">
        <f t="shared" si="526"/>
        <v>0</v>
      </c>
      <c r="AG223" s="58">
        <f t="shared" si="527"/>
        <v>0</v>
      </c>
      <c r="AH223" s="328"/>
      <c r="AI223" s="328"/>
      <c r="AJ223" s="13"/>
      <c r="AK223" s="13"/>
      <c r="AL223" s="13"/>
      <c r="AM223" s="13"/>
      <c r="AN223" s="13"/>
      <c r="AO223" s="58"/>
      <c r="AP223" s="58"/>
      <c r="AQ223" s="58"/>
      <c r="AR223" s="58"/>
      <c r="AS223" s="58"/>
      <c r="AT223" s="58"/>
      <c r="AU223" s="58"/>
      <c r="AV223" s="58"/>
      <c r="AW223" s="58"/>
      <c r="AX223" s="58">
        <v>0</v>
      </c>
      <c r="AY223" s="58">
        <v>0</v>
      </c>
      <c r="AZ223" s="369">
        <v>0</v>
      </c>
      <c r="BA223" s="363">
        <v>165541.57</v>
      </c>
      <c r="BB223" s="342"/>
      <c r="BC223" s="342"/>
      <c r="BD223" s="259"/>
    </row>
    <row r="224" ht="16.5" customHeight="1" spans="1:56">
      <c r="A224" s="22"/>
      <c r="B224" s="22"/>
      <c r="C224" s="22"/>
      <c r="D224" s="34"/>
      <c r="E224" s="13"/>
      <c r="F224" s="13"/>
      <c r="G224" s="13"/>
      <c r="H224" s="13"/>
      <c r="I224" s="13"/>
      <c r="J224" s="13"/>
      <c r="K224" s="13"/>
      <c r="L224" s="13"/>
      <c r="M224" s="13"/>
      <c r="N224" s="13"/>
      <c r="O224" s="13"/>
      <c r="P224" s="13"/>
      <c r="Q224" s="13"/>
      <c r="R224" s="213" t="s">
        <v>3491</v>
      </c>
      <c r="S224" s="56"/>
      <c r="T224" s="58">
        <f t="shared" si="514"/>
        <v>0</v>
      </c>
      <c r="U224" s="319">
        <f t="shared" si="515"/>
        <v>0</v>
      </c>
      <c r="V224" s="58"/>
      <c r="W224" s="58"/>
      <c r="X224" s="58"/>
      <c r="Y224" s="58"/>
      <c r="Z224" s="58"/>
      <c r="AA224" s="58"/>
      <c r="AB224" s="58"/>
      <c r="AC224" s="58"/>
      <c r="AD224" s="58"/>
      <c r="AE224" s="58"/>
      <c r="AF224" s="58"/>
      <c r="AG224" s="58"/>
      <c r="AH224" s="328"/>
      <c r="AI224" s="328"/>
      <c r="AJ224" s="13"/>
      <c r="AK224" s="13"/>
      <c r="AL224" s="13"/>
      <c r="AM224" s="13"/>
      <c r="AN224" s="13"/>
      <c r="AO224" s="58"/>
      <c r="AP224" s="58"/>
      <c r="AQ224" s="58"/>
      <c r="AR224" s="58"/>
      <c r="AS224" s="58"/>
      <c r="AT224" s="58"/>
      <c r="AU224" s="58"/>
      <c r="AV224" s="58"/>
      <c r="AW224" s="58"/>
      <c r="AX224" s="58">
        <v>0</v>
      </c>
      <c r="AY224" s="58"/>
      <c r="AZ224" s="369"/>
      <c r="BA224" s="363"/>
      <c r="BB224" s="342"/>
      <c r="BC224" s="342"/>
      <c r="BD224" s="259"/>
    </row>
    <row r="225" ht="16.5" customHeight="1" spans="1:56">
      <c r="A225" s="22"/>
      <c r="B225" s="22"/>
      <c r="C225" s="22"/>
      <c r="D225" s="34"/>
      <c r="E225" s="13"/>
      <c r="F225" s="13"/>
      <c r="G225" s="13"/>
      <c r="H225" s="13"/>
      <c r="I225" s="13"/>
      <c r="J225" s="13"/>
      <c r="K225" s="13"/>
      <c r="L225" s="13"/>
      <c r="M225" s="13"/>
      <c r="N225" s="13"/>
      <c r="O225" s="13"/>
      <c r="P225" s="13"/>
      <c r="Q225" s="13"/>
      <c r="R225" s="213" t="s">
        <v>3492</v>
      </c>
      <c r="S225" s="56">
        <v>0</v>
      </c>
      <c r="T225" s="58">
        <f t="shared" si="514"/>
        <v>0</v>
      </c>
      <c r="U225" s="319">
        <f t="shared" si="515"/>
        <v>0</v>
      </c>
      <c r="V225" s="58">
        <f t="shared" si="516"/>
        <v>0</v>
      </c>
      <c r="W225" s="58">
        <f t="shared" si="517"/>
        <v>0</v>
      </c>
      <c r="X225" s="58">
        <f t="shared" si="518"/>
        <v>0</v>
      </c>
      <c r="Y225" s="58">
        <f t="shared" si="519"/>
        <v>0</v>
      </c>
      <c r="Z225" s="58">
        <f t="shared" si="520"/>
        <v>0</v>
      </c>
      <c r="AA225" s="58">
        <f t="shared" si="521"/>
        <v>0</v>
      </c>
      <c r="AB225" s="58">
        <f t="shared" si="522"/>
        <v>0</v>
      </c>
      <c r="AC225" s="58">
        <f t="shared" si="523"/>
        <v>0</v>
      </c>
      <c r="AD225" s="58">
        <f t="shared" si="524"/>
        <v>0</v>
      </c>
      <c r="AE225" s="58">
        <f t="shared" si="525"/>
        <v>0</v>
      </c>
      <c r="AF225" s="58">
        <f t="shared" si="526"/>
        <v>0</v>
      </c>
      <c r="AG225" s="58">
        <f t="shared" si="527"/>
        <v>0</v>
      </c>
      <c r="AH225" s="328"/>
      <c r="AI225" s="328"/>
      <c r="AJ225" s="13"/>
      <c r="AK225" s="13"/>
      <c r="AL225" s="13"/>
      <c r="AM225" s="13"/>
      <c r="AN225" s="13"/>
      <c r="AO225" s="58"/>
      <c r="AP225" s="58"/>
      <c r="AQ225" s="58"/>
      <c r="AR225" s="58"/>
      <c r="AS225" s="58"/>
      <c r="AT225" s="58"/>
      <c r="AU225" s="58"/>
      <c r="AV225" s="58"/>
      <c r="AW225" s="58"/>
      <c r="AX225" s="58">
        <v>0</v>
      </c>
      <c r="AY225" s="58">
        <v>0</v>
      </c>
      <c r="AZ225" s="369">
        <v>0</v>
      </c>
      <c r="BA225" s="364">
        <v>0</v>
      </c>
      <c r="BB225" s="342"/>
      <c r="BC225" s="342"/>
      <c r="BD225" s="259"/>
    </row>
    <row r="226" ht="16.5" customHeight="1" spans="1:56">
      <c r="A226" s="22"/>
      <c r="B226" s="22"/>
      <c r="C226" s="22"/>
      <c r="D226" s="34"/>
      <c r="E226" s="13"/>
      <c r="F226" s="13"/>
      <c r="G226" s="13"/>
      <c r="H226" s="13"/>
      <c r="I226" s="13"/>
      <c r="J226" s="13"/>
      <c r="K226" s="13"/>
      <c r="L226" s="13"/>
      <c r="M226" s="13"/>
      <c r="N226" s="13"/>
      <c r="O226" s="13"/>
      <c r="P226" s="13"/>
      <c r="Q226" s="13"/>
      <c r="R226" s="213" t="s">
        <v>3493</v>
      </c>
      <c r="S226" s="56">
        <v>0</v>
      </c>
      <c r="T226" s="58">
        <f t="shared" si="514"/>
        <v>1704.43</v>
      </c>
      <c r="U226" s="319">
        <f t="shared" si="515"/>
        <v>1160.65</v>
      </c>
      <c r="V226" s="58">
        <f t="shared" si="516"/>
        <v>543.78</v>
      </c>
      <c r="W226" s="58">
        <f t="shared" si="517"/>
        <v>543.78</v>
      </c>
      <c r="X226" s="58">
        <f t="shared" si="518"/>
        <v>543.78</v>
      </c>
      <c r="Y226" s="58">
        <f t="shared" si="519"/>
        <v>543.78</v>
      </c>
      <c r="Z226" s="58">
        <f t="shared" si="520"/>
        <v>543.78</v>
      </c>
      <c r="AA226" s="58">
        <f t="shared" si="521"/>
        <v>543.78</v>
      </c>
      <c r="AB226" s="58">
        <f t="shared" si="522"/>
        <v>543.78</v>
      </c>
      <c r="AC226" s="58">
        <f t="shared" si="523"/>
        <v>543.78</v>
      </c>
      <c r="AD226" s="58">
        <f t="shared" si="524"/>
        <v>543.78</v>
      </c>
      <c r="AE226" s="58">
        <f t="shared" si="525"/>
        <v>543.78</v>
      </c>
      <c r="AF226" s="58">
        <f t="shared" si="526"/>
        <v>362.52</v>
      </c>
      <c r="AG226" s="58">
        <f t="shared" si="527"/>
        <v>181.26</v>
      </c>
      <c r="AH226" s="328"/>
      <c r="AI226" s="328"/>
      <c r="AJ226" s="13"/>
      <c r="AK226" s="13"/>
      <c r="AL226" s="13"/>
      <c r="AM226" s="13"/>
      <c r="AN226" s="13"/>
      <c r="AO226" s="58"/>
      <c r="AP226" s="58"/>
      <c r="AQ226" s="58"/>
      <c r="AR226" s="58"/>
      <c r="AS226" s="58"/>
      <c r="AT226" s="58"/>
      <c r="AU226" s="58"/>
      <c r="AV226" s="58"/>
      <c r="AW226" s="58"/>
      <c r="AX226" s="377">
        <v>181.26</v>
      </c>
      <c r="AY226" s="58">
        <v>181.26</v>
      </c>
      <c r="AZ226" s="369">
        <v>181.26</v>
      </c>
      <c r="BA226" s="365">
        <v>1160.65</v>
      </c>
      <c r="BB226" s="342"/>
      <c r="BC226" s="342"/>
      <c r="BD226" s="259"/>
    </row>
    <row r="227" ht="16.5" customHeight="1" spans="1:56">
      <c r="A227" s="22"/>
      <c r="B227" s="22"/>
      <c r="C227" s="22"/>
      <c r="D227" s="34"/>
      <c r="E227" s="13"/>
      <c r="F227" s="13"/>
      <c r="G227" s="13"/>
      <c r="H227" s="13"/>
      <c r="I227" s="13"/>
      <c r="J227" s="13"/>
      <c r="K227" s="13"/>
      <c r="L227" s="13"/>
      <c r="M227" s="13"/>
      <c r="N227" s="13"/>
      <c r="O227" s="13"/>
      <c r="P227" s="13"/>
      <c r="Q227" s="13"/>
      <c r="R227" s="213" t="s">
        <v>3494</v>
      </c>
      <c r="S227" s="214">
        <f t="shared" ref="S227:AG227" si="528">SUM(S223:S226)</f>
        <v>132478.43</v>
      </c>
      <c r="T227" s="214">
        <f t="shared" si="528"/>
        <v>167246</v>
      </c>
      <c r="U227" s="320">
        <f t="shared" si="528"/>
        <v>166702.22</v>
      </c>
      <c r="V227" s="214">
        <f t="shared" si="528"/>
        <v>543.78</v>
      </c>
      <c r="W227" s="214">
        <f t="shared" si="528"/>
        <v>543.78</v>
      </c>
      <c r="X227" s="214">
        <f t="shared" si="528"/>
        <v>543.78</v>
      </c>
      <c r="Y227" s="214">
        <f t="shared" si="528"/>
        <v>543.78</v>
      </c>
      <c r="Z227" s="214">
        <f t="shared" si="528"/>
        <v>543.78</v>
      </c>
      <c r="AA227" s="214">
        <f t="shared" si="528"/>
        <v>543.78</v>
      </c>
      <c r="AB227" s="214">
        <f t="shared" si="528"/>
        <v>543.78</v>
      </c>
      <c r="AC227" s="214">
        <f t="shared" si="528"/>
        <v>543.78</v>
      </c>
      <c r="AD227" s="214">
        <f t="shared" si="528"/>
        <v>543.78</v>
      </c>
      <c r="AE227" s="214">
        <f t="shared" si="528"/>
        <v>543.78</v>
      </c>
      <c r="AF227" s="214">
        <f t="shared" si="528"/>
        <v>362.52</v>
      </c>
      <c r="AG227" s="214">
        <f t="shared" si="528"/>
        <v>181.26</v>
      </c>
      <c r="AH227" s="214">
        <f>SUM(AH223:AH226)</f>
        <v>0</v>
      </c>
      <c r="AI227" s="214">
        <f>SUM(AI223:AI226)</f>
        <v>0</v>
      </c>
      <c r="AJ227" s="13"/>
      <c r="AK227" s="13"/>
      <c r="AL227" s="13"/>
      <c r="AM227" s="13"/>
      <c r="AN227" s="13"/>
      <c r="AO227" s="214">
        <f t="shared" ref="AO227:BC227" si="529">SUM(AO223:AO226)</f>
        <v>0</v>
      </c>
      <c r="AP227" s="214">
        <f t="shared" si="529"/>
        <v>0</v>
      </c>
      <c r="AQ227" s="214">
        <f t="shared" si="529"/>
        <v>0</v>
      </c>
      <c r="AR227" s="214">
        <f t="shared" si="529"/>
        <v>0</v>
      </c>
      <c r="AS227" s="214">
        <f t="shared" si="529"/>
        <v>0</v>
      </c>
      <c r="AT227" s="214">
        <f t="shared" si="529"/>
        <v>0</v>
      </c>
      <c r="AU227" s="214">
        <f t="shared" si="529"/>
        <v>0</v>
      </c>
      <c r="AV227" s="214">
        <f t="shared" si="529"/>
        <v>0</v>
      </c>
      <c r="AW227" s="214">
        <f t="shared" si="529"/>
        <v>0</v>
      </c>
      <c r="AX227" s="214">
        <f t="shared" si="529"/>
        <v>181.26</v>
      </c>
      <c r="AY227" s="214">
        <f t="shared" si="529"/>
        <v>181.26</v>
      </c>
      <c r="AZ227" s="214">
        <f t="shared" si="529"/>
        <v>181.26</v>
      </c>
      <c r="BA227" s="374">
        <f t="shared" si="529"/>
        <v>166702.22</v>
      </c>
      <c r="BB227" s="320">
        <f t="shared" si="529"/>
        <v>0</v>
      </c>
      <c r="BC227" s="320">
        <f t="shared" si="529"/>
        <v>0</v>
      </c>
      <c r="BD227" s="345"/>
    </row>
    <row r="228" ht="16.5" customHeight="1" spans="1:56">
      <c r="A228" s="22"/>
      <c r="B228" s="22"/>
      <c r="C228" s="22"/>
      <c r="D228" s="34"/>
      <c r="E228" s="13"/>
      <c r="F228" s="13"/>
      <c r="G228" s="13"/>
      <c r="H228" s="13"/>
      <c r="I228" s="13"/>
      <c r="J228" s="13"/>
      <c r="K228" s="13"/>
      <c r="L228" s="13"/>
      <c r="M228" s="13"/>
      <c r="N228" s="13"/>
      <c r="O228" s="13"/>
      <c r="P228" s="13"/>
      <c r="Q228" s="13"/>
      <c r="R228" s="213" t="s">
        <v>3495</v>
      </c>
      <c r="S228" s="58">
        <f t="shared" ref="S228:AG228" si="530">S222-S223</f>
        <v>38521.57</v>
      </c>
      <c r="T228" s="58">
        <f t="shared" si="530"/>
        <v>4172.85999999999</v>
      </c>
      <c r="U228" s="319">
        <f t="shared" si="530"/>
        <v>-6920.36000000002</v>
      </c>
      <c r="V228" s="58">
        <f t="shared" si="530"/>
        <v>11093.22</v>
      </c>
      <c r="W228" s="58">
        <f t="shared" si="530"/>
        <v>11093.22</v>
      </c>
      <c r="X228" s="58">
        <f t="shared" si="530"/>
        <v>11093.22</v>
      </c>
      <c r="Y228" s="58">
        <f t="shared" si="530"/>
        <v>11093.22</v>
      </c>
      <c r="Z228" s="58">
        <f t="shared" si="530"/>
        <v>11093.22</v>
      </c>
      <c r="AA228" s="58">
        <f t="shared" si="530"/>
        <v>11093.22</v>
      </c>
      <c r="AB228" s="58">
        <f t="shared" si="530"/>
        <v>11093.22</v>
      </c>
      <c r="AC228" s="58">
        <f t="shared" si="530"/>
        <v>11093.22</v>
      </c>
      <c r="AD228" s="58">
        <f t="shared" si="530"/>
        <v>11093.22</v>
      </c>
      <c r="AE228" s="58">
        <f t="shared" si="530"/>
        <v>11093.22</v>
      </c>
      <c r="AF228" s="58">
        <f t="shared" si="530"/>
        <v>11093.22</v>
      </c>
      <c r="AG228" s="58">
        <f t="shared" si="530"/>
        <v>11093.22</v>
      </c>
      <c r="AH228" s="332"/>
      <c r="AI228" s="332"/>
      <c r="AJ228" s="13"/>
      <c r="AK228" s="13"/>
      <c r="AL228" s="13"/>
      <c r="AM228" s="13"/>
      <c r="AN228" s="13"/>
      <c r="AO228" s="58">
        <f t="shared" ref="AO228:BA228" si="531">AO222-AO223</f>
        <v>0</v>
      </c>
      <c r="AP228" s="58">
        <f t="shared" si="531"/>
        <v>0</v>
      </c>
      <c r="AQ228" s="58">
        <f t="shared" si="531"/>
        <v>0</v>
      </c>
      <c r="AR228" s="58">
        <f t="shared" si="531"/>
        <v>0</v>
      </c>
      <c r="AS228" s="58">
        <f t="shared" si="531"/>
        <v>0</v>
      </c>
      <c r="AT228" s="58">
        <f t="shared" si="531"/>
        <v>0</v>
      </c>
      <c r="AU228" s="58">
        <f t="shared" si="531"/>
        <v>0</v>
      </c>
      <c r="AV228" s="58">
        <f t="shared" si="531"/>
        <v>0</v>
      </c>
      <c r="AW228" s="58">
        <f t="shared" si="531"/>
        <v>0</v>
      </c>
      <c r="AX228" s="58">
        <f t="shared" si="531"/>
        <v>0</v>
      </c>
      <c r="AY228" s="58">
        <f t="shared" si="531"/>
        <v>0</v>
      </c>
      <c r="AZ228" s="58">
        <f t="shared" si="531"/>
        <v>11093.22</v>
      </c>
      <c r="BA228" s="375">
        <f t="shared" si="531"/>
        <v>-6920.36000000002</v>
      </c>
      <c r="BB228" s="342"/>
      <c r="BC228" s="342"/>
      <c r="BD228" s="259"/>
    </row>
    <row r="229" ht="16.5" customHeight="1" spans="1:56">
      <c r="A229" s="22"/>
      <c r="B229" s="22"/>
      <c r="C229" s="22"/>
      <c r="D229" s="34"/>
      <c r="E229" s="13"/>
      <c r="F229" s="13"/>
      <c r="G229" s="13"/>
      <c r="H229" s="13"/>
      <c r="I229" s="13"/>
      <c r="J229" s="13"/>
      <c r="K229" s="13"/>
      <c r="L229" s="13"/>
      <c r="M229" s="13"/>
      <c r="N229" s="13"/>
      <c r="O229" s="13"/>
      <c r="P229" s="13"/>
      <c r="Q229" s="13"/>
      <c r="R229" s="321" t="s">
        <v>3496</v>
      </c>
      <c r="S229" s="61">
        <f t="shared" ref="S229:AG229" si="532">S228/S222</f>
        <v>0.225272339181287</v>
      </c>
      <c r="T229" s="61">
        <f t="shared" si="532"/>
        <v>0.0245875380190122</v>
      </c>
      <c r="U229" s="322">
        <f t="shared" si="532"/>
        <v>-0.0436282134022305</v>
      </c>
      <c r="V229" s="61">
        <f t="shared" si="532"/>
        <v>1</v>
      </c>
      <c r="W229" s="61">
        <f t="shared" si="532"/>
        <v>1</v>
      </c>
      <c r="X229" s="61">
        <f t="shared" si="532"/>
        <v>1</v>
      </c>
      <c r="Y229" s="61">
        <f t="shared" si="532"/>
        <v>1</v>
      </c>
      <c r="Z229" s="61">
        <f t="shared" si="532"/>
        <v>1</v>
      </c>
      <c r="AA229" s="61">
        <f t="shared" si="532"/>
        <v>1</v>
      </c>
      <c r="AB229" s="61">
        <f t="shared" si="532"/>
        <v>1</v>
      </c>
      <c r="AC229" s="61">
        <f t="shared" si="532"/>
        <v>1</v>
      </c>
      <c r="AD229" s="61">
        <f t="shared" si="532"/>
        <v>1</v>
      </c>
      <c r="AE229" s="61">
        <f t="shared" si="532"/>
        <v>1</v>
      </c>
      <c r="AF229" s="61">
        <f t="shared" si="532"/>
        <v>1</v>
      </c>
      <c r="AG229" s="61">
        <f t="shared" si="532"/>
        <v>1</v>
      </c>
      <c r="AH229" s="82">
        <f>T229-S229</f>
        <v>-0.200684801162274</v>
      </c>
      <c r="AI229" s="82">
        <f>AF229-S229</f>
        <v>0.774727660818713</v>
      </c>
      <c r="AJ229" s="13"/>
      <c r="AK229" s="13"/>
      <c r="AL229" s="13"/>
      <c r="AM229" s="13"/>
      <c r="AN229" s="13"/>
      <c r="AO229" s="61" t="e">
        <f t="shared" ref="AO229:BA229" si="533">AO228/AO222</f>
        <v>#DIV/0!</v>
      </c>
      <c r="AP229" s="61" t="e">
        <f t="shared" si="533"/>
        <v>#DIV/0!</v>
      </c>
      <c r="AQ229" s="61" t="e">
        <f t="shared" si="533"/>
        <v>#DIV/0!</v>
      </c>
      <c r="AR229" s="61" t="e">
        <f t="shared" si="533"/>
        <v>#DIV/0!</v>
      </c>
      <c r="AS229" s="61" t="e">
        <f t="shared" si="533"/>
        <v>#DIV/0!</v>
      </c>
      <c r="AT229" s="61" t="e">
        <f t="shared" si="533"/>
        <v>#DIV/0!</v>
      </c>
      <c r="AU229" s="61" t="e">
        <f t="shared" si="533"/>
        <v>#DIV/0!</v>
      </c>
      <c r="AV229" s="61" t="e">
        <f t="shared" si="533"/>
        <v>#DIV/0!</v>
      </c>
      <c r="AW229" s="61" t="e">
        <f t="shared" si="533"/>
        <v>#DIV/0!</v>
      </c>
      <c r="AX229" s="61" t="e">
        <f t="shared" si="533"/>
        <v>#DIV/0!</v>
      </c>
      <c r="AY229" s="61" t="e">
        <f t="shared" si="533"/>
        <v>#DIV/0!</v>
      </c>
      <c r="AZ229" s="61">
        <f t="shared" si="533"/>
        <v>1</v>
      </c>
      <c r="BA229" s="376">
        <f t="shared" si="533"/>
        <v>-0.0436282134022305</v>
      </c>
      <c r="BB229" s="342"/>
      <c r="BC229" s="342"/>
      <c r="BD229" s="259"/>
    </row>
    <row r="230" ht="16.5" customHeight="1" spans="1:56">
      <c r="A230" s="22"/>
      <c r="B230" s="22"/>
      <c r="C230" s="22"/>
      <c r="D230" s="34"/>
      <c r="E230" s="13"/>
      <c r="F230" s="13"/>
      <c r="G230" s="13"/>
      <c r="H230" s="13"/>
      <c r="I230" s="13"/>
      <c r="J230" s="13"/>
      <c r="K230" s="13"/>
      <c r="L230" s="13"/>
      <c r="M230" s="13"/>
      <c r="N230" s="13"/>
      <c r="O230" s="13"/>
      <c r="P230" s="13"/>
      <c r="Q230" s="13"/>
      <c r="R230" s="213" t="s">
        <v>3497</v>
      </c>
      <c r="S230" s="58">
        <f t="shared" ref="S230:AG230" si="534">S222-S227</f>
        <v>38521.57</v>
      </c>
      <c r="T230" s="58">
        <f t="shared" si="534"/>
        <v>2468.42999999999</v>
      </c>
      <c r="U230" s="58">
        <f t="shared" si="534"/>
        <v>-8081.01000000001</v>
      </c>
      <c r="V230" s="58">
        <f t="shared" si="534"/>
        <v>10549.44</v>
      </c>
      <c r="W230" s="58">
        <f t="shared" si="534"/>
        <v>10549.44</v>
      </c>
      <c r="X230" s="58">
        <f t="shared" si="534"/>
        <v>10549.44</v>
      </c>
      <c r="Y230" s="58">
        <f t="shared" si="534"/>
        <v>10549.44</v>
      </c>
      <c r="Z230" s="58">
        <f t="shared" si="534"/>
        <v>10549.44</v>
      </c>
      <c r="AA230" s="58">
        <f t="shared" si="534"/>
        <v>10549.44</v>
      </c>
      <c r="AB230" s="58">
        <f t="shared" si="534"/>
        <v>10549.44</v>
      </c>
      <c r="AC230" s="58">
        <f t="shared" si="534"/>
        <v>10549.44</v>
      </c>
      <c r="AD230" s="58">
        <f t="shared" si="534"/>
        <v>10549.44</v>
      </c>
      <c r="AE230" s="58">
        <f t="shared" si="534"/>
        <v>10549.44</v>
      </c>
      <c r="AF230" s="58">
        <f t="shared" si="534"/>
        <v>10730.7</v>
      </c>
      <c r="AG230" s="58">
        <f t="shared" si="534"/>
        <v>10911.96</v>
      </c>
      <c r="AH230" s="82"/>
      <c r="AI230" s="82"/>
      <c r="AJ230" s="13"/>
      <c r="AK230" s="13"/>
      <c r="AL230" s="13"/>
      <c r="AM230" s="13"/>
      <c r="AN230" s="13"/>
      <c r="AO230" s="58">
        <f t="shared" ref="AO230:BC230" si="535">AO222-AO227</f>
        <v>0</v>
      </c>
      <c r="AP230" s="58">
        <f t="shared" si="535"/>
        <v>0</v>
      </c>
      <c r="AQ230" s="58">
        <f t="shared" si="535"/>
        <v>0</v>
      </c>
      <c r="AR230" s="58">
        <f t="shared" si="535"/>
        <v>0</v>
      </c>
      <c r="AS230" s="58">
        <f t="shared" si="535"/>
        <v>0</v>
      </c>
      <c r="AT230" s="58">
        <f t="shared" si="535"/>
        <v>0</v>
      </c>
      <c r="AU230" s="58">
        <f t="shared" si="535"/>
        <v>0</v>
      </c>
      <c r="AV230" s="58">
        <f t="shared" si="535"/>
        <v>0</v>
      </c>
      <c r="AW230" s="58">
        <f t="shared" si="535"/>
        <v>0</v>
      </c>
      <c r="AX230" s="58">
        <f t="shared" si="535"/>
        <v>-181.26</v>
      </c>
      <c r="AY230" s="58">
        <f t="shared" si="535"/>
        <v>-181.26</v>
      </c>
      <c r="AZ230" s="58">
        <f t="shared" si="535"/>
        <v>10911.96</v>
      </c>
      <c r="BA230" s="58">
        <f t="shared" si="535"/>
        <v>-8081.01000000001</v>
      </c>
      <c r="BB230" s="58">
        <f t="shared" si="535"/>
        <v>0</v>
      </c>
      <c r="BC230" s="58">
        <f t="shared" si="535"/>
        <v>0</v>
      </c>
      <c r="BD230" s="259"/>
    </row>
    <row r="231" ht="16.5" customHeight="1" spans="1:56">
      <c r="A231" s="24"/>
      <c r="B231" s="24"/>
      <c r="C231" s="24"/>
      <c r="D231" s="83"/>
      <c r="E231" s="14"/>
      <c r="F231" s="14"/>
      <c r="G231" s="14"/>
      <c r="H231" s="14"/>
      <c r="I231" s="14"/>
      <c r="J231" s="14"/>
      <c r="K231" s="14"/>
      <c r="L231" s="14"/>
      <c r="M231" s="14"/>
      <c r="N231" s="14"/>
      <c r="O231" s="14"/>
      <c r="P231" s="14"/>
      <c r="Q231" s="14"/>
      <c r="R231" s="321" t="s">
        <v>3498</v>
      </c>
      <c r="S231" s="61">
        <f t="shared" ref="S231:AG231" si="536">S230/S222</f>
        <v>0.225272339181287</v>
      </c>
      <c r="T231" s="61">
        <f t="shared" si="536"/>
        <v>0.0145446088467551</v>
      </c>
      <c r="U231" s="322">
        <f t="shared" si="536"/>
        <v>-0.0509453307032522</v>
      </c>
      <c r="V231" s="61">
        <f t="shared" si="536"/>
        <v>0.950980869395901</v>
      </c>
      <c r="W231" s="61">
        <f t="shared" si="536"/>
        <v>0.950980869395901</v>
      </c>
      <c r="X231" s="61">
        <f t="shared" si="536"/>
        <v>0.950980869395901</v>
      </c>
      <c r="Y231" s="61">
        <f t="shared" si="536"/>
        <v>0.950980869395901</v>
      </c>
      <c r="Z231" s="61">
        <f t="shared" si="536"/>
        <v>0.950980869395901</v>
      </c>
      <c r="AA231" s="61">
        <f t="shared" si="536"/>
        <v>0.950980869395901</v>
      </c>
      <c r="AB231" s="61">
        <f t="shared" si="536"/>
        <v>0.950980869395901</v>
      </c>
      <c r="AC231" s="61">
        <f t="shared" si="536"/>
        <v>0.950980869395901</v>
      </c>
      <c r="AD231" s="61">
        <f t="shared" si="536"/>
        <v>0.950980869395901</v>
      </c>
      <c r="AE231" s="61">
        <f t="shared" si="536"/>
        <v>0.950980869395901</v>
      </c>
      <c r="AF231" s="61">
        <f t="shared" si="536"/>
        <v>0.967320579597267</v>
      </c>
      <c r="AG231" s="61">
        <f t="shared" si="536"/>
        <v>0.983660289798634</v>
      </c>
      <c r="AH231" s="82">
        <f>T231-S231</f>
        <v>-0.210727730334532</v>
      </c>
      <c r="AI231" s="82">
        <f>AF231-S231</f>
        <v>0.742048240415981</v>
      </c>
      <c r="AJ231" s="14"/>
      <c r="AK231" s="14"/>
      <c r="AL231" s="14"/>
      <c r="AM231" s="14"/>
      <c r="AN231" s="14"/>
      <c r="AO231" s="61" t="e">
        <f t="shared" ref="AO231:BA231" si="537">AO230/AO222</f>
        <v>#DIV/0!</v>
      </c>
      <c r="AP231" s="61" t="e">
        <f t="shared" si="537"/>
        <v>#DIV/0!</v>
      </c>
      <c r="AQ231" s="61" t="e">
        <f t="shared" si="537"/>
        <v>#DIV/0!</v>
      </c>
      <c r="AR231" s="61" t="e">
        <f t="shared" si="537"/>
        <v>#DIV/0!</v>
      </c>
      <c r="AS231" s="61" t="e">
        <f t="shared" si="537"/>
        <v>#DIV/0!</v>
      </c>
      <c r="AT231" s="61" t="e">
        <f t="shared" si="537"/>
        <v>#DIV/0!</v>
      </c>
      <c r="AU231" s="61" t="e">
        <f t="shared" si="537"/>
        <v>#DIV/0!</v>
      </c>
      <c r="AV231" s="61" t="e">
        <f t="shared" si="537"/>
        <v>#DIV/0!</v>
      </c>
      <c r="AW231" s="61" t="e">
        <f t="shared" si="537"/>
        <v>#DIV/0!</v>
      </c>
      <c r="AX231" s="61" t="e">
        <f t="shared" si="537"/>
        <v>#DIV/0!</v>
      </c>
      <c r="AY231" s="61" t="e">
        <f t="shared" si="537"/>
        <v>#DIV/0!</v>
      </c>
      <c r="AZ231" s="61">
        <f t="shared" si="537"/>
        <v>0.983660289798634</v>
      </c>
      <c r="BA231" s="376">
        <f t="shared" si="537"/>
        <v>-0.0509453307032522</v>
      </c>
      <c r="BB231" s="342"/>
      <c r="BC231" s="342"/>
      <c r="BD231" s="259"/>
    </row>
    <row r="232" ht="16.5" customHeight="1" spans="1:56">
      <c r="A232" s="370" t="s">
        <v>377</v>
      </c>
      <c r="B232" s="371" t="s">
        <v>3519</v>
      </c>
      <c r="C232" s="372">
        <v>46023</v>
      </c>
      <c r="D232" s="373">
        <v>46387</v>
      </c>
      <c r="E232" s="304"/>
      <c r="F232" s="233">
        <v>1</v>
      </c>
      <c r="G232" s="28"/>
      <c r="H232" s="301"/>
      <c r="I232" s="301"/>
      <c r="J232" s="12"/>
      <c r="K232" s="12"/>
      <c r="L232" s="12"/>
      <c r="M232" s="301"/>
      <c r="N232" s="301"/>
      <c r="O232" s="301"/>
      <c r="P232" s="304"/>
      <c r="Q232" s="301"/>
      <c r="R232" s="318" t="s">
        <v>3486</v>
      </c>
      <c r="S232" s="58">
        <v>943395.28</v>
      </c>
      <c r="T232" s="58">
        <f t="shared" ref="T232:T236" si="538">SUM(AO232:BC232)</f>
        <v>748093.21</v>
      </c>
      <c r="U232" s="319">
        <f t="shared" ref="U232:U236" si="539">SUM(BA232:BC232)</f>
        <v>695602.58</v>
      </c>
      <c r="V232" s="58">
        <f t="shared" ref="V232:V236" si="540">SUM(AO232:AZ232)</f>
        <v>52490.63</v>
      </c>
      <c r="W232" s="58">
        <f t="shared" ref="W232:W236" si="541">SUM(AP232:AZ232)</f>
        <v>52490.63</v>
      </c>
      <c r="X232" s="58">
        <f t="shared" ref="X232:X236" si="542">SUM(AQ232:AZ232)</f>
        <v>52490.63</v>
      </c>
      <c r="Y232" s="58">
        <f t="shared" ref="Y232:Y236" si="543">SUM(AR232:AZ232)</f>
        <v>52490.63</v>
      </c>
      <c r="Z232" s="58">
        <f t="shared" ref="Z232:Z236" si="544">SUM(AS232:AZ232)</f>
        <v>52490.63</v>
      </c>
      <c r="AA232" s="58">
        <f t="shared" ref="AA232:AA236" si="545">SUM(AT232:AZ232)</f>
        <v>52490.63</v>
      </c>
      <c r="AB232" s="58">
        <f t="shared" ref="AB232:AB236" si="546">SUM(AU232:AZ232)</f>
        <v>52490.63</v>
      </c>
      <c r="AC232" s="58">
        <f t="shared" ref="AC232:AC236" si="547">SUM(AV232:AZ232)</f>
        <v>52490.63</v>
      </c>
      <c r="AD232" s="58">
        <f t="shared" ref="AD232:AD236" si="548">SUM(AW232:AZ232)</f>
        <v>52490.63</v>
      </c>
      <c r="AE232" s="58">
        <f t="shared" ref="AE232:AE236" si="549">SUM(AX232:AZ232)</f>
        <v>52490.63</v>
      </c>
      <c r="AF232" s="58">
        <f t="shared" ref="AF232:AF236" si="550">SUM(AY232:AZ232)</f>
        <v>52490.63</v>
      </c>
      <c r="AG232" s="58">
        <f t="shared" ref="AG232:AG236" si="551">SUM(AZ232:AZ232)</f>
        <v>25405.36</v>
      </c>
      <c r="AH232" s="328"/>
      <c r="AI232" s="328"/>
      <c r="AJ232" s="359"/>
      <c r="AK232" s="28"/>
      <c r="AL232" s="93"/>
      <c r="AM232" s="93"/>
      <c r="AN232" s="360"/>
      <c r="AO232" s="58"/>
      <c r="AP232" s="58"/>
      <c r="AQ232" s="58"/>
      <c r="AR232" s="58"/>
      <c r="AS232" s="58"/>
      <c r="AT232" s="58"/>
      <c r="AU232" s="58"/>
      <c r="AV232" s="58"/>
      <c r="AW232" s="58"/>
      <c r="AX232" s="58"/>
      <c r="AY232" s="58">
        <v>27085.27</v>
      </c>
      <c r="AZ232" s="58">
        <v>25405.36</v>
      </c>
      <c r="BA232" s="344">
        <v>695602.58</v>
      </c>
      <c r="BB232" s="342"/>
      <c r="BC232" s="342"/>
      <c r="BD232" s="259"/>
    </row>
    <row r="233" ht="16.5" customHeight="1" spans="1:56">
      <c r="A233" s="21"/>
      <c r="B233" s="22"/>
      <c r="C233" s="22"/>
      <c r="D233" s="34"/>
      <c r="E233" s="13"/>
      <c r="F233" s="13"/>
      <c r="G233" s="13"/>
      <c r="H233" s="13"/>
      <c r="I233" s="13"/>
      <c r="J233" s="13"/>
      <c r="K233" s="13"/>
      <c r="L233" s="13"/>
      <c r="M233" s="13"/>
      <c r="N233" s="13"/>
      <c r="O233" s="13"/>
      <c r="P233" s="13"/>
      <c r="Q233" s="13"/>
      <c r="R233" s="213" t="s">
        <v>3490</v>
      </c>
      <c r="S233" s="58">
        <v>429046.61</v>
      </c>
      <c r="T233" s="58">
        <f t="shared" si="538"/>
        <v>652540.36</v>
      </c>
      <c r="U233" s="319">
        <f t="shared" si="539"/>
        <v>606286.52</v>
      </c>
      <c r="V233" s="58">
        <f t="shared" si="540"/>
        <v>46253.84</v>
      </c>
      <c r="W233" s="58">
        <f t="shared" si="541"/>
        <v>46253.84</v>
      </c>
      <c r="X233" s="58">
        <f t="shared" si="542"/>
        <v>46253.84</v>
      </c>
      <c r="Y233" s="58">
        <f t="shared" si="543"/>
        <v>46253.84</v>
      </c>
      <c r="Z233" s="58">
        <f t="shared" si="544"/>
        <v>46253.84</v>
      </c>
      <c r="AA233" s="58">
        <f t="shared" si="545"/>
        <v>46253.84</v>
      </c>
      <c r="AB233" s="58">
        <f t="shared" si="546"/>
        <v>46253.84</v>
      </c>
      <c r="AC233" s="58">
        <f t="shared" si="547"/>
        <v>46253.84</v>
      </c>
      <c r="AD233" s="58">
        <f t="shared" si="548"/>
        <v>46253.84</v>
      </c>
      <c r="AE233" s="58">
        <f t="shared" si="549"/>
        <v>46253.84</v>
      </c>
      <c r="AF233" s="58">
        <f t="shared" si="550"/>
        <v>46253.84</v>
      </c>
      <c r="AG233" s="58">
        <f t="shared" si="551"/>
        <v>29590.96</v>
      </c>
      <c r="AH233" s="328"/>
      <c r="AI233" s="328"/>
      <c r="AJ233" s="13"/>
      <c r="AK233" s="13"/>
      <c r="AL233" s="13"/>
      <c r="AM233" s="13"/>
      <c r="AN233" s="13"/>
      <c r="AO233" s="58"/>
      <c r="AP233" s="58"/>
      <c r="AQ233" s="58"/>
      <c r="AR233" s="58"/>
      <c r="AS233" s="58"/>
      <c r="AT233" s="58"/>
      <c r="AU233" s="58"/>
      <c r="AV233" s="58"/>
      <c r="AW233" s="58"/>
      <c r="AX233" s="58"/>
      <c r="AY233" s="58">
        <v>16662.88</v>
      </c>
      <c r="AZ233" s="58">
        <v>29590.96</v>
      </c>
      <c r="BA233" s="344">
        <v>606286.52</v>
      </c>
      <c r="BB233" s="342"/>
      <c r="BC233" s="342"/>
      <c r="BD233" s="259"/>
    </row>
    <row r="234" ht="16.5" customHeight="1" spans="1:56">
      <c r="A234" s="21"/>
      <c r="B234" s="22"/>
      <c r="C234" s="22"/>
      <c r="D234" s="34"/>
      <c r="E234" s="13"/>
      <c r="F234" s="13"/>
      <c r="G234" s="13"/>
      <c r="H234" s="13"/>
      <c r="I234" s="13"/>
      <c r="J234" s="13"/>
      <c r="K234" s="13"/>
      <c r="L234" s="13"/>
      <c r="M234" s="13"/>
      <c r="N234" s="13"/>
      <c r="O234" s="13"/>
      <c r="P234" s="13"/>
      <c r="Q234" s="13"/>
      <c r="R234" s="213" t="s">
        <v>3491</v>
      </c>
      <c r="S234" s="58"/>
      <c r="T234" s="58">
        <f t="shared" si="538"/>
        <v>0</v>
      </c>
      <c r="U234" s="319">
        <f t="shared" si="539"/>
        <v>0</v>
      </c>
      <c r="V234" s="58"/>
      <c r="W234" s="58"/>
      <c r="X234" s="58"/>
      <c r="Y234" s="58"/>
      <c r="Z234" s="58"/>
      <c r="AA234" s="58"/>
      <c r="AB234" s="58"/>
      <c r="AC234" s="58"/>
      <c r="AD234" s="58"/>
      <c r="AE234" s="58"/>
      <c r="AF234" s="58"/>
      <c r="AG234" s="58"/>
      <c r="AH234" s="328"/>
      <c r="AI234" s="328"/>
      <c r="AJ234" s="13"/>
      <c r="AK234" s="13"/>
      <c r="AL234" s="13"/>
      <c r="AM234" s="13"/>
      <c r="AN234" s="13"/>
      <c r="AO234" s="58"/>
      <c r="AP234" s="58"/>
      <c r="AQ234" s="58"/>
      <c r="AR234" s="58"/>
      <c r="AS234" s="58"/>
      <c r="AT234" s="58"/>
      <c r="AU234" s="58"/>
      <c r="AV234" s="58"/>
      <c r="AW234" s="58"/>
      <c r="AX234" s="58">
        <v>0</v>
      </c>
      <c r="AY234" s="58"/>
      <c r="AZ234" s="58"/>
      <c r="BA234" s="344"/>
      <c r="BB234" s="342"/>
      <c r="BC234" s="342"/>
      <c r="BD234" s="259"/>
    </row>
    <row r="235" ht="16.5" customHeight="1" spans="1:56">
      <c r="A235" s="21"/>
      <c r="B235" s="22"/>
      <c r="C235" s="22"/>
      <c r="D235" s="34"/>
      <c r="E235" s="13"/>
      <c r="F235" s="13"/>
      <c r="G235" s="13"/>
      <c r="H235" s="13"/>
      <c r="I235" s="13"/>
      <c r="J235" s="13"/>
      <c r="K235" s="13"/>
      <c r="L235" s="13"/>
      <c r="M235" s="13"/>
      <c r="N235" s="13"/>
      <c r="O235" s="13"/>
      <c r="P235" s="13"/>
      <c r="Q235" s="13"/>
      <c r="R235" s="213" t="s">
        <v>3492</v>
      </c>
      <c r="S235" s="58">
        <v>0</v>
      </c>
      <c r="T235" s="58">
        <f t="shared" si="538"/>
        <v>21435.43</v>
      </c>
      <c r="U235" s="319">
        <f t="shared" si="539"/>
        <v>21435.43</v>
      </c>
      <c r="V235" s="58">
        <f t="shared" si="540"/>
        <v>0</v>
      </c>
      <c r="W235" s="58">
        <f t="shared" si="541"/>
        <v>0</v>
      </c>
      <c r="X235" s="58">
        <f t="shared" si="542"/>
        <v>0</v>
      </c>
      <c r="Y235" s="58">
        <f t="shared" si="543"/>
        <v>0</v>
      </c>
      <c r="Z235" s="58">
        <f t="shared" si="544"/>
        <v>0</v>
      </c>
      <c r="AA235" s="58">
        <f t="shared" si="545"/>
        <v>0</v>
      </c>
      <c r="AB235" s="58">
        <f t="shared" si="546"/>
        <v>0</v>
      </c>
      <c r="AC235" s="58">
        <f t="shared" si="547"/>
        <v>0</v>
      </c>
      <c r="AD235" s="58">
        <f t="shared" si="548"/>
        <v>0</v>
      </c>
      <c r="AE235" s="58">
        <f t="shared" si="549"/>
        <v>0</v>
      </c>
      <c r="AF235" s="58">
        <f t="shared" si="550"/>
        <v>0</v>
      </c>
      <c r="AG235" s="58">
        <f t="shared" si="551"/>
        <v>0</v>
      </c>
      <c r="AH235" s="328"/>
      <c r="AI235" s="328"/>
      <c r="AJ235" s="13"/>
      <c r="AK235" s="13"/>
      <c r="AL235" s="13"/>
      <c r="AM235" s="13"/>
      <c r="AN235" s="13"/>
      <c r="AO235" s="58"/>
      <c r="AP235" s="58"/>
      <c r="AQ235" s="58"/>
      <c r="AR235" s="58"/>
      <c r="AS235" s="58"/>
      <c r="AT235" s="58"/>
      <c r="AU235" s="58"/>
      <c r="AV235" s="58"/>
      <c r="AW235" s="58"/>
      <c r="AX235" s="58"/>
      <c r="AY235" s="58">
        <v>0</v>
      </c>
      <c r="AZ235" s="58">
        <v>0</v>
      </c>
      <c r="BA235" s="344">
        <v>21435.43</v>
      </c>
      <c r="BB235" s="342"/>
      <c r="BC235" s="342"/>
      <c r="BD235" s="259"/>
    </row>
    <row r="236" ht="16.5" customHeight="1" spans="1:56">
      <c r="A236" s="21"/>
      <c r="B236" s="22"/>
      <c r="C236" s="22"/>
      <c r="D236" s="34"/>
      <c r="E236" s="13"/>
      <c r="F236" s="13"/>
      <c r="G236" s="13"/>
      <c r="H236" s="13"/>
      <c r="I236" s="13"/>
      <c r="J236" s="13"/>
      <c r="K236" s="13"/>
      <c r="L236" s="13"/>
      <c r="M236" s="13"/>
      <c r="N236" s="13"/>
      <c r="O236" s="13"/>
      <c r="P236" s="13"/>
      <c r="Q236" s="13"/>
      <c r="R236" s="213" t="s">
        <v>3493</v>
      </c>
      <c r="S236" s="58">
        <v>28503.73</v>
      </c>
      <c r="T236" s="58">
        <f t="shared" si="538"/>
        <v>6739.48</v>
      </c>
      <c r="U236" s="319">
        <f t="shared" si="539"/>
        <v>5170.41</v>
      </c>
      <c r="V236" s="58">
        <f t="shared" si="540"/>
        <v>1569.07</v>
      </c>
      <c r="W236" s="58">
        <f t="shared" si="541"/>
        <v>1569.07</v>
      </c>
      <c r="X236" s="58">
        <f t="shared" si="542"/>
        <v>1569.07</v>
      </c>
      <c r="Y236" s="58">
        <f t="shared" si="543"/>
        <v>1569.07</v>
      </c>
      <c r="Z236" s="58">
        <f t="shared" si="544"/>
        <v>1569.07</v>
      </c>
      <c r="AA236" s="58">
        <f t="shared" si="545"/>
        <v>1569.07</v>
      </c>
      <c r="AB236" s="58">
        <f t="shared" si="546"/>
        <v>1569.07</v>
      </c>
      <c r="AC236" s="58">
        <f t="shared" si="547"/>
        <v>1569.07</v>
      </c>
      <c r="AD236" s="58">
        <f t="shared" si="548"/>
        <v>1569.07</v>
      </c>
      <c r="AE236" s="58">
        <f t="shared" si="549"/>
        <v>1569.07</v>
      </c>
      <c r="AF236" s="58">
        <f t="shared" si="550"/>
        <v>1569.07</v>
      </c>
      <c r="AG236" s="58">
        <f t="shared" si="551"/>
        <v>770.07</v>
      </c>
      <c r="AH236" s="328"/>
      <c r="AI236" s="328"/>
      <c r="AJ236" s="13"/>
      <c r="AK236" s="13"/>
      <c r="AL236" s="13"/>
      <c r="AM236" s="13"/>
      <c r="AN236" s="13"/>
      <c r="AO236" s="58"/>
      <c r="AP236" s="58"/>
      <c r="AQ236" s="58"/>
      <c r="AR236" s="58"/>
      <c r="AS236" s="58"/>
      <c r="AT236" s="58"/>
      <c r="AU236" s="58"/>
      <c r="AV236" s="58"/>
      <c r="AW236" s="58"/>
      <c r="AX236" s="58"/>
      <c r="AY236" s="58">
        <v>799</v>
      </c>
      <c r="AZ236" s="58">
        <v>770.07</v>
      </c>
      <c r="BA236" s="344">
        <v>5170.41</v>
      </c>
      <c r="BB236" s="342"/>
      <c r="BC236" s="342"/>
      <c r="BD236" s="259"/>
    </row>
    <row r="237" ht="16.5" customHeight="1" spans="1:56">
      <c r="A237" s="21"/>
      <c r="B237" s="22"/>
      <c r="C237" s="22"/>
      <c r="D237" s="34"/>
      <c r="E237" s="13"/>
      <c r="F237" s="13"/>
      <c r="G237" s="13"/>
      <c r="H237" s="13"/>
      <c r="I237" s="13"/>
      <c r="J237" s="13"/>
      <c r="K237" s="13"/>
      <c r="L237" s="13"/>
      <c r="M237" s="13"/>
      <c r="N237" s="13"/>
      <c r="O237" s="13"/>
      <c r="P237" s="13"/>
      <c r="Q237" s="13"/>
      <c r="R237" s="213" t="s">
        <v>3494</v>
      </c>
      <c r="S237" s="214">
        <f t="shared" ref="S237:AG237" si="552">SUM(S233:S236)</f>
        <v>457550.34</v>
      </c>
      <c r="T237" s="214">
        <f t="shared" si="552"/>
        <v>680715.27</v>
      </c>
      <c r="U237" s="320">
        <f t="shared" si="552"/>
        <v>632892.36</v>
      </c>
      <c r="V237" s="214">
        <f t="shared" si="552"/>
        <v>47822.91</v>
      </c>
      <c r="W237" s="214">
        <f t="shared" si="552"/>
        <v>47822.91</v>
      </c>
      <c r="X237" s="214">
        <f t="shared" si="552"/>
        <v>47822.91</v>
      </c>
      <c r="Y237" s="214">
        <f t="shared" si="552"/>
        <v>47822.91</v>
      </c>
      <c r="Z237" s="214">
        <f t="shared" si="552"/>
        <v>47822.91</v>
      </c>
      <c r="AA237" s="214">
        <f t="shared" si="552"/>
        <v>47822.91</v>
      </c>
      <c r="AB237" s="214">
        <f t="shared" si="552"/>
        <v>47822.91</v>
      </c>
      <c r="AC237" s="214">
        <f t="shared" si="552"/>
        <v>47822.91</v>
      </c>
      <c r="AD237" s="214">
        <f t="shared" si="552"/>
        <v>47822.91</v>
      </c>
      <c r="AE237" s="214">
        <f t="shared" si="552"/>
        <v>47822.91</v>
      </c>
      <c r="AF237" s="214">
        <f t="shared" si="552"/>
        <v>47822.91</v>
      </c>
      <c r="AG237" s="214">
        <f t="shared" si="552"/>
        <v>30361.03</v>
      </c>
      <c r="AH237" s="214">
        <f>SUM(AH233:AH236)</f>
        <v>0</v>
      </c>
      <c r="AI237" s="214">
        <f>SUM(AI233:AI236)</f>
        <v>0</v>
      </c>
      <c r="AJ237" s="13"/>
      <c r="AK237" s="13"/>
      <c r="AL237" s="13"/>
      <c r="AM237" s="13"/>
      <c r="AN237" s="13"/>
      <c r="AO237" s="214">
        <f t="shared" ref="AO237:AZ237" si="553">SUM(AO233:AO236)</f>
        <v>0</v>
      </c>
      <c r="AP237" s="214">
        <f t="shared" si="553"/>
        <v>0</v>
      </c>
      <c r="AQ237" s="214">
        <f t="shared" si="553"/>
        <v>0</v>
      </c>
      <c r="AR237" s="214">
        <f t="shared" si="553"/>
        <v>0</v>
      </c>
      <c r="AS237" s="214">
        <f t="shared" si="553"/>
        <v>0</v>
      </c>
      <c r="AT237" s="214">
        <f t="shared" si="553"/>
        <v>0</v>
      </c>
      <c r="AU237" s="214">
        <f t="shared" si="553"/>
        <v>0</v>
      </c>
      <c r="AV237" s="214">
        <f t="shared" si="553"/>
        <v>0</v>
      </c>
      <c r="AW237" s="214">
        <f t="shared" si="553"/>
        <v>0</v>
      </c>
      <c r="AX237" s="214">
        <f t="shared" si="553"/>
        <v>0</v>
      </c>
      <c r="AY237" s="214">
        <f t="shared" si="553"/>
        <v>17461.88</v>
      </c>
      <c r="AZ237" s="214">
        <f t="shared" si="553"/>
        <v>30361.03</v>
      </c>
      <c r="BA237" s="320">
        <v>632892.36</v>
      </c>
      <c r="BB237" s="320">
        <f>SUM(BB233:BB236)</f>
        <v>0</v>
      </c>
      <c r="BC237" s="320">
        <f>SUM(BC233:BC236)</f>
        <v>0</v>
      </c>
      <c r="BD237" s="345"/>
    </row>
    <row r="238" ht="16.5" customHeight="1" spans="1:56">
      <c r="A238" s="21"/>
      <c r="B238" s="22"/>
      <c r="C238" s="22"/>
      <c r="D238" s="34"/>
      <c r="E238" s="13"/>
      <c r="F238" s="13"/>
      <c r="G238" s="13"/>
      <c r="H238" s="13"/>
      <c r="I238" s="13"/>
      <c r="J238" s="13"/>
      <c r="K238" s="13"/>
      <c r="L238" s="13"/>
      <c r="M238" s="13"/>
      <c r="N238" s="13"/>
      <c r="O238" s="13"/>
      <c r="P238" s="13"/>
      <c r="Q238" s="13"/>
      <c r="R238" s="213" t="s">
        <v>3495</v>
      </c>
      <c r="S238" s="58">
        <f t="shared" ref="S238:AG238" si="554">S232-S233</f>
        <v>514348.67</v>
      </c>
      <c r="T238" s="58">
        <f t="shared" si="554"/>
        <v>95552.85</v>
      </c>
      <c r="U238" s="319">
        <f t="shared" si="554"/>
        <v>89316.0599999999</v>
      </c>
      <c r="V238" s="58">
        <f t="shared" si="554"/>
        <v>6236.79000000001</v>
      </c>
      <c r="W238" s="58">
        <f t="shared" si="554"/>
        <v>6236.79000000001</v>
      </c>
      <c r="X238" s="58">
        <f t="shared" si="554"/>
        <v>6236.79000000001</v>
      </c>
      <c r="Y238" s="58">
        <f t="shared" si="554"/>
        <v>6236.79000000001</v>
      </c>
      <c r="Z238" s="58">
        <f t="shared" si="554"/>
        <v>6236.79000000001</v>
      </c>
      <c r="AA238" s="58">
        <f t="shared" si="554"/>
        <v>6236.79000000001</v>
      </c>
      <c r="AB238" s="58">
        <f t="shared" si="554"/>
        <v>6236.79000000001</v>
      </c>
      <c r="AC238" s="58">
        <f t="shared" si="554"/>
        <v>6236.79000000001</v>
      </c>
      <c r="AD238" s="58">
        <f t="shared" si="554"/>
        <v>6236.79000000001</v>
      </c>
      <c r="AE238" s="58">
        <f t="shared" si="554"/>
        <v>6236.79000000001</v>
      </c>
      <c r="AF238" s="58">
        <f t="shared" si="554"/>
        <v>6236.79000000001</v>
      </c>
      <c r="AG238" s="58">
        <f t="shared" si="554"/>
        <v>-4185.6</v>
      </c>
      <c r="AH238" s="332"/>
      <c r="AI238" s="332"/>
      <c r="AJ238" s="13"/>
      <c r="AK238" s="13"/>
      <c r="AL238" s="13"/>
      <c r="AM238" s="13"/>
      <c r="AN238" s="13"/>
      <c r="AO238" s="58">
        <f t="shared" ref="AO238:AZ238" si="555">AO232-AO233</f>
        <v>0</v>
      </c>
      <c r="AP238" s="58">
        <f t="shared" si="555"/>
        <v>0</v>
      </c>
      <c r="AQ238" s="58">
        <f t="shared" si="555"/>
        <v>0</v>
      </c>
      <c r="AR238" s="58">
        <f t="shared" si="555"/>
        <v>0</v>
      </c>
      <c r="AS238" s="58">
        <f t="shared" si="555"/>
        <v>0</v>
      </c>
      <c r="AT238" s="58">
        <f t="shared" si="555"/>
        <v>0</v>
      </c>
      <c r="AU238" s="58">
        <f t="shared" si="555"/>
        <v>0</v>
      </c>
      <c r="AV238" s="58">
        <f t="shared" si="555"/>
        <v>0</v>
      </c>
      <c r="AW238" s="58">
        <f t="shared" si="555"/>
        <v>0</v>
      </c>
      <c r="AX238" s="58">
        <f t="shared" si="555"/>
        <v>0</v>
      </c>
      <c r="AY238" s="58">
        <f t="shared" si="555"/>
        <v>10422.39</v>
      </c>
      <c r="AZ238" s="58">
        <f t="shared" si="555"/>
        <v>-4185.6</v>
      </c>
      <c r="BA238" s="344">
        <v>89316.0600000001</v>
      </c>
      <c r="BB238" s="342"/>
      <c r="BC238" s="342"/>
      <c r="BD238" s="259"/>
    </row>
    <row r="239" ht="16.5" customHeight="1" spans="1:56">
      <c r="A239" s="21"/>
      <c r="B239" s="22"/>
      <c r="C239" s="22"/>
      <c r="D239" s="34"/>
      <c r="E239" s="13"/>
      <c r="F239" s="13"/>
      <c r="G239" s="13"/>
      <c r="H239" s="13"/>
      <c r="I239" s="13"/>
      <c r="J239" s="13"/>
      <c r="K239" s="13"/>
      <c r="L239" s="13"/>
      <c r="M239" s="13"/>
      <c r="N239" s="13"/>
      <c r="O239" s="13"/>
      <c r="P239" s="13"/>
      <c r="Q239" s="13"/>
      <c r="R239" s="321" t="s">
        <v>3496</v>
      </c>
      <c r="S239" s="61">
        <f t="shared" ref="S239:AG239" si="556">S238/S232</f>
        <v>0.54521013715481</v>
      </c>
      <c r="T239" s="61">
        <f t="shared" si="556"/>
        <v>0.127728535325164</v>
      </c>
      <c r="U239" s="322">
        <f t="shared" si="556"/>
        <v>0.128400990117087</v>
      </c>
      <c r="V239" s="61">
        <f t="shared" si="556"/>
        <v>0.118817206042298</v>
      </c>
      <c r="W239" s="61">
        <f t="shared" si="556"/>
        <v>0.118817206042298</v>
      </c>
      <c r="X239" s="61">
        <f t="shared" si="556"/>
        <v>0.118817206042298</v>
      </c>
      <c r="Y239" s="61">
        <f t="shared" si="556"/>
        <v>0.118817206042298</v>
      </c>
      <c r="Z239" s="61">
        <f t="shared" si="556"/>
        <v>0.118817206042298</v>
      </c>
      <c r="AA239" s="61">
        <f t="shared" si="556"/>
        <v>0.118817206042298</v>
      </c>
      <c r="AB239" s="61">
        <f t="shared" si="556"/>
        <v>0.118817206042298</v>
      </c>
      <c r="AC239" s="61">
        <f t="shared" si="556"/>
        <v>0.118817206042298</v>
      </c>
      <c r="AD239" s="61">
        <f t="shared" si="556"/>
        <v>0.118817206042298</v>
      </c>
      <c r="AE239" s="61">
        <f t="shared" si="556"/>
        <v>0.118817206042298</v>
      </c>
      <c r="AF239" s="61">
        <f t="shared" si="556"/>
        <v>0.118817206042298</v>
      </c>
      <c r="AG239" s="61">
        <f t="shared" si="556"/>
        <v>-0.164752634877049</v>
      </c>
      <c r="AH239" s="82">
        <f>T239-S239</f>
        <v>-0.417481601829646</v>
      </c>
      <c r="AI239" s="82">
        <f>AF239-S239</f>
        <v>-0.426392931112512</v>
      </c>
      <c r="AJ239" s="13"/>
      <c r="AK239" s="13"/>
      <c r="AL239" s="13"/>
      <c r="AM239" s="13"/>
      <c r="AN239" s="13"/>
      <c r="AO239" s="61" t="e">
        <f t="shared" ref="AO239:AZ239" si="557">AO238/AO232</f>
        <v>#DIV/0!</v>
      </c>
      <c r="AP239" s="61" t="e">
        <f t="shared" si="557"/>
        <v>#DIV/0!</v>
      </c>
      <c r="AQ239" s="61" t="e">
        <f t="shared" si="557"/>
        <v>#DIV/0!</v>
      </c>
      <c r="AR239" s="61" t="e">
        <f t="shared" si="557"/>
        <v>#DIV/0!</v>
      </c>
      <c r="AS239" s="61" t="e">
        <f t="shared" si="557"/>
        <v>#DIV/0!</v>
      </c>
      <c r="AT239" s="61" t="e">
        <f t="shared" si="557"/>
        <v>#DIV/0!</v>
      </c>
      <c r="AU239" s="61" t="e">
        <f t="shared" si="557"/>
        <v>#DIV/0!</v>
      </c>
      <c r="AV239" s="61" t="e">
        <f t="shared" si="557"/>
        <v>#DIV/0!</v>
      </c>
      <c r="AW239" s="61" t="e">
        <f t="shared" si="557"/>
        <v>#DIV/0!</v>
      </c>
      <c r="AX239" s="61" t="e">
        <f t="shared" si="557"/>
        <v>#DIV/0!</v>
      </c>
      <c r="AY239" s="61">
        <f t="shared" si="557"/>
        <v>0.384799191590115</v>
      </c>
      <c r="AZ239" s="61">
        <f t="shared" si="557"/>
        <v>-0.164752634877049</v>
      </c>
      <c r="BA239" s="322">
        <v>0.128400990117087</v>
      </c>
      <c r="BB239" s="342"/>
      <c r="BC239" s="342"/>
      <c r="BD239" s="259"/>
    </row>
    <row r="240" ht="16.5" customHeight="1" spans="1:56">
      <c r="A240" s="21"/>
      <c r="B240" s="22"/>
      <c r="C240" s="22"/>
      <c r="D240" s="34"/>
      <c r="E240" s="13"/>
      <c r="F240" s="13"/>
      <c r="G240" s="13"/>
      <c r="H240" s="13"/>
      <c r="I240" s="13"/>
      <c r="J240" s="13"/>
      <c r="K240" s="13"/>
      <c r="L240" s="13"/>
      <c r="M240" s="13"/>
      <c r="N240" s="13"/>
      <c r="O240" s="13"/>
      <c r="P240" s="13"/>
      <c r="Q240" s="13"/>
      <c r="R240" s="213" t="s">
        <v>3497</v>
      </c>
      <c r="S240" s="58">
        <f t="shared" ref="S240:AG240" si="558">S232-S237</f>
        <v>485844.94</v>
      </c>
      <c r="T240" s="58">
        <f t="shared" si="558"/>
        <v>67377.9399999999</v>
      </c>
      <c r="U240" s="58">
        <f t="shared" si="558"/>
        <v>62710.2199999999</v>
      </c>
      <c r="V240" s="58">
        <f t="shared" si="558"/>
        <v>4667.72000000001</v>
      </c>
      <c r="W240" s="58">
        <f t="shared" si="558"/>
        <v>4667.72000000001</v>
      </c>
      <c r="X240" s="58">
        <f t="shared" si="558"/>
        <v>4667.72000000001</v>
      </c>
      <c r="Y240" s="58">
        <f t="shared" si="558"/>
        <v>4667.72000000001</v>
      </c>
      <c r="Z240" s="58">
        <f t="shared" si="558"/>
        <v>4667.72000000001</v>
      </c>
      <c r="AA240" s="58">
        <f t="shared" si="558"/>
        <v>4667.72000000001</v>
      </c>
      <c r="AB240" s="58">
        <f t="shared" si="558"/>
        <v>4667.72000000001</v>
      </c>
      <c r="AC240" s="58">
        <f t="shared" si="558"/>
        <v>4667.72000000001</v>
      </c>
      <c r="AD240" s="58">
        <f t="shared" si="558"/>
        <v>4667.72000000001</v>
      </c>
      <c r="AE240" s="58">
        <f t="shared" si="558"/>
        <v>4667.72000000001</v>
      </c>
      <c r="AF240" s="58">
        <f t="shared" si="558"/>
        <v>4667.72000000001</v>
      </c>
      <c r="AG240" s="58">
        <f t="shared" si="558"/>
        <v>-4955.67</v>
      </c>
      <c r="AH240" s="82"/>
      <c r="AI240" s="82"/>
      <c r="AJ240" s="13"/>
      <c r="AK240" s="13"/>
      <c r="AL240" s="13"/>
      <c r="AM240" s="13"/>
      <c r="AN240" s="13"/>
      <c r="AO240" s="58">
        <f t="shared" ref="AO240:BC240" si="559">AO232-AO237</f>
        <v>0</v>
      </c>
      <c r="AP240" s="58">
        <f t="shared" si="559"/>
        <v>0</v>
      </c>
      <c r="AQ240" s="58">
        <f t="shared" si="559"/>
        <v>0</v>
      </c>
      <c r="AR240" s="58">
        <f t="shared" si="559"/>
        <v>0</v>
      </c>
      <c r="AS240" s="58">
        <f t="shared" si="559"/>
        <v>0</v>
      </c>
      <c r="AT240" s="58">
        <f t="shared" si="559"/>
        <v>0</v>
      </c>
      <c r="AU240" s="58">
        <f t="shared" si="559"/>
        <v>0</v>
      </c>
      <c r="AV240" s="58">
        <f t="shared" si="559"/>
        <v>0</v>
      </c>
      <c r="AW240" s="58">
        <f t="shared" si="559"/>
        <v>0</v>
      </c>
      <c r="AX240" s="58">
        <f t="shared" si="559"/>
        <v>0</v>
      </c>
      <c r="AY240" s="58">
        <f t="shared" si="559"/>
        <v>9623.39</v>
      </c>
      <c r="AZ240" s="58">
        <f t="shared" si="559"/>
        <v>-4955.67</v>
      </c>
      <c r="BA240" s="58">
        <f t="shared" si="559"/>
        <v>62710.22</v>
      </c>
      <c r="BB240" s="58">
        <f t="shared" si="559"/>
        <v>0</v>
      </c>
      <c r="BC240" s="58">
        <f t="shared" si="559"/>
        <v>0</v>
      </c>
      <c r="BD240" s="259"/>
    </row>
    <row r="241" ht="16.5" customHeight="1" spans="1:56">
      <c r="A241" s="23"/>
      <c r="B241" s="177"/>
      <c r="C241" s="24"/>
      <c r="D241" s="83"/>
      <c r="E241" s="14"/>
      <c r="F241" s="14"/>
      <c r="G241" s="14"/>
      <c r="H241" s="14"/>
      <c r="I241" s="14"/>
      <c r="J241" s="14"/>
      <c r="K241" s="14"/>
      <c r="L241" s="14"/>
      <c r="M241" s="14"/>
      <c r="N241" s="14"/>
      <c r="O241" s="14"/>
      <c r="P241" s="14"/>
      <c r="Q241" s="14"/>
      <c r="R241" s="321" t="s">
        <v>3498</v>
      </c>
      <c r="S241" s="61">
        <f t="shared" ref="S241:AG241" si="560">S240/S232</f>
        <v>0.514996153044141</v>
      </c>
      <c r="T241" s="61">
        <f t="shared" si="560"/>
        <v>0.0900662365322096</v>
      </c>
      <c r="U241" s="322">
        <f t="shared" si="560"/>
        <v>0.0901523683250282</v>
      </c>
      <c r="V241" s="61">
        <f t="shared" si="560"/>
        <v>0.0889248233446619</v>
      </c>
      <c r="W241" s="61">
        <f t="shared" si="560"/>
        <v>0.0889248233446619</v>
      </c>
      <c r="X241" s="61">
        <f t="shared" si="560"/>
        <v>0.0889248233446619</v>
      </c>
      <c r="Y241" s="61">
        <f t="shared" si="560"/>
        <v>0.0889248233446619</v>
      </c>
      <c r="Z241" s="61">
        <f t="shared" si="560"/>
        <v>0.0889248233446619</v>
      </c>
      <c r="AA241" s="61">
        <f t="shared" si="560"/>
        <v>0.0889248233446619</v>
      </c>
      <c r="AB241" s="61">
        <f t="shared" si="560"/>
        <v>0.0889248233446619</v>
      </c>
      <c r="AC241" s="61">
        <f t="shared" si="560"/>
        <v>0.0889248233446619</v>
      </c>
      <c r="AD241" s="61">
        <f t="shared" si="560"/>
        <v>0.0889248233446619</v>
      </c>
      <c r="AE241" s="61">
        <f t="shared" si="560"/>
        <v>0.0889248233446619</v>
      </c>
      <c r="AF241" s="61">
        <f t="shared" si="560"/>
        <v>0.0889248233446619</v>
      </c>
      <c r="AG241" s="61">
        <f t="shared" si="560"/>
        <v>-0.19506395500792</v>
      </c>
      <c r="AH241" s="82">
        <f>T241-S241</f>
        <v>-0.424929916511931</v>
      </c>
      <c r="AI241" s="82">
        <f>AF241-S241</f>
        <v>-0.426071329699479</v>
      </c>
      <c r="AJ241" s="14"/>
      <c r="AK241" s="14"/>
      <c r="AL241" s="14"/>
      <c r="AM241" s="14"/>
      <c r="AN241" s="14"/>
      <c r="AO241" s="61" t="e">
        <f t="shared" ref="AO241:AZ241" si="561">AO240/AO232</f>
        <v>#DIV/0!</v>
      </c>
      <c r="AP241" s="61" t="e">
        <f t="shared" si="561"/>
        <v>#DIV/0!</v>
      </c>
      <c r="AQ241" s="61" t="e">
        <f t="shared" si="561"/>
        <v>#DIV/0!</v>
      </c>
      <c r="AR241" s="61" t="e">
        <f t="shared" si="561"/>
        <v>#DIV/0!</v>
      </c>
      <c r="AS241" s="61" t="e">
        <f t="shared" si="561"/>
        <v>#DIV/0!</v>
      </c>
      <c r="AT241" s="61" t="e">
        <f t="shared" si="561"/>
        <v>#DIV/0!</v>
      </c>
      <c r="AU241" s="61" t="e">
        <f t="shared" si="561"/>
        <v>#DIV/0!</v>
      </c>
      <c r="AV241" s="61" t="e">
        <f t="shared" si="561"/>
        <v>#DIV/0!</v>
      </c>
      <c r="AW241" s="61" t="e">
        <f t="shared" si="561"/>
        <v>#DIV/0!</v>
      </c>
      <c r="AX241" s="61" t="e">
        <f t="shared" si="561"/>
        <v>#DIV/0!</v>
      </c>
      <c r="AY241" s="61">
        <f t="shared" si="561"/>
        <v>0.355299762564671</v>
      </c>
      <c r="AZ241" s="61">
        <f t="shared" si="561"/>
        <v>-0.19506395500792</v>
      </c>
      <c r="BA241" s="322">
        <v>0.0901523683250284</v>
      </c>
      <c r="BB241" s="342"/>
      <c r="BC241" s="342"/>
      <c r="BD241" s="259"/>
    </row>
    <row r="242" ht="16.5" customHeight="1" spans="1:56">
      <c r="A242" s="300" t="s">
        <v>597</v>
      </c>
      <c r="B242" s="301" t="s">
        <v>3520</v>
      </c>
      <c r="C242" s="302">
        <v>45658</v>
      </c>
      <c r="D242" s="302">
        <v>46752</v>
      </c>
      <c r="E242" s="304"/>
      <c r="F242" s="233">
        <v>1</v>
      </c>
      <c r="G242" s="28">
        <v>45</v>
      </c>
      <c r="H242" s="301"/>
      <c r="I242" s="301"/>
      <c r="J242" s="12"/>
      <c r="K242" s="12"/>
      <c r="L242" s="12"/>
      <c r="M242" s="301"/>
      <c r="N242" s="301"/>
      <c r="O242" s="301"/>
      <c r="P242" s="304"/>
      <c r="Q242" s="301"/>
      <c r="R242" s="318" t="s">
        <v>3486</v>
      </c>
      <c r="S242" s="56">
        <v>26522100</v>
      </c>
      <c r="T242" s="58">
        <f t="shared" ref="T242:T246" si="562">SUM(AO242:BC242)</f>
        <v>9260843.86</v>
      </c>
      <c r="U242" s="319">
        <f t="shared" ref="U242:U246" si="563">SUM(BA242:BC242)</f>
        <v>6939544.64</v>
      </c>
      <c r="V242" s="58">
        <f t="shared" ref="V242:V246" si="564">SUM(AO242:AZ242)</f>
        <v>2321299.22</v>
      </c>
      <c r="W242" s="58">
        <f t="shared" ref="W242:W246" si="565">SUM(AP242:AZ242)</f>
        <v>2321299.22</v>
      </c>
      <c r="X242" s="58">
        <f t="shared" ref="X242:X246" si="566">SUM(AQ242:AZ242)</f>
        <v>2321299.22</v>
      </c>
      <c r="Y242" s="58">
        <f t="shared" ref="Y242:Y246" si="567">SUM(AR242:AZ242)</f>
        <v>2321299.22</v>
      </c>
      <c r="Z242" s="58">
        <f t="shared" ref="Z242:Z246" si="568">SUM(AS242:AZ242)</f>
        <v>2321299.22</v>
      </c>
      <c r="AA242" s="58">
        <f t="shared" ref="AA242:AA246" si="569">SUM(AT242:AZ242)</f>
        <v>2321299.22</v>
      </c>
      <c r="AB242" s="58">
        <f t="shared" ref="AB242:AB246" si="570">SUM(AU242:AZ242)</f>
        <v>2321299.22</v>
      </c>
      <c r="AC242" s="58">
        <f t="shared" ref="AC242:AC246" si="571">SUM(AV242:AZ242)</f>
        <v>2321299.22</v>
      </c>
      <c r="AD242" s="58">
        <f t="shared" ref="AD242:AD246" si="572">SUM(AW242:AZ242)</f>
        <v>2321299.22</v>
      </c>
      <c r="AE242" s="58">
        <f t="shared" ref="AE242:AE246" si="573">SUM(AX242:AZ242)</f>
        <v>2321299.22</v>
      </c>
      <c r="AF242" s="58">
        <f t="shared" ref="AF242:AF246" si="574">SUM(AY242:AZ242)</f>
        <v>1179712.72</v>
      </c>
      <c r="AG242" s="58">
        <f t="shared" ref="AG242:AG246" si="575">SUM(AZ242:AZ242)</f>
        <v>559584.92</v>
      </c>
      <c r="AH242" s="328"/>
      <c r="AI242" s="328"/>
      <c r="AJ242" s="359"/>
      <c r="AK242" s="28"/>
      <c r="AL242" s="93"/>
      <c r="AM242" s="93"/>
      <c r="AN242" s="360"/>
      <c r="AO242" s="58"/>
      <c r="AP242" s="58"/>
      <c r="AQ242" s="58"/>
      <c r="AR242" s="58"/>
      <c r="AS242" s="58"/>
      <c r="AT242" s="58"/>
      <c r="AU242" s="58"/>
      <c r="AV242" s="58"/>
      <c r="AW242" s="58"/>
      <c r="AX242" s="58">
        <v>1141586.5</v>
      </c>
      <c r="AY242" s="58">
        <v>620127.8</v>
      </c>
      <c r="AZ242" s="58">
        <v>559584.92</v>
      </c>
      <c r="BA242" s="344">
        <v>6939544.64</v>
      </c>
      <c r="BB242" s="342"/>
      <c r="BC242" s="342"/>
      <c r="BD242" s="259"/>
    </row>
    <row r="243" ht="16.5" customHeight="1" spans="1:56">
      <c r="A243" s="13"/>
      <c r="B243" s="13"/>
      <c r="C243" s="13"/>
      <c r="D243" s="13"/>
      <c r="E243" s="13"/>
      <c r="F243" s="13"/>
      <c r="G243" s="13"/>
      <c r="H243" s="13"/>
      <c r="I243" s="13"/>
      <c r="J243" s="13"/>
      <c r="K243" s="13"/>
      <c r="L243" s="13"/>
      <c r="M243" s="13"/>
      <c r="N243" s="13"/>
      <c r="O243" s="13"/>
      <c r="P243" s="13"/>
      <c r="Q243" s="13"/>
      <c r="R243" s="213" t="s">
        <v>3490</v>
      </c>
      <c r="S243" s="56">
        <f>20674440.84+1326105</f>
        <v>22000545.84</v>
      </c>
      <c r="T243" s="58">
        <f t="shared" si="562"/>
        <v>8037476.24</v>
      </c>
      <c r="U243" s="319">
        <f t="shared" si="563"/>
        <v>6063410.2</v>
      </c>
      <c r="V243" s="58">
        <f t="shared" si="564"/>
        <v>1974066.04</v>
      </c>
      <c r="W243" s="58">
        <f t="shared" si="565"/>
        <v>1974066.04</v>
      </c>
      <c r="X243" s="58">
        <f t="shared" si="566"/>
        <v>1974066.04</v>
      </c>
      <c r="Y243" s="58">
        <f t="shared" si="567"/>
        <v>1974066.04</v>
      </c>
      <c r="Z243" s="58">
        <f t="shared" si="568"/>
        <v>1974066.04</v>
      </c>
      <c r="AA243" s="58">
        <f t="shared" si="569"/>
        <v>1974066.04</v>
      </c>
      <c r="AB243" s="58">
        <f t="shared" si="570"/>
        <v>1974066.04</v>
      </c>
      <c r="AC243" s="58">
        <f t="shared" si="571"/>
        <v>1974066.04</v>
      </c>
      <c r="AD243" s="58">
        <f t="shared" si="572"/>
        <v>1974066.04</v>
      </c>
      <c r="AE243" s="58">
        <f t="shared" si="573"/>
        <v>1974066.04</v>
      </c>
      <c r="AF243" s="58">
        <f t="shared" si="574"/>
        <v>1367310.18</v>
      </c>
      <c r="AG243" s="58">
        <f t="shared" si="575"/>
        <v>544405.31</v>
      </c>
      <c r="AH243" s="328"/>
      <c r="AI243" s="328"/>
      <c r="AJ243" s="13"/>
      <c r="AK243" s="13"/>
      <c r="AL243" s="13"/>
      <c r="AM243" s="13"/>
      <c r="AN243" s="13"/>
      <c r="AO243" s="58"/>
      <c r="AP243" s="58"/>
      <c r="AQ243" s="58"/>
      <c r="AR243" s="58"/>
      <c r="AS243" s="58"/>
      <c r="AT243" s="58"/>
      <c r="AU243" s="58"/>
      <c r="AV243" s="58"/>
      <c r="AW243" s="58"/>
      <c r="AX243" s="58">
        <v>606755.86</v>
      </c>
      <c r="AY243" s="58">
        <v>822904.87</v>
      </c>
      <c r="AZ243" s="58">
        <v>544405.31</v>
      </c>
      <c r="BA243" s="344">
        <v>6063410.2</v>
      </c>
      <c r="BB243" s="342"/>
      <c r="BC243" s="342"/>
      <c r="BD243" s="259"/>
    </row>
    <row r="244" ht="16.5" customHeight="1" spans="1:56">
      <c r="A244" s="13"/>
      <c r="B244" s="13"/>
      <c r="C244" s="13"/>
      <c r="D244" s="13"/>
      <c r="E244" s="13"/>
      <c r="F244" s="13"/>
      <c r="G244" s="13"/>
      <c r="H244" s="13"/>
      <c r="I244" s="13"/>
      <c r="J244" s="13"/>
      <c r="K244" s="13"/>
      <c r="L244" s="13"/>
      <c r="M244" s="13"/>
      <c r="N244" s="13"/>
      <c r="O244" s="13"/>
      <c r="P244" s="13"/>
      <c r="Q244" s="13"/>
      <c r="R244" s="213" t="s">
        <v>3491</v>
      </c>
      <c r="S244" s="56"/>
      <c r="T244" s="58">
        <f t="shared" si="562"/>
        <v>0</v>
      </c>
      <c r="U244" s="319">
        <f t="shared" si="563"/>
        <v>0</v>
      </c>
      <c r="V244" s="58"/>
      <c r="W244" s="58"/>
      <c r="X244" s="58"/>
      <c r="Y244" s="58"/>
      <c r="Z244" s="58"/>
      <c r="AA244" s="58"/>
      <c r="AB244" s="58"/>
      <c r="AC244" s="58"/>
      <c r="AD244" s="58"/>
      <c r="AE244" s="58"/>
      <c r="AF244" s="58"/>
      <c r="AG244" s="58"/>
      <c r="AH244" s="328"/>
      <c r="AI244" s="328"/>
      <c r="AJ244" s="13"/>
      <c r="AK244" s="13"/>
      <c r="AL244" s="13"/>
      <c r="AM244" s="13"/>
      <c r="AN244" s="13"/>
      <c r="AO244" s="58"/>
      <c r="AP244" s="58"/>
      <c r="AQ244" s="58"/>
      <c r="AR244" s="58"/>
      <c r="AS244" s="58"/>
      <c r="AT244" s="58"/>
      <c r="AU244" s="58"/>
      <c r="AV244" s="58"/>
      <c r="AW244" s="58"/>
      <c r="AX244" s="58">
        <v>0</v>
      </c>
      <c r="AY244" s="58"/>
      <c r="AZ244" s="58"/>
      <c r="BA244" s="344"/>
      <c r="BB244" s="342"/>
      <c r="BC244" s="342"/>
      <c r="BD244" s="259"/>
    </row>
    <row r="245" ht="16.5" customHeight="1" spans="1:56">
      <c r="A245" s="13"/>
      <c r="B245" s="13"/>
      <c r="C245" s="13"/>
      <c r="D245" s="13"/>
      <c r="E245" s="13"/>
      <c r="F245" s="13"/>
      <c r="G245" s="13"/>
      <c r="H245" s="13"/>
      <c r="I245" s="13"/>
      <c r="J245" s="13"/>
      <c r="K245" s="13"/>
      <c r="L245" s="13"/>
      <c r="M245" s="13"/>
      <c r="N245" s="13"/>
      <c r="O245" s="13"/>
      <c r="P245" s="13"/>
      <c r="Q245" s="13"/>
      <c r="R245" s="213" t="s">
        <v>3492</v>
      </c>
      <c r="S245" s="56">
        <v>67000</v>
      </c>
      <c r="T245" s="58">
        <f t="shared" si="562"/>
        <v>0</v>
      </c>
      <c r="U245" s="319">
        <f t="shared" si="563"/>
        <v>0</v>
      </c>
      <c r="V245" s="58">
        <f t="shared" si="564"/>
        <v>0</v>
      </c>
      <c r="W245" s="58">
        <f t="shared" si="565"/>
        <v>0</v>
      </c>
      <c r="X245" s="58">
        <f t="shared" si="566"/>
        <v>0</v>
      </c>
      <c r="Y245" s="58">
        <f t="shared" si="567"/>
        <v>0</v>
      </c>
      <c r="Z245" s="58">
        <f t="shared" si="568"/>
        <v>0</v>
      </c>
      <c r="AA245" s="58">
        <f t="shared" si="569"/>
        <v>0</v>
      </c>
      <c r="AB245" s="58">
        <f t="shared" si="570"/>
        <v>0</v>
      </c>
      <c r="AC245" s="58">
        <f t="shared" si="571"/>
        <v>0</v>
      </c>
      <c r="AD245" s="58">
        <f t="shared" si="572"/>
        <v>0</v>
      </c>
      <c r="AE245" s="58">
        <f t="shared" si="573"/>
        <v>0</v>
      </c>
      <c r="AF245" s="58">
        <f t="shared" si="574"/>
        <v>0</v>
      </c>
      <c r="AG245" s="58">
        <f t="shared" si="575"/>
        <v>0</v>
      </c>
      <c r="AH245" s="328"/>
      <c r="AI245" s="328"/>
      <c r="AJ245" s="13"/>
      <c r="AK245" s="13"/>
      <c r="AL245" s="13"/>
      <c r="AM245" s="13"/>
      <c r="AN245" s="13"/>
      <c r="AO245" s="58"/>
      <c r="AP245" s="58"/>
      <c r="AQ245" s="58"/>
      <c r="AR245" s="58"/>
      <c r="AS245" s="58"/>
      <c r="AT245" s="58"/>
      <c r="AU245" s="58"/>
      <c r="AV245" s="58"/>
      <c r="AW245" s="58"/>
      <c r="AX245" s="58">
        <v>0</v>
      </c>
      <c r="AY245" s="58">
        <v>0</v>
      </c>
      <c r="AZ245" s="58">
        <v>0</v>
      </c>
      <c r="BA245" s="344">
        <v>0</v>
      </c>
      <c r="BB245" s="342"/>
      <c r="BC245" s="342"/>
      <c r="BD245" s="259"/>
    </row>
    <row r="246" ht="16.5" customHeight="1" spans="1:56">
      <c r="A246" s="13"/>
      <c r="B246" s="13"/>
      <c r="C246" s="13"/>
      <c r="D246" s="13"/>
      <c r="E246" s="13"/>
      <c r="F246" s="13"/>
      <c r="G246" s="13"/>
      <c r="H246" s="13"/>
      <c r="I246" s="13"/>
      <c r="J246" s="13"/>
      <c r="K246" s="13"/>
      <c r="L246" s="13"/>
      <c r="M246" s="13"/>
      <c r="N246" s="13"/>
      <c r="O246" s="13"/>
      <c r="P246" s="13"/>
      <c r="Q246" s="13"/>
      <c r="R246" s="213" t="s">
        <v>3493</v>
      </c>
      <c r="S246" s="56">
        <f>6300+6200</f>
        <v>12500</v>
      </c>
      <c r="T246" s="58">
        <f t="shared" si="562"/>
        <v>119902.57</v>
      </c>
      <c r="U246" s="319">
        <f t="shared" si="563"/>
        <v>108789.18</v>
      </c>
      <c r="V246" s="58">
        <f t="shared" si="564"/>
        <v>11113.39</v>
      </c>
      <c r="W246" s="58">
        <f t="shared" si="565"/>
        <v>11113.39</v>
      </c>
      <c r="X246" s="58">
        <f t="shared" si="566"/>
        <v>11113.39</v>
      </c>
      <c r="Y246" s="58">
        <f t="shared" si="567"/>
        <v>11113.39</v>
      </c>
      <c r="Z246" s="58">
        <f t="shared" si="568"/>
        <v>11113.39</v>
      </c>
      <c r="AA246" s="58">
        <f t="shared" si="569"/>
        <v>11113.39</v>
      </c>
      <c r="AB246" s="58">
        <f t="shared" si="570"/>
        <v>11113.39</v>
      </c>
      <c r="AC246" s="58">
        <f t="shared" si="571"/>
        <v>11113.39</v>
      </c>
      <c r="AD246" s="58">
        <f t="shared" si="572"/>
        <v>11113.39</v>
      </c>
      <c r="AE246" s="58">
        <f t="shared" si="573"/>
        <v>11113.39</v>
      </c>
      <c r="AF246" s="58">
        <f t="shared" si="574"/>
        <v>6975.33</v>
      </c>
      <c r="AG246" s="58">
        <f t="shared" si="575"/>
        <v>2256.52</v>
      </c>
      <c r="AH246" s="328"/>
      <c r="AI246" s="328"/>
      <c r="AJ246" s="13"/>
      <c r="AK246" s="13"/>
      <c r="AL246" s="13"/>
      <c r="AM246" s="13"/>
      <c r="AN246" s="13"/>
      <c r="AO246" s="58"/>
      <c r="AP246" s="58"/>
      <c r="AQ246" s="58"/>
      <c r="AR246" s="58"/>
      <c r="AS246" s="58"/>
      <c r="AT246" s="58"/>
      <c r="AU246" s="58"/>
      <c r="AV246" s="58"/>
      <c r="AW246" s="58"/>
      <c r="AX246" s="377">
        <v>4138.06</v>
      </c>
      <c r="AY246" s="58">
        <v>4718.81</v>
      </c>
      <c r="AZ246" s="58">
        <v>2256.52</v>
      </c>
      <c r="BA246" s="344">
        <v>108789.18</v>
      </c>
      <c r="BB246" s="342"/>
      <c r="BC246" s="342"/>
      <c r="BD246" s="259"/>
    </row>
    <row r="247" ht="16.5" customHeight="1" spans="1:56">
      <c r="A247" s="13"/>
      <c r="B247" s="13"/>
      <c r="C247" s="13"/>
      <c r="D247" s="13"/>
      <c r="E247" s="13"/>
      <c r="F247" s="13"/>
      <c r="G247" s="13"/>
      <c r="H247" s="13"/>
      <c r="I247" s="13"/>
      <c r="J247" s="13"/>
      <c r="K247" s="13"/>
      <c r="L247" s="13"/>
      <c r="M247" s="13"/>
      <c r="N247" s="13"/>
      <c r="O247" s="13"/>
      <c r="P247" s="13"/>
      <c r="Q247" s="13"/>
      <c r="R247" s="213" t="s">
        <v>3494</v>
      </c>
      <c r="S247" s="214">
        <f t="shared" ref="S247:AG247" si="576">SUM(S243:S246)</f>
        <v>22080045.84</v>
      </c>
      <c r="T247" s="214">
        <f t="shared" si="576"/>
        <v>8157378.81</v>
      </c>
      <c r="U247" s="320">
        <f t="shared" si="576"/>
        <v>6172199.38</v>
      </c>
      <c r="V247" s="214">
        <f t="shared" si="576"/>
        <v>1985179.43</v>
      </c>
      <c r="W247" s="214">
        <f t="shared" si="576"/>
        <v>1985179.43</v>
      </c>
      <c r="X247" s="214">
        <f t="shared" si="576"/>
        <v>1985179.43</v>
      </c>
      <c r="Y247" s="214">
        <f t="shared" si="576"/>
        <v>1985179.43</v>
      </c>
      <c r="Z247" s="214">
        <f t="shared" si="576"/>
        <v>1985179.43</v>
      </c>
      <c r="AA247" s="214">
        <f t="shared" si="576"/>
        <v>1985179.43</v>
      </c>
      <c r="AB247" s="214">
        <f t="shared" si="576"/>
        <v>1985179.43</v>
      </c>
      <c r="AC247" s="214">
        <f t="shared" si="576"/>
        <v>1985179.43</v>
      </c>
      <c r="AD247" s="214">
        <f t="shared" si="576"/>
        <v>1985179.43</v>
      </c>
      <c r="AE247" s="214">
        <f t="shared" si="576"/>
        <v>1985179.43</v>
      </c>
      <c r="AF247" s="214">
        <f t="shared" si="576"/>
        <v>1374285.51</v>
      </c>
      <c r="AG247" s="214">
        <f t="shared" si="576"/>
        <v>546661.83</v>
      </c>
      <c r="AH247" s="214">
        <f>SUM(AH243:AH246)</f>
        <v>0</v>
      </c>
      <c r="AI247" s="214">
        <f>SUM(AI243:AI246)</f>
        <v>0</v>
      </c>
      <c r="AJ247" s="13"/>
      <c r="AK247" s="13"/>
      <c r="AL247" s="13"/>
      <c r="AM247" s="13"/>
      <c r="AN247" s="13"/>
      <c r="AO247" s="214">
        <f t="shared" ref="AO247:BC247" si="577">SUM(AO243:AO246)</f>
        <v>0</v>
      </c>
      <c r="AP247" s="214">
        <f t="shared" si="577"/>
        <v>0</v>
      </c>
      <c r="AQ247" s="214">
        <f t="shared" si="577"/>
        <v>0</v>
      </c>
      <c r="AR247" s="214">
        <f t="shared" si="577"/>
        <v>0</v>
      </c>
      <c r="AS247" s="214">
        <f t="shared" si="577"/>
        <v>0</v>
      </c>
      <c r="AT247" s="214">
        <f t="shared" si="577"/>
        <v>0</v>
      </c>
      <c r="AU247" s="214">
        <f t="shared" si="577"/>
        <v>0</v>
      </c>
      <c r="AV247" s="214">
        <f t="shared" si="577"/>
        <v>0</v>
      </c>
      <c r="AW247" s="214">
        <f t="shared" si="577"/>
        <v>0</v>
      </c>
      <c r="AX247" s="214">
        <f t="shared" si="577"/>
        <v>610893.92</v>
      </c>
      <c r="AY247" s="214">
        <f t="shared" si="577"/>
        <v>827623.68</v>
      </c>
      <c r="AZ247" s="214">
        <f t="shared" si="577"/>
        <v>546661.83</v>
      </c>
      <c r="BA247" s="374">
        <f t="shared" si="577"/>
        <v>6172199.38</v>
      </c>
      <c r="BB247" s="320">
        <f t="shared" si="577"/>
        <v>0</v>
      </c>
      <c r="BC247" s="320">
        <f t="shared" si="577"/>
        <v>0</v>
      </c>
      <c r="BD247" s="345"/>
    </row>
    <row r="248" ht="16.5" customHeight="1" spans="1:56">
      <c r="A248" s="13"/>
      <c r="B248" s="13"/>
      <c r="C248" s="13"/>
      <c r="D248" s="13"/>
      <c r="E248" s="13"/>
      <c r="F248" s="13"/>
      <c r="G248" s="13"/>
      <c r="H248" s="13"/>
      <c r="I248" s="13"/>
      <c r="J248" s="13"/>
      <c r="K248" s="13"/>
      <c r="L248" s="13"/>
      <c r="M248" s="13"/>
      <c r="N248" s="13"/>
      <c r="O248" s="13"/>
      <c r="P248" s="13"/>
      <c r="Q248" s="13"/>
      <c r="R248" s="213" t="s">
        <v>3495</v>
      </c>
      <c r="S248" s="58">
        <f t="shared" ref="S248:AG248" si="578">S242-S243</f>
        <v>4521554.16</v>
      </c>
      <c r="T248" s="58">
        <f t="shared" si="578"/>
        <v>1223367.62</v>
      </c>
      <c r="U248" s="319">
        <f t="shared" si="578"/>
        <v>876134.439999999</v>
      </c>
      <c r="V248" s="58">
        <f t="shared" si="578"/>
        <v>347233.18</v>
      </c>
      <c r="W248" s="58">
        <f t="shared" si="578"/>
        <v>347233.18</v>
      </c>
      <c r="X248" s="58">
        <f t="shared" si="578"/>
        <v>347233.18</v>
      </c>
      <c r="Y248" s="58">
        <f t="shared" si="578"/>
        <v>347233.18</v>
      </c>
      <c r="Z248" s="58">
        <f t="shared" si="578"/>
        <v>347233.18</v>
      </c>
      <c r="AA248" s="58">
        <f t="shared" si="578"/>
        <v>347233.18</v>
      </c>
      <c r="AB248" s="58">
        <f t="shared" si="578"/>
        <v>347233.18</v>
      </c>
      <c r="AC248" s="58">
        <f t="shared" si="578"/>
        <v>347233.18</v>
      </c>
      <c r="AD248" s="58">
        <f t="shared" si="578"/>
        <v>347233.18</v>
      </c>
      <c r="AE248" s="58">
        <f t="shared" si="578"/>
        <v>347233.18</v>
      </c>
      <c r="AF248" s="58">
        <f t="shared" si="578"/>
        <v>-187597.46</v>
      </c>
      <c r="AG248" s="58">
        <f t="shared" si="578"/>
        <v>15179.61</v>
      </c>
      <c r="AH248" s="332"/>
      <c r="AI248" s="332"/>
      <c r="AJ248" s="13"/>
      <c r="AK248" s="13"/>
      <c r="AL248" s="13"/>
      <c r="AM248" s="13"/>
      <c r="AN248" s="13"/>
      <c r="AO248" s="58">
        <f t="shared" ref="AO248:BA248" si="579">AO242-AO243</f>
        <v>0</v>
      </c>
      <c r="AP248" s="58">
        <f t="shared" si="579"/>
        <v>0</v>
      </c>
      <c r="AQ248" s="58">
        <f t="shared" si="579"/>
        <v>0</v>
      </c>
      <c r="AR248" s="58">
        <f t="shared" si="579"/>
        <v>0</v>
      </c>
      <c r="AS248" s="58">
        <f t="shared" si="579"/>
        <v>0</v>
      </c>
      <c r="AT248" s="58">
        <f t="shared" si="579"/>
        <v>0</v>
      </c>
      <c r="AU248" s="58">
        <f t="shared" si="579"/>
        <v>0</v>
      </c>
      <c r="AV248" s="58">
        <f t="shared" si="579"/>
        <v>0</v>
      </c>
      <c r="AW248" s="58">
        <f t="shared" si="579"/>
        <v>0</v>
      </c>
      <c r="AX248" s="58">
        <f t="shared" si="579"/>
        <v>534830.64</v>
      </c>
      <c r="AY248" s="58">
        <f t="shared" si="579"/>
        <v>-202777.07</v>
      </c>
      <c r="AZ248" s="58">
        <f t="shared" si="579"/>
        <v>15179.61</v>
      </c>
      <c r="BA248" s="375">
        <f t="shared" si="579"/>
        <v>876134.439999999</v>
      </c>
      <c r="BB248" s="342"/>
      <c r="BC248" s="342"/>
      <c r="BD248" s="259"/>
    </row>
    <row r="249" ht="16.5" customHeight="1" spans="1:56">
      <c r="A249" s="13"/>
      <c r="B249" s="13"/>
      <c r="C249" s="13"/>
      <c r="D249" s="13"/>
      <c r="E249" s="13"/>
      <c r="F249" s="13"/>
      <c r="G249" s="13"/>
      <c r="H249" s="13"/>
      <c r="I249" s="13"/>
      <c r="J249" s="13"/>
      <c r="K249" s="13"/>
      <c r="L249" s="13"/>
      <c r="M249" s="13"/>
      <c r="N249" s="13"/>
      <c r="O249" s="13"/>
      <c r="P249" s="13"/>
      <c r="Q249" s="13"/>
      <c r="R249" s="321" t="s">
        <v>3496</v>
      </c>
      <c r="S249" s="61">
        <f t="shared" ref="S249:AG249" si="580">S248/S242</f>
        <v>0.170482509303562</v>
      </c>
      <c r="T249" s="61">
        <f t="shared" si="580"/>
        <v>0.132101095590656</v>
      </c>
      <c r="U249" s="322">
        <f t="shared" si="580"/>
        <v>0.126252439526061</v>
      </c>
      <c r="V249" s="61">
        <f t="shared" si="580"/>
        <v>0.149585704853681</v>
      </c>
      <c r="W249" s="61">
        <f t="shared" si="580"/>
        <v>0.149585704853681</v>
      </c>
      <c r="X249" s="61">
        <f t="shared" si="580"/>
        <v>0.149585704853681</v>
      </c>
      <c r="Y249" s="61">
        <f t="shared" si="580"/>
        <v>0.149585704853681</v>
      </c>
      <c r="Z249" s="61">
        <f t="shared" si="580"/>
        <v>0.149585704853681</v>
      </c>
      <c r="AA249" s="61">
        <f t="shared" si="580"/>
        <v>0.149585704853681</v>
      </c>
      <c r="AB249" s="61">
        <f t="shared" si="580"/>
        <v>0.149585704853681</v>
      </c>
      <c r="AC249" s="61">
        <f t="shared" si="580"/>
        <v>0.149585704853681</v>
      </c>
      <c r="AD249" s="61">
        <f t="shared" si="580"/>
        <v>0.149585704853681</v>
      </c>
      <c r="AE249" s="61">
        <f t="shared" si="580"/>
        <v>0.149585704853681</v>
      </c>
      <c r="AF249" s="61">
        <f t="shared" si="580"/>
        <v>-0.159019612842693</v>
      </c>
      <c r="AG249" s="61">
        <f t="shared" si="580"/>
        <v>0.0271265530171899</v>
      </c>
      <c r="AH249" s="82">
        <f>T249-S249</f>
        <v>-0.038381413712906</v>
      </c>
      <c r="AI249" s="82">
        <f>AF249-S249</f>
        <v>-0.329502122146255</v>
      </c>
      <c r="AJ249" s="13"/>
      <c r="AK249" s="13"/>
      <c r="AL249" s="13"/>
      <c r="AM249" s="13"/>
      <c r="AN249" s="13"/>
      <c r="AO249" s="61" t="e">
        <f t="shared" ref="AO249:BA249" si="581">AO248/AO242</f>
        <v>#DIV/0!</v>
      </c>
      <c r="AP249" s="61" t="e">
        <f t="shared" si="581"/>
        <v>#DIV/0!</v>
      </c>
      <c r="AQ249" s="61" t="e">
        <f t="shared" si="581"/>
        <v>#DIV/0!</v>
      </c>
      <c r="AR249" s="61" t="e">
        <f t="shared" si="581"/>
        <v>#DIV/0!</v>
      </c>
      <c r="AS249" s="61" t="e">
        <f t="shared" si="581"/>
        <v>#DIV/0!</v>
      </c>
      <c r="AT249" s="61" t="e">
        <f t="shared" si="581"/>
        <v>#DIV/0!</v>
      </c>
      <c r="AU249" s="61" t="e">
        <f t="shared" si="581"/>
        <v>#DIV/0!</v>
      </c>
      <c r="AV249" s="61" t="e">
        <f t="shared" si="581"/>
        <v>#DIV/0!</v>
      </c>
      <c r="AW249" s="61" t="e">
        <f t="shared" si="581"/>
        <v>#DIV/0!</v>
      </c>
      <c r="AX249" s="61">
        <f t="shared" si="581"/>
        <v>0.468497691589731</v>
      </c>
      <c r="AY249" s="61">
        <f t="shared" si="581"/>
        <v>-0.326992387698149</v>
      </c>
      <c r="AZ249" s="61">
        <f t="shared" si="581"/>
        <v>0.0271265530171899</v>
      </c>
      <c r="BA249" s="376">
        <f t="shared" si="581"/>
        <v>0.126252439526061</v>
      </c>
      <c r="BB249" s="342"/>
      <c r="BC249" s="342"/>
      <c r="BD249" s="259"/>
    </row>
    <row r="250" ht="16.5" customHeight="1" spans="1:56">
      <c r="A250" s="13"/>
      <c r="B250" s="13"/>
      <c r="C250" s="13"/>
      <c r="D250" s="13"/>
      <c r="E250" s="13"/>
      <c r="F250" s="13"/>
      <c r="G250" s="13"/>
      <c r="H250" s="13"/>
      <c r="I250" s="13"/>
      <c r="J250" s="13"/>
      <c r="K250" s="13"/>
      <c r="L250" s="13"/>
      <c r="M250" s="13"/>
      <c r="N250" s="13"/>
      <c r="O250" s="13"/>
      <c r="P250" s="13"/>
      <c r="Q250" s="13"/>
      <c r="R250" s="213" t="s">
        <v>3497</v>
      </c>
      <c r="S250" s="58">
        <f t="shared" ref="S250:AG250" si="582">S242-S247</f>
        <v>4442054.16</v>
      </c>
      <c r="T250" s="58">
        <f t="shared" si="582"/>
        <v>1103465.05</v>
      </c>
      <c r="U250" s="58">
        <f t="shared" si="582"/>
        <v>767345.26</v>
      </c>
      <c r="V250" s="58">
        <f t="shared" si="582"/>
        <v>336119.79</v>
      </c>
      <c r="W250" s="58">
        <f t="shared" si="582"/>
        <v>336119.79</v>
      </c>
      <c r="X250" s="58">
        <f t="shared" si="582"/>
        <v>336119.79</v>
      </c>
      <c r="Y250" s="58">
        <f t="shared" si="582"/>
        <v>336119.79</v>
      </c>
      <c r="Z250" s="58">
        <f t="shared" si="582"/>
        <v>336119.79</v>
      </c>
      <c r="AA250" s="58">
        <f t="shared" si="582"/>
        <v>336119.79</v>
      </c>
      <c r="AB250" s="58">
        <f t="shared" si="582"/>
        <v>336119.79</v>
      </c>
      <c r="AC250" s="58">
        <f t="shared" si="582"/>
        <v>336119.79</v>
      </c>
      <c r="AD250" s="58">
        <f t="shared" si="582"/>
        <v>336119.79</v>
      </c>
      <c r="AE250" s="58">
        <f t="shared" si="582"/>
        <v>336119.79</v>
      </c>
      <c r="AF250" s="58">
        <f t="shared" si="582"/>
        <v>-194572.79</v>
      </c>
      <c r="AG250" s="58">
        <f t="shared" si="582"/>
        <v>12923.09</v>
      </c>
      <c r="AH250" s="82"/>
      <c r="AI250" s="82"/>
      <c r="AJ250" s="13"/>
      <c r="AK250" s="13"/>
      <c r="AL250" s="13"/>
      <c r="AM250" s="13"/>
      <c r="AN250" s="13"/>
      <c r="AO250" s="58">
        <f t="shared" ref="AO250:BC250" si="583">AO242-AO247</f>
        <v>0</v>
      </c>
      <c r="AP250" s="58">
        <f t="shared" si="583"/>
        <v>0</v>
      </c>
      <c r="AQ250" s="58">
        <f t="shared" si="583"/>
        <v>0</v>
      </c>
      <c r="AR250" s="58">
        <f t="shared" si="583"/>
        <v>0</v>
      </c>
      <c r="AS250" s="58">
        <f t="shared" si="583"/>
        <v>0</v>
      </c>
      <c r="AT250" s="58">
        <f t="shared" si="583"/>
        <v>0</v>
      </c>
      <c r="AU250" s="58">
        <f t="shared" si="583"/>
        <v>0</v>
      </c>
      <c r="AV250" s="58">
        <f t="shared" si="583"/>
        <v>0</v>
      </c>
      <c r="AW250" s="58">
        <f t="shared" si="583"/>
        <v>0</v>
      </c>
      <c r="AX250" s="58">
        <f t="shared" si="583"/>
        <v>530692.58</v>
      </c>
      <c r="AY250" s="58">
        <f t="shared" si="583"/>
        <v>-207495.88</v>
      </c>
      <c r="AZ250" s="58">
        <f t="shared" si="583"/>
        <v>12923.0900000001</v>
      </c>
      <c r="BA250" s="58">
        <f t="shared" si="583"/>
        <v>767345.26</v>
      </c>
      <c r="BB250" s="58">
        <f t="shared" si="583"/>
        <v>0</v>
      </c>
      <c r="BC250" s="58">
        <f t="shared" si="583"/>
        <v>0</v>
      </c>
      <c r="BD250" s="259"/>
    </row>
    <row r="251" ht="16.5" customHeight="1" spans="1:56">
      <c r="A251" s="14"/>
      <c r="B251" s="14"/>
      <c r="C251" s="14"/>
      <c r="D251" s="14"/>
      <c r="E251" s="14"/>
      <c r="F251" s="14"/>
      <c r="G251" s="14"/>
      <c r="H251" s="14"/>
      <c r="I251" s="14"/>
      <c r="J251" s="14"/>
      <c r="K251" s="14"/>
      <c r="L251" s="14"/>
      <c r="M251" s="14"/>
      <c r="N251" s="14"/>
      <c r="O251" s="14"/>
      <c r="P251" s="14"/>
      <c r="Q251" s="14"/>
      <c r="R251" s="321" t="s">
        <v>3498</v>
      </c>
      <c r="S251" s="61">
        <f t="shared" ref="S251:AG251" si="584">S250/S242</f>
        <v>0.167485009105614</v>
      </c>
      <c r="T251" s="61">
        <f t="shared" si="584"/>
        <v>0.119153833784646</v>
      </c>
      <c r="U251" s="322">
        <f t="shared" si="584"/>
        <v>0.110575736565908</v>
      </c>
      <c r="V251" s="61">
        <f t="shared" si="584"/>
        <v>0.144798131625616</v>
      </c>
      <c r="W251" s="61">
        <f t="shared" si="584"/>
        <v>0.144798131625616</v>
      </c>
      <c r="X251" s="61">
        <f t="shared" si="584"/>
        <v>0.144798131625616</v>
      </c>
      <c r="Y251" s="61">
        <f t="shared" si="584"/>
        <v>0.144798131625616</v>
      </c>
      <c r="Z251" s="61">
        <f t="shared" si="584"/>
        <v>0.144798131625616</v>
      </c>
      <c r="AA251" s="61">
        <f t="shared" si="584"/>
        <v>0.144798131625616</v>
      </c>
      <c r="AB251" s="61">
        <f t="shared" si="584"/>
        <v>0.144798131625616</v>
      </c>
      <c r="AC251" s="61">
        <f t="shared" si="584"/>
        <v>0.144798131625616</v>
      </c>
      <c r="AD251" s="61">
        <f t="shared" si="584"/>
        <v>0.144798131625616</v>
      </c>
      <c r="AE251" s="61">
        <f t="shared" si="584"/>
        <v>0.144798131625616</v>
      </c>
      <c r="AF251" s="61">
        <f t="shared" si="584"/>
        <v>-0.164932348953566</v>
      </c>
      <c r="AG251" s="61">
        <f t="shared" si="584"/>
        <v>0.0230940640787818</v>
      </c>
      <c r="AH251" s="82">
        <f>T251-S251</f>
        <v>-0.0483311753209679</v>
      </c>
      <c r="AI251" s="82">
        <f>AF251-S251</f>
        <v>-0.332417358059179</v>
      </c>
      <c r="AJ251" s="14"/>
      <c r="AK251" s="14"/>
      <c r="AL251" s="14"/>
      <c r="AM251" s="14"/>
      <c r="AN251" s="14"/>
      <c r="AO251" s="61" t="e">
        <f t="shared" ref="AO251:BA251" si="585">AO250/AO242</f>
        <v>#DIV/0!</v>
      </c>
      <c r="AP251" s="61" t="e">
        <f t="shared" si="585"/>
        <v>#DIV/0!</v>
      </c>
      <c r="AQ251" s="61" t="e">
        <f t="shared" si="585"/>
        <v>#DIV/0!</v>
      </c>
      <c r="AR251" s="61" t="e">
        <f t="shared" si="585"/>
        <v>#DIV/0!</v>
      </c>
      <c r="AS251" s="61" t="e">
        <f t="shared" si="585"/>
        <v>#DIV/0!</v>
      </c>
      <c r="AT251" s="61" t="e">
        <f t="shared" si="585"/>
        <v>#DIV/0!</v>
      </c>
      <c r="AU251" s="61" t="e">
        <f t="shared" si="585"/>
        <v>#DIV/0!</v>
      </c>
      <c r="AV251" s="61" t="e">
        <f t="shared" si="585"/>
        <v>#DIV/0!</v>
      </c>
      <c r="AW251" s="61" t="e">
        <f t="shared" si="585"/>
        <v>#DIV/0!</v>
      </c>
      <c r="AX251" s="61">
        <f t="shared" si="585"/>
        <v>0.464872858955497</v>
      </c>
      <c r="AY251" s="61">
        <f t="shared" si="585"/>
        <v>-0.334601803047694</v>
      </c>
      <c r="AZ251" s="61">
        <f t="shared" si="585"/>
        <v>0.023094064078782</v>
      </c>
      <c r="BA251" s="376">
        <f t="shared" si="585"/>
        <v>0.110575736565908</v>
      </c>
      <c r="BB251" s="342"/>
      <c r="BC251" s="342"/>
      <c r="BD251" s="259"/>
    </row>
    <row r="252" ht="16.5" customHeight="1" spans="1:56">
      <c r="A252" s="300" t="s">
        <v>2589</v>
      </c>
      <c r="B252" s="301" t="s">
        <v>3529</v>
      </c>
      <c r="C252" s="302">
        <v>45870</v>
      </c>
      <c r="D252" s="302">
        <v>46251</v>
      </c>
      <c r="E252" s="304"/>
      <c r="F252" s="233">
        <v>1</v>
      </c>
      <c r="G252" s="28">
        <v>9.591</v>
      </c>
      <c r="H252" s="301"/>
      <c r="I252" s="301"/>
      <c r="J252" s="12"/>
      <c r="K252" s="12"/>
      <c r="L252" s="12"/>
      <c r="M252" s="301"/>
      <c r="N252" s="301"/>
      <c r="O252" s="301"/>
      <c r="P252" s="304"/>
      <c r="Q252" s="301"/>
      <c r="R252" s="318" t="s">
        <v>3486</v>
      </c>
      <c r="S252" s="63">
        <f>2412928.8-241292.8</f>
        <v>2171636</v>
      </c>
      <c r="T252" s="58">
        <f t="shared" ref="T252:T256" si="586">SUM(AO252:BC252)</f>
        <v>2112203.38</v>
      </c>
      <c r="U252" s="319">
        <f t="shared" ref="U252:U256" si="587">SUM(BA252:BC252)</f>
        <v>1588568.76</v>
      </c>
      <c r="V252" s="58">
        <f t="shared" ref="V252:V256" si="588">SUM(AO252:AZ252)</f>
        <v>523634.62</v>
      </c>
      <c r="W252" s="58">
        <f t="shared" ref="W252:W256" si="589">SUM(AP252:AZ252)</f>
        <v>523634.62</v>
      </c>
      <c r="X252" s="58">
        <f t="shared" ref="X252:X256" si="590">SUM(AQ252:AZ252)</f>
        <v>523634.62</v>
      </c>
      <c r="Y252" s="58">
        <f t="shared" ref="Y252:Y256" si="591">SUM(AR252:AZ252)</f>
        <v>523634.62</v>
      </c>
      <c r="Z252" s="58">
        <f t="shared" ref="Z252:Z256" si="592">SUM(AS252:AZ252)</f>
        <v>523634.62</v>
      </c>
      <c r="AA252" s="58">
        <f t="shared" ref="AA252:AA256" si="593">SUM(AT252:AZ252)</f>
        <v>523634.62</v>
      </c>
      <c r="AB252" s="58">
        <f t="shared" ref="AB252:AB256" si="594">SUM(AU252:AZ252)</f>
        <v>523634.62</v>
      </c>
      <c r="AC252" s="58">
        <f t="shared" ref="AC252:AC256" si="595">SUM(AV252:AZ252)</f>
        <v>523634.62</v>
      </c>
      <c r="AD252" s="58">
        <f t="shared" ref="AD252:AD256" si="596">SUM(AW252:AZ252)</f>
        <v>523634.62</v>
      </c>
      <c r="AE252" s="58">
        <f t="shared" ref="AE252:AE256" si="597">SUM(AX252:AZ252)</f>
        <v>523634.62</v>
      </c>
      <c r="AF252" s="58">
        <f t="shared" ref="AF252:AF256" si="598">SUM(AY252:AZ252)</f>
        <v>286550.57</v>
      </c>
      <c r="AG252" s="58">
        <f t="shared" ref="AG252:AG256" si="599">SUM(AZ252:AZ252)</f>
        <v>215196.89</v>
      </c>
      <c r="AH252" s="328"/>
      <c r="AI252" s="328"/>
      <c r="AJ252" s="359"/>
      <c r="AK252" s="28"/>
      <c r="AL252" s="93"/>
      <c r="AM252" s="93"/>
      <c r="AN252" s="360"/>
      <c r="AO252" s="58"/>
      <c r="AP252" s="58"/>
      <c r="AQ252" s="58"/>
      <c r="AR252" s="58"/>
      <c r="AS252" s="58"/>
      <c r="AT252" s="58"/>
      <c r="AU252" s="58"/>
      <c r="AV252" s="58"/>
      <c r="AW252" s="58"/>
      <c r="AX252" s="58">
        <v>237084.05</v>
      </c>
      <c r="AY252" s="58">
        <v>71353.68</v>
      </c>
      <c r="AZ252" s="369">
        <v>215196.89</v>
      </c>
      <c r="BA252" s="378">
        <v>1588568.76</v>
      </c>
      <c r="BB252" s="342"/>
      <c r="BC252" s="342"/>
      <c r="BD252" s="259"/>
    </row>
    <row r="253" ht="16.5" customHeight="1" spans="1:56">
      <c r="A253" s="13"/>
      <c r="B253" s="13"/>
      <c r="C253" s="13"/>
      <c r="D253" s="13"/>
      <c r="E253" s="13"/>
      <c r="F253" s="13"/>
      <c r="G253" s="13"/>
      <c r="H253" s="13"/>
      <c r="I253" s="13"/>
      <c r="J253" s="13"/>
      <c r="K253" s="13"/>
      <c r="L253" s="13"/>
      <c r="M253" s="13"/>
      <c r="N253" s="13"/>
      <c r="O253" s="13"/>
      <c r="P253" s="13"/>
      <c r="Q253" s="13"/>
      <c r="R253" s="213" t="s">
        <v>3490</v>
      </c>
      <c r="S253" s="56">
        <v>1693636.97</v>
      </c>
      <c r="T253" s="58">
        <f t="shared" si="586"/>
        <v>2137801.42</v>
      </c>
      <c r="U253" s="319">
        <f t="shared" si="587"/>
        <v>1641914.59</v>
      </c>
      <c r="V253" s="58">
        <f t="shared" si="588"/>
        <v>495886.83</v>
      </c>
      <c r="W253" s="58">
        <f t="shared" si="589"/>
        <v>495886.83</v>
      </c>
      <c r="X253" s="58">
        <f t="shared" si="590"/>
        <v>495886.83</v>
      </c>
      <c r="Y253" s="58">
        <f t="shared" si="591"/>
        <v>495886.83</v>
      </c>
      <c r="Z253" s="58">
        <f t="shared" si="592"/>
        <v>495886.83</v>
      </c>
      <c r="AA253" s="58">
        <f t="shared" si="593"/>
        <v>495886.83</v>
      </c>
      <c r="AB253" s="58">
        <f t="shared" si="594"/>
        <v>495886.83</v>
      </c>
      <c r="AC253" s="58">
        <f t="shared" si="595"/>
        <v>495886.83</v>
      </c>
      <c r="AD253" s="58">
        <f t="shared" si="596"/>
        <v>495886.83</v>
      </c>
      <c r="AE253" s="58">
        <f t="shared" si="597"/>
        <v>495886.83</v>
      </c>
      <c r="AF253" s="58">
        <f t="shared" si="598"/>
        <v>323907.9</v>
      </c>
      <c r="AG253" s="58">
        <f t="shared" si="599"/>
        <v>323707.9</v>
      </c>
      <c r="AH253" s="328"/>
      <c r="AI253" s="328"/>
      <c r="AJ253" s="13"/>
      <c r="AK253" s="13"/>
      <c r="AL253" s="13"/>
      <c r="AM253" s="13"/>
      <c r="AN253" s="13"/>
      <c r="AO253" s="58"/>
      <c r="AP253" s="58"/>
      <c r="AQ253" s="58"/>
      <c r="AR253" s="58"/>
      <c r="AS253" s="58"/>
      <c r="AT253" s="58"/>
      <c r="AU253" s="58"/>
      <c r="AV253" s="58"/>
      <c r="AW253" s="58"/>
      <c r="AX253" s="58">
        <v>171978.93</v>
      </c>
      <c r="AY253" s="58">
        <v>200</v>
      </c>
      <c r="AZ253" s="369">
        <v>323707.9</v>
      </c>
      <c r="BA253" s="364">
        <v>1641914.59</v>
      </c>
      <c r="BB253" s="342"/>
      <c r="BC253" s="342"/>
      <c r="BD253" s="259"/>
    </row>
    <row r="254" ht="16.5" customHeight="1" spans="1:56">
      <c r="A254" s="13"/>
      <c r="B254" s="13"/>
      <c r="C254" s="13"/>
      <c r="D254" s="13"/>
      <c r="E254" s="13"/>
      <c r="F254" s="13"/>
      <c r="G254" s="13"/>
      <c r="H254" s="13"/>
      <c r="I254" s="13"/>
      <c r="J254" s="13"/>
      <c r="K254" s="13"/>
      <c r="L254" s="13"/>
      <c r="M254" s="13"/>
      <c r="N254" s="13"/>
      <c r="O254" s="13"/>
      <c r="P254" s="13"/>
      <c r="Q254" s="13"/>
      <c r="R254" s="213" t="s">
        <v>3491</v>
      </c>
      <c r="S254" s="56"/>
      <c r="T254" s="58">
        <f t="shared" si="586"/>
        <v>0</v>
      </c>
      <c r="U254" s="319">
        <f t="shared" si="587"/>
        <v>0</v>
      </c>
      <c r="V254" s="58"/>
      <c r="W254" s="58"/>
      <c r="X254" s="58"/>
      <c r="Y254" s="58"/>
      <c r="Z254" s="58"/>
      <c r="AA254" s="58"/>
      <c r="AB254" s="58"/>
      <c r="AC254" s="58"/>
      <c r="AD254" s="58"/>
      <c r="AE254" s="58"/>
      <c r="AF254" s="58"/>
      <c r="AG254" s="58"/>
      <c r="AH254" s="328"/>
      <c r="AI254" s="328"/>
      <c r="AJ254" s="13"/>
      <c r="AK254" s="13"/>
      <c r="AL254" s="13"/>
      <c r="AM254" s="13"/>
      <c r="AN254" s="13"/>
      <c r="AO254" s="58"/>
      <c r="AP254" s="58"/>
      <c r="AQ254" s="58"/>
      <c r="AR254" s="58"/>
      <c r="AS254" s="58"/>
      <c r="AT254" s="58"/>
      <c r="AU254" s="58"/>
      <c r="AV254" s="58"/>
      <c r="AW254" s="58"/>
      <c r="AX254" s="58">
        <v>0</v>
      </c>
      <c r="AY254" s="58"/>
      <c r="AZ254" s="369"/>
      <c r="BA254" s="364"/>
      <c r="BB254" s="342"/>
      <c r="BC254" s="342"/>
      <c r="BD254" s="259"/>
    </row>
    <row r="255" ht="16.5" customHeight="1" spans="1:56">
      <c r="A255" s="13"/>
      <c r="B255" s="13"/>
      <c r="C255" s="13"/>
      <c r="D255" s="13"/>
      <c r="E255" s="13"/>
      <c r="F255" s="13"/>
      <c r="G255" s="13"/>
      <c r="H255" s="13"/>
      <c r="I255" s="13"/>
      <c r="J255" s="13"/>
      <c r="K255" s="13"/>
      <c r="L255" s="13"/>
      <c r="M255" s="13"/>
      <c r="N255" s="13"/>
      <c r="O255" s="13"/>
      <c r="P255" s="13"/>
      <c r="Q255" s="13"/>
      <c r="R255" s="213" t="s">
        <v>3492</v>
      </c>
      <c r="S255" s="56">
        <v>45000</v>
      </c>
      <c r="T255" s="58">
        <f t="shared" si="586"/>
        <v>0</v>
      </c>
      <c r="U255" s="319">
        <f t="shared" si="587"/>
        <v>0</v>
      </c>
      <c r="V255" s="58">
        <f t="shared" si="588"/>
        <v>0</v>
      </c>
      <c r="W255" s="58">
        <f t="shared" si="589"/>
        <v>0</v>
      </c>
      <c r="X255" s="58">
        <f t="shared" si="590"/>
        <v>0</v>
      </c>
      <c r="Y255" s="58">
        <f t="shared" si="591"/>
        <v>0</v>
      </c>
      <c r="Z255" s="58">
        <f t="shared" si="592"/>
        <v>0</v>
      </c>
      <c r="AA255" s="58">
        <f t="shared" si="593"/>
        <v>0</v>
      </c>
      <c r="AB255" s="58">
        <f t="shared" si="594"/>
        <v>0</v>
      </c>
      <c r="AC255" s="58">
        <f t="shared" si="595"/>
        <v>0</v>
      </c>
      <c r="AD255" s="58">
        <f t="shared" si="596"/>
        <v>0</v>
      </c>
      <c r="AE255" s="58">
        <f t="shared" si="597"/>
        <v>0</v>
      </c>
      <c r="AF255" s="58">
        <f t="shared" si="598"/>
        <v>0</v>
      </c>
      <c r="AG255" s="58">
        <f t="shared" si="599"/>
        <v>0</v>
      </c>
      <c r="AH255" s="328"/>
      <c r="AI255" s="328"/>
      <c r="AJ255" s="13"/>
      <c r="AK255" s="13"/>
      <c r="AL255" s="13"/>
      <c r="AM255" s="13"/>
      <c r="AN255" s="13"/>
      <c r="AO255" s="58"/>
      <c r="AP255" s="58"/>
      <c r="AQ255" s="58"/>
      <c r="AR255" s="58"/>
      <c r="AS255" s="58"/>
      <c r="AT255" s="58"/>
      <c r="AU255" s="58"/>
      <c r="AV255" s="58"/>
      <c r="AW255" s="58"/>
      <c r="AX255" s="58">
        <v>0</v>
      </c>
      <c r="AY255" s="58">
        <v>0</v>
      </c>
      <c r="AZ255" s="369">
        <v>0</v>
      </c>
      <c r="BA255" s="364">
        <v>0</v>
      </c>
      <c r="BB255" s="342"/>
      <c r="BC255" s="342"/>
      <c r="BD255" s="259"/>
    </row>
    <row r="256" ht="16.5" customHeight="1" spans="1:56">
      <c r="A256" s="13"/>
      <c r="B256" s="13"/>
      <c r="C256" s="13"/>
      <c r="D256" s="13"/>
      <c r="E256" s="13"/>
      <c r="F256" s="13"/>
      <c r="G256" s="13"/>
      <c r="H256" s="13"/>
      <c r="I256" s="13"/>
      <c r="J256" s="13"/>
      <c r="K256" s="13"/>
      <c r="L256" s="13"/>
      <c r="M256" s="13"/>
      <c r="N256" s="13"/>
      <c r="O256" s="13"/>
      <c r="P256" s="13"/>
      <c r="Q256" s="13"/>
      <c r="R256" s="213" t="s">
        <v>3493</v>
      </c>
      <c r="S256" s="56">
        <v>25000</v>
      </c>
      <c r="T256" s="58">
        <f t="shared" si="586"/>
        <v>11355.46</v>
      </c>
      <c r="U256" s="319">
        <f t="shared" si="587"/>
        <v>5170.41</v>
      </c>
      <c r="V256" s="58">
        <f t="shared" si="588"/>
        <v>6185.05</v>
      </c>
      <c r="W256" s="58">
        <f t="shared" si="589"/>
        <v>6185.05</v>
      </c>
      <c r="X256" s="58">
        <f t="shared" si="590"/>
        <v>6185.05</v>
      </c>
      <c r="Y256" s="58">
        <f t="shared" si="591"/>
        <v>6185.05</v>
      </c>
      <c r="Z256" s="58">
        <f t="shared" si="592"/>
        <v>6185.05</v>
      </c>
      <c r="AA256" s="58">
        <f t="shared" si="593"/>
        <v>6185.05</v>
      </c>
      <c r="AB256" s="58">
        <f t="shared" si="594"/>
        <v>6185.05</v>
      </c>
      <c r="AC256" s="58">
        <f t="shared" si="595"/>
        <v>6185.05</v>
      </c>
      <c r="AD256" s="58">
        <f t="shared" si="596"/>
        <v>6185.05</v>
      </c>
      <c r="AE256" s="58">
        <f t="shared" si="597"/>
        <v>6185.05</v>
      </c>
      <c r="AF256" s="58">
        <f t="shared" si="598"/>
        <v>3929.15</v>
      </c>
      <c r="AG256" s="58">
        <f t="shared" si="599"/>
        <v>1926.47</v>
      </c>
      <c r="AH256" s="328"/>
      <c r="AI256" s="328"/>
      <c r="AJ256" s="13"/>
      <c r="AK256" s="13"/>
      <c r="AL256" s="13"/>
      <c r="AM256" s="13"/>
      <c r="AN256" s="13"/>
      <c r="AO256" s="58"/>
      <c r="AP256" s="58"/>
      <c r="AQ256" s="58"/>
      <c r="AR256" s="58"/>
      <c r="AS256" s="58"/>
      <c r="AT256" s="58"/>
      <c r="AU256" s="58"/>
      <c r="AV256" s="58"/>
      <c r="AW256" s="58"/>
      <c r="AX256" s="58">
        <v>2255.9</v>
      </c>
      <c r="AY256" s="58">
        <v>2002.68</v>
      </c>
      <c r="AZ256" s="58">
        <v>1926.47</v>
      </c>
      <c r="BA256" s="379">
        <v>5170.41</v>
      </c>
      <c r="BB256" s="342"/>
      <c r="BC256" s="342"/>
      <c r="BD256" s="259"/>
    </row>
    <row r="257" ht="16.5" customHeight="1" spans="1:56">
      <c r="A257" s="13"/>
      <c r="B257" s="13"/>
      <c r="C257" s="13"/>
      <c r="D257" s="13"/>
      <c r="E257" s="13"/>
      <c r="F257" s="13"/>
      <c r="G257" s="13"/>
      <c r="H257" s="13"/>
      <c r="I257" s="13"/>
      <c r="J257" s="13"/>
      <c r="K257" s="13"/>
      <c r="L257" s="13"/>
      <c r="M257" s="13"/>
      <c r="N257" s="13"/>
      <c r="O257" s="13"/>
      <c r="P257" s="13"/>
      <c r="Q257" s="13"/>
      <c r="R257" s="213" t="s">
        <v>3494</v>
      </c>
      <c r="S257" s="214">
        <f t="shared" ref="S257:AG257" si="600">SUM(S253:S256)</f>
        <v>1763636.97</v>
      </c>
      <c r="T257" s="214">
        <f t="shared" si="600"/>
        <v>2149156.88</v>
      </c>
      <c r="U257" s="320">
        <f t="shared" si="600"/>
        <v>1647085</v>
      </c>
      <c r="V257" s="214">
        <f t="shared" si="600"/>
        <v>502071.88</v>
      </c>
      <c r="W257" s="214">
        <f t="shared" si="600"/>
        <v>502071.88</v>
      </c>
      <c r="X257" s="214">
        <f t="shared" si="600"/>
        <v>502071.88</v>
      </c>
      <c r="Y257" s="214">
        <f t="shared" si="600"/>
        <v>502071.88</v>
      </c>
      <c r="Z257" s="214">
        <f t="shared" si="600"/>
        <v>502071.88</v>
      </c>
      <c r="AA257" s="214">
        <f t="shared" si="600"/>
        <v>502071.88</v>
      </c>
      <c r="AB257" s="214">
        <f t="shared" si="600"/>
        <v>502071.88</v>
      </c>
      <c r="AC257" s="214">
        <f t="shared" si="600"/>
        <v>502071.88</v>
      </c>
      <c r="AD257" s="214">
        <f t="shared" si="600"/>
        <v>502071.88</v>
      </c>
      <c r="AE257" s="214">
        <f t="shared" si="600"/>
        <v>502071.88</v>
      </c>
      <c r="AF257" s="214">
        <f t="shared" si="600"/>
        <v>327837.05</v>
      </c>
      <c r="AG257" s="214">
        <f t="shared" si="600"/>
        <v>325634.37</v>
      </c>
      <c r="AH257" s="214">
        <f>SUM(AH253:AH256)</f>
        <v>0</v>
      </c>
      <c r="AI257" s="214">
        <f>SUM(AI253:AI256)</f>
        <v>0</v>
      </c>
      <c r="AJ257" s="13"/>
      <c r="AK257" s="13"/>
      <c r="AL257" s="13"/>
      <c r="AM257" s="13"/>
      <c r="AN257" s="13"/>
      <c r="AO257" s="214">
        <f t="shared" ref="AO257:BC257" si="601">SUM(AO253:AO256)</f>
        <v>0</v>
      </c>
      <c r="AP257" s="214">
        <f t="shared" si="601"/>
        <v>0</v>
      </c>
      <c r="AQ257" s="214">
        <f t="shared" si="601"/>
        <v>0</v>
      </c>
      <c r="AR257" s="214">
        <f t="shared" si="601"/>
        <v>0</v>
      </c>
      <c r="AS257" s="214">
        <f t="shared" si="601"/>
        <v>0</v>
      </c>
      <c r="AT257" s="214">
        <f t="shared" si="601"/>
        <v>0</v>
      </c>
      <c r="AU257" s="214">
        <f t="shared" si="601"/>
        <v>0</v>
      </c>
      <c r="AV257" s="214">
        <f t="shared" si="601"/>
        <v>0</v>
      </c>
      <c r="AW257" s="214">
        <f t="shared" si="601"/>
        <v>0</v>
      </c>
      <c r="AX257" s="214">
        <f t="shared" si="601"/>
        <v>174234.83</v>
      </c>
      <c r="AY257" s="214">
        <f t="shared" si="601"/>
        <v>2202.68</v>
      </c>
      <c r="AZ257" s="214">
        <f t="shared" si="601"/>
        <v>325634.37</v>
      </c>
      <c r="BA257" s="374">
        <f t="shared" si="601"/>
        <v>1647085</v>
      </c>
      <c r="BB257" s="320">
        <f t="shared" si="601"/>
        <v>0</v>
      </c>
      <c r="BC257" s="320">
        <f t="shared" si="601"/>
        <v>0</v>
      </c>
      <c r="BD257" s="345"/>
    </row>
    <row r="258" ht="16.5" customHeight="1" spans="1:56">
      <c r="A258" s="13"/>
      <c r="B258" s="13"/>
      <c r="C258" s="13"/>
      <c r="D258" s="13"/>
      <c r="E258" s="13"/>
      <c r="F258" s="13"/>
      <c r="G258" s="13"/>
      <c r="H258" s="13"/>
      <c r="I258" s="13"/>
      <c r="J258" s="13"/>
      <c r="K258" s="13"/>
      <c r="L258" s="13"/>
      <c r="M258" s="13"/>
      <c r="N258" s="13"/>
      <c r="O258" s="13"/>
      <c r="P258" s="13"/>
      <c r="Q258" s="13"/>
      <c r="R258" s="213" t="s">
        <v>3495</v>
      </c>
      <c r="S258" s="58">
        <f t="shared" ref="S258:AG258" si="602">S252-S253</f>
        <v>477999.03</v>
      </c>
      <c r="T258" s="58">
        <f t="shared" si="602"/>
        <v>-25598.04</v>
      </c>
      <c r="U258" s="319">
        <f t="shared" si="602"/>
        <v>-53345.8300000001</v>
      </c>
      <c r="V258" s="58">
        <f t="shared" si="602"/>
        <v>27747.79</v>
      </c>
      <c r="W258" s="58">
        <f t="shared" si="602"/>
        <v>27747.79</v>
      </c>
      <c r="X258" s="58">
        <f t="shared" si="602"/>
        <v>27747.79</v>
      </c>
      <c r="Y258" s="58">
        <f t="shared" si="602"/>
        <v>27747.79</v>
      </c>
      <c r="Z258" s="58">
        <f t="shared" si="602"/>
        <v>27747.79</v>
      </c>
      <c r="AA258" s="58">
        <f t="shared" si="602"/>
        <v>27747.79</v>
      </c>
      <c r="AB258" s="58">
        <f t="shared" si="602"/>
        <v>27747.79</v>
      </c>
      <c r="AC258" s="58">
        <f t="shared" si="602"/>
        <v>27747.79</v>
      </c>
      <c r="AD258" s="58">
        <f t="shared" si="602"/>
        <v>27747.79</v>
      </c>
      <c r="AE258" s="58">
        <f t="shared" si="602"/>
        <v>27747.79</v>
      </c>
      <c r="AF258" s="58">
        <f t="shared" si="602"/>
        <v>-37357.33</v>
      </c>
      <c r="AG258" s="58">
        <f t="shared" si="602"/>
        <v>-108511.01</v>
      </c>
      <c r="AH258" s="332"/>
      <c r="AI258" s="332"/>
      <c r="AJ258" s="13"/>
      <c r="AK258" s="13"/>
      <c r="AL258" s="13"/>
      <c r="AM258" s="13"/>
      <c r="AN258" s="13"/>
      <c r="AO258" s="58">
        <f t="shared" ref="AO258:BA258" si="603">AO252-AO253</f>
        <v>0</v>
      </c>
      <c r="AP258" s="58">
        <f t="shared" si="603"/>
        <v>0</v>
      </c>
      <c r="AQ258" s="58">
        <f t="shared" si="603"/>
        <v>0</v>
      </c>
      <c r="AR258" s="58">
        <f t="shared" si="603"/>
        <v>0</v>
      </c>
      <c r="AS258" s="58">
        <f t="shared" si="603"/>
        <v>0</v>
      </c>
      <c r="AT258" s="58">
        <f t="shared" si="603"/>
        <v>0</v>
      </c>
      <c r="AU258" s="58">
        <f t="shared" si="603"/>
        <v>0</v>
      </c>
      <c r="AV258" s="58">
        <f t="shared" si="603"/>
        <v>0</v>
      </c>
      <c r="AW258" s="58">
        <f t="shared" si="603"/>
        <v>0</v>
      </c>
      <c r="AX258" s="58">
        <f t="shared" si="603"/>
        <v>65105.12</v>
      </c>
      <c r="AY258" s="58">
        <f t="shared" si="603"/>
        <v>71153.68</v>
      </c>
      <c r="AZ258" s="58">
        <f t="shared" si="603"/>
        <v>-108511.01</v>
      </c>
      <c r="BA258" s="375">
        <f t="shared" si="603"/>
        <v>-53345.8300000001</v>
      </c>
      <c r="BB258" s="342"/>
      <c r="BC258" s="342"/>
      <c r="BD258" s="259"/>
    </row>
    <row r="259" ht="16.5" customHeight="1" spans="1:56">
      <c r="A259" s="13"/>
      <c r="B259" s="13"/>
      <c r="C259" s="13"/>
      <c r="D259" s="13"/>
      <c r="E259" s="13"/>
      <c r="F259" s="13"/>
      <c r="G259" s="13"/>
      <c r="H259" s="13"/>
      <c r="I259" s="13"/>
      <c r="J259" s="13"/>
      <c r="K259" s="13"/>
      <c r="L259" s="13"/>
      <c r="M259" s="13"/>
      <c r="N259" s="13"/>
      <c r="O259" s="13"/>
      <c r="P259" s="13"/>
      <c r="Q259" s="13"/>
      <c r="R259" s="321" t="s">
        <v>3496</v>
      </c>
      <c r="S259" s="61">
        <f t="shared" ref="S259:AG259" si="604">S258/S252</f>
        <v>0.220110105929355</v>
      </c>
      <c r="T259" s="61">
        <f t="shared" si="604"/>
        <v>-0.012119117052071</v>
      </c>
      <c r="U259" s="322">
        <f t="shared" si="604"/>
        <v>-0.0335810645048818</v>
      </c>
      <c r="V259" s="61">
        <f t="shared" si="604"/>
        <v>0.0529907476323853</v>
      </c>
      <c r="W259" s="61">
        <f t="shared" si="604"/>
        <v>0.0529907476323853</v>
      </c>
      <c r="X259" s="61">
        <f t="shared" si="604"/>
        <v>0.0529907476323853</v>
      </c>
      <c r="Y259" s="61">
        <f t="shared" si="604"/>
        <v>0.0529907476323853</v>
      </c>
      <c r="Z259" s="61">
        <f t="shared" si="604"/>
        <v>0.0529907476323853</v>
      </c>
      <c r="AA259" s="61">
        <f t="shared" si="604"/>
        <v>0.0529907476323853</v>
      </c>
      <c r="AB259" s="61">
        <f t="shared" si="604"/>
        <v>0.0529907476323853</v>
      </c>
      <c r="AC259" s="61">
        <f t="shared" si="604"/>
        <v>0.0529907476323853</v>
      </c>
      <c r="AD259" s="61">
        <f t="shared" si="604"/>
        <v>0.0529907476323853</v>
      </c>
      <c r="AE259" s="61">
        <f t="shared" si="604"/>
        <v>0.0529907476323853</v>
      </c>
      <c r="AF259" s="61">
        <f t="shared" si="604"/>
        <v>-0.130369065397427</v>
      </c>
      <c r="AG259" s="61">
        <f t="shared" si="604"/>
        <v>-0.504240604964133</v>
      </c>
      <c r="AH259" s="82">
        <f>T259-S259</f>
        <v>-0.232229222981426</v>
      </c>
      <c r="AI259" s="82">
        <f>AF259-S259</f>
        <v>-0.350479171326782</v>
      </c>
      <c r="AJ259" s="13"/>
      <c r="AK259" s="13"/>
      <c r="AL259" s="13"/>
      <c r="AM259" s="13"/>
      <c r="AN259" s="13"/>
      <c r="AO259" s="61" t="e">
        <f t="shared" ref="AO259:BA259" si="605">AO258/AO252</f>
        <v>#DIV/0!</v>
      </c>
      <c r="AP259" s="61" t="e">
        <f t="shared" si="605"/>
        <v>#DIV/0!</v>
      </c>
      <c r="AQ259" s="61" t="e">
        <f t="shared" si="605"/>
        <v>#DIV/0!</v>
      </c>
      <c r="AR259" s="61" t="e">
        <f t="shared" si="605"/>
        <v>#DIV/0!</v>
      </c>
      <c r="AS259" s="61" t="e">
        <f t="shared" si="605"/>
        <v>#DIV/0!</v>
      </c>
      <c r="AT259" s="61" t="e">
        <f t="shared" si="605"/>
        <v>#DIV/0!</v>
      </c>
      <c r="AU259" s="61" t="e">
        <f t="shared" si="605"/>
        <v>#DIV/0!</v>
      </c>
      <c r="AV259" s="61" t="e">
        <f t="shared" si="605"/>
        <v>#DIV/0!</v>
      </c>
      <c r="AW259" s="61" t="e">
        <f t="shared" si="605"/>
        <v>#DIV/0!</v>
      </c>
      <c r="AX259" s="61">
        <f t="shared" si="605"/>
        <v>0.274607760412394</v>
      </c>
      <c r="AY259" s="61">
        <f t="shared" si="605"/>
        <v>0.9971970611747</v>
      </c>
      <c r="AZ259" s="61">
        <f t="shared" si="605"/>
        <v>-0.504240604964133</v>
      </c>
      <c r="BA259" s="376">
        <f t="shared" si="605"/>
        <v>-0.0335810645048818</v>
      </c>
      <c r="BB259" s="342"/>
      <c r="BC259" s="342"/>
      <c r="BD259" s="259"/>
    </row>
    <row r="260" ht="16.5" customHeight="1" spans="1:56">
      <c r="A260" s="13"/>
      <c r="B260" s="13"/>
      <c r="C260" s="13"/>
      <c r="D260" s="13"/>
      <c r="E260" s="13"/>
      <c r="F260" s="13"/>
      <c r="G260" s="13"/>
      <c r="H260" s="13"/>
      <c r="I260" s="13"/>
      <c r="J260" s="13"/>
      <c r="K260" s="13"/>
      <c r="L260" s="13"/>
      <c r="M260" s="13"/>
      <c r="N260" s="13"/>
      <c r="O260" s="13"/>
      <c r="P260" s="13"/>
      <c r="Q260" s="13"/>
      <c r="R260" s="213" t="s">
        <v>3497</v>
      </c>
      <c r="S260" s="58">
        <f t="shared" ref="S260:AG260" si="606">S252-S257</f>
        <v>407999.03</v>
      </c>
      <c r="T260" s="58">
        <f t="shared" si="606"/>
        <v>-36953.5</v>
      </c>
      <c r="U260" s="58">
        <f t="shared" si="606"/>
        <v>-58516.24</v>
      </c>
      <c r="V260" s="58">
        <f t="shared" si="606"/>
        <v>21562.74</v>
      </c>
      <c r="W260" s="58">
        <f t="shared" si="606"/>
        <v>21562.74</v>
      </c>
      <c r="X260" s="58">
        <f t="shared" si="606"/>
        <v>21562.74</v>
      </c>
      <c r="Y260" s="58">
        <f t="shared" si="606"/>
        <v>21562.74</v>
      </c>
      <c r="Z260" s="58">
        <f t="shared" si="606"/>
        <v>21562.74</v>
      </c>
      <c r="AA260" s="58">
        <f t="shared" si="606"/>
        <v>21562.74</v>
      </c>
      <c r="AB260" s="58">
        <f t="shared" si="606"/>
        <v>21562.74</v>
      </c>
      <c r="AC260" s="58">
        <f t="shared" si="606"/>
        <v>21562.74</v>
      </c>
      <c r="AD260" s="58">
        <f t="shared" si="606"/>
        <v>21562.74</v>
      </c>
      <c r="AE260" s="58">
        <f t="shared" si="606"/>
        <v>21562.74</v>
      </c>
      <c r="AF260" s="58">
        <f t="shared" si="606"/>
        <v>-41286.48</v>
      </c>
      <c r="AG260" s="58">
        <f t="shared" si="606"/>
        <v>-110437.48</v>
      </c>
      <c r="AH260" s="82"/>
      <c r="AI260" s="82"/>
      <c r="AJ260" s="13"/>
      <c r="AK260" s="13"/>
      <c r="AL260" s="13"/>
      <c r="AM260" s="13"/>
      <c r="AN260" s="13"/>
      <c r="AO260" s="58">
        <f t="shared" ref="AO260:BC260" si="607">AO252-AO257</f>
        <v>0</v>
      </c>
      <c r="AP260" s="58">
        <f t="shared" si="607"/>
        <v>0</v>
      </c>
      <c r="AQ260" s="58">
        <f t="shared" si="607"/>
        <v>0</v>
      </c>
      <c r="AR260" s="58">
        <f t="shared" si="607"/>
        <v>0</v>
      </c>
      <c r="AS260" s="58">
        <f t="shared" si="607"/>
        <v>0</v>
      </c>
      <c r="AT260" s="58">
        <f t="shared" si="607"/>
        <v>0</v>
      </c>
      <c r="AU260" s="58">
        <f t="shared" si="607"/>
        <v>0</v>
      </c>
      <c r="AV260" s="58">
        <f t="shared" si="607"/>
        <v>0</v>
      </c>
      <c r="AW260" s="58">
        <f t="shared" si="607"/>
        <v>0</v>
      </c>
      <c r="AX260" s="58">
        <f t="shared" si="607"/>
        <v>62849.22</v>
      </c>
      <c r="AY260" s="58">
        <f t="shared" si="607"/>
        <v>69151</v>
      </c>
      <c r="AZ260" s="58">
        <f t="shared" si="607"/>
        <v>-110437.48</v>
      </c>
      <c r="BA260" s="58">
        <f t="shared" si="607"/>
        <v>-58516.24</v>
      </c>
      <c r="BB260" s="58">
        <f t="shared" si="607"/>
        <v>0</v>
      </c>
      <c r="BC260" s="58">
        <f t="shared" si="607"/>
        <v>0</v>
      </c>
      <c r="BD260" s="259"/>
    </row>
    <row r="261" ht="16.5" customHeight="1" spans="1:56">
      <c r="A261" s="14"/>
      <c r="B261" s="14"/>
      <c r="C261" s="14"/>
      <c r="D261" s="14"/>
      <c r="E261" s="14"/>
      <c r="F261" s="14"/>
      <c r="G261" s="14"/>
      <c r="H261" s="14"/>
      <c r="I261" s="14"/>
      <c r="J261" s="14"/>
      <c r="K261" s="14"/>
      <c r="L261" s="14"/>
      <c r="M261" s="14"/>
      <c r="N261" s="14"/>
      <c r="O261" s="14"/>
      <c r="P261" s="14"/>
      <c r="Q261" s="14"/>
      <c r="R261" s="321" t="s">
        <v>3498</v>
      </c>
      <c r="S261" s="61">
        <f t="shared" ref="S261:AG261" si="608">S260/S252</f>
        <v>0.187876342996708</v>
      </c>
      <c r="T261" s="61">
        <f t="shared" si="608"/>
        <v>-0.0174952376034925</v>
      </c>
      <c r="U261" s="322">
        <f t="shared" si="608"/>
        <v>-0.036835824468813</v>
      </c>
      <c r="V261" s="61">
        <f t="shared" si="608"/>
        <v>0.041178980870287</v>
      </c>
      <c r="W261" s="61">
        <f t="shared" si="608"/>
        <v>0.041178980870287</v>
      </c>
      <c r="X261" s="61">
        <f t="shared" si="608"/>
        <v>0.041178980870287</v>
      </c>
      <c r="Y261" s="61">
        <f t="shared" si="608"/>
        <v>0.041178980870287</v>
      </c>
      <c r="Z261" s="61">
        <f t="shared" si="608"/>
        <v>0.041178980870287</v>
      </c>
      <c r="AA261" s="61">
        <f t="shared" si="608"/>
        <v>0.041178980870287</v>
      </c>
      <c r="AB261" s="61">
        <f t="shared" si="608"/>
        <v>0.041178980870287</v>
      </c>
      <c r="AC261" s="61">
        <f t="shared" si="608"/>
        <v>0.041178980870287</v>
      </c>
      <c r="AD261" s="61">
        <f t="shared" si="608"/>
        <v>0.041178980870287</v>
      </c>
      <c r="AE261" s="61">
        <f t="shared" si="608"/>
        <v>0.041178980870287</v>
      </c>
      <c r="AF261" s="61">
        <f t="shared" si="608"/>
        <v>-0.144080955762887</v>
      </c>
      <c r="AG261" s="61">
        <f t="shared" si="608"/>
        <v>-0.513192732478615</v>
      </c>
      <c r="AH261" s="82">
        <f>T261-S261</f>
        <v>-0.205371580600201</v>
      </c>
      <c r="AI261" s="82">
        <f>AF261-S261</f>
        <v>-0.331957298759595</v>
      </c>
      <c r="AJ261" s="14"/>
      <c r="AK261" s="14"/>
      <c r="AL261" s="14"/>
      <c r="AM261" s="14"/>
      <c r="AN261" s="14"/>
      <c r="AO261" s="61" t="e">
        <f t="shared" ref="AO261:BA261" si="609">AO260/AO252</f>
        <v>#DIV/0!</v>
      </c>
      <c r="AP261" s="61" t="e">
        <f t="shared" si="609"/>
        <v>#DIV/0!</v>
      </c>
      <c r="AQ261" s="61" t="e">
        <f t="shared" si="609"/>
        <v>#DIV/0!</v>
      </c>
      <c r="AR261" s="61" t="e">
        <f t="shared" si="609"/>
        <v>#DIV/0!</v>
      </c>
      <c r="AS261" s="61" t="e">
        <f t="shared" si="609"/>
        <v>#DIV/0!</v>
      </c>
      <c r="AT261" s="61" t="e">
        <f t="shared" si="609"/>
        <v>#DIV/0!</v>
      </c>
      <c r="AU261" s="61" t="e">
        <f t="shared" si="609"/>
        <v>#DIV/0!</v>
      </c>
      <c r="AV261" s="61" t="e">
        <f t="shared" si="609"/>
        <v>#DIV/0!</v>
      </c>
      <c r="AW261" s="61" t="e">
        <f t="shared" si="609"/>
        <v>#DIV/0!</v>
      </c>
      <c r="AX261" s="61">
        <f t="shared" si="609"/>
        <v>0.265092569491706</v>
      </c>
      <c r="AY261" s="61">
        <f t="shared" si="609"/>
        <v>0.969130113541446</v>
      </c>
      <c r="AZ261" s="61">
        <f t="shared" si="609"/>
        <v>-0.513192732478615</v>
      </c>
      <c r="BA261" s="376">
        <f t="shared" si="609"/>
        <v>-0.036835824468813</v>
      </c>
      <c r="BB261" s="342"/>
      <c r="BC261" s="342"/>
      <c r="BD261" s="259"/>
    </row>
    <row r="262" ht="16.5" customHeight="1" spans="1:56">
      <c r="A262" s="300" t="s">
        <v>377</v>
      </c>
      <c r="B262" s="301" t="s">
        <v>3535</v>
      </c>
      <c r="C262" s="302">
        <v>46023</v>
      </c>
      <c r="D262" s="302">
        <v>46387</v>
      </c>
      <c r="E262" s="304"/>
      <c r="F262" s="233">
        <v>1</v>
      </c>
      <c r="G262" s="28"/>
      <c r="H262" s="301"/>
      <c r="I262" s="301"/>
      <c r="J262" s="12"/>
      <c r="K262" s="12"/>
      <c r="L262" s="12"/>
      <c r="M262" s="301"/>
      <c r="N262" s="301"/>
      <c r="O262" s="301"/>
      <c r="P262" s="304"/>
      <c r="Q262" s="301"/>
      <c r="R262" s="318" t="s">
        <v>3486</v>
      </c>
      <c r="S262" s="58">
        <v>943395.28</v>
      </c>
      <c r="T262" s="58">
        <f t="shared" ref="T262:T266" si="610">SUM(AO262:BC262)</f>
        <v>748093.21</v>
      </c>
      <c r="U262" s="319">
        <f t="shared" ref="U262:U266" si="611">SUM(BA262:BC262)</f>
        <v>695602.58</v>
      </c>
      <c r="V262" s="58">
        <f t="shared" ref="V262:V266" si="612">SUM(AO262:AZ262)</f>
        <v>52490.63</v>
      </c>
      <c r="W262" s="58">
        <f t="shared" ref="W262:W266" si="613">SUM(AP262:AZ262)</f>
        <v>52490.63</v>
      </c>
      <c r="X262" s="58">
        <f t="shared" ref="X262:X266" si="614">SUM(AQ262:AZ262)</f>
        <v>52490.63</v>
      </c>
      <c r="Y262" s="58">
        <f t="shared" ref="Y262:Y266" si="615">SUM(AR262:AZ262)</f>
        <v>52490.63</v>
      </c>
      <c r="Z262" s="58">
        <f t="shared" ref="Z262:Z266" si="616">SUM(AS262:AZ262)</f>
        <v>52490.63</v>
      </c>
      <c r="AA262" s="58">
        <f t="shared" ref="AA262:AA266" si="617">SUM(AT262:AZ262)</f>
        <v>52490.63</v>
      </c>
      <c r="AB262" s="58">
        <f t="shared" ref="AB262:AB266" si="618">SUM(AU262:AZ262)</f>
        <v>52490.63</v>
      </c>
      <c r="AC262" s="58">
        <f t="shared" ref="AC262:AC266" si="619">SUM(AV262:AZ262)</f>
        <v>52490.63</v>
      </c>
      <c r="AD262" s="58">
        <f t="shared" ref="AD262:AD266" si="620">SUM(AW262:AZ262)</f>
        <v>52490.63</v>
      </c>
      <c r="AE262" s="58">
        <f t="shared" ref="AE262:AE266" si="621">SUM(AX262:AZ262)</f>
        <v>52490.63</v>
      </c>
      <c r="AF262" s="58">
        <f t="shared" ref="AF262:AF266" si="622">SUM(AY262:AZ262)</f>
        <v>52490.63</v>
      </c>
      <c r="AG262" s="58">
        <f t="shared" ref="AG262:AG266" si="623">SUM(AZ262:AZ262)</f>
        <v>25405.36</v>
      </c>
      <c r="AH262" s="328"/>
      <c r="AI262" s="328"/>
      <c r="AJ262" s="359"/>
      <c r="AK262" s="28"/>
      <c r="AL262" s="93"/>
      <c r="AM262" s="93"/>
      <c r="AN262" s="360"/>
      <c r="AO262" s="58"/>
      <c r="AP262" s="58"/>
      <c r="AQ262" s="58"/>
      <c r="AR262" s="58"/>
      <c r="AS262" s="58"/>
      <c r="AT262" s="58"/>
      <c r="AU262" s="58"/>
      <c r="AV262" s="58"/>
      <c r="AW262" s="58"/>
      <c r="AX262" s="58"/>
      <c r="AY262" s="58">
        <v>27085.27</v>
      </c>
      <c r="AZ262" s="58">
        <v>25405.36</v>
      </c>
      <c r="BA262" s="344">
        <v>695602.58</v>
      </c>
      <c r="BB262" s="342"/>
      <c r="BC262" s="342"/>
      <c r="BD262" s="259"/>
    </row>
    <row r="263" ht="16.5" customHeight="1" spans="1:56">
      <c r="A263" s="13"/>
      <c r="B263" s="13"/>
      <c r="C263" s="13"/>
      <c r="D263" s="13"/>
      <c r="E263" s="13"/>
      <c r="F263" s="13"/>
      <c r="G263" s="13"/>
      <c r="H263" s="13"/>
      <c r="I263" s="13"/>
      <c r="J263" s="13"/>
      <c r="K263" s="13"/>
      <c r="L263" s="13"/>
      <c r="M263" s="13"/>
      <c r="N263" s="13"/>
      <c r="O263" s="13"/>
      <c r="P263" s="13"/>
      <c r="Q263" s="13"/>
      <c r="R263" s="213" t="s">
        <v>3490</v>
      </c>
      <c r="S263" s="58">
        <v>429046.61</v>
      </c>
      <c r="T263" s="58">
        <f t="shared" si="610"/>
        <v>652540.36</v>
      </c>
      <c r="U263" s="319">
        <f t="shared" si="611"/>
        <v>606286.52</v>
      </c>
      <c r="V263" s="58">
        <f t="shared" si="612"/>
        <v>46253.84</v>
      </c>
      <c r="W263" s="58">
        <f t="shared" si="613"/>
        <v>46253.84</v>
      </c>
      <c r="X263" s="58">
        <f t="shared" si="614"/>
        <v>46253.84</v>
      </c>
      <c r="Y263" s="58">
        <f t="shared" si="615"/>
        <v>46253.84</v>
      </c>
      <c r="Z263" s="58">
        <f t="shared" si="616"/>
        <v>46253.84</v>
      </c>
      <c r="AA263" s="58">
        <f t="shared" si="617"/>
        <v>46253.84</v>
      </c>
      <c r="AB263" s="58">
        <f t="shared" si="618"/>
        <v>46253.84</v>
      </c>
      <c r="AC263" s="58">
        <f t="shared" si="619"/>
        <v>46253.84</v>
      </c>
      <c r="AD263" s="58">
        <f t="shared" si="620"/>
        <v>46253.84</v>
      </c>
      <c r="AE263" s="58">
        <f t="shared" si="621"/>
        <v>46253.84</v>
      </c>
      <c r="AF263" s="58">
        <f t="shared" si="622"/>
        <v>46253.84</v>
      </c>
      <c r="AG263" s="58">
        <f t="shared" si="623"/>
        <v>29590.96</v>
      </c>
      <c r="AH263" s="328"/>
      <c r="AI263" s="328"/>
      <c r="AJ263" s="13"/>
      <c r="AK263" s="13"/>
      <c r="AL263" s="13"/>
      <c r="AM263" s="13"/>
      <c r="AN263" s="13"/>
      <c r="AO263" s="58"/>
      <c r="AP263" s="58"/>
      <c r="AQ263" s="58"/>
      <c r="AR263" s="58"/>
      <c r="AS263" s="58"/>
      <c r="AT263" s="58"/>
      <c r="AU263" s="58"/>
      <c r="AV263" s="58"/>
      <c r="AW263" s="58"/>
      <c r="AX263" s="58"/>
      <c r="AY263" s="58">
        <v>16662.88</v>
      </c>
      <c r="AZ263" s="58">
        <v>29590.96</v>
      </c>
      <c r="BA263" s="344">
        <v>606286.52</v>
      </c>
      <c r="BB263" s="342"/>
      <c r="BC263" s="342"/>
      <c r="BD263" s="259"/>
    </row>
    <row r="264" ht="16.5" customHeight="1" spans="1:56">
      <c r="A264" s="13"/>
      <c r="B264" s="13"/>
      <c r="C264" s="13"/>
      <c r="D264" s="13"/>
      <c r="E264" s="13"/>
      <c r="F264" s="13"/>
      <c r="G264" s="13"/>
      <c r="H264" s="13"/>
      <c r="I264" s="13"/>
      <c r="J264" s="13"/>
      <c r="K264" s="13"/>
      <c r="L264" s="13"/>
      <c r="M264" s="13"/>
      <c r="N264" s="13"/>
      <c r="O264" s="13"/>
      <c r="P264" s="13"/>
      <c r="Q264" s="13"/>
      <c r="R264" s="213" t="s">
        <v>3491</v>
      </c>
      <c r="S264" s="58"/>
      <c r="T264" s="58">
        <f t="shared" si="610"/>
        <v>0</v>
      </c>
      <c r="U264" s="319">
        <f t="shared" si="611"/>
        <v>0</v>
      </c>
      <c r="V264" s="58"/>
      <c r="W264" s="58"/>
      <c r="X264" s="58"/>
      <c r="Y264" s="58"/>
      <c r="Z264" s="58"/>
      <c r="AA264" s="58"/>
      <c r="AB264" s="58"/>
      <c r="AC264" s="58"/>
      <c r="AD264" s="58"/>
      <c r="AE264" s="58"/>
      <c r="AF264" s="58"/>
      <c r="AG264" s="58"/>
      <c r="AH264" s="328"/>
      <c r="AI264" s="328"/>
      <c r="AJ264" s="13"/>
      <c r="AK264" s="13"/>
      <c r="AL264" s="13"/>
      <c r="AM264" s="13"/>
      <c r="AN264" s="13"/>
      <c r="AO264" s="58"/>
      <c r="AP264" s="58"/>
      <c r="AQ264" s="58"/>
      <c r="AR264" s="58"/>
      <c r="AS264" s="58"/>
      <c r="AT264" s="58"/>
      <c r="AU264" s="58"/>
      <c r="AV264" s="58"/>
      <c r="AW264" s="58"/>
      <c r="AX264" s="58">
        <v>0</v>
      </c>
      <c r="AY264" s="58"/>
      <c r="AZ264" s="58"/>
      <c r="BA264" s="344"/>
      <c r="BB264" s="342"/>
      <c r="BC264" s="342"/>
      <c r="BD264" s="259"/>
    </row>
    <row r="265" ht="16.5" customHeight="1" spans="1:56">
      <c r="A265" s="13"/>
      <c r="B265" s="13"/>
      <c r="C265" s="13"/>
      <c r="D265" s="13"/>
      <c r="E265" s="13"/>
      <c r="F265" s="13"/>
      <c r="G265" s="13"/>
      <c r="H265" s="13"/>
      <c r="I265" s="13"/>
      <c r="J265" s="13"/>
      <c r="K265" s="13"/>
      <c r="L265" s="13"/>
      <c r="M265" s="13"/>
      <c r="N265" s="13"/>
      <c r="O265" s="13"/>
      <c r="P265" s="13"/>
      <c r="Q265" s="13"/>
      <c r="R265" s="213" t="s">
        <v>3492</v>
      </c>
      <c r="S265" s="58">
        <v>0</v>
      </c>
      <c r="T265" s="58">
        <f t="shared" si="610"/>
        <v>21435.43</v>
      </c>
      <c r="U265" s="319">
        <f t="shared" si="611"/>
        <v>21435.43</v>
      </c>
      <c r="V265" s="58">
        <f t="shared" si="612"/>
        <v>0</v>
      </c>
      <c r="W265" s="58">
        <f t="shared" si="613"/>
        <v>0</v>
      </c>
      <c r="X265" s="58">
        <f t="shared" si="614"/>
        <v>0</v>
      </c>
      <c r="Y265" s="58">
        <f t="shared" si="615"/>
        <v>0</v>
      </c>
      <c r="Z265" s="58">
        <f t="shared" si="616"/>
        <v>0</v>
      </c>
      <c r="AA265" s="58">
        <f t="shared" si="617"/>
        <v>0</v>
      </c>
      <c r="AB265" s="58">
        <f t="shared" si="618"/>
        <v>0</v>
      </c>
      <c r="AC265" s="58">
        <f t="shared" si="619"/>
        <v>0</v>
      </c>
      <c r="AD265" s="58">
        <f t="shared" si="620"/>
        <v>0</v>
      </c>
      <c r="AE265" s="58">
        <f t="shared" si="621"/>
        <v>0</v>
      </c>
      <c r="AF265" s="58">
        <f t="shared" si="622"/>
        <v>0</v>
      </c>
      <c r="AG265" s="58">
        <f t="shared" si="623"/>
        <v>0</v>
      </c>
      <c r="AH265" s="328"/>
      <c r="AI265" s="328"/>
      <c r="AJ265" s="13"/>
      <c r="AK265" s="13"/>
      <c r="AL265" s="13"/>
      <c r="AM265" s="13"/>
      <c r="AN265" s="13"/>
      <c r="AO265" s="58"/>
      <c r="AP265" s="58"/>
      <c r="AQ265" s="58"/>
      <c r="AR265" s="58"/>
      <c r="AS265" s="58"/>
      <c r="AT265" s="58"/>
      <c r="AU265" s="58"/>
      <c r="AV265" s="58"/>
      <c r="AW265" s="58"/>
      <c r="AX265" s="58"/>
      <c r="AY265" s="58">
        <v>0</v>
      </c>
      <c r="AZ265" s="58">
        <v>0</v>
      </c>
      <c r="BA265" s="344">
        <v>21435.43</v>
      </c>
      <c r="BB265" s="342"/>
      <c r="BC265" s="342"/>
      <c r="BD265" s="259"/>
    </row>
    <row r="266" ht="16.5" customHeight="1" spans="1:56">
      <c r="A266" s="13"/>
      <c r="B266" s="13"/>
      <c r="C266" s="13"/>
      <c r="D266" s="13"/>
      <c r="E266" s="13"/>
      <c r="F266" s="13"/>
      <c r="G266" s="13"/>
      <c r="H266" s="13"/>
      <c r="I266" s="13"/>
      <c r="J266" s="13"/>
      <c r="K266" s="13"/>
      <c r="L266" s="13"/>
      <c r="M266" s="13"/>
      <c r="N266" s="13"/>
      <c r="O266" s="13"/>
      <c r="P266" s="13"/>
      <c r="Q266" s="13"/>
      <c r="R266" s="213" t="s">
        <v>3493</v>
      </c>
      <c r="S266" s="58">
        <v>28503.73</v>
      </c>
      <c r="T266" s="58">
        <f t="shared" si="610"/>
        <v>6739.48</v>
      </c>
      <c r="U266" s="319">
        <f t="shared" si="611"/>
        <v>5170.41</v>
      </c>
      <c r="V266" s="58">
        <f t="shared" si="612"/>
        <v>1569.07</v>
      </c>
      <c r="W266" s="58">
        <f t="shared" si="613"/>
        <v>1569.07</v>
      </c>
      <c r="X266" s="58">
        <f t="shared" si="614"/>
        <v>1569.07</v>
      </c>
      <c r="Y266" s="58">
        <f t="shared" si="615"/>
        <v>1569.07</v>
      </c>
      <c r="Z266" s="58">
        <f t="shared" si="616"/>
        <v>1569.07</v>
      </c>
      <c r="AA266" s="58">
        <f t="shared" si="617"/>
        <v>1569.07</v>
      </c>
      <c r="AB266" s="58">
        <f t="shared" si="618"/>
        <v>1569.07</v>
      </c>
      <c r="AC266" s="58">
        <f t="shared" si="619"/>
        <v>1569.07</v>
      </c>
      <c r="AD266" s="58">
        <f t="shared" si="620"/>
        <v>1569.07</v>
      </c>
      <c r="AE266" s="58">
        <f t="shared" si="621"/>
        <v>1569.07</v>
      </c>
      <c r="AF266" s="58">
        <f t="shared" si="622"/>
        <v>1569.07</v>
      </c>
      <c r="AG266" s="58">
        <f t="shared" si="623"/>
        <v>770.07</v>
      </c>
      <c r="AH266" s="328"/>
      <c r="AI266" s="328"/>
      <c r="AJ266" s="13"/>
      <c r="AK266" s="13"/>
      <c r="AL266" s="13"/>
      <c r="AM266" s="13"/>
      <c r="AN266" s="13"/>
      <c r="AO266" s="58"/>
      <c r="AP266" s="58"/>
      <c r="AQ266" s="58"/>
      <c r="AR266" s="58"/>
      <c r="AS266" s="58"/>
      <c r="AT266" s="58"/>
      <c r="AU266" s="58"/>
      <c r="AV266" s="58"/>
      <c r="AW266" s="58"/>
      <c r="AX266" s="58"/>
      <c r="AY266" s="58">
        <v>799</v>
      </c>
      <c r="AZ266" s="58">
        <v>770.07</v>
      </c>
      <c r="BA266" s="344">
        <v>5170.41</v>
      </c>
      <c r="BB266" s="342"/>
      <c r="BC266" s="342"/>
      <c r="BD266" s="259"/>
    </row>
    <row r="267" ht="16.5" customHeight="1" spans="1:56">
      <c r="A267" s="13"/>
      <c r="B267" s="13"/>
      <c r="C267" s="13"/>
      <c r="D267" s="13"/>
      <c r="E267" s="13"/>
      <c r="F267" s="13"/>
      <c r="G267" s="13"/>
      <c r="H267" s="13"/>
      <c r="I267" s="13"/>
      <c r="J267" s="13"/>
      <c r="K267" s="13"/>
      <c r="L267" s="13"/>
      <c r="M267" s="13"/>
      <c r="N267" s="13"/>
      <c r="O267" s="13"/>
      <c r="P267" s="13"/>
      <c r="Q267" s="13"/>
      <c r="R267" s="213" t="s">
        <v>3494</v>
      </c>
      <c r="S267" s="214">
        <f t="shared" ref="S267:AG267" si="624">SUM(S263:S266)</f>
        <v>457550.34</v>
      </c>
      <c r="T267" s="214">
        <f t="shared" si="624"/>
        <v>680715.27</v>
      </c>
      <c r="U267" s="320">
        <f t="shared" si="624"/>
        <v>632892.36</v>
      </c>
      <c r="V267" s="214">
        <f t="shared" si="624"/>
        <v>47822.91</v>
      </c>
      <c r="W267" s="214">
        <f t="shared" si="624"/>
        <v>47822.91</v>
      </c>
      <c r="X267" s="214">
        <f t="shared" si="624"/>
        <v>47822.91</v>
      </c>
      <c r="Y267" s="214">
        <f t="shared" si="624"/>
        <v>47822.91</v>
      </c>
      <c r="Z267" s="214">
        <f t="shared" si="624"/>
        <v>47822.91</v>
      </c>
      <c r="AA267" s="214">
        <f t="shared" si="624"/>
        <v>47822.91</v>
      </c>
      <c r="AB267" s="214">
        <f t="shared" si="624"/>
        <v>47822.91</v>
      </c>
      <c r="AC267" s="214">
        <f t="shared" si="624"/>
        <v>47822.91</v>
      </c>
      <c r="AD267" s="214">
        <f t="shared" si="624"/>
        <v>47822.91</v>
      </c>
      <c r="AE267" s="214">
        <f t="shared" si="624"/>
        <v>47822.91</v>
      </c>
      <c r="AF267" s="214">
        <f t="shared" si="624"/>
        <v>47822.91</v>
      </c>
      <c r="AG267" s="214">
        <f t="shared" si="624"/>
        <v>30361.03</v>
      </c>
      <c r="AH267" s="214">
        <f>SUM(AH263:AH266)</f>
        <v>0</v>
      </c>
      <c r="AI267" s="214">
        <f>SUM(AI263:AI266)</f>
        <v>0</v>
      </c>
      <c r="AJ267" s="13"/>
      <c r="AK267" s="13"/>
      <c r="AL267" s="13"/>
      <c r="AM267" s="13"/>
      <c r="AN267" s="13"/>
      <c r="AO267" s="214">
        <f t="shared" ref="AO267:AZ267" si="625">SUM(AO263:AO266)</f>
        <v>0</v>
      </c>
      <c r="AP267" s="214">
        <f t="shared" si="625"/>
        <v>0</v>
      </c>
      <c r="AQ267" s="214">
        <f t="shared" si="625"/>
        <v>0</v>
      </c>
      <c r="AR267" s="214">
        <f t="shared" si="625"/>
        <v>0</v>
      </c>
      <c r="AS267" s="214">
        <f t="shared" si="625"/>
        <v>0</v>
      </c>
      <c r="AT267" s="214">
        <f t="shared" si="625"/>
        <v>0</v>
      </c>
      <c r="AU267" s="214">
        <f t="shared" si="625"/>
        <v>0</v>
      </c>
      <c r="AV267" s="214">
        <f t="shared" si="625"/>
        <v>0</v>
      </c>
      <c r="AW267" s="214">
        <f t="shared" si="625"/>
        <v>0</v>
      </c>
      <c r="AX267" s="214">
        <f t="shared" si="625"/>
        <v>0</v>
      </c>
      <c r="AY267" s="214">
        <f t="shared" si="625"/>
        <v>17461.88</v>
      </c>
      <c r="AZ267" s="214">
        <f t="shared" si="625"/>
        <v>30361.03</v>
      </c>
      <c r="BA267" s="320">
        <v>632892.36</v>
      </c>
      <c r="BB267" s="320">
        <f>SUM(BB263:BB266)</f>
        <v>0</v>
      </c>
      <c r="BC267" s="320">
        <f>SUM(BC263:BC266)</f>
        <v>0</v>
      </c>
      <c r="BD267" s="345"/>
    </row>
    <row r="268" ht="16.5" customHeight="1" spans="1:56">
      <c r="A268" s="13"/>
      <c r="B268" s="13"/>
      <c r="C268" s="13"/>
      <c r="D268" s="13"/>
      <c r="E268" s="13"/>
      <c r="F268" s="13"/>
      <c r="G268" s="13"/>
      <c r="H268" s="13"/>
      <c r="I268" s="13"/>
      <c r="J268" s="13"/>
      <c r="K268" s="13"/>
      <c r="L268" s="13"/>
      <c r="M268" s="13"/>
      <c r="N268" s="13"/>
      <c r="O268" s="13"/>
      <c r="P268" s="13"/>
      <c r="Q268" s="13"/>
      <c r="R268" s="213" t="s">
        <v>3495</v>
      </c>
      <c r="S268" s="58">
        <f t="shared" ref="S268:AG268" si="626">S262-S263</f>
        <v>514348.67</v>
      </c>
      <c r="T268" s="58">
        <f t="shared" si="626"/>
        <v>95552.85</v>
      </c>
      <c r="U268" s="319">
        <f t="shared" si="626"/>
        <v>89316.0599999999</v>
      </c>
      <c r="V268" s="58">
        <f t="shared" si="626"/>
        <v>6236.79000000001</v>
      </c>
      <c r="W268" s="58">
        <f t="shared" si="626"/>
        <v>6236.79000000001</v>
      </c>
      <c r="X268" s="58">
        <f t="shared" si="626"/>
        <v>6236.79000000001</v>
      </c>
      <c r="Y268" s="58">
        <f t="shared" si="626"/>
        <v>6236.79000000001</v>
      </c>
      <c r="Z268" s="58">
        <f t="shared" si="626"/>
        <v>6236.79000000001</v>
      </c>
      <c r="AA268" s="58">
        <f t="shared" si="626"/>
        <v>6236.79000000001</v>
      </c>
      <c r="AB268" s="58">
        <f t="shared" si="626"/>
        <v>6236.79000000001</v>
      </c>
      <c r="AC268" s="58">
        <f t="shared" si="626"/>
        <v>6236.79000000001</v>
      </c>
      <c r="AD268" s="58">
        <f t="shared" si="626"/>
        <v>6236.79000000001</v>
      </c>
      <c r="AE268" s="58">
        <f t="shared" si="626"/>
        <v>6236.79000000001</v>
      </c>
      <c r="AF268" s="58">
        <f t="shared" si="626"/>
        <v>6236.79000000001</v>
      </c>
      <c r="AG268" s="58">
        <f t="shared" si="626"/>
        <v>-4185.6</v>
      </c>
      <c r="AH268" s="332"/>
      <c r="AI268" s="332"/>
      <c r="AJ268" s="13"/>
      <c r="AK268" s="13"/>
      <c r="AL268" s="13"/>
      <c r="AM268" s="13"/>
      <c r="AN268" s="13"/>
      <c r="AO268" s="58">
        <f t="shared" ref="AO268:AZ268" si="627">AO262-AO263</f>
        <v>0</v>
      </c>
      <c r="AP268" s="58">
        <f t="shared" si="627"/>
        <v>0</v>
      </c>
      <c r="AQ268" s="58">
        <f t="shared" si="627"/>
        <v>0</v>
      </c>
      <c r="AR268" s="58">
        <f t="shared" si="627"/>
        <v>0</v>
      </c>
      <c r="AS268" s="58">
        <f t="shared" si="627"/>
        <v>0</v>
      </c>
      <c r="AT268" s="58">
        <f t="shared" si="627"/>
        <v>0</v>
      </c>
      <c r="AU268" s="58">
        <f t="shared" si="627"/>
        <v>0</v>
      </c>
      <c r="AV268" s="58">
        <f t="shared" si="627"/>
        <v>0</v>
      </c>
      <c r="AW268" s="58">
        <f t="shared" si="627"/>
        <v>0</v>
      </c>
      <c r="AX268" s="58">
        <f t="shared" si="627"/>
        <v>0</v>
      </c>
      <c r="AY268" s="58">
        <f t="shared" si="627"/>
        <v>10422.39</v>
      </c>
      <c r="AZ268" s="58">
        <f t="shared" si="627"/>
        <v>-4185.6</v>
      </c>
      <c r="BA268" s="344">
        <v>89316.0600000001</v>
      </c>
      <c r="BB268" s="342"/>
      <c r="BC268" s="342"/>
      <c r="BD268" s="259"/>
    </row>
    <row r="269" ht="16.5" customHeight="1" spans="1:56">
      <c r="A269" s="13"/>
      <c r="B269" s="13"/>
      <c r="C269" s="13"/>
      <c r="D269" s="13"/>
      <c r="E269" s="13"/>
      <c r="F269" s="13"/>
      <c r="G269" s="13"/>
      <c r="H269" s="13"/>
      <c r="I269" s="13"/>
      <c r="J269" s="13"/>
      <c r="K269" s="13"/>
      <c r="L269" s="13"/>
      <c r="M269" s="13"/>
      <c r="N269" s="13"/>
      <c r="O269" s="13"/>
      <c r="P269" s="13"/>
      <c r="Q269" s="13"/>
      <c r="R269" s="321" t="s">
        <v>3496</v>
      </c>
      <c r="S269" s="61">
        <f t="shared" ref="S269:AG269" si="628">S268/S262</f>
        <v>0.54521013715481</v>
      </c>
      <c r="T269" s="61">
        <f t="shared" si="628"/>
        <v>0.127728535325164</v>
      </c>
      <c r="U269" s="322">
        <f t="shared" si="628"/>
        <v>0.128400990117087</v>
      </c>
      <c r="V269" s="61">
        <f t="shared" si="628"/>
        <v>0.118817206042298</v>
      </c>
      <c r="W269" s="61">
        <f t="shared" si="628"/>
        <v>0.118817206042298</v>
      </c>
      <c r="X269" s="61">
        <f t="shared" si="628"/>
        <v>0.118817206042298</v>
      </c>
      <c r="Y269" s="61">
        <f t="shared" si="628"/>
        <v>0.118817206042298</v>
      </c>
      <c r="Z269" s="61">
        <f t="shared" si="628"/>
        <v>0.118817206042298</v>
      </c>
      <c r="AA269" s="61">
        <f t="shared" si="628"/>
        <v>0.118817206042298</v>
      </c>
      <c r="AB269" s="61">
        <f t="shared" si="628"/>
        <v>0.118817206042298</v>
      </c>
      <c r="AC269" s="61">
        <f t="shared" si="628"/>
        <v>0.118817206042298</v>
      </c>
      <c r="AD269" s="61">
        <f t="shared" si="628"/>
        <v>0.118817206042298</v>
      </c>
      <c r="AE269" s="61">
        <f t="shared" si="628"/>
        <v>0.118817206042298</v>
      </c>
      <c r="AF269" s="61">
        <f t="shared" si="628"/>
        <v>0.118817206042298</v>
      </c>
      <c r="AG269" s="61">
        <f t="shared" si="628"/>
        <v>-0.164752634877049</v>
      </c>
      <c r="AH269" s="82">
        <f>T269-S269</f>
        <v>-0.417481601829646</v>
      </c>
      <c r="AI269" s="82">
        <f>AF269-S269</f>
        <v>-0.426392931112512</v>
      </c>
      <c r="AJ269" s="13"/>
      <c r="AK269" s="13"/>
      <c r="AL269" s="13"/>
      <c r="AM269" s="13"/>
      <c r="AN269" s="13"/>
      <c r="AO269" s="61" t="e">
        <f t="shared" ref="AO269:AZ269" si="629">AO268/AO262</f>
        <v>#DIV/0!</v>
      </c>
      <c r="AP269" s="61" t="e">
        <f t="shared" si="629"/>
        <v>#DIV/0!</v>
      </c>
      <c r="AQ269" s="61" t="e">
        <f t="shared" si="629"/>
        <v>#DIV/0!</v>
      </c>
      <c r="AR269" s="61" t="e">
        <f t="shared" si="629"/>
        <v>#DIV/0!</v>
      </c>
      <c r="AS269" s="61" t="e">
        <f t="shared" si="629"/>
        <v>#DIV/0!</v>
      </c>
      <c r="AT269" s="61" t="e">
        <f t="shared" si="629"/>
        <v>#DIV/0!</v>
      </c>
      <c r="AU269" s="61" t="e">
        <f t="shared" si="629"/>
        <v>#DIV/0!</v>
      </c>
      <c r="AV269" s="61" t="e">
        <f t="shared" si="629"/>
        <v>#DIV/0!</v>
      </c>
      <c r="AW269" s="61" t="e">
        <f t="shared" si="629"/>
        <v>#DIV/0!</v>
      </c>
      <c r="AX269" s="61" t="e">
        <f t="shared" si="629"/>
        <v>#DIV/0!</v>
      </c>
      <c r="AY269" s="61">
        <f t="shared" si="629"/>
        <v>0.384799191590115</v>
      </c>
      <c r="AZ269" s="61">
        <f t="shared" si="629"/>
        <v>-0.164752634877049</v>
      </c>
      <c r="BA269" s="322">
        <v>0.128400990117087</v>
      </c>
      <c r="BB269" s="342"/>
      <c r="BC269" s="342"/>
      <c r="BD269" s="259"/>
    </row>
    <row r="270" ht="16.5" customHeight="1" spans="1:56">
      <c r="A270" s="13"/>
      <c r="B270" s="13"/>
      <c r="C270" s="13"/>
      <c r="D270" s="13"/>
      <c r="E270" s="13"/>
      <c r="F270" s="13"/>
      <c r="G270" s="13"/>
      <c r="H270" s="13"/>
      <c r="I270" s="13"/>
      <c r="J270" s="13"/>
      <c r="K270" s="13"/>
      <c r="L270" s="13"/>
      <c r="M270" s="13"/>
      <c r="N270" s="13"/>
      <c r="O270" s="13"/>
      <c r="P270" s="13"/>
      <c r="Q270" s="13"/>
      <c r="R270" s="213" t="s">
        <v>3497</v>
      </c>
      <c r="S270" s="58">
        <f t="shared" ref="S270:AG270" si="630">S262-S267</f>
        <v>485844.94</v>
      </c>
      <c r="T270" s="58">
        <f t="shared" si="630"/>
        <v>67377.9399999999</v>
      </c>
      <c r="U270" s="58">
        <f t="shared" si="630"/>
        <v>62710.2199999999</v>
      </c>
      <c r="V270" s="58">
        <f t="shared" si="630"/>
        <v>4667.72000000001</v>
      </c>
      <c r="W270" s="58">
        <f t="shared" si="630"/>
        <v>4667.72000000001</v>
      </c>
      <c r="X270" s="58">
        <f t="shared" si="630"/>
        <v>4667.72000000001</v>
      </c>
      <c r="Y270" s="58">
        <f t="shared" si="630"/>
        <v>4667.72000000001</v>
      </c>
      <c r="Z270" s="58">
        <f t="shared" si="630"/>
        <v>4667.72000000001</v>
      </c>
      <c r="AA270" s="58">
        <f t="shared" si="630"/>
        <v>4667.72000000001</v>
      </c>
      <c r="AB270" s="58">
        <f t="shared" si="630"/>
        <v>4667.72000000001</v>
      </c>
      <c r="AC270" s="58">
        <f t="shared" si="630"/>
        <v>4667.72000000001</v>
      </c>
      <c r="AD270" s="58">
        <f t="shared" si="630"/>
        <v>4667.72000000001</v>
      </c>
      <c r="AE270" s="58">
        <f t="shared" si="630"/>
        <v>4667.72000000001</v>
      </c>
      <c r="AF270" s="58">
        <f t="shared" si="630"/>
        <v>4667.72000000001</v>
      </c>
      <c r="AG270" s="58">
        <f t="shared" si="630"/>
        <v>-4955.67</v>
      </c>
      <c r="AH270" s="82"/>
      <c r="AI270" s="82"/>
      <c r="AJ270" s="13"/>
      <c r="AK270" s="13"/>
      <c r="AL270" s="13"/>
      <c r="AM270" s="13"/>
      <c r="AN270" s="13"/>
      <c r="AO270" s="58">
        <f t="shared" ref="AO270:BC270" si="631">AO262-AO267</f>
        <v>0</v>
      </c>
      <c r="AP270" s="58">
        <f t="shared" si="631"/>
        <v>0</v>
      </c>
      <c r="AQ270" s="58">
        <f t="shared" si="631"/>
        <v>0</v>
      </c>
      <c r="AR270" s="58">
        <f t="shared" si="631"/>
        <v>0</v>
      </c>
      <c r="AS270" s="58">
        <f t="shared" si="631"/>
        <v>0</v>
      </c>
      <c r="AT270" s="58">
        <f t="shared" si="631"/>
        <v>0</v>
      </c>
      <c r="AU270" s="58">
        <f t="shared" si="631"/>
        <v>0</v>
      </c>
      <c r="AV270" s="58">
        <f t="shared" si="631"/>
        <v>0</v>
      </c>
      <c r="AW270" s="58">
        <f t="shared" si="631"/>
        <v>0</v>
      </c>
      <c r="AX270" s="58">
        <f t="shared" si="631"/>
        <v>0</v>
      </c>
      <c r="AY270" s="58">
        <f t="shared" si="631"/>
        <v>9623.39</v>
      </c>
      <c r="AZ270" s="58">
        <f t="shared" si="631"/>
        <v>-4955.67</v>
      </c>
      <c r="BA270" s="58">
        <f t="shared" si="631"/>
        <v>62710.22</v>
      </c>
      <c r="BB270" s="58">
        <f t="shared" si="631"/>
        <v>0</v>
      </c>
      <c r="BC270" s="58">
        <f t="shared" si="631"/>
        <v>0</v>
      </c>
      <c r="BD270" s="259"/>
    </row>
    <row r="271" ht="16.5" customHeight="1" spans="1:56">
      <c r="A271" s="14"/>
      <c r="B271" s="14"/>
      <c r="C271" s="14"/>
      <c r="D271" s="14"/>
      <c r="E271" s="14"/>
      <c r="F271" s="14"/>
      <c r="G271" s="14"/>
      <c r="H271" s="14"/>
      <c r="I271" s="14"/>
      <c r="J271" s="14"/>
      <c r="K271" s="14"/>
      <c r="L271" s="14"/>
      <c r="M271" s="14"/>
      <c r="N271" s="14"/>
      <c r="O271" s="14"/>
      <c r="P271" s="14"/>
      <c r="Q271" s="14"/>
      <c r="R271" s="321" t="s">
        <v>3498</v>
      </c>
      <c r="S271" s="61">
        <f t="shared" ref="S271:AG271" si="632">S270/S262</f>
        <v>0.514996153044141</v>
      </c>
      <c r="T271" s="61">
        <f t="shared" si="632"/>
        <v>0.0900662365322096</v>
      </c>
      <c r="U271" s="322">
        <f t="shared" si="632"/>
        <v>0.0901523683250282</v>
      </c>
      <c r="V271" s="61">
        <f t="shared" si="632"/>
        <v>0.0889248233446619</v>
      </c>
      <c r="W271" s="61">
        <f t="shared" si="632"/>
        <v>0.0889248233446619</v>
      </c>
      <c r="X271" s="61">
        <f t="shared" si="632"/>
        <v>0.0889248233446619</v>
      </c>
      <c r="Y271" s="61">
        <f t="shared" si="632"/>
        <v>0.0889248233446619</v>
      </c>
      <c r="Z271" s="61">
        <f t="shared" si="632"/>
        <v>0.0889248233446619</v>
      </c>
      <c r="AA271" s="61">
        <f t="shared" si="632"/>
        <v>0.0889248233446619</v>
      </c>
      <c r="AB271" s="61">
        <f t="shared" si="632"/>
        <v>0.0889248233446619</v>
      </c>
      <c r="AC271" s="61">
        <f t="shared" si="632"/>
        <v>0.0889248233446619</v>
      </c>
      <c r="AD271" s="61">
        <f t="shared" si="632"/>
        <v>0.0889248233446619</v>
      </c>
      <c r="AE271" s="61">
        <f t="shared" si="632"/>
        <v>0.0889248233446619</v>
      </c>
      <c r="AF271" s="61">
        <f t="shared" si="632"/>
        <v>0.0889248233446619</v>
      </c>
      <c r="AG271" s="61">
        <f t="shared" si="632"/>
        <v>-0.19506395500792</v>
      </c>
      <c r="AH271" s="82">
        <f>T271-S271</f>
        <v>-0.424929916511931</v>
      </c>
      <c r="AI271" s="82">
        <f>AF271-S271</f>
        <v>-0.426071329699479</v>
      </c>
      <c r="AJ271" s="14"/>
      <c r="AK271" s="14"/>
      <c r="AL271" s="14"/>
      <c r="AM271" s="14"/>
      <c r="AN271" s="14"/>
      <c r="AO271" s="61" t="e">
        <f t="shared" ref="AO271:AZ271" si="633">AO270/AO262</f>
        <v>#DIV/0!</v>
      </c>
      <c r="AP271" s="61" t="e">
        <f t="shared" si="633"/>
        <v>#DIV/0!</v>
      </c>
      <c r="AQ271" s="61" t="e">
        <f t="shared" si="633"/>
        <v>#DIV/0!</v>
      </c>
      <c r="AR271" s="61" t="e">
        <f t="shared" si="633"/>
        <v>#DIV/0!</v>
      </c>
      <c r="AS271" s="61" t="e">
        <f t="shared" si="633"/>
        <v>#DIV/0!</v>
      </c>
      <c r="AT271" s="61" t="e">
        <f t="shared" si="633"/>
        <v>#DIV/0!</v>
      </c>
      <c r="AU271" s="61" t="e">
        <f t="shared" si="633"/>
        <v>#DIV/0!</v>
      </c>
      <c r="AV271" s="61" t="e">
        <f t="shared" si="633"/>
        <v>#DIV/0!</v>
      </c>
      <c r="AW271" s="61" t="e">
        <f t="shared" si="633"/>
        <v>#DIV/0!</v>
      </c>
      <c r="AX271" s="61" t="e">
        <f t="shared" si="633"/>
        <v>#DIV/0!</v>
      </c>
      <c r="AY271" s="61">
        <f t="shared" si="633"/>
        <v>0.355299762564671</v>
      </c>
      <c r="AZ271" s="61">
        <f t="shared" si="633"/>
        <v>-0.19506395500792</v>
      </c>
      <c r="BA271" s="322">
        <v>0.0901523683250284</v>
      </c>
      <c r="BB271" s="342"/>
      <c r="BC271" s="342"/>
      <c r="BD271" s="259"/>
    </row>
    <row r="272" ht="15" customHeight="1" spans="1:56">
      <c r="A272" s="380" t="s">
        <v>387</v>
      </c>
      <c r="B272" s="381" t="s">
        <v>388</v>
      </c>
      <c r="C272" s="382">
        <v>45447</v>
      </c>
      <c r="D272" s="382">
        <v>46203</v>
      </c>
      <c r="E272" s="308"/>
      <c r="F272" s="233" t="s">
        <v>3561</v>
      </c>
      <c r="G272" s="11">
        <v>0</v>
      </c>
      <c r="H272" s="383"/>
      <c r="I272" s="383"/>
      <c r="J272" s="389"/>
      <c r="K272" s="389"/>
      <c r="L272" s="389"/>
      <c r="M272" s="389"/>
      <c r="N272" s="389"/>
      <c r="O272" s="389"/>
      <c r="P272" s="389"/>
      <c r="Q272" s="358"/>
      <c r="R272" s="324" t="s">
        <v>3486</v>
      </c>
      <c r="S272" s="319">
        <v>433962.26</v>
      </c>
      <c r="T272" s="58">
        <f t="shared" ref="T272:T276" si="634">SUM(AO272:BC272)</f>
        <v>430829.923</v>
      </c>
      <c r="U272" s="319">
        <f t="shared" ref="U272:U276" si="635">SUM(BA272:BC272)</f>
        <v>430829.923</v>
      </c>
      <c r="V272" s="58">
        <f t="shared" ref="V272:V276" si="636">SUM(AO272:AZ272)</f>
        <v>0</v>
      </c>
      <c r="W272" s="58">
        <f t="shared" ref="W272:W276" si="637">SUM(AP272:AZ272)</f>
        <v>0</v>
      </c>
      <c r="X272" s="58">
        <f t="shared" ref="X272:X276" si="638">SUM(AQ272:AZ272)</f>
        <v>0</v>
      </c>
      <c r="Y272" s="58">
        <f t="shared" ref="Y272:Y276" si="639">SUM(AR272:AZ272)</f>
        <v>0</v>
      </c>
      <c r="Z272" s="58">
        <f t="shared" ref="Z272:Z276" si="640">SUM(AS272:AZ272)</f>
        <v>0</v>
      </c>
      <c r="AA272" s="58">
        <f t="shared" ref="AA272:AA276" si="641">SUM(AT272:AZ272)</f>
        <v>0</v>
      </c>
      <c r="AB272" s="58">
        <f t="shared" ref="AB272:AB276" si="642">SUM(AU272:AZ272)</f>
        <v>0</v>
      </c>
      <c r="AC272" s="58">
        <f t="shared" ref="AC272:AC276" si="643">SUM(AV272:AZ272)</f>
        <v>0</v>
      </c>
      <c r="AD272" s="58">
        <f t="shared" ref="AD272:AD276" si="644">SUM(AW272:AZ272)</f>
        <v>0</v>
      </c>
      <c r="AE272" s="58">
        <f t="shared" ref="AE272:AE276" si="645">SUM(AX272:AZ272)</f>
        <v>0</v>
      </c>
      <c r="AF272" s="58">
        <f t="shared" ref="AF272:AF276" si="646">SUM(AY272:AZ272)</f>
        <v>0</v>
      </c>
      <c r="AG272" s="58">
        <f t="shared" ref="AG272:AG276" si="647">SUM(AZ272:AZ272)</f>
        <v>0</v>
      </c>
      <c r="AH272" s="334"/>
      <c r="AI272" s="328"/>
      <c r="AJ272" s="393" t="s">
        <v>537</v>
      </c>
      <c r="AK272" s="336"/>
      <c r="AL272" s="337" t="s">
        <v>538</v>
      </c>
      <c r="AM272" s="337"/>
      <c r="AN272" s="394"/>
      <c r="AO272" s="58"/>
      <c r="AP272" s="58"/>
      <c r="AQ272" s="58"/>
      <c r="AR272" s="58"/>
      <c r="AS272" s="58"/>
      <c r="AT272" s="58"/>
      <c r="AU272" s="58"/>
      <c r="AV272" s="58"/>
      <c r="AW272" s="58"/>
      <c r="AX272" s="58">
        <v>0</v>
      </c>
      <c r="AY272" s="58">
        <v>0</v>
      </c>
      <c r="AZ272" s="319"/>
      <c r="BA272" s="344">
        <v>0</v>
      </c>
      <c r="BB272" s="344">
        <v>430829.923</v>
      </c>
      <c r="BC272" s="342"/>
      <c r="BD272" s="401"/>
    </row>
    <row r="273" ht="15" customHeight="1" spans="1:56">
      <c r="A273" s="13"/>
      <c r="B273" s="13"/>
      <c r="C273" s="13"/>
      <c r="D273" s="13"/>
      <c r="E273" s="13"/>
      <c r="F273" s="13"/>
      <c r="G273" s="13"/>
      <c r="H273" s="13"/>
      <c r="I273" s="13"/>
      <c r="J273" s="13"/>
      <c r="K273" s="13"/>
      <c r="L273" s="13"/>
      <c r="M273" s="13"/>
      <c r="N273" s="13"/>
      <c r="O273" s="13"/>
      <c r="P273" s="13"/>
      <c r="Q273" s="13"/>
      <c r="R273" s="324" t="s">
        <v>3490</v>
      </c>
      <c r="S273" s="319">
        <v>389884.43</v>
      </c>
      <c r="T273" s="58">
        <f t="shared" si="634"/>
        <v>409173.01</v>
      </c>
      <c r="U273" s="319">
        <f t="shared" si="635"/>
        <v>409173.01</v>
      </c>
      <c r="V273" s="58">
        <f t="shared" si="636"/>
        <v>0</v>
      </c>
      <c r="W273" s="58">
        <f t="shared" si="637"/>
        <v>0</v>
      </c>
      <c r="X273" s="58">
        <f t="shared" si="638"/>
        <v>0</v>
      </c>
      <c r="Y273" s="58">
        <f t="shared" si="639"/>
        <v>0</v>
      </c>
      <c r="Z273" s="58">
        <f t="shared" si="640"/>
        <v>0</v>
      </c>
      <c r="AA273" s="58">
        <f t="shared" si="641"/>
        <v>0</v>
      </c>
      <c r="AB273" s="58">
        <f t="shared" si="642"/>
        <v>0</v>
      </c>
      <c r="AC273" s="58">
        <f t="shared" si="643"/>
        <v>0</v>
      </c>
      <c r="AD273" s="58">
        <f t="shared" si="644"/>
        <v>0</v>
      </c>
      <c r="AE273" s="58">
        <f t="shared" si="645"/>
        <v>0</v>
      </c>
      <c r="AF273" s="58">
        <f t="shared" si="646"/>
        <v>0</v>
      </c>
      <c r="AG273" s="58">
        <f t="shared" si="647"/>
        <v>0</v>
      </c>
      <c r="AH273" s="334"/>
      <c r="AI273" s="328"/>
      <c r="AJ273" s="13"/>
      <c r="AK273" s="13"/>
      <c r="AL273" s="13"/>
      <c r="AM273" s="13"/>
      <c r="AN273" s="395"/>
      <c r="AO273" s="58"/>
      <c r="AP273" s="58"/>
      <c r="AQ273" s="58"/>
      <c r="AR273" s="58"/>
      <c r="AS273" s="58"/>
      <c r="AT273" s="58"/>
      <c r="AU273" s="58"/>
      <c r="AV273" s="58"/>
      <c r="AW273" s="58"/>
      <c r="AX273" s="58">
        <v>0</v>
      </c>
      <c r="AY273" s="58">
        <v>0</v>
      </c>
      <c r="AZ273" s="319"/>
      <c r="BA273" s="344">
        <v>-944.97</v>
      </c>
      <c r="BB273" s="344">
        <v>410117.98</v>
      </c>
      <c r="BC273" s="342"/>
      <c r="BD273" s="401"/>
    </row>
    <row r="274" ht="15" customHeight="1" spans="1:56">
      <c r="A274" s="13"/>
      <c r="B274" s="13"/>
      <c r="C274" s="13"/>
      <c r="D274" s="13"/>
      <c r="E274" s="13"/>
      <c r="F274" s="13"/>
      <c r="G274" s="13"/>
      <c r="H274" s="13"/>
      <c r="I274" s="13"/>
      <c r="J274" s="13"/>
      <c r="K274" s="13"/>
      <c r="L274" s="13"/>
      <c r="M274" s="13"/>
      <c r="N274" s="13"/>
      <c r="O274" s="13"/>
      <c r="P274" s="13"/>
      <c r="Q274" s="13"/>
      <c r="R274" s="324" t="s">
        <v>3491</v>
      </c>
      <c r="S274" s="319"/>
      <c r="T274" s="58">
        <f t="shared" si="634"/>
        <v>0</v>
      </c>
      <c r="U274" s="319">
        <f t="shared" si="635"/>
        <v>0</v>
      </c>
      <c r="V274" s="58"/>
      <c r="W274" s="58"/>
      <c r="X274" s="58"/>
      <c r="Y274" s="58"/>
      <c r="Z274" s="58"/>
      <c r="AA274" s="58"/>
      <c r="AB274" s="58"/>
      <c r="AC274" s="58"/>
      <c r="AD274" s="58"/>
      <c r="AE274" s="58"/>
      <c r="AF274" s="58"/>
      <c r="AG274" s="58"/>
      <c r="AH274" s="334"/>
      <c r="AI274" s="328"/>
      <c r="AJ274" s="13"/>
      <c r="AK274" s="13"/>
      <c r="AL274" s="13"/>
      <c r="AM274" s="13"/>
      <c r="AN274" s="395"/>
      <c r="AO274" s="58"/>
      <c r="AP274" s="58"/>
      <c r="AQ274" s="58"/>
      <c r="AR274" s="58"/>
      <c r="AS274" s="58"/>
      <c r="AT274" s="58"/>
      <c r="AU274" s="58"/>
      <c r="AV274" s="58"/>
      <c r="AW274" s="58"/>
      <c r="AX274" s="58">
        <v>0</v>
      </c>
      <c r="AY274" s="58"/>
      <c r="AZ274" s="319"/>
      <c r="BA274" s="344"/>
      <c r="BB274" s="344"/>
      <c r="BC274" s="342"/>
      <c r="BD274" s="401"/>
    </row>
    <row r="275" ht="15" customHeight="1" spans="1:56">
      <c r="A275" s="13"/>
      <c r="B275" s="13"/>
      <c r="C275" s="13"/>
      <c r="D275" s="13"/>
      <c r="E275" s="13"/>
      <c r="F275" s="13"/>
      <c r="G275" s="13"/>
      <c r="H275" s="13"/>
      <c r="I275" s="13"/>
      <c r="J275" s="13"/>
      <c r="K275" s="13"/>
      <c r="L275" s="13"/>
      <c r="M275" s="13"/>
      <c r="N275" s="13"/>
      <c r="O275" s="13"/>
      <c r="P275" s="13"/>
      <c r="Q275" s="13"/>
      <c r="R275" s="324" t="s">
        <v>3492</v>
      </c>
      <c r="S275" s="319">
        <v>0</v>
      </c>
      <c r="T275" s="58">
        <f t="shared" si="634"/>
        <v>0</v>
      </c>
      <c r="U275" s="319">
        <f t="shared" si="635"/>
        <v>0</v>
      </c>
      <c r="V275" s="58">
        <f t="shared" si="636"/>
        <v>0</v>
      </c>
      <c r="W275" s="58">
        <f t="shared" si="637"/>
        <v>0</v>
      </c>
      <c r="X275" s="58">
        <f t="shared" si="638"/>
        <v>0</v>
      </c>
      <c r="Y275" s="58">
        <f t="shared" si="639"/>
        <v>0</v>
      </c>
      <c r="Z275" s="58">
        <f t="shared" si="640"/>
        <v>0</v>
      </c>
      <c r="AA275" s="58">
        <f t="shared" si="641"/>
        <v>0</v>
      </c>
      <c r="AB275" s="58">
        <f t="shared" si="642"/>
        <v>0</v>
      </c>
      <c r="AC275" s="58">
        <f t="shared" si="643"/>
        <v>0</v>
      </c>
      <c r="AD275" s="58">
        <f t="shared" si="644"/>
        <v>0</v>
      </c>
      <c r="AE275" s="58">
        <f t="shared" si="645"/>
        <v>0</v>
      </c>
      <c r="AF275" s="58">
        <f t="shared" si="646"/>
        <v>0</v>
      </c>
      <c r="AG275" s="58">
        <f t="shared" si="647"/>
        <v>0</v>
      </c>
      <c r="AH275" s="334"/>
      <c r="AI275" s="328"/>
      <c r="AJ275" s="13"/>
      <c r="AK275" s="13"/>
      <c r="AL275" s="13"/>
      <c r="AM275" s="13"/>
      <c r="AN275" s="395"/>
      <c r="AO275" s="58"/>
      <c r="AP275" s="58"/>
      <c r="AQ275" s="58"/>
      <c r="AR275" s="58"/>
      <c r="AS275" s="58"/>
      <c r="AT275" s="58"/>
      <c r="AU275" s="58"/>
      <c r="AV275" s="58"/>
      <c r="AW275" s="58"/>
      <c r="AX275" s="58"/>
      <c r="AY275" s="58">
        <v>0</v>
      </c>
      <c r="AZ275" s="319"/>
      <c r="BA275" s="344">
        <v>0</v>
      </c>
      <c r="BB275" s="344">
        <v>0</v>
      </c>
      <c r="BC275" s="342"/>
      <c r="BD275" s="401"/>
    </row>
    <row r="276" ht="15" customHeight="1" spans="1:56">
      <c r="A276" s="13"/>
      <c r="B276" s="13"/>
      <c r="C276" s="13"/>
      <c r="D276" s="13"/>
      <c r="E276" s="13"/>
      <c r="F276" s="13"/>
      <c r="G276" s="13"/>
      <c r="H276" s="13"/>
      <c r="I276" s="13"/>
      <c r="J276" s="13"/>
      <c r="K276" s="13"/>
      <c r="L276" s="13"/>
      <c r="M276" s="13"/>
      <c r="N276" s="13"/>
      <c r="O276" s="13"/>
      <c r="P276" s="13"/>
      <c r="Q276" s="13"/>
      <c r="R276" s="324" t="s">
        <v>3493</v>
      </c>
      <c r="S276" s="319">
        <v>600</v>
      </c>
      <c r="T276" s="58">
        <f t="shared" si="634"/>
        <v>4890.68</v>
      </c>
      <c r="U276" s="319">
        <f t="shared" si="635"/>
        <v>4476.68</v>
      </c>
      <c r="V276" s="58">
        <f t="shared" si="636"/>
        <v>414</v>
      </c>
      <c r="W276" s="58">
        <f t="shared" si="637"/>
        <v>414</v>
      </c>
      <c r="X276" s="58">
        <f t="shared" si="638"/>
        <v>414</v>
      </c>
      <c r="Y276" s="58">
        <f t="shared" si="639"/>
        <v>414</v>
      </c>
      <c r="Z276" s="58">
        <f t="shared" si="640"/>
        <v>414</v>
      </c>
      <c r="AA276" s="58">
        <f t="shared" si="641"/>
        <v>414</v>
      </c>
      <c r="AB276" s="58">
        <f t="shared" si="642"/>
        <v>414</v>
      </c>
      <c r="AC276" s="58">
        <f t="shared" si="643"/>
        <v>414</v>
      </c>
      <c r="AD276" s="58">
        <f t="shared" si="644"/>
        <v>414</v>
      </c>
      <c r="AE276" s="58">
        <f t="shared" si="645"/>
        <v>414</v>
      </c>
      <c r="AF276" s="58">
        <f t="shared" si="646"/>
        <v>276</v>
      </c>
      <c r="AG276" s="58">
        <f t="shared" si="647"/>
        <v>138</v>
      </c>
      <c r="AH276" s="334"/>
      <c r="AI276" s="328"/>
      <c r="AJ276" s="13"/>
      <c r="AK276" s="13"/>
      <c r="AL276" s="13"/>
      <c r="AM276" s="13"/>
      <c r="AN276" s="395"/>
      <c r="AO276" s="58"/>
      <c r="AP276" s="58"/>
      <c r="AQ276" s="58"/>
      <c r="AR276" s="58"/>
      <c r="AS276" s="58"/>
      <c r="AT276" s="58"/>
      <c r="AU276" s="58"/>
      <c r="AV276" s="58"/>
      <c r="AW276" s="58"/>
      <c r="AX276" s="58">
        <v>138</v>
      </c>
      <c r="AY276" s="58">
        <v>138</v>
      </c>
      <c r="AZ276" s="319">
        <v>138</v>
      </c>
      <c r="BA276" s="344">
        <v>4232</v>
      </c>
      <c r="BB276" s="344">
        <v>244.68</v>
      </c>
      <c r="BC276" s="342"/>
      <c r="BD276" s="401"/>
    </row>
    <row r="277" ht="16.5" customHeight="1" spans="1:56">
      <c r="A277" s="13"/>
      <c r="B277" s="13"/>
      <c r="C277" s="13"/>
      <c r="D277" s="13"/>
      <c r="E277" s="13"/>
      <c r="F277" s="13"/>
      <c r="G277" s="13"/>
      <c r="H277" s="13"/>
      <c r="I277" s="13"/>
      <c r="J277" s="13"/>
      <c r="K277" s="13"/>
      <c r="L277" s="13"/>
      <c r="M277" s="13"/>
      <c r="N277" s="13"/>
      <c r="O277" s="13"/>
      <c r="P277" s="13"/>
      <c r="Q277" s="13"/>
      <c r="R277" s="324" t="s">
        <v>3494</v>
      </c>
      <c r="S277" s="320">
        <f t="shared" ref="S277:AG277" si="648">SUM(S273:S276)</f>
        <v>390484.43</v>
      </c>
      <c r="T277" s="214">
        <f t="shared" si="648"/>
        <v>414063.69</v>
      </c>
      <c r="U277" s="320">
        <f t="shared" si="648"/>
        <v>413649.69</v>
      </c>
      <c r="V277" s="214">
        <f t="shared" si="648"/>
        <v>414</v>
      </c>
      <c r="W277" s="214">
        <f t="shared" si="648"/>
        <v>414</v>
      </c>
      <c r="X277" s="214">
        <f t="shared" si="648"/>
        <v>414</v>
      </c>
      <c r="Y277" s="214">
        <f t="shared" si="648"/>
        <v>414</v>
      </c>
      <c r="Z277" s="214">
        <f t="shared" si="648"/>
        <v>414</v>
      </c>
      <c r="AA277" s="214">
        <f t="shared" si="648"/>
        <v>414</v>
      </c>
      <c r="AB277" s="214">
        <f t="shared" si="648"/>
        <v>414</v>
      </c>
      <c r="AC277" s="214">
        <f t="shared" si="648"/>
        <v>414</v>
      </c>
      <c r="AD277" s="214">
        <f t="shared" si="648"/>
        <v>414</v>
      </c>
      <c r="AE277" s="214">
        <f t="shared" si="648"/>
        <v>414</v>
      </c>
      <c r="AF277" s="214">
        <f t="shared" si="648"/>
        <v>276</v>
      </c>
      <c r="AG277" s="214">
        <f t="shared" si="648"/>
        <v>138</v>
      </c>
      <c r="AH277" s="320">
        <f>SUM(AH273:AH276)</f>
        <v>0</v>
      </c>
      <c r="AI277" s="214">
        <f>SUM(AI273:AI276)</f>
        <v>0</v>
      </c>
      <c r="AJ277" s="13"/>
      <c r="AK277" s="13"/>
      <c r="AL277" s="13"/>
      <c r="AM277" s="13"/>
      <c r="AN277" s="320"/>
      <c r="AO277" s="214">
        <f t="shared" ref="AO277:AX277" si="649">SUM(AO273:AO276)</f>
        <v>0</v>
      </c>
      <c r="AP277" s="214">
        <f t="shared" si="649"/>
        <v>0</v>
      </c>
      <c r="AQ277" s="214">
        <f t="shared" si="649"/>
        <v>0</v>
      </c>
      <c r="AR277" s="214">
        <f t="shared" si="649"/>
        <v>0</v>
      </c>
      <c r="AS277" s="214">
        <f t="shared" si="649"/>
        <v>0</v>
      </c>
      <c r="AT277" s="214">
        <f t="shared" si="649"/>
        <v>0</v>
      </c>
      <c r="AU277" s="214">
        <f t="shared" si="649"/>
        <v>0</v>
      </c>
      <c r="AV277" s="214">
        <f t="shared" si="649"/>
        <v>0</v>
      </c>
      <c r="AW277" s="214">
        <f t="shared" si="649"/>
        <v>0</v>
      </c>
      <c r="AX277" s="214">
        <f t="shared" si="649"/>
        <v>138</v>
      </c>
      <c r="AY277" s="214">
        <v>138</v>
      </c>
      <c r="AZ277" s="320">
        <f>SUM(AZ273:AZ276)</f>
        <v>138</v>
      </c>
      <c r="BA277" s="320">
        <v>3287.03</v>
      </c>
      <c r="BB277" s="320">
        <f>SUM(BB273:BB276)</f>
        <v>410362.66</v>
      </c>
      <c r="BC277" s="320">
        <f>SUM(BC273:BC276)</f>
        <v>0</v>
      </c>
      <c r="BD277" s="402"/>
    </row>
    <row r="278" ht="15" customHeight="1" spans="1:56">
      <c r="A278" s="13"/>
      <c r="B278" s="13"/>
      <c r="C278" s="13"/>
      <c r="D278" s="13"/>
      <c r="E278" s="13"/>
      <c r="F278" s="13"/>
      <c r="G278" s="13"/>
      <c r="H278" s="13"/>
      <c r="I278" s="13"/>
      <c r="J278" s="13"/>
      <c r="K278" s="13"/>
      <c r="L278" s="13"/>
      <c r="M278" s="13"/>
      <c r="N278" s="13"/>
      <c r="O278" s="13"/>
      <c r="P278" s="13"/>
      <c r="Q278" s="13"/>
      <c r="R278" s="324" t="s">
        <v>3495</v>
      </c>
      <c r="S278" s="319">
        <f t="shared" ref="S278:AG278" si="650">S272-S273</f>
        <v>44077.83</v>
      </c>
      <c r="T278" s="58">
        <f t="shared" si="650"/>
        <v>21656.913</v>
      </c>
      <c r="U278" s="319">
        <f t="shared" si="650"/>
        <v>21656.913</v>
      </c>
      <c r="V278" s="58">
        <f t="shared" si="650"/>
        <v>0</v>
      </c>
      <c r="W278" s="58">
        <f t="shared" si="650"/>
        <v>0</v>
      </c>
      <c r="X278" s="58">
        <f t="shared" si="650"/>
        <v>0</v>
      </c>
      <c r="Y278" s="58">
        <f t="shared" si="650"/>
        <v>0</v>
      </c>
      <c r="Z278" s="58">
        <f t="shared" si="650"/>
        <v>0</v>
      </c>
      <c r="AA278" s="58">
        <f t="shared" si="650"/>
        <v>0</v>
      </c>
      <c r="AB278" s="58">
        <f t="shared" si="650"/>
        <v>0</v>
      </c>
      <c r="AC278" s="58">
        <f t="shared" si="650"/>
        <v>0</v>
      </c>
      <c r="AD278" s="58">
        <f t="shared" si="650"/>
        <v>0</v>
      </c>
      <c r="AE278" s="58">
        <f t="shared" si="650"/>
        <v>0</v>
      </c>
      <c r="AF278" s="58">
        <f t="shared" si="650"/>
        <v>0</v>
      </c>
      <c r="AG278" s="58">
        <f t="shared" si="650"/>
        <v>0</v>
      </c>
      <c r="AH278" s="339"/>
      <c r="AI278" s="332"/>
      <c r="AJ278" s="13"/>
      <c r="AK278" s="13"/>
      <c r="AL278" s="13"/>
      <c r="AM278" s="13"/>
      <c r="AN278" s="395"/>
      <c r="AO278" s="58">
        <f t="shared" ref="AO278:AZ278" si="651">AO272-AO273</f>
        <v>0</v>
      </c>
      <c r="AP278" s="58">
        <f t="shared" si="651"/>
        <v>0</v>
      </c>
      <c r="AQ278" s="58">
        <f t="shared" si="651"/>
        <v>0</v>
      </c>
      <c r="AR278" s="58">
        <f t="shared" si="651"/>
        <v>0</v>
      </c>
      <c r="AS278" s="58">
        <f t="shared" si="651"/>
        <v>0</v>
      </c>
      <c r="AT278" s="58">
        <f t="shared" si="651"/>
        <v>0</v>
      </c>
      <c r="AU278" s="58">
        <f t="shared" si="651"/>
        <v>0</v>
      </c>
      <c r="AV278" s="58">
        <f t="shared" si="651"/>
        <v>0</v>
      </c>
      <c r="AW278" s="58">
        <f t="shared" si="651"/>
        <v>0</v>
      </c>
      <c r="AX278" s="58">
        <f t="shared" si="651"/>
        <v>0</v>
      </c>
      <c r="AY278" s="58">
        <f t="shared" si="651"/>
        <v>0</v>
      </c>
      <c r="AZ278" s="319">
        <f t="shared" si="651"/>
        <v>0</v>
      </c>
      <c r="BA278" s="344">
        <v>944.97</v>
      </c>
      <c r="BB278" s="344">
        <v>34211.943</v>
      </c>
      <c r="BC278" s="342"/>
      <c r="BD278" s="401"/>
    </row>
    <row r="279" ht="15" customHeight="1" spans="1:56">
      <c r="A279" s="13"/>
      <c r="B279" s="13"/>
      <c r="C279" s="13"/>
      <c r="D279" s="13"/>
      <c r="E279" s="13"/>
      <c r="F279" s="13"/>
      <c r="G279" s="13"/>
      <c r="H279" s="13"/>
      <c r="I279" s="13"/>
      <c r="J279" s="13"/>
      <c r="K279" s="13"/>
      <c r="L279" s="13"/>
      <c r="M279" s="13"/>
      <c r="N279" s="13"/>
      <c r="O279" s="13"/>
      <c r="P279" s="13"/>
      <c r="Q279" s="13"/>
      <c r="R279" s="325" t="s">
        <v>3496</v>
      </c>
      <c r="S279" s="322">
        <f t="shared" ref="S279:AG279" si="652">S278/S272</f>
        <v>0.101570652710676</v>
      </c>
      <c r="T279" s="61">
        <f t="shared" si="652"/>
        <v>0.0502678942288788</v>
      </c>
      <c r="U279" s="322">
        <f t="shared" si="652"/>
        <v>0.0502678942288788</v>
      </c>
      <c r="V279" s="61" t="e">
        <f t="shared" si="652"/>
        <v>#DIV/0!</v>
      </c>
      <c r="W279" s="61" t="e">
        <f t="shared" si="652"/>
        <v>#DIV/0!</v>
      </c>
      <c r="X279" s="61" t="e">
        <f t="shared" si="652"/>
        <v>#DIV/0!</v>
      </c>
      <c r="Y279" s="61" t="e">
        <f t="shared" si="652"/>
        <v>#DIV/0!</v>
      </c>
      <c r="Z279" s="61" t="e">
        <f t="shared" si="652"/>
        <v>#DIV/0!</v>
      </c>
      <c r="AA279" s="61" t="e">
        <f t="shared" si="652"/>
        <v>#DIV/0!</v>
      </c>
      <c r="AB279" s="61" t="e">
        <f t="shared" si="652"/>
        <v>#DIV/0!</v>
      </c>
      <c r="AC279" s="61" t="e">
        <f t="shared" si="652"/>
        <v>#DIV/0!</v>
      </c>
      <c r="AD279" s="61" t="e">
        <f t="shared" si="652"/>
        <v>#DIV/0!</v>
      </c>
      <c r="AE279" s="61" t="e">
        <f t="shared" si="652"/>
        <v>#DIV/0!</v>
      </c>
      <c r="AF279" s="61" t="e">
        <f t="shared" si="652"/>
        <v>#DIV/0!</v>
      </c>
      <c r="AG279" s="61" t="e">
        <f t="shared" si="652"/>
        <v>#DIV/0!</v>
      </c>
      <c r="AH279" s="340">
        <f>T279-S279</f>
        <v>-0.051302758481797</v>
      </c>
      <c r="AI279" s="82" t="e">
        <f>AF279-S279</f>
        <v>#DIV/0!</v>
      </c>
      <c r="AJ279" s="13"/>
      <c r="AK279" s="13"/>
      <c r="AL279" s="13"/>
      <c r="AM279" s="13"/>
      <c r="AN279" s="395"/>
      <c r="AO279" s="61" t="e">
        <f t="shared" ref="AO279:AZ279" si="653">AO278/AO272</f>
        <v>#DIV/0!</v>
      </c>
      <c r="AP279" s="61" t="e">
        <f t="shared" si="653"/>
        <v>#DIV/0!</v>
      </c>
      <c r="AQ279" s="61" t="e">
        <f t="shared" si="653"/>
        <v>#DIV/0!</v>
      </c>
      <c r="AR279" s="61" t="e">
        <f t="shared" si="653"/>
        <v>#DIV/0!</v>
      </c>
      <c r="AS279" s="61" t="e">
        <f t="shared" si="653"/>
        <v>#DIV/0!</v>
      </c>
      <c r="AT279" s="61" t="e">
        <f t="shared" si="653"/>
        <v>#DIV/0!</v>
      </c>
      <c r="AU279" s="61" t="e">
        <f t="shared" si="653"/>
        <v>#DIV/0!</v>
      </c>
      <c r="AV279" s="61" t="e">
        <f t="shared" si="653"/>
        <v>#DIV/0!</v>
      </c>
      <c r="AW279" s="61" t="e">
        <f t="shared" si="653"/>
        <v>#DIV/0!</v>
      </c>
      <c r="AX279" s="61" t="e">
        <f t="shared" si="653"/>
        <v>#DIV/0!</v>
      </c>
      <c r="AY279" s="61" t="e">
        <f t="shared" si="653"/>
        <v>#DIV/0!</v>
      </c>
      <c r="AZ279" s="322" t="e">
        <f t="shared" si="653"/>
        <v>#DIV/0!</v>
      </c>
      <c r="BA279" s="322" t="e">
        <v>#DIV/0!</v>
      </c>
      <c r="BB279" s="322">
        <v>0.0794093937620948</v>
      </c>
      <c r="BC279" s="342"/>
      <c r="BD279" s="401"/>
    </row>
    <row r="280" ht="15" customHeight="1" spans="1:56">
      <c r="A280" s="13"/>
      <c r="B280" s="13"/>
      <c r="C280" s="13"/>
      <c r="D280" s="13"/>
      <c r="E280" s="13"/>
      <c r="F280" s="13"/>
      <c r="G280" s="13"/>
      <c r="H280" s="13"/>
      <c r="I280" s="13"/>
      <c r="J280" s="13"/>
      <c r="K280" s="13"/>
      <c r="L280" s="13"/>
      <c r="M280" s="13"/>
      <c r="N280" s="13"/>
      <c r="O280" s="13"/>
      <c r="P280" s="13"/>
      <c r="Q280" s="13"/>
      <c r="R280" s="324" t="s">
        <v>3497</v>
      </c>
      <c r="S280" s="58">
        <f t="shared" ref="S280:AG280" si="654">S272-S277</f>
        <v>43477.83</v>
      </c>
      <c r="T280" s="58">
        <f t="shared" si="654"/>
        <v>16766.233</v>
      </c>
      <c r="U280" s="58">
        <f t="shared" si="654"/>
        <v>17180.233</v>
      </c>
      <c r="V280" s="58">
        <f t="shared" si="654"/>
        <v>-414</v>
      </c>
      <c r="W280" s="58">
        <f t="shared" si="654"/>
        <v>-414</v>
      </c>
      <c r="X280" s="58">
        <f t="shared" si="654"/>
        <v>-414</v>
      </c>
      <c r="Y280" s="58">
        <f t="shared" si="654"/>
        <v>-414</v>
      </c>
      <c r="Z280" s="58">
        <f t="shared" si="654"/>
        <v>-414</v>
      </c>
      <c r="AA280" s="58">
        <f t="shared" si="654"/>
        <v>-414</v>
      </c>
      <c r="AB280" s="58">
        <f t="shared" si="654"/>
        <v>-414</v>
      </c>
      <c r="AC280" s="58">
        <f t="shared" si="654"/>
        <v>-414</v>
      </c>
      <c r="AD280" s="58">
        <f t="shared" si="654"/>
        <v>-414</v>
      </c>
      <c r="AE280" s="58">
        <f t="shared" si="654"/>
        <v>-414</v>
      </c>
      <c r="AF280" s="58">
        <f t="shared" si="654"/>
        <v>-276</v>
      </c>
      <c r="AG280" s="58">
        <f t="shared" si="654"/>
        <v>-138</v>
      </c>
      <c r="AH280" s="82"/>
      <c r="AI280" s="82"/>
      <c r="AJ280" s="13"/>
      <c r="AK280" s="13"/>
      <c r="AL280" s="13"/>
      <c r="AM280" s="13"/>
      <c r="AN280" s="395"/>
      <c r="AO280" s="58">
        <f t="shared" ref="AO280:AZ280" si="655">AO272-AO273-AO275-AO276</f>
        <v>0</v>
      </c>
      <c r="AP280" s="58">
        <f t="shared" si="655"/>
        <v>0</v>
      </c>
      <c r="AQ280" s="58">
        <f t="shared" si="655"/>
        <v>0</v>
      </c>
      <c r="AR280" s="58">
        <f t="shared" si="655"/>
        <v>0</v>
      </c>
      <c r="AS280" s="58">
        <f t="shared" si="655"/>
        <v>0</v>
      </c>
      <c r="AT280" s="58">
        <f t="shared" si="655"/>
        <v>0</v>
      </c>
      <c r="AU280" s="58">
        <f t="shared" si="655"/>
        <v>0</v>
      </c>
      <c r="AV280" s="58">
        <f t="shared" si="655"/>
        <v>0</v>
      </c>
      <c r="AW280" s="58">
        <f t="shared" si="655"/>
        <v>0</v>
      </c>
      <c r="AX280" s="58">
        <f t="shared" si="655"/>
        <v>-138</v>
      </c>
      <c r="AY280" s="58">
        <f t="shared" si="655"/>
        <v>-138</v>
      </c>
      <c r="AZ280" s="319">
        <f t="shared" si="655"/>
        <v>-138</v>
      </c>
      <c r="BA280" s="344">
        <v>-3287.03</v>
      </c>
      <c r="BB280" s="344">
        <v>33967.263</v>
      </c>
      <c r="BC280" s="342"/>
      <c r="BD280" s="401"/>
    </row>
    <row r="281" ht="19.65" customHeight="1" spans="1:56">
      <c r="A281" s="14"/>
      <c r="B281" s="14"/>
      <c r="C281" s="14"/>
      <c r="D281" s="14"/>
      <c r="E281" s="14"/>
      <c r="F281" s="14"/>
      <c r="G281" s="14"/>
      <c r="H281" s="14"/>
      <c r="I281" s="14"/>
      <c r="J281" s="14"/>
      <c r="K281" s="14"/>
      <c r="L281" s="14"/>
      <c r="M281" s="14"/>
      <c r="N281" s="14"/>
      <c r="O281" s="14"/>
      <c r="P281" s="14"/>
      <c r="Q281" s="14"/>
      <c r="R281" s="325" t="s">
        <v>3498</v>
      </c>
      <c r="S281" s="322">
        <f t="shared" ref="S281:AG281" si="656">S280/S272</f>
        <v>0.100188044001799</v>
      </c>
      <c r="T281" s="61">
        <f t="shared" si="656"/>
        <v>0.0389161293237285</v>
      </c>
      <c r="U281" s="322">
        <f t="shared" si="656"/>
        <v>0.0398770653634474</v>
      </c>
      <c r="V281" s="61" t="e">
        <f t="shared" si="656"/>
        <v>#DIV/0!</v>
      </c>
      <c r="W281" s="61" t="e">
        <f t="shared" si="656"/>
        <v>#DIV/0!</v>
      </c>
      <c r="X281" s="61" t="e">
        <f t="shared" si="656"/>
        <v>#DIV/0!</v>
      </c>
      <c r="Y281" s="61" t="e">
        <f t="shared" si="656"/>
        <v>#DIV/0!</v>
      </c>
      <c r="Z281" s="61" t="e">
        <f t="shared" si="656"/>
        <v>#DIV/0!</v>
      </c>
      <c r="AA281" s="61" t="e">
        <f t="shared" si="656"/>
        <v>#DIV/0!</v>
      </c>
      <c r="AB281" s="61" t="e">
        <f t="shared" si="656"/>
        <v>#DIV/0!</v>
      </c>
      <c r="AC281" s="61" t="e">
        <f t="shared" si="656"/>
        <v>#DIV/0!</v>
      </c>
      <c r="AD281" s="61" t="e">
        <f t="shared" si="656"/>
        <v>#DIV/0!</v>
      </c>
      <c r="AE281" s="61" t="e">
        <f t="shared" si="656"/>
        <v>#DIV/0!</v>
      </c>
      <c r="AF281" s="61" t="e">
        <f t="shared" si="656"/>
        <v>#DIV/0!</v>
      </c>
      <c r="AG281" s="61" t="e">
        <f t="shared" si="656"/>
        <v>#DIV/0!</v>
      </c>
      <c r="AH281" s="340">
        <f>T281-S281</f>
        <v>-0.0612719146780702</v>
      </c>
      <c r="AI281" s="82" t="e">
        <f>AF281-S281</f>
        <v>#DIV/0!</v>
      </c>
      <c r="AJ281" s="14"/>
      <c r="AK281" s="14"/>
      <c r="AL281" s="14"/>
      <c r="AM281" s="14"/>
      <c r="AN281" s="361"/>
      <c r="AO281" s="61" t="e">
        <f t="shared" ref="AO281:AZ281" si="657">AO280/AO272</f>
        <v>#DIV/0!</v>
      </c>
      <c r="AP281" s="61" t="e">
        <f t="shared" si="657"/>
        <v>#DIV/0!</v>
      </c>
      <c r="AQ281" s="61" t="e">
        <f t="shared" si="657"/>
        <v>#DIV/0!</v>
      </c>
      <c r="AR281" s="61" t="e">
        <f t="shared" si="657"/>
        <v>#DIV/0!</v>
      </c>
      <c r="AS281" s="61" t="e">
        <f t="shared" si="657"/>
        <v>#DIV/0!</v>
      </c>
      <c r="AT281" s="61" t="e">
        <f t="shared" si="657"/>
        <v>#DIV/0!</v>
      </c>
      <c r="AU281" s="61" t="e">
        <f t="shared" si="657"/>
        <v>#DIV/0!</v>
      </c>
      <c r="AV281" s="61" t="e">
        <f t="shared" si="657"/>
        <v>#DIV/0!</v>
      </c>
      <c r="AW281" s="61" t="e">
        <f t="shared" si="657"/>
        <v>#DIV/0!</v>
      </c>
      <c r="AX281" s="61" t="e">
        <f t="shared" si="657"/>
        <v>#DIV/0!</v>
      </c>
      <c r="AY281" s="61" t="e">
        <f t="shared" si="657"/>
        <v>#DIV/0!</v>
      </c>
      <c r="AZ281" s="322" t="e">
        <f t="shared" si="657"/>
        <v>#DIV/0!</v>
      </c>
      <c r="BA281" s="322" t="e">
        <v>#DIV/0!</v>
      </c>
      <c r="BB281" s="322">
        <v>0.0788414666360117</v>
      </c>
      <c r="BC281" s="342"/>
      <c r="BD281" s="401"/>
    </row>
    <row r="282" ht="15" customHeight="1" spans="1:56">
      <c r="A282" s="384" t="s">
        <v>293</v>
      </c>
      <c r="B282" s="385" t="s">
        <v>294</v>
      </c>
      <c r="C282" s="211">
        <v>45299</v>
      </c>
      <c r="D282" s="211">
        <v>46660</v>
      </c>
      <c r="E282" s="304"/>
      <c r="F282" s="233" t="s">
        <v>3561</v>
      </c>
      <c r="G282" s="28">
        <v>0</v>
      </c>
      <c r="H282" s="12"/>
      <c r="I282" s="12"/>
      <c r="J282" s="12"/>
      <c r="K282" s="12"/>
      <c r="L282" s="12"/>
      <c r="M282" s="12"/>
      <c r="N282" s="12"/>
      <c r="O282" s="12"/>
      <c r="P282" s="304"/>
      <c r="Q282" s="12"/>
      <c r="R282" s="212" t="s">
        <v>3486</v>
      </c>
      <c r="S282" s="58">
        <v>528536.17</v>
      </c>
      <c r="T282" s="58">
        <f t="shared" ref="T282:T286" si="658">SUM(AO282:BC282)</f>
        <v>78863.15</v>
      </c>
      <c r="U282" s="319">
        <f t="shared" ref="U282:U286" si="659">SUM(BA282:BC282)</f>
        <v>78863.15</v>
      </c>
      <c r="V282" s="58">
        <f t="shared" ref="V282:V286" si="660">SUM(AO282:AZ282)</f>
        <v>0</v>
      </c>
      <c r="W282" s="58">
        <f t="shared" ref="W282:W286" si="661">SUM(AP282:AZ282)</f>
        <v>0</v>
      </c>
      <c r="X282" s="58">
        <f t="shared" ref="X282:X286" si="662">SUM(AQ282:AZ282)</f>
        <v>0</v>
      </c>
      <c r="Y282" s="58">
        <f t="shared" ref="Y282:Y286" si="663">SUM(AR282:AZ282)</f>
        <v>0</v>
      </c>
      <c r="Z282" s="58">
        <f t="shared" ref="Z282:Z286" si="664">SUM(AS282:AZ282)</f>
        <v>0</v>
      </c>
      <c r="AA282" s="58">
        <f t="shared" ref="AA282:AA286" si="665">SUM(AT282:AZ282)</f>
        <v>0</v>
      </c>
      <c r="AB282" s="58">
        <f t="shared" ref="AB282:AB286" si="666">SUM(AU282:AZ282)</f>
        <v>0</v>
      </c>
      <c r="AC282" s="58">
        <f t="shared" ref="AC282:AC286" si="667">SUM(AV282:AZ282)</f>
        <v>0</v>
      </c>
      <c r="AD282" s="58">
        <f t="shared" ref="AD282:AD286" si="668">SUM(AW282:AZ282)</f>
        <v>0</v>
      </c>
      <c r="AE282" s="58">
        <f t="shared" ref="AE282:AE286" si="669">SUM(AX282:AZ282)</f>
        <v>0</v>
      </c>
      <c r="AF282" s="58">
        <f t="shared" ref="AF282:AF286" si="670">SUM(AY282:AZ282)</f>
        <v>0</v>
      </c>
      <c r="AG282" s="58">
        <f t="shared" ref="AG282:AG286" si="671">SUM(AZ282:AZ282)</f>
        <v>0</v>
      </c>
      <c r="AH282" s="328"/>
      <c r="AI282" s="328"/>
      <c r="AJ282" s="396" t="s">
        <v>3583</v>
      </c>
      <c r="AK282" s="201"/>
      <c r="AL282" s="265"/>
      <c r="AM282" s="265" t="s">
        <v>3584</v>
      </c>
      <c r="AN282" s="233"/>
      <c r="AO282" s="58"/>
      <c r="AP282" s="58"/>
      <c r="AQ282" s="58"/>
      <c r="AR282" s="58"/>
      <c r="AS282" s="58"/>
      <c r="AT282" s="58"/>
      <c r="AU282" s="58"/>
      <c r="AV282" s="58"/>
      <c r="AW282" s="58"/>
      <c r="AX282" s="58">
        <v>0</v>
      </c>
      <c r="AY282" s="58">
        <v>0</v>
      </c>
      <c r="AZ282" s="58"/>
      <c r="BA282" s="344">
        <v>78863.15</v>
      </c>
      <c r="BB282" s="319"/>
      <c r="BC282" s="319"/>
      <c r="BD282" s="259"/>
    </row>
    <row r="283" ht="15" customHeight="1" spans="1:56">
      <c r="A283" s="13"/>
      <c r="B283" s="13"/>
      <c r="C283" s="13"/>
      <c r="D283" s="13"/>
      <c r="E283" s="13"/>
      <c r="F283" s="13"/>
      <c r="G283" s="13"/>
      <c r="H283" s="13"/>
      <c r="I283" s="13"/>
      <c r="J283" s="13"/>
      <c r="K283" s="13"/>
      <c r="L283" s="13"/>
      <c r="M283" s="13"/>
      <c r="N283" s="13"/>
      <c r="O283" s="13"/>
      <c r="P283" s="13"/>
      <c r="Q283" s="13"/>
      <c r="R283" s="212" t="s">
        <v>3490</v>
      </c>
      <c r="S283" s="58">
        <v>591928.93</v>
      </c>
      <c r="T283" s="58">
        <f t="shared" si="658"/>
        <v>375898.2</v>
      </c>
      <c r="U283" s="319">
        <f t="shared" si="659"/>
        <v>375898.2</v>
      </c>
      <c r="V283" s="58">
        <f t="shared" si="660"/>
        <v>0</v>
      </c>
      <c r="W283" s="58">
        <f t="shared" si="661"/>
        <v>0</v>
      </c>
      <c r="X283" s="58">
        <f t="shared" si="662"/>
        <v>0</v>
      </c>
      <c r="Y283" s="58">
        <f t="shared" si="663"/>
        <v>0</v>
      </c>
      <c r="Z283" s="58">
        <f t="shared" si="664"/>
        <v>0</v>
      </c>
      <c r="AA283" s="58">
        <f t="shared" si="665"/>
        <v>0</v>
      </c>
      <c r="AB283" s="58">
        <f t="shared" si="666"/>
        <v>0</v>
      </c>
      <c r="AC283" s="58">
        <f t="shared" si="667"/>
        <v>0</v>
      </c>
      <c r="AD283" s="58">
        <f t="shared" si="668"/>
        <v>0</v>
      </c>
      <c r="AE283" s="58">
        <f t="shared" si="669"/>
        <v>0</v>
      </c>
      <c r="AF283" s="58">
        <f t="shared" si="670"/>
        <v>0</v>
      </c>
      <c r="AG283" s="58">
        <f t="shared" si="671"/>
        <v>0</v>
      </c>
      <c r="AH283" s="328"/>
      <c r="AI283" s="328"/>
      <c r="AJ283" s="13"/>
      <c r="AK283" s="13"/>
      <c r="AL283" s="13"/>
      <c r="AM283" s="13"/>
      <c r="AN283" s="13"/>
      <c r="AO283" s="58"/>
      <c r="AP283" s="58"/>
      <c r="AQ283" s="58"/>
      <c r="AR283" s="58"/>
      <c r="AS283" s="58"/>
      <c r="AT283" s="58"/>
      <c r="AU283" s="58"/>
      <c r="AV283" s="58"/>
      <c r="AW283" s="58"/>
      <c r="AX283" s="58">
        <v>0</v>
      </c>
      <c r="AY283" s="58">
        <v>0</v>
      </c>
      <c r="AZ283" s="58"/>
      <c r="BA283" s="344">
        <v>375898.2</v>
      </c>
      <c r="BB283" s="319"/>
      <c r="BC283" s="319"/>
      <c r="BD283" s="259"/>
    </row>
    <row r="284" ht="15" customHeight="1" spans="1:56">
      <c r="A284" s="13"/>
      <c r="B284" s="13"/>
      <c r="C284" s="13"/>
      <c r="D284" s="13"/>
      <c r="E284" s="13"/>
      <c r="F284" s="13"/>
      <c r="G284" s="13"/>
      <c r="H284" s="13"/>
      <c r="I284" s="13"/>
      <c r="J284" s="13"/>
      <c r="K284" s="13"/>
      <c r="L284" s="13"/>
      <c r="M284" s="13"/>
      <c r="N284" s="13"/>
      <c r="O284" s="13"/>
      <c r="P284" s="13"/>
      <c r="Q284" s="13"/>
      <c r="R284" s="213" t="s">
        <v>3491</v>
      </c>
      <c r="S284" s="58"/>
      <c r="T284" s="58">
        <f t="shared" si="658"/>
        <v>0</v>
      </c>
      <c r="U284" s="319">
        <f t="shared" si="659"/>
        <v>0</v>
      </c>
      <c r="V284" s="58"/>
      <c r="W284" s="58"/>
      <c r="X284" s="58"/>
      <c r="Y284" s="58"/>
      <c r="Z284" s="58"/>
      <c r="AA284" s="58"/>
      <c r="AB284" s="58"/>
      <c r="AC284" s="58"/>
      <c r="AD284" s="58"/>
      <c r="AE284" s="58"/>
      <c r="AF284" s="58"/>
      <c r="AG284" s="58"/>
      <c r="AH284" s="328"/>
      <c r="AI284" s="328"/>
      <c r="AJ284" s="13"/>
      <c r="AK284" s="13"/>
      <c r="AL284" s="13"/>
      <c r="AM284" s="13"/>
      <c r="AN284" s="13"/>
      <c r="AO284" s="58"/>
      <c r="AP284" s="58"/>
      <c r="AQ284" s="58"/>
      <c r="AR284" s="58"/>
      <c r="AS284" s="58"/>
      <c r="AT284" s="58"/>
      <c r="AU284" s="58"/>
      <c r="AV284" s="58"/>
      <c r="AW284" s="58"/>
      <c r="AX284" s="58">
        <v>0</v>
      </c>
      <c r="AY284" s="58"/>
      <c r="AZ284" s="58"/>
      <c r="BA284" s="344"/>
      <c r="BB284" s="319"/>
      <c r="BC284" s="319"/>
      <c r="BD284" s="259"/>
    </row>
    <row r="285" ht="15" customHeight="1" spans="1:56">
      <c r="A285" s="13"/>
      <c r="B285" s="13"/>
      <c r="C285" s="13"/>
      <c r="D285" s="13"/>
      <c r="E285" s="13"/>
      <c r="F285" s="13"/>
      <c r="G285" s="13"/>
      <c r="H285" s="13"/>
      <c r="I285" s="13"/>
      <c r="J285" s="13"/>
      <c r="K285" s="13"/>
      <c r="L285" s="13"/>
      <c r="M285" s="13"/>
      <c r="N285" s="13"/>
      <c r="O285" s="13"/>
      <c r="P285" s="13"/>
      <c r="Q285" s="13"/>
      <c r="R285" s="212" t="s">
        <v>3492</v>
      </c>
      <c r="S285" s="58">
        <v>53000</v>
      </c>
      <c r="T285" s="58">
        <f t="shared" si="658"/>
        <v>0</v>
      </c>
      <c r="U285" s="319">
        <f t="shared" si="659"/>
        <v>0</v>
      </c>
      <c r="V285" s="58">
        <f t="shared" si="660"/>
        <v>0</v>
      </c>
      <c r="W285" s="58">
        <f t="shared" si="661"/>
        <v>0</v>
      </c>
      <c r="X285" s="58">
        <f t="shared" si="662"/>
        <v>0</v>
      </c>
      <c r="Y285" s="58">
        <f t="shared" si="663"/>
        <v>0</v>
      </c>
      <c r="Z285" s="58">
        <f t="shared" si="664"/>
        <v>0</v>
      </c>
      <c r="AA285" s="58">
        <f t="shared" si="665"/>
        <v>0</v>
      </c>
      <c r="AB285" s="58">
        <f t="shared" si="666"/>
        <v>0</v>
      </c>
      <c r="AC285" s="58">
        <f t="shared" si="667"/>
        <v>0</v>
      </c>
      <c r="AD285" s="58">
        <f t="shared" si="668"/>
        <v>0</v>
      </c>
      <c r="AE285" s="58">
        <f t="shared" si="669"/>
        <v>0</v>
      </c>
      <c r="AF285" s="58">
        <f t="shared" si="670"/>
        <v>0</v>
      </c>
      <c r="AG285" s="58">
        <f t="shared" si="671"/>
        <v>0</v>
      </c>
      <c r="AH285" s="328"/>
      <c r="AI285" s="328"/>
      <c r="AJ285" s="13"/>
      <c r="AK285" s="13"/>
      <c r="AL285" s="13"/>
      <c r="AM285" s="13"/>
      <c r="AN285" s="13"/>
      <c r="AO285" s="58"/>
      <c r="AP285" s="58"/>
      <c r="AQ285" s="58"/>
      <c r="AR285" s="58"/>
      <c r="AS285" s="58"/>
      <c r="AT285" s="58"/>
      <c r="AU285" s="58"/>
      <c r="AV285" s="58"/>
      <c r="AW285" s="58"/>
      <c r="AX285" s="58"/>
      <c r="AY285" s="58">
        <v>0</v>
      </c>
      <c r="AZ285" s="58"/>
      <c r="BA285" s="344">
        <v>0</v>
      </c>
      <c r="BB285" s="319"/>
      <c r="BC285" s="319"/>
      <c r="BD285" s="259"/>
    </row>
    <row r="286" ht="15" customHeight="1" spans="1:56">
      <c r="A286" s="13"/>
      <c r="B286" s="13"/>
      <c r="C286" s="13"/>
      <c r="D286" s="13"/>
      <c r="E286" s="13"/>
      <c r="F286" s="13"/>
      <c r="G286" s="13"/>
      <c r="H286" s="13"/>
      <c r="I286" s="13"/>
      <c r="J286" s="13"/>
      <c r="K286" s="13"/>
      <c r="L286" s="13"/>
      <c r="M286" s="13"/>
      <c r="N286" s="13"/>
      <c r="O286" s="13"/>
      <c r="P286" s="13"/>
      <c r="Q286" s="13"/>
      <c r="R286" s="212" t="s">
        <v>3493</v>
      </c>
      <c r="S286" s="58">
        <v>0</v>
      </c>
      <c r="T286" s="58">
        <f t="shared" si="658"/>
        <v>4160.87</v>
      </c>
      <c r="U286" s="319">
        <f t="shared" si="659"/>
        <v>3250.19</v>
      </c>
      <c r="V286" s="58">
        <f t="shared" si="660"/>
        <v>910.68</v>
      </c>
      <c r="W286" s="58">
        <f t="shared" si="661"/>
        <v>910.68</v>
      </c>
      <c r="X286" s="58">
        <f t="shared" si="662"/>
        <v>910.68</v>
      </c>
      <c r="Y286" s="58">
        <f t="shared" si="663"/>
        <v>910.68</v>
      </c>
      <c r="Z286" s="58">
        <f t="shared" si="664"/>
        <v>910.68</v>
      </c>
      <c r="AA286" s="58">
        <f t="shared" si="665"/>
        <v>910.68</v>
      </c>
      <c r="AB286" s="58">
        <f t="shared" si="666"/>
        <v>910.68</v>
      </c>
      <c r="AC286" s="58">
        <f t="shared" si="667"/>
        <v>910.68</v>
      </c>
      <c r="AD286" s="58">
        <f t="shared" si="668"/>
        <v>910.68</v>
      </c>
      <c r="AE286" s="58">
        <f t="shared" si="669"/>
        <v>910.68</v>
      </c>
      <c r="AF286" s="58">
        <f t="shared" si="670"/>
        <v>455.34</v>
      </c>
      <c r="AG286" s="58">
        <f t="shared" si="671"/>
        <v>0</v>
      </c>
      <c r="AH286" s="328"/>
      <c r="AI286" s="328"/>
      <c r="AJ286" s="13"/>
      <c r="AK286" s="13"/>
      <c r="AL286" s="13"/>
      <c r="AM286" s="13"/>
      <c r="AN286" s="13"/>
      <c r="AO286" s="58"/>
      <c r="AP286" s="58"/>
      <c r="AQ286" s="58"/>
      <c r="AR286" s="58"/>
      <c r="AS286" s="58"/>
      <c r="AT286" s="58"/>
      <c r="AU286" s="58"/>
      <c r="AV286" s="58"/>
      <c r="AW286" s="58"/>
      <c r="AX286" s="58">
        <v>455.34</v>
      </c>
      <c r="AY286" s="58">
        <v>455.34</v>
      </c>
      <c r="AZ286" s="58"/>
      <c r="BA286" s="344">
        <v>3250.19</v>
      </c>
      <c r="BB286" s="319"/>
      <c r="BC286" s="319"/>
      <c r="BD286" s="259"/>
    </row>
    <row r="287" ht="16.5" customHeight="1" spans="1:56">
      <c r="A287" s="13"/>
      <c r="B287" s="13"/>
      <c r="C287" s="13"/>
      <c r="D287" s="13"/>
      <c r="E287" s="13"/>
      <c r="F287" s="13"/>
      <c r="G287" s="13"/>
      <c r="H287" s="13"/>
      <c r="I287" s="13"/>
      <c r="J287" s="13"/>
      <c r="K287" s="13"/>
      <c r="L287" s="13"/>
      <c r="M287" s="13"/>
      <c r="N287" s="13"/>
      <c r="O287" s="13"/>
      <c r="P287" s="13"/>
      <c r="Q287" s="13"/>
      <c r="R287" s="213" t="s">
        <v>3494</v>
      </c>
      <c r="S287" s="214">
        <f t="shared" ref="S287:AG287" si="672">SUM(S283:S286)</f>
        <v>644928.93</v>
      </c>
      <c r="T287" s="214">
        <f t="shared" si="672"/>
        <v>380059.07</v>
      </c>
      <c r="U287" s="320">
        <f t="shared" si="672"/>
        <v>379148.39</v>
      </c>
      <c r="V287" s="214">
        <f t="shared" si="672"/>
        <v>910.68</v>
      </c>
      <c r="W287" s="214">
        <f t="shared" si="672"/>
        <v>910.68</v>
      </c>
      <c r="X287" s="214">
        <f t="shared" si="672"/>
        <v>910.68</v>
      </c>
      <c r="Y287" s="214">
        <f t="shared" si="672"/>
        <v>910.68</v>
      </c>
      <c r="Z287" s="214">
        <f t="shared" si="672"/>
        <v>910.68</v>
      </c>
      <c r="AA287" s="214">
        <f t="shared" si="672"/>
        <v>910.68</v>
      </c>
      <c r="AB287" s="214">
        <f t="shared" si="672"/>
        <v>910.68</v>
      </c>
      <c r="AC287" s="214">
        <f t="shared" si="672"/>
        <v>910.68</v>
      </c>
      <c r="AD287" s="214">
        <f t="shared" si="672"/>
        <v>910.68</v>
      </c>
      <c r="AE287" s="214">
        <f t="shared" si="672"/>
        <v>910.68</v>
      </c>
      <c r="AF287" s="214">
        <f t="shared" si="672"/>
        <v>455.34</v>
      </c>
      <c r="AG287" s="214">
        <f t="shared" si="672"/>
        <v>0</v>
      </c>
      <c r="AH287" s="214">
        <f>SUM(AH283:AH286)</f>
        <v>0</v>
      </c>
      <c r="AI287" s="214">
        <f>SUM(AI283:AI286)</f>
        <v>0</v>
      </c>
      <c r="AJ287" s="13"/>
      <c r="AK287" s="13"/>
      <c r="AL287" s="13"/>
      <c r="AM287" s="13"/>
      <c r="AN287" s="13"/>
      <c r="AO287" s="214">
        <f t="shared" ref="AO287:AX287" si="673">SUM(AO283:AO286)</f>
        <v>0</v>
      </c>
      <c r="AP287" s="214">
        <f t="shared" si="673"/>
        <v>0</v>
      </c>
      <c r="AQ287" s="214">
        <f t="shared" si="673"/>
        <v>0</v>
      </c>
      <c r="AR287" s="214">
        <f t="shared" si="673"/>
        <v>0</v>
      </c>
      <c r="AS287" s="214">
        <f t="shared" si="673"/>
        <v>0</v>
      </c>
      <c r="AT287" s="214">
        <f t="shared" si="673"/>
        <v>0</v>
      </c>
      <c r="AU287" s="214">
        <f t="shared" si="673"/>
        <v>0</v>
      </c>
      <c r="AV287" s="214">
        <f t="shared" si="673"/>
        <v>0</v>
      </c>
      <c r="AW287" s="214">
        <f t="shared" si="673"/>
        <v>0</v>
      </c>
      <c r="AX287" s="214">
        <f t="shared" si="673"/>
        <v>455.34</v>
      </c>
      <c r="AY287" s="214">
        <v>455.34</v>
      </c>
      <c r="AZ287" s="214">
        <f>SUM(AZ283:AZ286)</f>
        <v>0</v>
      </c>
      <c r="BA287" s="320">
        <v>379148.39</v>
      </c>
      <c r="BB287" s="320">
        <f>SUM(BB283:BB286)</f>
        <v>0</v>
      </c>
      <c r="BC287" s="320">
        <f>SUM(BC283:BC286)</f>
        <v>0</v>
      </c>
      <c r="BD287" s="345"/>
    </row>
    <row r="288" ht="15" customHeight="1" spans="1:56">
      <c r="A288" s="13"/>
      <c r="B288" s="13"/>
      <c r="C288" s="13"/>
      <c r="D288" s="13"/>
      <c r="E288" s="13"/>
      <c r="F288" s="13"/>
      <c r="G288" s="13"/>
      <c r="H288" s="13"/>
      <c r="I288" s="13"/>
      <c r="J288" s="13"/>
      <c r="K288" s="13"/>
      <c r="L288" s="13"/>
      <c r="M288" s="13"/>
      <c r="N288" s="13"/>
      <c r="O288" s="13"/>
      <c r="P288" s="13"/>
      <c r="Q288" s="13"/>
      <c r="R288" s="212" t="s">
        <v>3495</v>
      </c>
      <c r="S288" s="58">
        <f t="shared" ref="S288:AG288" si="674">S282-S283</f>
        <v>-63392.76</v>
      </c>
      <c r="T288" s="58">
        <f t="shared" si="674"/>
        <v>-297035.05</v>
      </c>
      <c r="U288" s="319">
        <f t="shared" si="674"/>
        <v>-297035.05</v>
      </c>
      <c r="V288" s="58">
        <f t="shared" si="674"/>
        <v>0</v>
      </c>
      <c r="W288" s="58">
        <f t="shared" si="674"/>
        <v>0</v>
      </c>
      <c r="X288" s="58">
        <f t="shared" si="674"/>
        <v>0</v>
      </c>
      <c r="Y288" s="58">
        <f t="shared" si="674"/>
        <v>0</v>
      </c>
      <c r="Z288" s="58">
        <f t="shared" si="674"/>
        <v>0</v>
      </c>
      <c r="AA288" s="58">
        <f t="shared" si="674"/>
        <v>0</v>
      </c>
      <c r="AB288" s="58">
        <f t="shared" si="674"/>
        <v>0</v>
      </c>
      <c r="AC288" s="58">
        <f t="shared" si="674"/>
        <v>0</v>
      </c>
      <c r="AD288" s="58">
        <f t="shared" si="674"/>
        <v>0</v>
      </c>
      <c r="AE288" s="58">
        <f t="shared" si="674"/>
        <v>0</v>
      </c>
      <c r="AF288" s="58">
        <f t="shared" si="674"/>
        <v>0</v>
      </c>
      <c r="AG288" s="58">
        <f t="shared" si="674"/>
        <v>0</v>
      </c>
      <c r="AH288" s="332"/>
      <c r="AI288" s="332"/>
      <c r="AJ288" s="13"/>
      <c r="AK288" s="13"/>
      <c r="AL288" s="13"/>
      <c r="AM288" s="13"/>
      <c r="AN288" s="13"/>
      <c r="AO288" s="58">
        <f t="shared" ref="AO288:AZ288" si="675">AO282-AO283</f>
        <v>0</v>
      </c>
      <c r="AP288" s="58">
        <f t="shared" si="675"/>
        <v>0</v>
      </c>
      <c r="AQ288" s="58">
        <f t="shared" si="675"/>
        <v>0</v>
      </c>
      <c r="AR288" s="58">
        <f t="shared" si="675"/>
        <v>0</v>
      </c>
      <c r="AS288" s="58">
        <f t="shared" si="675"/>
        <v>0</v>
      </c>
      <c r="AT288" s="58">
        <f t="shared" si="675"/>
        <v>0</v>
      </c>
      <c r="AU288" s="58">
        <f t="shared" si="675"/>
        <v>0</v>
      </c>
      <c r="AV288" s="58">
        <f t="shared" si="675"/>
        <v>0</v>
      </c>
      <c r="AW288" s="58">
        <f t="shared" si="675"/>
        <v>0</v>
      </c>
      <c r="AX288" s="58">
        <f t="shared" si="675"/>
        <v>0</v>
      </c>
      <c r="AY288" s="58">
        <f t="shared" si="675"/>
        <v>0</v>
      </c>
      <c r="AZ288" s="58">
        <f t="shared" si="675"/>
        <v>0</v>
      </c>
      <c r="BA288" s="344">
        <v>-297035.05</v>
      </c>
      <c r="BB288" s="320"/>
      <c r="BC288" s="320"/>
      <c r="BD288" s="259"/>
    </row>
    <row r="289" ht="15" customHeight="1" spans="1:56">
      <c r="A289" s="13"/>
      <c r="B289" s="13"/>
      <c r="C289" s="13"/>
      <c r="D289" s="13"/>
      <c r="E289" s="13"/>
      <c r="F289" s="13"/>
      <c r="G289" s="13"/>
      <c r="H289" s="13"/>
      <c r="I289" s="13"/>
      <c r="J289" s="13"/>
      <c r="K289" s="13"/>
      <c r="L289" s="13"/>
      <c r="M289" s="13"/>
      <c r="N289" s="13"/>
      <c r="O289" s="13"/>
      <c r="P289" s="13"/>
      <c r="Q289" s="13"/>
      <c r="R289" s="215" t="s">
        <v>3496</v>
      </c>
      <c r="S289" s="61">
        <f t="shared" ref="S289:AG289" si="676">S288/S282</f>
        <v>-0.119940249311603</v>
      </c>
      <c r="T289" s="61">
        <f t="shared" si="676"/>
        <v>-3.76646190267571</v>
      </c>
      <c r="U289" s="322">
        <f t="shared" si="676"/>
        <v>-3.76646190267571</v>
      </c>
      <c r="V289" s="61" t="e">
        <f t="shared" si="676"/>
        <v>#DIV/0!</v>
      </c>
      <c r="W289" s="61" t="e">
        <f t="shared" si="676"/>
        <v>#DIV/0!</v>
      </c>
      <c r="X289" s="61" t="e">
        <f t="shared" si="676"/>
        <v>#DIV/0!</v>
      </c>
      <c r="Y289" s="61" t="e">
        <f t="shared" si="676"/>
        <v>#DIV/0!</v>
      </c>
      <c r="Z289" s="61" t="e">
        <f t="shared" si="676"/>
        <v>#DIV/0!</v>
      </c>
      <c r="AA289" s="61" t="e">
        <f t="shared" si="676"/>
        <v>#DIV/0!</v>
      </c>
      <c r="AB289" s="61" t="e">
        <f t="shared" si="676"/>
        <v>#DIV/0!</v>
      </c>
      <c r="AC289" s="61" t="e">
        <f t="shared" si="676"/>
        <v>#DIV/0!</v>
      </c>
      <c r="AD289" s="61" t="e">
        <f t="shared" si="676"/>
        <v>#DIV/0!</v>
      </c>
      <c r="AE289" s="61" t="e">
        <f t="shared" si="676"/>
        <v>#DIV/0!</v>
      </c>
      <c r="AF289" s="61" t="e">
        <f t="shared" si="676"/>
        <v>#DIV/0!</v>
      </c>
      <c r="AG289" s="61" t="e">
        <f t="shared" si="676"/>
        <v>#DIV/0!</v>
      </c>
      <c r="AH289" s="82">
        <f>T289-S289</f>
        <v>-3.64652165336411</v>
      </c>
      <c r="AI289" s="82" t="e">
        <f>AF289-S289</f>
        <v>#DIV/0!</v>
      </c>
      <c r="AJ289" s="13"/>
      <c r="AK289" s="13"/>
      <c r="AL289" s="13"/>
      <c r="AM289" s="13"/>
      <c r="AN289" s="13"/>
      <c r="AO289" s="61" t="e">
        <f t="shared" ref="AO289:AZ289" si="677">AO288/AO282</f>
        <v>#DIV/0!</v>
      </c>
      <c r="AP289" s="61" t="e">
        <f t="shared" si="677"/>
        <v>#DIV/0!</v>
      </c>
      <c r="AQ289" s="61" t="e">
        <f t="shared" si="677"/>
        <v>#DIV/0!</v>
      </c>
      <c r="AR289" s="61" t="e">
        <f t="shared" si="677"/>
        <v>#DIV/0!</v>
      </c>
      <c r="AS289" s="61" t="e">
        <f t="shared" si="677"/>
        <v>#DIV/0!</v>
      </c>
      <c r="AT289" s="61" t="e">
        <f t="shared" si="677"/>
        <v>#DIV/0!</v>
      </c>
      <c r="AU289" s="61" t="e">
        <f t="shared" si="677"/>
        <v>#DIV/0!</v>
      </c>
      <c r="AV289" s="61" t="e">
        <f t="shared" si="677"/>
        <v>#DIV/0!</v>
      </c>
      <c r="AW289" s="61" t="e">
        <f t="shared" si="677"/>
        <v>#DIV/0!</v>
      </c>
      <c r="AX289" s="61" t="e">
        <f t="shared" si="677"/>
        <v>#DIV/0!</v>
      </c>
      <c r="AY289" s="61" t="e">
        <f t="shared" si="677"/>
        <v>#DIV/0!</v>
      </c>
      <c r="AZ289" s="61" t="e">
        <f t="shared" si="677"/>
        <v>#DIV/0!</v>
      </c>
      <c r="BA289" s="322">
        <v>-3.76646190267571</v>
      </c>
      <c r="BB289" s="403"/>
      <c r="BC289" s="403"/>
      <c r="BD289" s="259"/>
    </row>
    <row r="290" ht="15" customHeight="1" spans="1:56">
      <c r="A290" s="13"/>
      <c r="B290" s="13"/>
      <c r="C290" s="13"/>
      <c r="D290" s="13"/>
      <c r="E290" s="13"/>
      <c r="F290" s="13"/>
      <c r="G290" s="13"/>
      <c r="H290" s="13"/>
      <c r="I290" s="13"/>
      <c r="J290" s="13"/>
      <c r="K290" s="13"/>
      <c r="L290" s="13"/>
      <c r="M290" s="13"/>
      <c r="N290" s="13"/>
      <c r="O290" s="13"/>
      <c r="P290" s="13"/>
      <c r="Q290" s="13"/>
      <c r="R290" s="212" t="s">
        <v>3497</v>
      </c>
      <c r="S290" s="58">
        <f t="shared" ref="S290:AG290" si="678">S282-S287</f>
        <v>-116392.76</v>
      </c>
      <c r="T290" s="58">
        <f t="shared" si="678"/>
        <v>-301195.92</v>
      </c>
      <c r="U290" s="58">
        <f t="shared" si="678"/>
        <v>-300285.24</v>
      </c>
      <c r="V290" s="58">
        <f t="shared" si="678"/>
        <v>-910.68</v>
      </c>
      <c r="W290" s="58">
        <f t="shared" si="678"/>
        <v>-910.68</v>
      </c>
      <c r="X290" s="58">
        <f t="shared" si="678"/>
        <v>-910.68</v>
      </c>
      <c r="Y290" s="58">
        <f t="shared" si="678"/>
        <v>-910.68</v>
      </c>
      <c r="Z290" s="58">
        <f t="shared" si="678"/>
        <v>-910.68</v>
      </c>
      <c r="AA290" s="58">
        <f t="shared" si="678"/>
        <v>-910.68</v>
      </c>
      <c r="AB290" s="58">
        <f t="shared" si="678"/>
        <v>-910.68</v>
      </c>
      <c r="AC290" s="58">
        <f t="shared" si="678"/>
        <v>-910.68</v>
      </c>
      <c r="AD290" s="58">
        <f t="shared" si="678"/>
        <v>-910.68</v>
      </c>
      <c r="AE290" s="58">
        <f t="shared" si="678"/>
        <v>-910.68</v>
      </c>
      <c r="AF290" s="58">
        <f t="shared" si="678"/>
        <v>-455.34</v>
      </c>
      <c r="AG290" s="58">
        <f t="shared" si="678"/>
        <v>0</v>
      </c>
      <c r="AH290" s="82"/>
      <c r="AI290" s="82"/>
      <c r="AJ290" s="13"/>
      <c r="AK290" s="13"/>
      <c r="AL290" s="13"/>
      <c r="AM290" s="13"/>
      <c r="AN290" s="13"/>
      <c r="AO290" s="58">
        <f t="shared" ref="AO290:BC290" si="679">AO282-AO287</f>
        <v>0</v>
      </c>
      <c r="AP290" s="58">
        <f t="shared" si="679"/>
        <v>0</v>
      </c>
      <c r="AQ290" s="58">
        <f t="shared" si="679"/>
        <v>0</v>
      </c>
      <c r="AR290" s="58">
        <f t="shared" si="679"/>
        <v>0</v>
      </c>
      <c r="AS290" s="58">
        <f t="shared" si="679"/>
        <v>0</v>
      </c>
      <c r="AT290" s="58">
        <f t="shared" si="679"/>
        <v>0</v>
      </c>
      <c r="AU290" s="58">
        <f t="shared" si="679"/>
        <v>0</v>
      </c>
      <c r="AV290" s="58">
        <f t="shared" si="679"/>
        <v>0</v>
      </c>
      <c r="AW290" s="58">
        <f t="shared" si="679"/>
        <v>0</v>
      </c>
      <c r="AX290" s="58">
        <f t="shared" si="679"/>
        <v>-455.34</v>
      </c>
      <c r="AY290" s="58">
        <f t="shared" si="679"/>
        <v>-455.34</v>
      </c>
      <c r="AZ290" s="58">
        <f t="shared" si="679"/>
        <v>0</v>
      </c>
      <c r="BA290" s="58">
        <f t="shared" si="679"/>
        <v>-300285.24</v>
      </c>
      <c r="BB290" s="58">
        <f t="shared" si="679"/>
        <v>0</v>
      </c>
      <c r="BC290" s="58">
        <f t="shared" si="679"/>
        <v>0</v>
      </c>
      <c r="BD290" s="259"/>
    </row>
    <row r="291" ht="16.5" customHeight="1" spans="1:56">
      <c r="A291" s="14"/>
      <c r="B291" s="14"/>
      <c r="C291" s="14"/>
      <c r="D291" s="14"/>
      <c r="E291" s="14"/>
      <c r="F291" s="14"/>
      <c r="G291" s="14"/>
      <c r="H291" s="14"/>
      <c r="I291" s="14"/>
      <c r="J291" s="14"/>
      <c r="K291" s="14"/>
      <c r="L291" s="14"/>
      <c r="M291" s="14"/>
      <c r="N291" s="14"/>
      <c r="O291" s="14"/>
      <c r="P291" s="14"/>
      <c r="Q291" s="14"/>
      <c r="R291" s="215" t="s">
        <v>3498</v>
      </c>
      <c r="S291" s="61">
        <f t="shared" ref="S291:AG291" si="680">S290/S282</f>
        <v>-0.220217208597096</v>
      </c>
      <c r="T291" s="61">
        <f t="shared" si="680"/>
        <v>-3.8192225392975</v>
      </c>
      <c r="U291" s="322">
        <f t="shared" si="680"/>
        <v>-3.80767494070425</v>
      </c>
      <c r="V291" s="61" t="e">
        <f t="shared" si="680"/>
        <v>#DIV/0!</v>
      </c>
      <c r="W291" s="61" t="e">
        <f t="shared" si="680"/>
        <v>#DIV/0!</v>
      </c>
      <c r="X291" s="61" t="e">
        <f t="shared" si="680"/>
        <v>#DIV/0!</v>
      </c>
      <c r="Y291" s="61" t="e">
        <f t="shared" si="680"/>
        <v>#DIV/0!</v>
      </c>
      <c r="Z291" s="61" t="e">
        <f t="shared" si="680"/>
        <v>#DIV/0!</v>
      </c>
      <c r="AA291" s="61" t="e">
        <f t="shared" si="680"/>
        <v>#DIV/0!</v>
      </c>
      <c r="AB291" s="61" t="e">
        <f t="shared" si="680"/>
        <v>#DIV/0!</v>
      </c>
      <c r="AC291" s="61" t="e">
        <f t="shared" si="680"/>
        <v>#DIV/0!</v>
      </c>
      <c r="AD291" s="61" t="e">
        <f t="shared" si="680"/>
        <v>#DIV/0!</v>
      </c>
      <c r="AE291" s="61" t="e">
        <f t="shared" si="680"/>
        <v>#DIV/0!</v>
      </c>
      <c r="AF291" s="61" t="e">
        <f t="shared" si="680"/>
        <v>#DIV/0!</v>
      </c>
      <c r="AG291" s="61" t="e">
        <f t="shared" si="680"/>
        <v>#DIV/0!</v>
      </c>
      <c r="AH291" s="82">
        <f>T291-S291</f>
        <v>-3.59900533070041</v>
      </c>
      <c r="AI291" s="82" t="e">
        <f>AF291-S291</f>
        <v>#DIV/0!</v>
      </c>
      <c r="AJ291" s="14"/>
      <c r="AK291" s="14"/>
      <c r="AL291" s="14"/>
      <c r="AM291" s="14"/>
      <c r="AN291" s="14"/>
      <c r="AO291" s="61" t="e">
        <f t="shared" ref="AO291:AZ291" si="681">AO290/AO282</f>
        <v>#DIV/0!</v>
      </c>
      <c r="AP291" s="61" t="e">
        <f t="shared" si="681"/>
        <v>#DIV/0!</v>
      </c>
      <c r="AQ291" s="61" t="e">
        <f t="shared" si="681"/>
        <v>#DIV/0!</v>
      </c>
      <c r="AR291" s="61" t="e">
        <f t="shared" si="681"/>
        <v>#DIV/0!</v>
      </c>
      <c r="AS291" s="61" t="e">
        <f t="shared" si="681"/>
        <v>#DIV/0!</v>
      </c>
      <c r="AT291" s="61" t="e">
        <f t="shared" si="681"/>
        <v>#DIV/0!</v>
      </c>
      <c r="AU291" s="61" t="e">
        <f t="shared" si="681"/>
        <v>#DIV/0!</v>
      </c>
      <c r="AV291" s="61" t="e">
        <f t="shared" si="681"/>
        <v>#DIV/0!</v>
      </c>
      <c r="AW291" s="61" t="e">
        <f t="shared" si="681"/>
        <v>#DIV/0!</v>
      </c>
      <c r="AX291" s="61" t="e">
        <f t="shared" si="681"/>
        <v>#DIV/0!</v>
      </c>
      <c r="AY291" s="61" t="e">
        <f t="shared" si="681"/>
        <v>#DIV/0!</v>
      </c>
      <c r="AZ291" s="61" t="e">
        <f t="shared" si="681"/>
        <v>#DIV/0!</v>
      </c>
      <c r="BA291" s="322">
        <v>-3.80767494070424</v>
      </c>
      <c r="BB291" s="403"/>
      <c r="BC291" s="403"/>
      <c r="BD291" s="259"/>
    </row>
    <row r="292" ht="15" customHeight="1" spans="1:56">
      <c r="A292" s="386" t="s">
        <v>297</v>
      </c>
      <c r="B292" s="387" t="s">
        <v>3398</v>
      </c>
      <c r="C292" s="388">
        <v>45292</v>
      </c>
      <c r="D292" s="388">
        <v>46022</v>
      </c>
      <c r="E292" s="308"/>
      <c r="F292" s="166" t="s">
        <v>3561</v>
      </c>
      <c r="G292" s="309"/>
      <c r="H292" s="355"/>
      <c r="I292" s="355"/>
      <c r="J292" s="355"/>
      <c r="K292" s="355"/>
      <c r="L292" s="355"/>
      <c r="M292" s="355"/>
      <c r="N292" s="355"/>
      <c r="O292" s="355"/>
      <c r="P292" s="356"/>
      <c r="Q292" s="358"/>
      <c r="R292" s="391" t="s">
        <v>3486</v>
      </c>
      <c r="S292" s="320">
        <v>3773584.91</v>
      </c>
      <c r="T292" s="58">
        <f t="shared" ref="T292:T296" si="682">SUM(AO292:BC292)</f>
        <v>2873766.318</v>
      </c>
      <c r="U292" s="319">
        <f t="shared" ref="U292:U296" si="683">SUM(BA292:BC292)</f>
        <v>2873766.318</v>
      </c>
      <c r="V292" s="58">
        <f t="shared" ref="V292:V296" si="684">SUM(AO292:AZ292)</f>
        <v>0</v>
      </c>
      <c r="W292" s="58">
        <f t="shared" ref="W292:W296" si="685">SUM(AP292:AZ292)</f>
        <v>0</v>
      </c>
      <c r="X292" s="58">
        <f t="shared" ref="X292:X296" si="686">SUM(AQ292:AZ292)</f>
        <v>0</v>
      </c>
      <c r="Y292" s="58">
        <f t="shared" ref="Y292:Y296" si="687">SUM(AR292:AZ292)</f>
        <v>0</v>
      </c>
      <c r="Z292" s="58">
        <f t="shared" ref="Z292:Z296" si="688">SUM(AS292:AZ292)</f>
        <v>0</v>
      </c>
      <c r="AA292" s="58">
        <f t="shared" ref="AA292:AA296" si="689">SUM(AT292:AZ292)</f>
        <v>0</v>
      </c>
      <c r="AB292" s="58">
        <f t="shared" ref="AB292:AB296" si="690">SUM(AU292:AZ292)</f>
        <v>0</v>
      </c>
      <c r="AC292" s="58">
        <f t="shared" ref="AC292:AC296" si="691">SUM(AV292:AZ292)</f>
        <v>0</v>
      </c>
      <c r="AD292" s="58">
        <f t="shared" ref="AD292:AD296" si="692">SUM(AW292:AZ292)</f>
        <v>0</v>
      </c>
      <c r="AE292" s="58">
        <f t="shared" ref="AE292:AE296" si="693">SUM(AX292:AZ292)</f>
        <v>0</v>
      </c>
      <c r="AF292" s="58">
        <f t="shared" ref="AF292:AF296" si="694">SUM(AY292:AZ292)</f>
        <v>0</v>
      </c>
      <c r="AG292" s="58">
        <f t="shared" ref="AG292:AG296" si="695">SUM(AZ292:AZ292)</f>
        <v>0</v>
      </c>
      <c r="AH292" s="334"/>
      <c r="AI292" s="328"/>
      <c r="AJ292" s="393" t="s">
        <v>3585</v>
      </c>
      <c r="AK292" s="336" t="s">
        <v>3586</v>
      </c>
      <c r="AL292" s="337" t="s">
        <v>3587</v>
      </c>
      <c r="AM292" s="337" t="s">
        <v>3588</v>
      </c>
      <c r="AN292" s="335"/>
      <c r="AO292" s="58"/>
      <c r="AP292" s="58"/>
      <c r="AQ292" s="58"/>
      <c r="AR292" s="58"/>
      <c r="AS292" s="58"/>
      <c r="AT292" s="58"/>
      <c r="AU292" s="58"/>
      <c r="AV292" s="58"/>
      <c r="AW292" s="58"/>
      <c r="AX292" s="58"/>
      <c r="AY292" s="58" t="s">
        <v>3561</v>
      </c>
      <c r="AZ292" s="319"/>
      <c r="BA292" s="344">
        <v>444213.85</v>
      </c>
      <c r="BB292" s="319">
        <v>2429552.468</v>
      </c>
      <c r="BC292" s="319"/>
      <c r="BD292" s="346" t="s">
        <v>3567</v>
      </c>
    </row>
    <row r="293" ht="15" customHeight="1" spans="1:56">
      <c r="A293" s="13"/>
      <c r="B293" s="13"/>
      <c r="C293" s="13"/>
      <c r="D293" s="13"/>
      <c r="E293" s="13"/>
      <c r="G293" s="13"/>
      <c r="H293" s="13"/>
      <c r="I293" s="13"/>
      <c r="J293" s="13"/>
      <c r="K293" s="13"/>
      <c r="L293" s="13"/>
      <c r="M293" s="13"/>
      <c r="N293" s="13"/>
      <c r="O293" s="13"/>
      <c r="P293" s="356"/>
      <c r="Q293" s="13"/>
      <c r="R293" s="391" t="s">
        <v>3490</v>
      </c>
      <c r="S293" s="320">
        <v>4548880.91</v>
      </c>
      <c r="T293" s="58">
        <f t="shared" si="682"/>
        <v>2304298</v>
      </c>
      <c r="U293" s="319">
        <f t="shared" si="683"/>
        <v>2304298</v>
      </c>
      <c r="V293" s="58">
        <f t="shared" si="684"/>
        <v>0</v>
      </c>
      <c r="W293" s="58">
        <f t="shared" si="685"/>
        <v>0</v>
      </c>
      <c r="X293" s="58">
        <f t="shared" si="686"/>
        <v>0</v>
      </c>
      <c r="Y293" s="58">
        <f t="shared" si="687"/>
        <v>0</v>
      </c>
      <c r="Z293" s="58">
        <f t="shared" si="688"/>
        <v>0</v>
      </c>
      <c r="AA293" s="58">
        <f t="shared" si="689"/>
        <v>0</v>
      </c>
      <c r="AB293" s="58">
        <f t="shared" si="690"/>
        <v>0</v>
      </c>
      <c r="AC293" s="58">
        <f t="shared" si="691"/>
        <v>0</v>
      </c>
      <c r="AD293" s="58">
        <f t="shared" si="692"/>
        <v>0</v>
      </c>
      <c r="AE293" s="58">
        <f t="shared" si="693"/>
        <v>0</v>
      </c>
      <c r="AF293" s="58">
        <f t="shared" si="694"/>
        <v>0</v>
      </c>
      <c r="AG293" s="58">
        <f t="shared" si="695"/>
        <v>0</v>
      </c>
      <c r="AH293" s="334"/>
      <c r="AI293" s="328"/>
      <c r="AJ293" s="13"/>
      <c r="AK293" s="13"/>
      <c r="AL293" s="13"/>
      <c r="AM293" s="13"/>
      <c r="AN293" s="13"/>
      <c r="AO293" s="58"/>
      <c r="AP293" s="58"/>
      <c r="AQ293" s="58"/>
      <c r="AR293" s="58"/>
      <c r="AS293" s="58"/>
      <c r="AT293" s="58"/>
      <c r="AU293" s="58"/>
      <c r="AV293" s="58"/>
      <c r="AW293" s="58"/>
      <c r="AX293" s="58"/>
      <c r="AY293" s="58" t="s">
        <v>3561</v>
      </c>
      <c r="AZ293" s="319"/>
      <c r="BA293" s="344">
        <v>413245.32</v>
      </c>
      <c r="BB293" s="319">
        <v>1891052.68</v>
      </c>
      <c r="BC293" s="319"/>
      <c r="BD293" s="13"/>
    </row>
    <row r="294" ht="15" customHeight="1" spans="1:56">
      <c r="A294" s="13"/>
      <c r="B294" s="13"/>
      <c r="C294" s="13"/>
      <c r="D294" s="13"/>
      <c r="E294" s="13"/>
      <c r="G294" s="13"/>
      <c r="H294" s="13"/>
      <c r="I294" s="13"/>
      <c r="J294" s="13"/>
      <c r="K294" s="13"/>
      <c r="L294" s="13"/>
      <c r="M294" s="13"/>
      <c r="N294" s="13"/>
      <c r="O294" s="13"/>
      <c r="P294" s="356"/>
      <c r="Q294" s="13"/>
      <c r="R294" s="324" t="s">
        <v>3491</v>
      </c>
      <c r="S294" s="320"/>
      <c r="T294" s="58">
        <f t="shared" si="682"/>
        <v>0</v>
      </c>
      <c r="U294" s="319">
        <f t="shared" si="683"/>
        <v>0</v>
      </c>
      <c r="V294" s="58"/>
      <c r="W294" s="58"/>
      <c r="X294" s="58"/>
      <c r="Y294" s="58"/>
      <c r="Z294" s="58"/>
      <c r="AA294" s="58"/>
      <c r="AB294" s="58"/>
      <c r="AC294" s="58"/>
      <c r="AD294" s="58"/>
      <c r="AE294" s="58"/>
      <c r="AF294" s="58"/>
      <c r="AG294" s="58"/>
      <c r="AH294" s="334"/>
      <c r="AI294" s="328"/>
      <c r="AJ294" s="13"/>
      <c r="AK294" s="13"/>
      <c r="AL294" s="13"/>
      <c r="AM294" s="13"/>
      <c r="AN294" s="13"/>
      <c r="AO294" s="58"/>
      <c r="AP294" s="58"/>
      <c r="AQ294" s="58"/>
      <c r="AR294" s="58"/>
      <c r="AS294" s="58"/>
      <c r="AT294" s="58"/>
      <c r="AU294" s="58"/>
      <c r="AV294" s="58"/>
      <c r="AW294" s="58"/>
      <c r="AX294" s="58">
        <v>0</v>
      </c>
      <c r="AY294" s="58"/>
      <c r="AZ294" s="319"/>
      <c r="BA294" s="344"/>
      <c r="BB294" s="319"/>
      <c r="BC294" s="319"/>
      <c r="BD294" s="13"/>
    </row>
    <row r="295" ht="15" customHeight="1" spans="1:56">
      <c r="A295" s="13"/>
      <c r="B295" s="13"/>
      <c r="C295" s="13"/>
      <c r="D295" s="13"/>
      <c r="E295" s="13"/>
      <c r="G295" s="13"/>
      <c r="H295" s="13"/>
      <c r="I295" s="13"/>
      <c r="J295" s="13"/>
      <c r="K295" s="13"/>
      <c r="L295" s="13"/>
      <c r="M295" s="13"/>
      <c r="N295" s="13"/>
      <c r="O295" s="13"/>
      <c r="P295" s="356"/>
      <c r="Q295" s="13"/>
      <c r="R295" s="391" t="s">
        <v>3492</v>
      </c>
      <c r="S295" s="320">
        <v>650000</v>
      </c>
      <c r="T295" s="58">
        <f t="shared" si="682"/>
        <v>216370.83</v>
      </c>
      <c r="U295" s="319">
        <f t="shared" si="683"/>
        <v>216370.83</v>
      </c>
      <c r="V295" s="58">
        <f t="shared" si="684"/>
        <v>0</v>
      </c>
      <c r="W295" s="58">
        <f t="shared" si="685"/>
        <v>0</v>
      </c>
      <c r="X295" s="58">
        <f t="shared" si="686"/>
        <v>0</v>
      </c>
      <c r="Y295" s="58">
        <f t="shared" si="687"/>
        <v>0</v>
      </c>
      <c r="Z295" s="58">
        <f t="shared" si="688"/>
        <v>0</v>
      </c>
      <c r="AA295" s="58">
        <f t="shared" si="689"/>
        <v>0</v>
      </c>
      <c r="AB295" s="58">
        <f t="shared" si="690"/>
        <v>0</v>
      </c>
      <c r="AC295" s="58">
        <f t="shared" si="691"/>
        <v>0</v>
      </c>
      <c r="AD295" s="58">
        <f t="shared" si="692"/>
        <v>0</v>
      </c>
      <c r="AE295" s="58">
        <f t="shared" si="693"/>
        <v>0</v>
      </c>
      <c r="AF295" s="58">
        <f t="shared" si="694"/>
        <v>0</v>
      </c>
      <c r="AG295" s="58">
        <f t="shared" si="695"/>
        <v>0</v>
      </c>
      <c r="AH295" s="334"/>
      <c r="AI295" s="328"/>
      <c r="AJ295" s="13"/>
      <c r="AK295" s="13"/>
      <c r="AL295" s="13"/>
      <c r="AM295" s="13"/>
      <c r="AN295" s="13"/>
      <c r="AO295" s="58"/>
      <c r="AP295" s="58"/>
      <c r="AQ295" s="58"/>
      <c r="AR295" s="58"/>
      <c r="AS295" s="58"/>
      <c r="AT295" s="58"/>
      <c r="AU295" s="58"/>
      <c r="AV295" s="58"/>
      <c r="AW295" s="58"/>
      <c r="AX295" s="58"/>
      <c r="AY295" s="58"/>
      <c r="AZ295" s="319"/>
      <c r="BA295" s="344">
        <v>3118.56</v>
      </c>
      <c r="BB295" s="319">
        <v>213252.27</v>
      </c>
      <c r="BC295" s="319"/>
      <c r="BD295" s="13"/>
    </row>
    <row r="296" ht="15" customHeight="1" spans="1:56">
      <c r="A296" s="13"/>
      <c r="B296" s="13"/>
      <c r="C296" s="13"/>
      <c r="D296" s="13"/>
      <c r="E296" s="13"/>
      <c r="G296" s="13"/>
      <c r="H296" s="13"/>
      <c r="I296" s="13"/>
      <c r="J296" s="13"/>
      <c r="K296" s="13"/>
      <c r="L296" s="13"/>
      <c r="M296" s="13"/>
      <c r="N296" s="13"/>
      <c r="O296" s="13"/>
      <c r="P296" s="356"/>
      <c r="Q296" s="13"/>
      <c r="R296" s="391" t="s">
        <v>3493</v>
      </c>
      <c r="S296" s="320">
        <v>0</v>
      </c>
      <c r="T296" s="58">
        <f t="shared" si="682"/>
        <v>39913.82</v>
      </c>
      <c r="U296" s="319">
        <f t="shared" si="683"/>
        <v>37008.42</v>
      </c>
      <c r="V296" s="58">
        <f t="shared" si="684"/>
        <v>2905.4</v>
      </c>
      <c r="W296" s="58">
        <f t="shared" si="685"/>
        <v>2905.4</v>
      </c>
      <c r="X296" s="58">
        <f t="shared" si="686"/>
        <v>2905.4</v>
      </c>
      <c r="Y296" s="58">
        <f t="shared" si="687"/>
        <v>2905.4</v>
      </c>
      <c r="Z296" s="58">
        <f t="shared" si="688"/>
        <v>2905.4</v>
      </c>
      <c r="AA296" s="58">
        <f t="shared" si="689"/>
        <v>2905.4</v>
      </c>
      <c r="AB296" s="58">
        <f t="shared" si="690"/>
        <v>2905.4</v>
      </c>
      <c r="AC296" s="58">
        <f t="shared" si="691"/>
        <v>2905.4</v>
      </c>
      <c r="AD296" s="58">
        <f t="shared" si="692"/>
        <v>2905.4</v>
      </c>
      <c r="AE296" s="58">
        <f t="shared" si="693"/>
        <v>2905.4</v>
      </c>
      <c r="AF296" s="58">
        <f t="shared" si="694"/>
        <v>2905.4</v>
      </c>
      <c r="AG296" s="58">
        <f t="shared" si="695"/>
        <v>0</v>
      </c>
      <c r="AH296" s="334"/>
      <c r="AI296" s="328"/>
      <c r="AJ296" s="13"/>
      <c r="AK296" s="13"/>
      <c r="AL296" s="13"/>
      <c r="AM296" s="13"/>
      <c r="AN296" s="13"/>
      <c r="AO296" s="58"/>
      <c r="AP296" s="58"/>
      <c r="AQ296" s="58"/>
      <c r="AR296" s="58"/>
      <c r="AS296" s="58"/>
      <c r="AT296" s="58"/>
      <c r="AU296" s="58"/>
      <c r="AV296" s="58"/>
      <c r="AW296" s="58"/>
      <c r="AX296" s="58"/>
      <c r="AY296" s="58">
        <v>2905.4</v>
      </c>
      <c r="AZ296" s="319"/>
      <c r="BA296" s="344">
        <v>28462.43</v>
      </c>
      <c r="BB296" s="319">
        <v>8545.99</v>
      </c>
      <c r="BC296" s="319"/>
      <c r="BD296" s="13"/>
    </row>
    <row r="297" ht="16.5" customHeight="1" spans="1:56">
      <c r="A297" s="13"/>
      <c r="B297" s="13"/>
      <c r="C297" s="13"/>
      <c r="D297" s="13"/>
      <c r="E297" s="13"/>
      <c r="G297" s="13"/>
      <c r="H297" s="13"/>
      <c r="I297" s="13"/>
      <c r="J297" s="13"/>
      <c r="K297" s="13"/>
      <c r="L297" s="13"/>
      <c r="M297" s="13"/>
      <c r="N297" s="13"/>
      <c r="O297" s="13"/>
      <c r="P297" s="315"/>
      <c r="Q297" s="13"/>
      <c r="R297" s="324" t="s">
        <v>3494</v>
      </c>
      <c r="S297" s="320">
        <f t="shared" ref="S297:AG297" si="696">SUM(S293:S296)</f>
        <v>5198880.91</v>
      </c>
      <c r="T297" s="214">
        <f t="shared" si="696"/>
        <v>2560582.65</v>
      </c>
      <c r="U297" s="320">
        <f t="shared" si="696"/>
        <v>2557677.25</v>
      </c>
      <c r="V297" s="214">
        <f t="shared" si="696"/>
        <v>2905.4</v>
      </c>
      <c r="W297" s="214">
        <f t="shared" si="696"/>
        <v>2905.4</v>
      </c>
      <c r="X297" s="214">
        <f t="shared" si="696"/>
        <v>2905.4</v>
      </c>
      <c r="Y297" s="214">
        <f t="shared" si="696"/>
        <v>2905.4</v>
      </c>
      <c r="Z297" s="214">
        <f t="shared" si="696"/>
        <v>2905.4</v>
      </c>
      <c r="AA297" s="214">
        <f t="shared" si="696"/>
        <v>2905.4</v>
      </c>
      <c r="AB297" s="214">
        <f t="shared" si="696"/>
        <v>2905.4</v>
      </c>
      <c r="AC297" s="214">
        <f t="shared" si="696"/>
        <v>2905.4</v>
      </c>
      <c r="AD297" s="214">
        <f t="shared" si="696"/>
        <v>2905.4</v>
      </c>
      <c r="AE297" s="214">
        <f t="shared" si="696"/>
        <v>2905.4</v>
      </c>
      <c r="AF297" s="214">
        <f t="shared" si="696"/>
        <v>2905.4</v>
      </c>
      <c r="AG297" s="214">
        <f t="shared" si="696"/>
        <v>0</v>
      </c>
      <c r="AH297" s="320">
        <f>SUM(AH293:AH296)</f>
        <v>0</v>
      </c>
      <c r="AI297" s="214">
        <f>SUM(AI293:AI296)</f>
        <v>0</v>
      </c>
      <c r="AJ297" s="13"/>
      <c r="AK297" s="13"/>
      <c r="AL297" s="13"/>
      <c r="AM297" s="13"/>
      <c r="AN297" s="13"/>
      <c r="AO297" s="214">
        <f t="shared" ref="AO297:AX297" si="697">SUM(AO293:AO296)</f>
        <v>0</v>
      </c>
      <c r="AP297" s="214">
        <f t="shared" si="697"/>
        <v>0</v>
      </c>
      <c r="AQ297" s="214">
        <f t="shared" si="697"/>
        <v>0</v>
      </c>
      <c r="AR297" s="214">
        <f t="shared" si="697"/>
        <v>0</v>
      </c>
      <c r="AS297" s="214">
        <f t="shared" si="697"/>
        <v>0</v>
      </c>
      <c r="AT297" s="214">
        <f t="shared" si="697"/>
        <v>0</v>
      </c>
      <c r="AU297" s="214">
        <f t="shared" si="697"/>
        <v>0</v>
      </c>
      <c r="AV297" s="214">
        <f t="shared" si="697"/>
        <v>0</v>
      </c>
      <c r="AW297" s="214">
        <f t="shared" si="697"/>
        <v>0</v>
      </c>
      <c r="AX297" s="214">
        <f t="shared" si="697"/>
        <v>0</v>
      </c>
      <c r="AY297" s="214">
        <v>2905.4</v>
      </c>
      <c r="AZ297" s="320">
        <f>SUM(AZ293:AZ296)</f>
        <v>0</v>
      </c>
      <c r="BA297" s="320">
        <f>SUM(BA293:BA296)</f>
        <v>444826.31</v>
      </c>
      <c r="BB297" s="320">
        <f>SUM(BB293:BB296)</f>
        <v>2112850.94</v>
      </c>
      <c r="BC297" s="320">
        <f>SUM(BC293:BC296)</f>
        <v>0</v>
      </c>
      <c r="BD297" s="13"/>
    </row>
    <row r="298" ht="15" customHeight="1" spans="1:56">
      <c r="A298" s="13"/>
      <c r="B298" s="13"/>
      <c r="C298" s="13"/>
      <c r="D298" s="13"/>
      <c r="E298" s="13"/>
      <c r="G298" s="13"/>
      <c r="H298" s="13"/>
      <c r="I298" s="13"/>
      <c r="J298" s="13"/>
      <c r="K298" s="13"/>
      <c r="L298" s="13"/>
      <c r="M298" s="13"/>
      <c r="N298" s="13"/>
      <c r="O298" s="13"/>
      <c r="P298" s="356"/>
      <c r="Q298" s="13"/>
      <c r="R298" s="391" t="s">
        <v>3495</v>
      </c>
      <c r="S298" s="319">
        <f t="shared" ref="S298:AG298" si="698">S292-S293</f>
        <v>-775296</v>
      </c>
      <c r="T298" s="58">
        <f t="shared" si="698"/>
        <v>569468.318</v>
      </c>
      <c r="U298" s="319">
        <f t="shared" si="698"/>
        <v>569468.318</v>
      </c>
      <c r="V298" s="58">
        <f t="shared" si="698"/>
        <v>0</v>
      </c>
      <c r="W298" s="58">
        <f t="shared" si="698"/>
        <v>0</v>
      </c>
      <c r="X298" s="58">
        <f t="shared" si="698"/>
        <v>0</v>
      </c>
      <c r="Y298" s="58">
        <f t="shared" si="698"/>
        <v>0</v>
      </c>
      <c r="Z298" s="58">
        <f t="shared" si="698"/>
        <v>0</v>
      </c>
      <c r="AA298" s="58">
        <f t="shared" si="698"/>
        <v>0</v>
      </c>
      <c r="AB298" s="58">
        <f t="shared" si="698"/>
        <v>0</v>
      </c>
      <c r="AC298" s="58">
        <f t="shared" si="698"/>
        <v>0</v>
      </c>
      <c r="AD298" s="58">
        <f t="shared" si="698"/>
        <v>0</v>
      </c>
      <c r="AE298" s="58">
        <f t="shared" si="698"/>
        <v>0</v>
      </c>
      <c r="AF298" s="58">
        <f t="shared" si="698"/>
        <v>0</v>
      </c>
      <c r="AG298" s="58">
        <f t="shared" si="698"/>
        <v>0</v>
      </c>
      <c r="AH298" s="339"/>
      <c r="AI298" s="332"/>
      <c r="AJ298" s="13"/>
      <c r="AK298" s="13"/>
      <c r="AL298" s="13"/>
      <c r="AM298" s="13"/>
      <c r="AN298" s="13"/>
      <c r="AO298" s="58">
        <f t="shared" ref="AO298:AX298" si="699">AO292-AO293</f>
        <v>0</v>
      </c>
      <c r="AP298" s="58">
        <f t="shared" si="699"/>
        <v>0</v>
      </c>
      <c r="AQ298" s="58">
        <f t="shared" si="699"/>
        <v>0</v>
      </c>
      <c r="AR298" s="58">
        <f t="shared" si="699"/>
        <v>0</v>
      </c>
      <c r="AS298" s="58">
        <f t="shared" si="699"/>
        <v>0</v>
      </c>
      <c r="AT298" s="58">
        <f t="shared" si="699"/>
        <v>0</v>
      </c>
      <c r="AU298" s="58">
        <f t="shared" si="699"/>
        <v>0</v>
      </c>
      <c r="AV298" s="58">
        <f t="shared" si="699"/>
        <v>0</v>
      </c>
      <c r="AW298" s="58">
        <f t="shared" si="699"/>
        <v>0</v>
      </c>
      <c r="AX298" s="58">
        <f t="shared" si="699"/>
        <v>0</v>
      </c>
      <c r="AY298" s="58" t="s">
        <v>3561</v>
      </c>
      <c r="AZ298" s="319">
        <f>AZ292-AZ293</f>
        <v>0</v>
      </c>
      <c r="BA298" s="344">
        <v>30968.53</v>
      </c>
      <c r="BB298" s="320">
        <v>538499.788</v>
      </c>
      <c r="BC298" s="320"/>
      <c r="BD298" s="13"/>
    </row>
    <row r="299" ht="15" customHeight="1" spans="1:56">
      <c r="A299" s="13"/>
      <c r="B299" s="13"/>
      <c r="C299" s="13"/>
      <c r="D299" s="13"/>
      <c r="E299" s="13"/>
      <c r="G299" s="13"/>
      <c r="H299" s="13"/>
      <c r="I299" s="13"/>
      <c r="J299" s="13"/>
      <c r="K299" s="13"/>
      <c r="L299" s="13"/>
      <c r="M299" s="13"/>
      <c r="N299" s="13"/>
      <c r="O299" s="13"/>
      <c r="P299" s="356"/>
      <c r="Q299" s="13"/>
      <c r="R299" s="392" t="s">
        <v>3496</v>
      </c>
      <c r="S299" s="322">
        <f t="shared" ref="S299:AG299" si="700">S298/S292</f>
        <v>-0.205453439763729</v>
      </c>
      <c r="T299" s="61">
        <f t="shared" si="700"/>
        <v>0.19816096891146</v>
      </c>
      <c r="U299" s="322">
        <f t="shared" si="700"/>
        <v>0.19816096891146</v>
      </c>
      <c r="V299" s="61" t="e">
        <f t="shared" si="700"/>
        <v>#DIV/0!</v>
      </c>
      <c r="W299" s="61" t="e">
        <f t="shared" si="700"/>
        <v>#DIV/0!</v>
      </c>
      <c r="X299" s="61" t="e">
        <f t="shared" si="700"/>
        <v>#DIV/0!</v>
      </c>
      <c r="Y299" s="61" t="e">
        <f t="shared" si="700"/>
        <v>#DIV/0!</v>
      </c>
      <c r="Z299" s="61" t="e">
        <f t="shared" si="700"/>
        <v>#DIV/0!</v>
      </c>
      <c r="AA299" s="61" t="e">
        <f t="shared" si="700"/>
        <v>#DIV/0!</v>
      </c>
      <c r="AB299" s="61" t="e">
        <f t="shared" si="700"/>
        <v>#DIV/0!</v>
      </c>
      <c r="AC299" s="61" t="e">
        <f t="shared" si="700"/>
        <v>#DIV/0!</v>
      </c>
      <c r="AD299" s="61" t="e">
        <f t="shared" si="700"/>
        <v>#DIV/0!</v>
      </c>
      <c r="AE299" s="61" t="e">
        <f t="shared" si="700"/>
        <v>#DIV/0!</v>
      </c>
      <c r="AF299" s="61" t="e">
        <f t="shared" si="700"/>
        <v>#DIV/0!</v>
      </c>
      <c r="AG299" s="61" t="e">
        <f t="shared" si="700"/>
        <v>#DIV/0!</v>
      </c>
      <c r="AH299" s="340">
        <f>T299-S299</f>
        <v>0.403614408675189</v>
      </c>
      <c r="AI299" s="82" t="e">
        <f>AF299-S299</f>
        <v>#DIV/0!</v>
      </c>
      <c r="AJ299" s="13"/>
      <c r="AK299" s="13"/>
      <c r="AL299" s="13"/>
      <c r="AM299" s="13"/>
      <c r="AN299" s="13"/>
      <c r="AO299" s="61" t="e">
        <f t="shared" ref="AO299:AX299" si="701">AO298/AO292</f>
        <v>#DIV/0!</v>
      </c>
      <c r="AP299" s="61" t="e">
        <f t="shared" si="701"/>
        <v>#DIV/0!</v>
      </c>
      <c r="AQ299" s="61" t="e">
        <f t="shared" si="701"/>
        <v>#DIV/0!</v>
      </c>
      <c r="AR299" s="61" t="e">
        <f t="shared" si="701"/>
        <v>#DIV/0!</v>
      </c>
      <c r="AS299" s="61" t="e">
        <f t="shared" si="701"/>
        <v>#DIV/0!</v>
      </c>
      <c r="AT299" s="61" t="e">
        <f t="shared" si="701"/>
        <v>#DIV/0!</v>
      </c>
      <c r="AU299" s="61" t="e">
        <f t="shared" si="701"/>
        <v>#DIV/0!</v>
      </c>
      <c r="AV299" s="61" t="e">
        <f t="shared" si="701"/>
        <v>#DIV/0!</v>
      </c>
      <c r="AW299" s="61" t="e">
        <f t="shared" si="701"/>
        <v>#DIV/0!</v>
      </c>
      <c r="AX299" s="61" t="e">
        <f t="shared" si="701"/>
        <v>#DIV/0!</v>
      </c>
      <c r="AY299" s="61" t="e">
        <v>#DIV/0!</v>
      </c>
      <c r="AZ299" s="322" t="e">
        <f>AZ298/AZ292</f>
        <v>#DIV/0!</v>
      </c>
      <c r="BA299" s="322">
        <v>0.0697153634448813</v>
      </c>
      <c r="BB299" s="403">
        <v>0.221645671411777</v>
      </c>
      <c r="BC299" s="403"/>
      <c r="BD299" s="13"/>
    </row>
    <row r="300" ht="15" customHeight="1" spans="1:56">
      <c r="A300" s="13"/>
      <c r="B300" s="13"/>
      <c r="C300" s="13"/>
      <c r="D300" s="13"/>
      <c r="E300" s="13"/>
      <c r="G300" s="13"/>
      <c r="H300" s="13"/>
      <c r="I300" s="13"/>
      <c r="J300" s="13"/>
      <c r="K300" s="13"/>
      <c r="L300" s="13"/>
      <c r="M300" s="13"/>
      <c r="N300" s="13"/>
      <c r="O300" s="13"/>
      <c r="P300" s="356"/>
      <c r="Q300" s="13"/>
      <c r="R300" s="391" t="s">
        <v>3497</v>
      </c>
      <c r="S300" s="58">
        <f t="shared" ref="S300:AG300" si="702">S292-S297</f>
        <v>-1425296</v>
      </c>
      <c r="T300" s="58">
        <f t="shared" si="702"/>
        <v>313183.668</v>
      </c>
      <c r="U300" s="58">
        <f t="shared" si="702"/>
        <v>316089.068</v>
      </c>
      <c r="V300" s="58">
        <f t="shared" si="702"/>
        <v>-2905.4</v>
      </c>
      <c r="W300" s="58">
        <f t="shared" si="702"/>
        <v>-2905.4</v>
      </c>
      <c r="X300" s="58">
        <f t="shared" si="702"/>
        <v>-2905.4</v>
      </c>
      <c r="Y300" s="58">
        <f t="shared" si="702"/>
        <v>-2905.4</v>
      </c>
      <c r="Z300" s="58">
        <f t="shared" si="702"/>
        <v>-2905.4</v>
      </c>
      <c r="AA300" s="58">
        <f t="shared" si="702"/>
        <v>-2905.4</v>
      </c>
      <c r="AB300" s="58">
        <f t="shared" si="702"/>
        <v>-2905.4</v>
      </c>
      <c r="AC300" s="58">
        <f t="shared" si="702"/>
        <v>-2905.4</v>
      </c>
      <c r="AD300" s="58">
        <f t="shared" si="702"/>
        <v>-2905.4</v>
      </c>
      <c r="AE300" s="58">
        <f t="shared" si="702"/>
        <v>-2905.4</v>
      </c>
      <c r="AF300" s="58">
        <f t="shared" si="702"/>
        <v>-2905.4</v>
      </c>
      <c r="AG300" s="58">
        <f t="shared" si="702"/>
        <v>0</v>
      </c>
      <c r="AH300" s="82"/>
      <c r="AI300" s="82"/>
      <c r="AJ300" s="13"/>
      <c r="AK300" s="13"/>
      <c r="AL300" s="13"/>
      <c r="AM300" s="13"/>
      <c r="AN300" s="13"/>
      <c r="AO300" s="58">
        <f t="shared" ref="AO300:BC300" si="703">AO292-AO297</f>
        <v>0</v>
      </c>
      <c r="AP300" s="58">
        <f t="shared" si="703"/>
        <v>0</v>
      </c>
      <c r="AQ300" s="58">
        <f t="shared" si="703"/>
        <v>0</v>
      </c>
      <c r="AR300" s="58">
        <f t="shared" si="703"/>
        <v>0</v>
      </c>
      <c r="AS300" s="58">
        <f t="shared" si="703"/>
        <v>0</v>
      </c>
      <c r="AT300" s="58">
        <f t="shared" si="703"/>
        <v>0</v>
      </c>
      <c r="AU300" s="58">
        <f t="shared" si="703"/>
        <v>0</v>
      </c>
      <c r="AV300" s="58">
        <f t="shared" si="703"/>
        <v>0</v>
      </c>
      <c r="AW300" s="58">
        <f t="shared" si="703"/>
        <v>0</v>
      </c>
      <c r="AX300" s="58">
        <f t="shared" si="703"/>
        <v>0</v>
      </c>
      <c r="AY300" s="58" t="e">
        <f t="shared" si="703"/>
        <v>#VALUE!</v>
      </c>
      <c r="AZ300" s="58">
        <f t="shared" si="703"/>
        <v>0</v>
      </c>
      <c r="BA300" s="58">
        <f t="shared" si="703"/>
        <v>-612.460000000021</v>
      </c>
      <c r="BB300" s="58">
        <f t="shared" si="703"/>
        <v>316701.528</v>
      </c>
      <c r="BC300" s="58">
        <f t="shared" si="703"/>
        <v>0</v>
      </c>
      <c r="BD300" s="13"/>
    </row>
    <row r="301" ht="16.5" customHeight="1" spans="1:56">
      <c r="A301" s="14"/>
      <c r="B301" s="14"/>
      <c r="C301" s="14"/>
      <c r="D301" s="14"/>
      <c r="E301" s="14"/>
      <c r="G301" s="14"/>
      <c r="H301" s="14"/>
      <c r="I301" s="14"/>
      <c r="J301" s="14"/>
      <c r="K301" s="14"/>
      <c r="L301" s="14"/>
      <c r="M301" s="14"/>
      <c r="N301" s="14"/>
      <c r="O301" s="14"/>
      <c r="P301" s="355"/>
      <c r="Q301" s="14"/>
      <c r="R301" s="392" t="s">
        <v>3498</v>
      </c>
      <c r="S301" s="322">
        <f t="shared" ref="S301:AG301" si="704">S300/S292</f>
        <v>-0.377703439565641</v>
      </c>
      <c r="T301" s="61">
        <f t="shared" si="704"/>
        <v>0.10898021388808</v>
      </c>
      <c r="U301" s="322">
        <f t="shared" si="704"/>
        <v>0.109991221631403</v>
      </c>
      <c r="V301" s="61" t="e">
        <f t="shared" si="704"/>
        <v>#DIV/0!</v>
      </c>
      <c r="W301" s="61" t="e">
        <f t="shared" si="704"/>
        <v>#DIV/0!</v>
      </c>
      <c r="X301" s="61" t="e">
        <f t="shared" si="704"/>
        <v>#DIV/0!</v>
      </c>
      <c r="Y301" s="61" t="e">
        <f t="shared" si="704"/>
        <v>#DIV/0!</v>
      </c>
      <c r="Z301" s="61" t="e">
        <f t="shared" si="704"/>
        <v>#DIV/0!</v>
      </c>
      <c r="AA301" s="61" t="e">
        <f t="shared" si="704"/>
        <v>#DIV/0!</v>
      </c>
      <c r="AB301" s="61" t="e">
        <f t="shared" si="704"/>
        <v>#DIV/0!</v>
      </c>
      <c r="AC301" s="61" t="e">
        <f t="shared" si="704"/>
        <v>#DIV/0!</v>
      </c>
      <c r="AD301" s="61" t="e">
        <f t="shared" si="704"/>
        <v>#DIV/0!</v>
      </c>
      <c r="AE301" s="61" t="e">
        <f t="shared" si="704"/>
        <v>#DIV/0!</v>
      </c>
      <c r="AF301" s="61" t="e">
        <f t="shared" si="704"/>
        <v>#DIV/0!</v>
      </c>
      <c r="AG301" s="61" t="e">
        <f t="shared" si="704"/>
        <v>#DIV/0!</v>
      </c>
      <c r="AH301" s="340">
        <f>T301-S301</f>
        <v>0.486683653453721</v>
      </c>
      <c r="AI301" s="82" t="e">
        <f>AF301-S301</f>
        <v>#DIV/0!</v>
      </c>
      <c r="AJ301" s="14"/>
      <c r="AK301" s="14"/>
      <c r="AL301" s="14"/>
      <c r="AM301" s="14"/>
      <c r="AN301" s="14"/>
      <c r="AO301" s="61" t="e">
        <f t="shared" ref="AO301:AX301" si="705">AO300/AO292</f>
        <v>#DIV/0!</v>
      </c>
      <c r="AP301" s="61" t="e">
        <f t="shared" si="705"/>
        <v>#DIV/0!</v>
      </c>
      <c r="AQ301" s="61" t="e">
        <f t="shared" si="705"/>
        <v>#DIV/0!</v>
      </c>
      <c r="AR301" s="61" t="e">
        <f t="shared" si="705"/>
        <v>#DIV/0!</v>
      </c>
      <c r="AS301" s="61" t="e">
        <f t="shared" si="705"/>
        <v>#DIV/0!</v>
      </c>
      <c r="AT301" s="61" t="e">
        <f t="shared" si="705"/>
        <v>#DIV/0!</v>
      </c>
      <c r="AU301" s="61" t="e">
        <f t="shared" si="705"/>
        <v>#DIV/0!</v>
      </c>
      <c r="AV301" s="61" t="e">
        <f t="shared" si="705"/>
        <v>#DIV/0!</v>
      </c>
      <c r="AW301" s="61" t="e">
        <f t="shared" si="705"/>
        <v>#DIV/0!</v>
      </c>
      <c r="AX301" s="61" t="e">
        <f t="shared" si="705"/>
        <v>#DIV/0!</v>
      </c>
      <c r="AY301" s="61" t="e">
        <v>#DIV/0!</v>
      </c>
      <c r="AZ301" s="322" t="e">
        <f>AZ300/AZ292</f>
        <v>#DIV/0!</v>
      </c>
      <c r="BA301" s="322">
        <v>-0.00137875034738343</v>
      </c>
      <c r="BB301" s="403">
        <v>0.130353854123886</v>
      </c>
      <c r="BC301" s="403"/>
      <c r="BD301" s="14"/>
    </row>
    <row r="302" ht="15" customHeight="1" spans="1:56">
      <c r="A302" s="386" t="s">
        <v>389</v>
      </c>
      <c r="B302" s="387" t="s">
        <v>390</v>
      </c>
      <c r="C302" s="388">
        <v>45444</v>
      </c>
      <c r="D302" s="388">
        <v>46203</v>
      </c>
      <c r="E302" s="308"/>
      <c r="F302" s="166" t="s">
        <v>3561</v>
      </c>
      <c r="G302" s="28"/>
      <c r="H302" s="12"/>
      <c r="I302" s="12"/>
      <c r="J302" s="12"/>
      <c r="K302" s="12"/>
      <c r="L302" s="389"/>
      <c r="M302" s="389"/>
      <c r="N302" s="389"/>
      <c r="O302" s="389"/>
      <c r="P302" s="390"/>
      <c r="Q302" s="358"/>
      <c r="R302" s="391" t="s">
        <v>3486</v>
      </c>
      <c r="S302" s="319">
        <v>943396.23</v>
      </c>
      <c r="T302" s="58">
        <f t="shared" ref="T302:T306" si="706">SUM(AO302:BC302)</f>
        <v>356912.198</v>
      </c>
      <c r="U302" s="319">
        <f t="shared" ref="U302:U306" si="707">SUM(BA302:BC302)</f>
        <v>360290.868</v>
      </c>
      <c r="V302" s="58">
        <f t="shared" ref="V302:V306" si="708">SUM(AO302:AZ302)</f>
        <v>-3378.67</v>
      </c>
      <c r="W302" s="58">
        <f t="shared" ref="W302:W306" si="709">SUM(AP302:AZ302)</f>
        <v>-3378.67</v>
      </c>
      <c r="X302" s="58">
        <f t="shared" ref="X302:X306" si="710">SUM(AQ302:AZ302)</f>
        <v>-3378.67</v>
      </c>
      <c r="Y302" s="58">
        <f t="shared" ref="Y302:Y306" si="711">SUM(AR302:AZ302)</f>
        <v>-3378.67</v>
      </c>
      <c r="Z302" s="58">
        <f t="shared" ref="Z302:Z306" si="712">SUM(AS302:AZ302)</f>
        <v>-3378.67</v>
      </c>
      <c r="AA302" s="58">
        <f t="shared" ref="AA302:AA306" si="713">SUM(AT302:AZ302)</f>
        <v>-3378.67</v>
      </c>
      <c r="AB302" s="58">
        <f t="shared" ref="AB302:AB306" si="714">SUM(AU302:AZ302)</f>
        <v>-3378.67</v>
      </c>
      <c r="AC302" s="58">
        <f t="shared" ref="AC302:AC306" si="715">SUM(AV302:AZ302)</f>
        <v>-3378.67</v>
      </c>
      <c r="AD302" s="58">
        <f t="shared" ref="AD302:AD306" si="716">SUM(AW302:AZ302)</f>
        <v>-3378.67</v>
      </c>
      <c r="AE302" s="58">
        <f t="shared" ref="AE302:AE306" si="717">SUM(AX302:AZ302)</f>
        <v>-3378.67</v>
      </c>
      <c r="AF302" s="58">
        <f t="shared" ref="AF302:AF306" si="718">SUM(AY302:AZ302)</f>
        <v>-3378.67</v>
      </c>
      <c r="AG302" s="58">
        <f t="shared" ref="AG302:AG306" si="719">SUM(AZ302:AZ302)</f>
        <v>0</v>
      </c>
      <c r="AH302" s="334"/>
      <c r="AI302" s="328"/>
      <c r="AJ302" s="393"/>
      <c r="AK302" s="381" t="s">
        <v>3589</v>
      </c>
      <c r="AL302" s="381" t="s">
        <v>3590</v>
      </c>
      <c r="AM302" s="381" t="s">
        <v>3591</v>
      </c>
      <c r="AN302" s="335"/>
      <c r="AO302" s="58"/>
      <c r="AP302" s="58"/>
      <c r="AQ302" s="58"/>
      <c r="AR302" s="58"/>
      <c r="AS302" s="58"/>
      <c r="AT302" s="58"/>
      <c r="AU302" s="58"/>
      <c r="AV302" s="58"/>
      <c r="AW302" s="58"/>
      <c r="AX302" s="58"/>
      <c r="AY302" s="58">
        <v>-3378.67</v>
      </c>
      <c r="AZ302" s="319"/>
      <c r="BA302" s="344">
        <v>218292.13</v>
      </c>
      <c r="BB302" s="319">
        <v>141998.738</v>
      </c>
      <c r="BC302" s="342"/>
      <c r="BD302" s="404" t="s">
        <v>3592</v>
      </c>
    </row>
    <row r="303" ht="15" customHeight="1" spans="1:56">
      <c r="A303" s="13"/>
      <c r="B303" s="13"/>
      <c r="C303" s="13"/>
      <c r="D303" s="13"/>
      <c r="E303" s="13"/>
      <c r="G303" s="13"/>
      <c r="H303" s="13"/>
      <c r="I303" s="13"/>
      <c r="J303" s="13"/>
      <c r="K303" s="13"/>
      <c r="L303" s="13"/>
      <c r="M303" s="13"/>
      <c r="N303" s="13"/>
      <c r="O303" s="13"/>
      <c r="P303" s="390"/>
      <c r="Q303" s="13"/>
      <c r="R303" s="391" t="s">
        <v>3490</v>
      </c>
      <c r="S303" s="319">
        <v>809181.62</v>
      </c>
      <c r="T303" s="58">
        <f t="shared" si="706"/>
        <v>310305.32</v>
      </c>
      <c r="U303" s="319">
        <f t="shared" si="707"/>
        <v>310305.32</v>
      </c>
      <c r="V303" s="58">
        <f t="shared" si="708"/>
        <v>0</v>
      </c>
      <c r="W303" s="58">
        <f t="shared" si="709"/>
        <v>0</v>
      </c>
      <c r="X303" s="58">
        <f t="shared" si="710"/>
        <v>0</v>
      </c>
      <c r="Y303" s="58">
        <f t="shared" si="711"/>
        <v>0</v>
      </c>
      <c r="Z303" s="58">
        <f t="shared" si="712"/>
        <v>0</v>
      </c>
      <c r="AA303" s="58">
        <f t="shared" si="713"/>
        <v>0</v>
      </c>
      <c r="AB303" s="58">
        <f t="shared" si="714"/>
        <v>0</v>
      </c>
      <c r="AC303" s="58">
        <f t="shared" si="715"/>
        <v>0</v>
      </c>
      <c r="AD303" s="58">
        <f t="shared" si="716"/>
        <v>0</v>
      </c>
      <c r="AE303" s="58">
        <f t="shared" si="717"/>
        <v>0</v>
      </c>
      <c r="AF303" s="58">
        <f t="shared" si="718"/>
        <v>0</v>
      </c>
      <c r="AG303" s="58">
        <f t="shared" si="719"/>
        <v>0</v>
      </c>
      <c r="AH303" s="334"/>
      <c r="AI303" s="328"/>
      <c r="AJ303" s="13"/>
      <c r="AK303" s="13"/>
      <c r="AL303" s="13"/>
      <c r="AM303" s="13"/>
      <c r="AN303" s="13"/>
      <c r="AO303" s="58"/>
      <c r="AP303" s="58"/>
      <c r="AQ303" s="58"/>
      <c r="AR303" s="58"/>
      <c r="AS303" s="58"/>
      <c r="AT303" s="58"/>
      <c r="AU303" s="58"/>
      <c r="AV303" s="58"/>
      <c r="AW303" s="58"/>
      <c r="AX303" s="58"/>
      <c r="AY303" s="58" t="s">
        <v>3561</v>
      </c>
      <c r="AZ303" s="319"/>
      <c r="BA303" s="344">
        <v>189058.69</v>
      </c>
      <c r="BB303" s="319">
        <v>121246.63</v>
      </c>
      <c r="BC303" s="342"/>
      <c r="BD303" s="13"/>
    </row>
    <row r="304" ht="15" customHeight="1" spans="1:56">
      <c r="A304" s="13"/>
      <c r="B304" s="13"/>
      <c r="C304" s="13"/>
      <c r="D304" s="13"/>
      <c r="E304" s="13"/>
      <c r="G304" s="13"/>
      <c r="H304" s="13"/>
      <c r="I304" s="13"/>
      <c r="J304" s="13"/>
      <c r="K304" s="13"/>
      <c r="L304" s="13"/>
      <c r="M304" s="13"/>
      <c r="N304" s="13"/>
      <c r="O304" s="13"/>
      <c r="P304" s="390"/>
      <c r="Q304" s="13"/>
      <c r="R304" s="324" t="s">
        <v>3491</v>
      </c>
      <c r="S304" s="319"/>
      <c r="T304" s="58">
        <f t="shared" si="706"/>
        <v>0</v>
      </c>
      <c r="U304" s="319">
        <f t="shared" si="707"/>
        <v>0</v>
      </c>
      <c r="V304" s="58"/>
      <c r="W304" s="58"/>
      <c r="X304" s="58"/>
      <c r="Y304" s="58"/>
      <c r="Z304" s="58"/>
      <c r="AA304" s="58"/>
      <c r="AB304" s="58"/>
      <c r="AC304" s="58"/>
      <c r="AD304" s="58"/>
      <c r="AE304" s="58"/>
      <c r="AF304" s="58"/>
      <c r="AG304" s="58"/>
      <c r="AH304" s="334"/>
      <c r="AI304" s="328"/>
      <c r="AJ304" s="13"/>
      <c r="AK304" s="13"/>
      <c r="AL304" s="13"/>
      <c r="AM304" s="13"/>
      <c r="AN304" s="13"/>
      <c r="AO304" s="58"/>
      <c r="AP304" s="58"/>
      <c r="AQ304" s="58"/>
      <c r="AR304" s="58"/>
      <c r="AS304" s="58"/>
      <c r="AT304" s="58"/>
      <c r="AU304" s="58"/>
      <c r="AV304" s="58"/>
      <c r="AW304" s="58"/>
      <c r="AX304" s="58">
        <v>0</v>
      </c>
      <c r="AY304" s="58"/>
      <c r="AZ304" s="319"/>
      <c r="BA304" s="344"/>
      <c r="BB304" s="319"/>
      <c r="BC304" s="342"/>
      <c r="BD304" s="13"/>
    </row>
    <row r="305" ht="15" customHeight="1" spans="1:56">
      <c r="A305" s="13"/>
      <c r="B305" s="13"/>
      <c r="C305" s="13"/>
      <c r="D305" s="13"/>
      <c r="E305" s="13"/>
      <c r="G305" s="13"/>
      <c r="H305" s="13"/>
      <c r="I305" s="13"/>
      <c r="J305" s="13"/>
      <c r="K305" s="13"/>
      <c r="L305" s="13"/>
      <c r="M305" s="13"/>
      <c r="N305" s="13"/>
      <c r="O305" s="13"/>
      <c r="P305" s="390"/>
      <c r="Q305" s="13"/>
      <c r="R305" s="391" t="s">
        <v>3492</v>
      </c>
      <c r="S305" s="319">
        <v>0</v>
      </c>
      <c r="T305" s="58">
        <f t="shared" si="706"/>
        <v>0</v>
      </c>
      <c r="U305" s="319">
        <f t="shared" si="707"/>
        <v>0</v>
      </c>
      <c r="V305" s="58">
        <f t="shared" si="708"/>
        <v>0</v>
      </c>
      <c r="W305" s="58">
        <f t="shared" si="709"/>
        <v>0</v>
      </c>
      <c r="X305" s="58">
        <f t="shared" si="710"/>
        <v>0</v>
      </c>
      <c r="Y305" s="58">
        <f t="shared" si="711"/>
        <v>0</v>
      </c>
      <c r="Z305" s="58">
        <f t="shared" si="712"/>
        <v>0</v>
      </c>
      <c r="AA305" s="58">
        <f t="shared" si="713"/>
        <v>0</v>
      </c>
      <c r="AB305" s="58">
        <f t="shared" si="714"/>
        <v>0</v>
      </c>
      <c r="AC305" s="58">
        <f t="shared" si="715"/>
        <v>0</v>
      </c>
      <c r="AD305" s="58">
        <f t="shared" si="716"/>
        <v>0</v>
      </c>
      <c r="AE305" s="58">
        <f t="shared" si="717"/>
        <v>0</v>
      </c>
      <c r="AF305" s="58">
        <f t="shared" si="718"/>
        <v>0</v>
      </c>
      <c r="AG305" s="58">
        <f t="shared" si="719"/>
        <v>0</v>
      </c>
      <c r="AH305" s="334"/>
      <c r="AI305" s="328"/>
      <c r="AJ305" s="13"/>
      <c r="AK305" s="13"/>
      <c r="AL305" s="13"/>
      <c r="AM305" s="13"/>
      <c r="AN305" s="13"/>
      <c r="AO305" s="58"/>
      <c r="AP305" s="58"/>
      <c r="AQ305" s="58"/>
      <c r="AR305" s="58"/>
      <c r="AS305" s="58"/>
      <c r="AT305" s="58"/>
      <c r="AU305" s="58"/>
      <c r="AV305" s="58"/>
      <c r="AW305" s="58"/>
      <c r="AX305" s="58"/>
      <c r="AY305" s="58"/>
      <c r="AZ305" s="319"/>
      <c r="BA305" s="344">
        <v>0</v>
      </c>
      <c r="BB305" s="319">
        <v>0</v>
      </c>
      <c r="BC305" s="342"/>
      <c r="BD305" s="13"/>
    </row>
    <row r="306" ht="15" customHeight="1" spans="1:56">
      <c r="A306" s="13"/>
      <c r="B306" s="13"/>
      <c r="C306" s="13"/>
      <c r="D306" s="13"/>
      <c r="E306" s="13"/>
      <c r="G306" s="13"/>
      <c r="H306" s="13"/>
      <c r="I306" s="13"/>
      <c r="J306" s="13"/>
      <c r="K306" s="13"/>
      <c r="L306" s="13"/>
      <c r="M306" s="13"/>
      <c r="N306" s="13"/>
      <c r="O306" s="13"/>
      <c r="P306" s="390"/>
      <c r="Q306" s="13"/>
      <c r="R306" s="391" t="s">
        <v>3493</v>
      </c>
      <c r="S306" s="319">
        <v>0</v>
      </c>
      <c r="T306" s="58">
        <f t="shared" si="706"/>
        <v>2493.16</v>
      </c>
      <c r="U306" s="319">
        <f t="shared" si="707"/>
        <v>2221.77</v>
      </c>
      <c r="V306" s="58">
        <f t="shared" si="708"/>
        <v>271.39</v>
      </c>
      <c r="W306" s="58">
        <f t="shared" si="709"/>
        <v>271.39</v>
      </c>
      <c r="X306" s="58">
        <f t="shared" si="710"/>
        <v>271.39</v>
      </c>
      <c r="Y306" s="58">
        <f t="shared" si="711"/>
        <v>271.39</v>
      </c>
      <c r="Z306" s="58">
        <f t="shared" si="712"/>
        <v>271.39</v>
      </c>
      <c r="AA306" s="58">
        <f t="shared" si="713"/>
        <v>271.39</v>
      </c>
      <c r="AB306" s="58">
        <f t="shared" si="714"/>
        <v>271.39</v>
      </c>
      <c r="AC306" s="58">
        <f t="shared" si="715"/>
        <v>271.39</v>
      </c>
      <c r="AD306" s="58">
        <f t="shared" si="716"/>
        <v>271.39</v>
      </c>
      <c r="AE306" s="58">
        <f t="shared" si="717"/>
        <v>271.39</v>
      </c>
      <c r="AF306" s="58">
        <f t="shared" si="718"/>
        <v>271.39</v>
      </c>
      <c r="AG306" s="58">
        <f t="shared" si="719"/>
        <v>0</v>
      </c>
      <c r="AH306" s="334"/>
      <c r="AI306" s="328"/>
      <c r="AJ306" s="13"/>
      <c r="AK306" s="13"/>
      <c r="AL306" s="13"/>
      <c r="AM306" s="13"/>
      <c r="AN306" s="13"/>
      <c r="AO306" s="58"/>
      <c r="AP306" s="58"/>
      <c r="AQ306" s="58"/>
      <c r="AR306" s="58"/>
      <c r="AS306" s="58"/>
      <c r="AT306" s="58"/>
      <c r="AU306" s="58"/>
      <c r="AV306" s="58"/>
      <c r="AW306" s="58"/>
      <c r="AX306" s="58"/>
      <c r="AY306" s="58">
        <v>271.39</v>
      </c>
      <c r="AZ306" s="319"/>
      <c r="BA306" s="344">
        <v>2176.29</v>
      </c>
      <c r="BB306" s="319">
        <v>45.48</v>
      </c>
      <c r="BC306" s="342"/>
      <c r="BD306" s="13"/>
    </row>
    <row r="307" ht="16.5" customHeight="1" spans="1:56">
      <c r="A307" s="13"/>
      <c r="B307" s="13"/>
      <c r="C307" s="13"/>
      <c r="D307" s="13"/>
      <c r="E307" s="13"/>
      <c r="G307" s="13"/>
      <c r="H307" s="13"/>
      <c r="I307" s="13"/>
      <c r="J307" s="13"/>
      <c r="K307" s="13"/>
      <c r="L307" s="13"/>
      <c r="M307" s="13"/>
      <c r="N307" s="13"/>
      <c r="O307" s="13"/>
      <c r="P307" s="315"/>
      <c r="Q307" s="13"/>
      <c r="R307" s="324" t="s">
        <v>3494</v>
      </c>
      <c r="S307" s="320">
        <f t="shared" ref="S307:AG307" si="720">SUM(S303:S306)</f>
        <v>809181.62</v>
      </c>
      <c r="T307" s="214">
        <f t="shared" si="720"/>
        <v>312798.48</v>
      </c>
      <c r="U307" s="320">
        <f t="shared" si="720"/>
        <v>312527.09</v>
      </c>
      <c r="V307" s="214">
        <f t="shared" si="720"/>
        <v>271.39</v>
      </c>
      <c r="W307" s="214">
        <f t="shared" si="720"/>
        <v>271.39</v>
      </c>
      <c r="X307" s="214">
        <f t="shared" si="720"/>
        <v>271.39</v>
      </c>
      <c r="Y307" s="214">
        <f t="shared" si="720"/>
        <v>271.39</v>
      </c>
      <c r="Z307" s="214">
        <f t="shared" si="720"/>
        <v>271.39</v>
      </c>
      <c r="AA307" s="214">
        <f t="shared" si="720"/>
        <v>271.39</v>
      </c>
      <c r="AB307" s="214">
        <f t="shared" si="720"/>
        <v>271.39</v>
      </c>
      <c r="AC307" s="214">
        <f t="shared" si="720"/>
        <v>271.39</v>
      </c>
      <c r="AD307" s="214">
        <f t="shared" si="720"/>
        <v>271.39</v>
      </c>
      <c r="AE307" s="214">
        <f t="shared" si="720"/>
        <v>271.39</v>
      </c>
      <c r="AF307" s="214">
        <f t="shared" si="720"/>
        <v>271.39</v>
      </c>
      <c r="AG307" s="214">
        <f t="shared" si="720"/>
        <v>0</v>
      </c>
      <c r="AH307" s="320">
        <f>SUM(AH303:AH306)</f>
        <v>0</v>
      </c>
      <c r="AI307" s="214">
        <f>SUM(AI303:AI306)</f>
        <v>0</v>
      </c>
      <c r="AJ307" s="13"/>
      <c r="AK307" s="13"/>
      <c r="AL307" s="13"/>
      <c r="AM307" s="13"/>
      <c r="AN307" s="13"/>
      <c r="AO307" s="214">
        <f t="shared" ref="AO307:AX307" si="721">SUM(AO303:AO306)</f>
        <v>0</v>
      </c>
      <c r="AP307" s="214">
        <f t="shared" si="721"/>
        <v>0</v>
      </c>
      <c r="AQ307" s="214">
        <f t="shared" si="721"/>
        <v>0</v>
      </c>
      <c r="AR307" s="214">
        <f t="shared" si="721"/>
        <v>0</v>
      </c>
      <c r="AS307" s="214">
        <f t="shared" si="721"/>
        <v>0</v>
      </c>
      <c r="AT307" s="214">
        <f t="shared" si="721"/>
        <v>0</v>
      </c>
      <c r="AU307" s="214">
        <f t="shared" si="721"/>
        <v>0</v>
      </c>
      <c r="AV307" s="214">
        <f t="shared" si="721"/>
        <v>0</v>
      </c>
      <c r="AW307" s="214">
        <f t="shared" si="721"/>
        <v>0</v>
      </c>
      <c r="AX307" s="214">
        <f t="shared" si="721"/>
        <v>0</v>
      </c>
      <c r="AY307" s="214">
        <v>271.39</v>
      </c>
      <c r="AZ307" s="320">
        <f>SUM(AZ303:AZ306)</f>
        <v>0</v>
      </c>
      <c r="BA307" s="320">
        <v>191234.98</v>
      </c>
      <c r="BB307" s="320">
        <f>SUM(BB303:BB306)</f>
        <v>121292.11</v>
      </c>
      <c r="BC307" s="320">
        <f>SUM(BC303:BC306)</f>
        <v>0</v>
      </c>
      <c r="BD307" s="13"/>
    </row>
    <row r="308" ht="15" customHeight="1" spans="1:56">
      <c r="A308" s="13"/>
      <c r="B308" s="13"/>
      <c r="C308" s="13"/>
      <c r="D308" s="13"/>
      <c r="E308" s="13"/>
      <c r="G308" s="13"/>
      <c r="H308" s="13"/>
      <c r="I308" s="13"/>
      <c r="J308" s="13"/>
      <c r="K308" s="13"/>
      <c r="L308" s="13"/>
      <c r="M308" s="13"/>
      <c r="N308" s="13"/>
      <c r="O308" s="13"/>
      <c r="P308" s="390"/>
      <c r="Q308" s="13"/>
      <c r="R308" s="391" t="s">
        <v>3495</v>
      </c>
      <c r="S308" s="319">
        <f t="shared" ref="S308:AG308" si="722">S302-S303</f>
        <v>134214.61</v>
      </c>
      <c r="T308" s="58">
        <f t="shared" si="722"/>
        <v>46606.878</v>
      </c>
      <c r="U308" s="319">
        <f t="shared" si="722"/>
        <v>49985.548</v>
      </c>
      <c r="V308" s="58">
        <f t="shared" si="722"/>
        <v>-3378.67</v>
      </c>
      <c r="W308" s="58">
        <f t="shared" si="722"/>
        <v>-3378.67</v>
      </c>
      <c r="X308" s="58">
        <f t="shared" si="722"/>
        <v>-3378.67</v>
      </c>
      <c r="Y308" s="58">
        <f t="shared" si="722"/>
        <v>-3378.67</v>
      </c>
      <c r="Z308" s="58">
        <f t="shared" si="722"/>
        <v>-3378.67</v>
      </c>
      <c r="AA308" s="58">
        <f t="shared" si="722"/>
        <v>-3378.67</v>
      </c>
      <c r="AB308" s="58">
        <f t="shared" si="722"/>
        <v>-3378.67</v>
      </c>
      <c r="AC308" s="58">
        <f t="shared" si="722"/>
        <v>-3378.67</v>
      </c>
      <c r="AD308" s="58">
        <f t="shared" si="722"/>
        <v>-3378.67</v>
      </c>
      <c r="AE308" s="58">
        <f t="shared" si="722"/>
        <v>-3378.67</v>
      </c>
      <c r="AF308" s="58">
        <f t="shared" si="722"/>
        <v>-3378.67</v>
      </c>
      <c r="AG308" s="58">
        <f t="shared" si="722"/>
        <v>0</v>
      </c>
      <c r="AH308" s="339"/>
      <c r="AI308" s="332"/>
      <c r="AJ308" s="13"/>
      <c r="AK308" s="13"/>
      <c r="AL308" s="13"/>
      <c r="AM308" s="13"/>
      <c r="AN308" s="13"/>
      <c r="AO308" s="58">
        <f t="shared" ref="AO308:AX308" si="723">AO302-AO303</f>
        <v>0</v>
      </c>
      <c r="AP308" s="58">
        <f t="shared" si="723"/>
        <v>0</v>
      </c>
      <c r="AQ308" s="58">
        <f t="shared" si="723"/>
        <v>0</v>
      </c>
      <c r="AR308" s="58">
        <f t="shared" si="723"/>
        <v>0</v>
      </c>
      <c r="AS308" s="58">
        <f t="shared" si="723"/>
        <v>0</v>
      </c>
      <c r="AT308" s="58">
        <f t="shared" si="723"/>
        <v>0</v>
      </c>
      <c r="AU308" s="58">
        <f t="shared" si="723"/>
        <v>0</v>
      </c>
      <c r="AV308" s="58">
        <f t="shared" si="723"/>
        <v>0</v>
      </c>
      <c r="AW308" s="58">
        <f t="shared" si="723"/>
        <v>0</v>
      </c>
      <c r="AX308" s="58">
        <f t="shared" si="723"/>
        <v>0</v>
      </c>
      <c r="AY308" s="58">
        <v>-3378.67</v>
      </c>
      <c r="AZ308" s="319">
        <f>AZ302-AZ303</f>
        <v>0</v>
      </c>
      <c r="BA308" s="344">
        <v>29233.4400000001</v>
      </c>
      <c r="BB308" s="320">
        <v>20752.108</v>
      </c>
      <c r="BC308" s="342"/>
      <c r="BD308" s="13"/>
    </row>
    <row r="309" ht="15" customHeight="1" spans="1:56">
      <c r="A309" s="13"/>
      <c r="B309" s="13"/>
      <c r="C309" s="13"/>
      <c r="D309" s="13"/>
      <c r="E309" s="13"/>
      <c r="G309" s="13"/>
      <c r="H309" s="13"/>
      <c r="I309" s="13"/>
      <c r="J309" s="13"/>
      <c r="K309" s="13"/>
      <c r="L309" s="13"/>
      <c r="M309" s="13"/>
      <c r="N309" s="13"/>
      <c r="O309" s="13"/>
      <c r="P309" s="390"/>
      <c r="Q309" s="13"/>
      <c r="R309" s="392" t="s">
        <v>3496</v>
      </c>
      <c r="S309" s="322">
        <f t="shared" ref="S309:AG309" si="724">S308/S302</f>
        <v>0.142267486059384</v>
      </c>
      <c r="T309" s="61">
        <f t="shared" si="724"/>
        <v>0.130583595240418</v>
      </c>
      <c r="U309" s="322">
        <f t="shared" si="724"/>
        <v>0.138736649855916</v>
      </c>
      <c r="V309" s="61">
        <f t="shared" si="724"/>
        <v>1</v>
      </c>
      <c r="W309" s="61">
        <f t="shared" si="724"/>
        <v>1</v>
      </c>
      <c r="X309" s="61">
        <f t="shared" si="724"/>
        <v>1</v>
      </c>
      <c r="Y309" s="61">
        <f t="shared" si="724"/>
        <v>1</v>
      </c>
      <c r="Z309" s="61">
        <f t="shared" si="724"/>
        <v>1</v>
      </c>
      <c r="AA309" s="61">
        <f t="shared" si="724"/>
        <v>1</v>
      </c>
      <c r="AB309" s="61">
        <f t="shared" si="724"/>
        <v>1</v>
      </c>
      <c r="AC309" s="61">
        <f t="shared" si="724"/>
        <v>1</v>
      </c>
      <c r="AD309" s="61">
        <f t="shared" si="724"/>
        <v>1</v>
      </c>
      <c r="AE309" s="61">
        <f t="shared" si="724"/>
        <v>1</v>
      </c>
      <c r="AF309" s="61">
        <f t="shared" si="724"/>
        <v>1</v>
      </c>
      <c r="AG309" s="61" t="e">
        <f t="shared" si="724"/>
        <v>#DIV/0!</v>
      </c>
      <c r="AH309" s="340">
        <f>T309-S309</f>
        <v>-0.0116838908189654</v>
      </c>
      <c r="AI309" s="82">
        <f>AF309-S309</f>
        <v>0.857732513940616</v>
      </c>
      <c r="AJ309" s="13"/>
      <c r="AK309" s="13"/>
      <c r="AL309" s="13"/>
      <c r="AM309" s="13"/>
      <c r="AN309" s="13"/>
      <c r="AO309" s="61" t="e">
        <f t="shared" ref="AO309:AX309" si="725">AO308/AO302</f>
        <v>#DIV/0!</v>
      </c>
      <c r="AP309" s="61" t="e">
        <f t="shared" si="725"/>
        <v>#DIV/0!</v>
      </c>
      <c r="AQ309" s="61" t="e">
        <f t="shared" si="725"/>
        <v>#DIV/0!</v>
      </c>
      <c r="AR309" s="61" t="e">
        <f t="shared" si="725"/>
        <v>#DIV/0!</v>
      </c>
      <c r="AS309" s="61" t="e">
        <f t="shared" si="725"/>
        <v>#DIV/0!</v>
      </c>
      <c r="AT309" s="61" t="e">
        <f t="shared" si="725"/>
        <v>#DIV/0!</v>
      </c>
      <c r="AU309" s="61" t="e">
        <f t="shared" si="725"/>
        <v>#DIV/0!</v>
      </c>
      <c r="AV309" s="61" t="e">
        <f t="shared" si="725"/>
        <v>#DIV/0!</v>
      </c>
      <c r="AW309" s="61" t="e">
        <f t="shared" si="725"/>
        <v>#DIV/0!</v>
      </c>
      <c r="AX309" s="61" t="e">
        <f t="shared" si="725"/>
        <v>#DIV/0!</v>
      </c>
      <c r="AY309" s="61">
        <v>1</v>
      </c>
      <c r="AZ309" s="322" t="e">
        <f>AZ308/AZ302</f>
        <v>#DIV/0!</v>
      </c>
      <c r="BA309" s="322">
        <v>0.133918891166622</v>
      </c>
      <c r="BB309" s="403">
        <v>0.146142904453137</v>
      </c>
      <c r="BC309" s="342"/>
      <c r="BD309" s="13"/>
    </row>
    <row r="310" ht="15" customHeight="1" spans="1:56">
      <c r="A310" s="13"/>
      <c r="B310" s="13"/>
      <c r="C310" s="13"/>
      <c r="D310" s="13"/>
      <c r="E310" s="13"/>
      <c r="G310" s="13"/>
      <c r="H310" s="13"/>
      <c r="I310" s="13"/>
      <c r="J310" s="13"/>
      <c r="K310" s="13"/>
      <c r="L310" s="13"/>
      <c r="M310" s="13"/>
      <c r="N310" s="13"/>
      <c r="O310" s="13"/>
      <c r="P310" s="390"/>
      <c r="Q310" s="13"/>
      <c r="R310" s="391" t="s">
        <v>3497</v>
      </c>
      <c r="S310" s="58">
        <f t="shared" ref="S310:AG310" si="726">S302-S307</f>
        <v>134214.61</v>
      </c>
      <c r="T310" s="58">
        <f t="shared" si="726"/>
        <v>44113.718</v>
      </c>
      <c r="U310" s="58">
        <f t="shared" si="726"/>
        <v>47763.778</v>
      </c>
      <c r="V310" s="58">
        <f t="shared" si="726"/>
        <v>-3650.06</v>
      </c>
      <c r="W310" s="58">
        <f t="shared" si="726"/>
        <v>-3650.06</v>
      </c>
      <c r="X310" s="58">
        <f t="shared" si="726"/>
        <v>-3650.06</v>
      </c>
      <c r="Y310" s="58">
        <f t="shared" si="726"/>
        <v>-3650.06</v>
      </c>
      <c r="Z310" s="58">
        <f t="shared" si="726"/>
        <v>-3650.06</v>
      </c>
      <c r="AA310" s="58">
        <f t="shared" si="726"/>
        <v>-3650.06</v>
      </c>
      <c r="AB310" s="58">
        <f t="shared" si="726"/>
        <v>-3650.06</v>
      </c>
      <c r="AC310" s="58">
        <f t="shared" si="726"/>
        <v>-3650.06</v>
      </c>
      <c r="AD310" s="58">
        <f t="shared" si="726"/>
        <v>-3650.06</v>
      </c>
      <c r="AE310" s="58">
        <f t="shared" si="726"/>
        <v>-3650.06</v>
      </c>
      <c r="AF310" s="58">
        <f t="shared" si="726"/>
        <v>-3650.06</v>
      </c>
      <c r="AG310" s="58">
        <f t="shared" si="726"/>
        <v>0</v>
      </c>
      <c r="AH310" s="82"/>
      <c r="AI310" s="82"/>
      <c r="AJ310" s="13"/>
      <c r="AK310" s="13"/>
      <c r="AL310" s="13"/>
      <c r="AM310" s="13"/>
      <c r="AN310" s="13"/>
      <c r="AO310" s="58">
        <f t="shared" ref="AO310:BC310" si="727">AO302-AO307</f>
        <v>0</v>
      </c>
      <c r="AP310" s="58">
        <f t="shared" si="727"/>
        <v>0</v>
      </c>
      <c r="AQ310" s="58">
        <f t="shared" si="727"/>
        <v>0</v>
      </c>
      <c r="AR310" s="58">
        <f t="shared" si="727"/>
        <v>0</v>
      </c>
      <c r="AS310" s="58">
        <f t="shared" si="727"/>
        <v>0</v>
      </c>
      <c r="AT310" s="58">
        <f t="shared" si="727"/>
        <v>0</v>
      </c>
      <c r="AU310" s="58">
        <f t="shared" si="727"/>
        <v>0</v>
      </c>
      <c r="AV310" s="58">
        <f t="shared" si="727"/>
        <v>0</v>
      </c>
      <c r="AW310" s="58">
        <f t="shared" si="727"/>
        <v>0</v>
      </c>
      <c r="AX310" s="58">
        <f t="shared" si="727"/>
        <v>0</v>
      </c>
      <c r="AY310" s="58">
        <f t="shared" si="727"/>
        <v>-3650.06</v>
      </c>
      <c r="AZ310" s="58">
        <f t="shared" si="727"/>
        <v>0</v>
      </c>
      <c r="BA310" s="58">
        <f t="shared" si="727"/>
        <v>27057.15</v>
      </c>
      <c r="BB310" s="58">
        <f t="shared" si="727"/>
        <v>20706.628</v>
      </c>
      <c r="BC310" s="58">
        <f t="shared" si="727"/>
        <v>0</v>
      </c>
      <c r="BD310" s="13"/>
    </row>
    <row r="311" ht="16.5" customHeight="1" spans="1:56">
      <c r="A311" s="14"/>
      <c r="B311" s="14"/>
      <c r="C311" s="14"/>
      <c r="D311" s="14"/>
      <c r="E311" s="14"/>
      <c r="G311" s="14"/>
      <c r="H311" s="14"/>
      <c r="I311" s="14"/>
      <c r="J311" s="14"/>
      <c r="K311" s="14"/>
      <c r="L311" s="14"/>
      <c r="M311" s="14"/>
      <c r="N311" s="14"/>
      <c r="O311" s="14"/>
      <c r="P311" s="389"/>
      <c r="Q311" s="14"/>
      <c r="R311" s="392" t="s">
        <v>3498</v>
      </c>
      <c r="S311" s="322">
        <f t="shared" ref="S311:AG311" si="728">S310/S302</f>
        <v>0.142267486059384</v>
      </c>
      <c r="T311" s="61">
        <f t="shared" si="728"/>
        <v>0.123598235776744</v>
      </c>
      <c r="U311" s="322">
        <f t="shared" si="728"/>
        <v>0.132570048930577</v>
      </c>
      <c r="V311" s="61">
        <f t="shared" si="728"/>
        <v>1.08032450638861</v>
      </c>
      <c r="W311" s="61">
        <f t="shared" si="728"/>
        <v>1.08032450638861</v>
      </c>
      <c r="X311" s="61">
        <f t="shared" si="728"/>
        <v>1.08032450638861</v>
      </c>
      <c r="Y311" s="61">
        <f t="shared" si="728"/>
        <v>1.08032450638861</v>
      </c>
      <c r="Z311" s="61">
        <f t="shared" si="728"/>
        <v>1.08032450638861</v>
      </c>
      <c r="AA311" s="61">
        <f t="shared" si="728"/>
        <v>1.08032450638861</v>
      </c>
      <c r="AB311" s="61">
        <f t="shared" si="728"/>
        <v>1.08032450638861</v>
      </c>
      <c r="AC311" s="61">
        <f t="shared" si="728"/>
        <v>1.08032450638861</v>
      </c>
      <c r="AD311" s="61">
        <f t="shared" si="728"/>
        <v>1.08032450638861</v>
      </c>
      <c r="AE311" s="61">
        <f t="shared" si="728"/>
        <v>1.08032450638861</v>
      </c>
      <c r="AF311" s="61">
        <f t="shared" si="728"/>
        <v>1.08032450638861</v>
      </c>
      <c r="AG311" s="61" t="e">
        <f t="shared" si="728"/>
        <v>#DIV/0!</v>
      </c>
      <c r="AH311" s="340">
        <f>T311-S311</f>
        <v>-0.0186692502826394</v>
      </c>
      <c r="AI311" s="82">
        <f>AF311-S311</f>
        <v>0.938057020329225</v>
      </c>
      <c r="AJ311" s="14"/>
      <c r="AK311" s="14"/>
      <c r="AL311" s="14"/>
      <c r="AM311" s="14"/>
      <c r="AN311" s="14"/>
      <c r="AO311" s="61" t="e">
        <f t="shared" ref="AO311:AX311" si="729">AO310/AO302</f>
        <v>#DIV/0!</v>
      </c>
      <c r="AP311" s="61" t="e">
        <f t="shared" si="729"/>
        <v>#DIV/0!</v>
      </c>
      <c r="AQ311" s="61" t="e">
        <f t="shared" si="729"/>
        <v>#DIV/0!</v>
      </c>
      <c r="AR311" s="61" t="e">
        <f t="shared" si="729"/>
        <v>#DIV/0!</v>
      </c>
      <c r="AS311" s="61" t="e">
        <f t="shared" si="729"/>
        <v>#DIV/0!</v>
      </c>
      <c r="AT311" s="61" t="e">
        <f t="shared" si="729"/>
        <v>#DIV/0!</v>
      </c>
      <c r="AU311" s="61" t="e">
        <f t="shared" si="729"/>
        <v>#DIV/0!</v>
      </c>
      <c r="AV311" s="61" t="e">
        <f t="shared" si="729"/>
        <v>#DIV/0!</v>
      </c>
      <c r="AW311" s="61" t="e">
        <f t="shared" si="729"/>
        <v>#DIV/0!</v>
      </c>
      <c r="AX311" s="61" t="e">
        <f t="shared" si="729"/>
        <v>#DIV/0!</v>
      </c>
      <c r="AY311" s="61">
        <v>1.0803</v>
      </c>
      <c r="AZ311" s="322" t="e">
        <f>AZ310/AZ302</f>
        <v>#DIV/0!</v>
      </c>
      <c r="BA311" s="322">
        <v>0.123949269265915</v>
      </c>
      <c r="BB311" s="403">
        <v>0.145822619916524</v>
      </c>
      <c r="BC311" s="342"/>
      <c r="BD311" s="14"/>
    </row>
    <row r="312" ht="15" customHeight="1" spans="1:56">
      <c r="A312" s="386" t="s">
        <v>402</v>
      </c>
      <c r="B312" s="387" t="s">
        <v>403</v>
      </c>
      <c r="C312" s="388">
        <v>45536</v>
      </c>
      <c r="D312" s="388">
        <v>46022</v>
      </c>
      <c r="E312" s="308"/>
      <c r="F312" s="166" t="s">
        <v>3561</v>
      </c>
      <c r="G312" s="309"/>
      <c r="H312" s="355"/>
      <c r="I312" s="355"/>
      <c r="J312" s="355"/>
      <c r="K312" s="355"/>
      <c r="L312" s="355"/>
      <c r="M312" s="355"/>
      <c r="N312" s="355"/>
      <c r="O312" s="355"/>
      <c r="P312" s="356"/>
      <c r="Q312" s="358"/>
      <c r="R312" s="391" t="s">
        <v>3486</v>
      </c>
      <c r="S312" s="319">
        <v>1886792.45</v>
      </c>
      <c r="T312" s="58">
        <f t="shared" ref="T312:T316" si="730">SUM(AO312:BC312)</f>
        <v>1461976.839</v>
      </c>
      <c r="U312" s="319">
        <f t="shared" ref="U312:U316" si="731">SUM(BA312:BC312)</f>
        <v>1461976.839</v>
      </c>
      <c r="V312" s="58">
        <f t="shared" ref="V312:V316" si="732">SUM(AO312:AZ312)</f>
        <v>0</v>
      </c>
      <c r="W312" s="58">
        <f t="shared" ref="W312:W316" si="733">SUM(AP312:AZ312)</f>
        <v>0</v>
      </c>
      <c r="X312" s="58">
        <f t="shared" ref="X312:X316" si="734">SUM(AQ312:AZ312)</f>
        <v>0</v>
      </c>
      <c r="Y312" s="58">
        <f t="shared" ref="Y312:Y316" si="735">SUM(AR312:AZ312)</f>
        <v>0</v>
      </c>
      <c r="Z312" s="58">
        <f t="shared" ref="Z312:Z316" si="736">SUM(AS312:AZ312)</f>
        <v>0</v>
      </c>
      <c r="AA312" s="58">
        <f t="shared" ref="AA312:AA316" si="737">SUM(AT312:AZ312)</f>
        <v>0</v>
      </c>
      <c r="AB312" s="58">
        <f t="shared" ref="AB312:AB316" si="738">SUM(AU312:AZ312)</f>
        <v>0</v>
      </c>
      <c r="AC312" s="58">
        <f t="shared" ref="AC312:AC316" si="739">SUM(AV312:AZ312)</f>
        <v>0</v>
      </c>
      <c r="AD312" s="58">
        <f t="shared" ref="AD312:AD316" si="740">SUM(AW312:AZ312)</f>
        <v>0</v>
      </c>
      <c r="AE312" s="58">
        <f t="shared" ref="AE312:AE316" si="741">SUM(AX312:AZ312)</f>
        <v>0</v>
      </c>
      <c r="AF312" s="58">
        <f t="shared" ref="AF312:AF316" si="742">SUM(AY312:AZ312)</f>
        <v>0</v>
      </c>
      <c r="AG312" s="58">
        <f t="shared" ref="AG312:AG316" si="743">SUM(AZ312:AZ312)</f>
        <v>0</v>
      </c>
      <c r="AH312" s="334"/>
      <c r="AI312" s="328"/>
      <c r="AJ312" s="393"/>
      <c r="AK312" s="381" t="s">
        <v>3593</v>
      </c>
      <c r="AL312" s="397"/>
      <c r="AM312" s="397"/>
      <c r="AN312" s="398"/>
      <c r="AO312" s="58"/>
      <c r="AP312" s="58"/>
      <c r="AQ312" s="58"/>
      <c r="AR312" s="58"/>
      <c r="AS312" s="58"/>
      <c r="AT312" s="58"/>
      <c r="AU312" s="58"/>
      <c r="AV312" s="58"/>
      <c r="AW312" s="58"/>
      <c r="AX312" s="58"/>
      <c r="AY312" s="58" t="s">
        <v>3561</v>
      </c>
      <c r="AZ312" s="319"/>
      <c r="BA312" s="344">
        <v>948143.82</v>
      </c>
      <c r="BB312" s="319">
        <v>513833.019</v>
      </c>
      <c r="BC312" s="342"/>
      <c r="BD312" s="346" t="s">
        <v>3567</v>
      </c>
    </row>
    <row r="313" ht="15" customHeight="1" spans="1:56">
      <c r="A313" s="13"/>
      <c r="B313" s="13"/>
      <c r="C313" s="13"/>
      <c r="D313" s="13"/>
      <c r="E313" s="13"/>
      <c r="G313" s="13"/>
      <c r="H313" s="13"/>
      <c r="I313" s="13"/>
      <c r="J313" s="13"/>
      <c r="K313" s="13"/>
      <c r="L313" s="13"/>
      <c r="M313" s="13"/>
      <c r="N313" s="13"/>
      <c r="O313" s="13"/>
      <c r="P313" s="356"/>
      <c r="Q313" s="13"/>
      <c r="R313" s="391" t="s">
        <v>3490</v>
      </c>
      <c r="S313" s="319">
        <v>1900212.88</v>
      </c>
      <c r="T313" s="58">
        <f t="shared" si="730"/>
        <v>1105976.16</v>
      </c>
      <c r="U313" s="319">
        <f t="shared" si="731"/>
        <v>1105976.16</v>
      </c>
      <c r="V313" s="58">
        <f t="shared" si="732"/>
        <v>0</v>
      </c>
      <c r="W313" s="58">
        <f t="shared" si="733"/>
        <v>0</v>
      </c>
      <c r="X313" s="58">
        <f t="shared" si="734"/>
        <v>0</v>
      </c>
      <c r="Y313" s="58">
        <f t="shared" si="735"/>
        <v>0</v>
      </c>
      <c r="Z313" s="58">
        <f t="shared" si="736"/>
        <v>0</v>
      </c>
      <c r="AA313" s="58">
        <f t="shared" si="737"/>
        <v>0</v>
      </c>
      <c r="AB313" s="58">
        <f t="shared" si="738"/>
        <v>0</v>
      </c>
      <c r="AC313" s="58">
        <f t="shared" si="739"/>
        <v>0</v>
      </c>
      <c r="AD313" s="58">
        <f t="shared" si="740"/>
        <v>0</v>
      </c>
      <c r="AE313" s="58">
        <f t="shared" si="741"/>
        <v>0</v>
      </c>
      <c r="AF313" s="58">
        <f t="shared" si="742"/>
        <v>0</v>
      </c>
      <c r="AG313" s="58">
        <f t="shared" si="743"/>
        <v>0</v>
      </c>
      <c r="AH313" s="334"/>
      <c r="AI313" s="328"/>
      <c r="AJ313" s="393"/>
      <c r="AK313" s="381"/>
      <c r="AL313" s="399"/>
      <c r="AM313" s="399"/>
      <c r="AN313" s="400"/>
      <c r="AO313" s="58"/>
      <c r="AP313" s="58"/>
      <c r="AQ313" s="58"/>
      <c r="AR313" s="58"/>
      <c r="AS313" s="58"/>
      <c r="AT313" s="58"/>
      <c r="AU313" s="58"/>
      <c r="AV313" s="58"/>
      <c r="AW313" s="58"/>
      <c r="AX313" s="58"/>
      <c r="AY313" s="58" t="s">
        <v>3561</v>
      </c>
      <c r="AZ313" s="319"/>
      <c r="BA313" s="344">
        <v>719366.7</v>
      </c>
      <c r="BB313" s="319">
        <v>386609.46</v>
      </c>
      <c r="BC313" s="342"/>
      <c r="BD313" s="13"/>
    </row>
    <row r="314" ht="15" customHeight="1" spans="1:56">
      <c r="A314" s="13"/>
      <c r="B314" s="13"/>
      <c r="C314" s="13"/>
      <c r="D314" s="13"/>
      <c r="E314" s="13"/>
      <c r="G314" s="13"/>
      <c r="H314" s="13"/>
      <c r="I314" s="13"/>
      <c r="J314" s="13"/>
      <c r="K314" s="13"/>
      <c r="L314" s="13"/>
      <c r="M314" s="13"/>
      <c r="N314" s="13"/>
      <c r="O314" s="13"/>
      <c r="P314" s="356"/>
      <c r="Q314" s="13"/>
      <c r="R314" s="324" t="s">
        <v>3491</v>
      </c>
      <c r="S314" s="319"/>
      <c r="T314" s="58">
        <f t="shared" si="730"/>
        <v>0</v>
      </c>
      <c r="U314" s="319">
        <f t="shared" si="731"/>
        <v>0</v>
      </c>
      <c r="V314" s="58"/>
      <c r="W314" s="58"/>
      <c r="X314" s="58"/>
      <c r="Y314" s="58"/>
      <c r="Z314" s="58"/>
      <c r="AA314" s="58"/>
      <c r="AB314" s="58"/>
      <c r="AC314" s="58"/>
      <c r="AD314" s="58"/>
      <c r="AE314" s="58"/>
      <c r="AF314" s="58"/>
      <c r="AG314" s="58"/>
      <c r="AH314" s="334"/>
      <c r="AI314" s="328"/>
      <c r="AJ314" s="393"/>
      <c r="AK314" s="381"/>
      <c r="AL314" s="399"/>
      <c r="AM314" s="399"/>
      <c r="AN314" s="400"/>
      <c r="AO314" s="58"/>
      <c r="AP314" s="58"/>
      <c r="AQ314" s="58"/>
      <c r="AR314" s="58"/>
      <c r="AS314" s="58"/>
      <c r="AT314" s="58"/>
      <c r="AU314" s="58"/>
      <c r="AV314" s="58"/>
      <c r="AW314" s="58"/>
      <c r="AX314" s="58">
        <v>0</v>
      </c>
      <c r="AY314" s="58"/>
      <c r="AZ314" s="319"/>
      <c r="BA314" s="344"/>
      <c r="BB314" s="319"/>
      <c r="BC314" s="342"/>
      <c r="BD314" s="13"/>
    </row>
    <row r="315" ht="15" customHeight="1" spans="1:56">
      <c r="A315" s="13"/>
      <c r="B315" s="13"/>
      <c r="C315" s="13"/>
      <c r="D315" s="13"/>
      <c r="E315" s="13"/>
      <c r="G315" s="13"/>
      <c r="H315" s="13"/>
      <c r="I315" s="13"/>
      <c r="J315" s="13"/>
      <c r="K315" s="13"/>
      <c r="L315" s="13"/>
      <c r="M315" s="13"/>
      <c r="N315" s="13"/>
      <c r="O315" s="13"/>
      <c r="P315" s="356"/>
      <c r="Q315" s="13"/>
      <c r="R315" s="391" t="s">
        <v>3492</v>
      </c>
      <c r="S315" s="319">
        <v>20000</v>
      </c>
      <c r="T315" s="58">
        <f t="shared" si="730"/>
        <v>10794.6</v>
      </c>
      <c r="U315" s="319">
        <f t="shared" si="731"/>
        <v>10794.6</v>
      </c>
      <c r="V315" s="58">
        <f t="shared" si="732"/>
        <v>0</v>
      </c>
      <c r="W315" s="58">
        <f t="shared" si="733"/>
        <v>0</v>
      </c>
      <c r="X315" s="58">
        <f t="shared" si="734"/>
        <v>0</v>
      </c>
      <c r="Y315" s="58">
        <f t="shared" si="735"/>
        <v>0</v>
      </c>
      <c r="Z315" s="58">
        <f t="shared" si="736"/>
        <v>0</v>
      </c>
      <c r="AA315" s="58">
        <f t="shared" si="737"/>
        <v>0</v>
      </c>
      <c r="AB315" s="58">
        <f t="shared" si="738"/>
        <v>0</v>
      </c>
      <c r="AC315" s="58">
        <f t="shared" si="739"/>
        <v>0</v>
      </c>
      <c r="AD315" s="58">
        <f t="shared" si="740"/>
        <v>0</v>
      </c>
      <c r="AE315" s="58">
        <f t="shared" si="741"/>
        <v>0</v>
      </c>
      <c r="AF315" s="58">
        <f t="shared" si="742"/>
        <v>0</v>
      </c>
      <c r="AG315" s="58">
        <f t="shared" si="743"/>
        <v>0</v>
      </c>
      <c r="AH315" s="334"/>
      <c r="AI315" s="328"/>
      <c r="AJ315" s="393"/>
      <c r="AK315" s="381"/>
      <c r="AL315" s="399"/>
      <c r="AM315" s="399"/>
      <c r="AN315" s="400"/>
      <c r="AO315" s="58"/>
      <c r="AP315" s="58"/>
      <c r="AQ315" s="58"/>
      <c r="AR315" s="58"/>
      <c r="AS315" s="58"/>
      <c r="AT315" s="58"/>
      <c r="AU315" s="58"/>
      <c r="AV315" s="58"/>
      <c r="AW315" s="58"/>
      <c r="AX315" s="58"/>
      <c r="AY315" s="58"/>
      <c r="AZ315" s="319"/>
      <c r="BA315" s="344">
        <v>10794.6</v>
      </c>
      <c r="BB315" s="319">
        <v>0</v>
      </c>
      <c r="BC315" s="342"/>
      <c r="BD315" s="13"/>
    </row>
    <row r="316" ht="15" customHeight="1" spans="1:56">
      <c r="A316" s="13"/>
      <c r="B316" s="13"/>
      <c r="C316" s="13"/>
      <c r="D316" s="13"/>
      <c r="E316" s="13"/>
      <c r="G316" s="13"/>
      <c r="H316" s="13"/>
      <c r="I316" s="13"/>
      <c r="J316" s="13"/>
      <c r="K316" s="13"/>
      <c r="L316" s="13"/>
      <c r="M316" s="13"/>
      <c r="N316" s="13"/>
      <c r="O316" s="13"/>
      <c r="P316" s="356"/>
      <c r="Q316" s="13"/>
      <c r="R316" s="391" t="s">
        <v>3493</v>
      </c>
      <c r="S316" s="319">
        <v>0</v>
      </c>
      <c r="T316" s="58">
        <f t="shared" si="730"/>
        <v>19377.52</v>
      </c>
      <c r="U316" s="319">
        <f t="shared" si="731"/>
        <v>8815.8</v>
      </c>
      <c r="V316" s="58">
        <f t="shared" si="732"/>
        <v>10561.72</v>
      </c>
      <c r="W316" s="58">
        <f t="shared" si="733"/>
        <v>10561.72</v>
      </c>
      <c r="X316" s="58">
        <f t="shared" si="734"/>
        <v>10561.72</v>
      </c>
      <c r="Y316" s="58">
        <f t="shared" si="735"/>
        <v>10561.72</v>
      </c>
      <c r="Z316" s="58">
        <f t="shared" si="736"/>
        <v>10561.72</v>
      </c>
      <c r="AA316" s="58">
        <f t="shared" si="737"/>
        <v>10561.72</v>
      </c>
      <c r="AB316" s="58">
        <f t="shared" si="738"/>
        <v>10561.72</v>
      </c>
      <c r="AC316" s="58">
        <f t="shared" si="739"/>
        <v>10561.72</v>
      </c>
      <c r="AD316" s="58">
        <f t="shared" si="740"/>
        <v>10561.72</v>
      </c>
      <c r="AE316" s="58">
        <f t="shared" si="741"/>
        <v>10561.72</v>
      </c>
      <c r="AF316" s="58">
        <f t="shared" si="742"/>
        <v>10561.72</v>
      </c>
      <c r="AG316" s="58">
        <f t="shared" si="743"/>
        <v>0</v>
      </c>
      <c r="AH316" s="334"/>
      <c r="AI316" s="328"/>
      <c r="AJ316" s="393"/>
      <c r="AK316" s="381"/>
      <c r="AL316" s="399"/>
      <c r="AM316" s="399"/>
      <c r="AN316" s="400"/>
      <c r="AO316" s="58"/>
      <c r="AP316" s="58"/>
      <c r="AQ316" s="58"/>
      <c r="AR316" s="58"/>
      <c r="AS316" s="58"/>
      <c r="AT316" s="58"/>
      <c r="AU316" s="58"/>
      <c r="AV316" s="58"/>
      <c r="AW316" s="58"/>
      <c r="AX316" s="58"/>
      <c r="AY316" s="58">
        <v>10561.72</v>
      </c>
      <c r="AZ316" s="319"/>
      <c r="BA316" s="344">
        <v>8651.22</v>
      </c>
      <c r="BB316" s="319">
        <v>164.58</v>
      </c>
      <c r="BC316" s="342"/>
      <c r="BD316" s="13"/>
    </row>
    <row r="317" ht="16.5" customHeight="1" spans="1:56">
      <c r="A317" s="13"/>
      <c r="B317" s="13"/>
      <c r="C317" s="13"/>
      <c r="D317" s="13"/>
      <c r="E317" s="13"/>
      <c r="G317" s="13"/>
      <c r="H317" s="13"/>
      <c r="I317" s="13"/>
      <c r="J317" s="13"/>
      <c r="K317" s="13"/>
      <c r="L317" s="13"/>
      <c r="M317" s="13"/>
      <c r="N317" s="13"/>
      <c r="O317" s="13"/>
      <c r="P317" s="315"/>
      <c r="Q317" s="13"/>
      <c r="R317" s="324" t="s">
        <v>3494</v>
      </c>
      <c r="S317" s="320">
        <f t="shared" ref="S317:AG317" si="744">SUM(S313:S316)</f>
        <v>1920212.88</v>
      </c>
      <c r="T317" s="214">
        <f t="shared" si="744"/>
        <v>1136148.28</v>
      </c>
      <c r="U317" s="320">
        <f t="shared" si="744"/>
        <v>1125586.56</v>
      </c>
      <c r="V317" s="214">
        <f t="shared" si="744"/>
        <v>10561.72</v>
      </c>
      <c r="W317" s="214">
        <f t="shared" si="744"/>
        <v>10561.72</v>
      </c>
      <c r="X317" s="214">
        <f t="shared" si="744"/>
        <v>10561.72</v>
      </c>
      <c r="Y317" s="214">
        <f t="shared" si="744"/>
        <v>10561.72</v>
      </c>
      <c r="Z317" s="214">
        <f t="shared" si="744"/>
        <v>10561.72</v>
      </c>
      <c r="AA317" s="214">
        <f t="shared" si="744"/>
        <v>10561.72</v>
      </c>
      <c r="AB317" s="214">
        <f t="shared" si="744"/>
        <v>10561.72</v>
      </c>
      <c r="AC317" s="214">
        <f t="shared" si="744"/>
        <v>10561.72</v>
      </c>
      <c r="AD317" s="214">
        <f t="shared" si="744"/>
        <v>10561.72</v>
      </c>
      <c r="AE317" s="214">
        <f t="shared" si="744"/>
        <v>10561.72</v>
      </c>
      <c r="AF317" s="214">
        <f t="shared" si="744"/>
        <v>10561.72</v>
      </c>
      <c r="AG317" s="214">
        <f t="shared" si="744"/>
        <v>0</v>
      </c>
      <c r="AH317" s="320">
        <f>SUM(AH313:AH316)</f>
        <v>0</v>
      </c>
      <c r="AI317" s="214">
        <f>SUM(AI313:AI316)</f>
        <v>0</v>
      </c>
      <c r="AJ317" s="320"/>
      <c r="AK317" s="320"/>
      <c r="AL317" s="320"/>
      <c r="AM317" s="320"/>
      <c r="AN317" s="320"/>
      <c r="AO317" s="214">
        <f t="shared" ref="AO317:AX317" si="745">SUM(AO313:AO316)</f>
        <v>0</v>
      </c>
      <c r="AP317" s="214">
        <f t="shared" si="745"/>
        <v>0</v>
      </c>
      <c r="AQ317" s="214">
        <f t="shared" si="745"/>
        <v>0</v>
      </c>
      <c r="AR317" s="214">
        <f t="shared" si="745"/>
        <v>0</v>
      </c>
      <c r="AS317" s="214">
        <f t="shared" si="745"/>
        <v>0</v>
      </c>
      <c r="AT317" s="214">
        <f t="shared" si="745"/>
        <v>0</v>
      </c>
      <c r="AU317" s="214">
        <f t="shared" si="745"/>
        <v>0</v>
      </c>
      <c r="AV317" s="214">
        <f t="shared" si="745"/>
        <v>0</v>
      </c>
      <c r="AW317" s="214">
        <f t="shared" si="745"/>
        <v>0</v>
      </c>
      <c r="AX317" s="214">
        <f t="shared" si="745"/>
        <v>0</v>
      </c>
      <c r="AY317" s="214">
        <v>10561.72</v>
      </c>
      <c r="AZ317" s="320">
        <f>SUM(AZ313:AZ316)</f>
        <v>0</v>
      </c>
      <c r="BA317" s="320">
        <f>SUM(BA313:BA316)</f>
        <v>738812.52</v>
      </c>
      <c r="BB317" s="320">
        <f>SUM(BB313:BB316)</f>
        <v>386774.04</v>
      </c>
      <c r="BC317" s="320">
        <f>SUM(BC313:BC316)</f>
        <v>0</v>
      </c>
      <c r="BD317" s="13"/>
    </row>
    <row r="318" ht="15" customHeight="1" spans="1:56">
      <c r="A318" s="13"/>
      <c r="B318" s="13"/>
      <c r="C318" s="13"/>
      <c r="D318" s="13"/>
      <c r="E318" s="13"/>
      <c r="G318" s="13"/>
      <c r="H318" s="13"/>
      <c r="I318" s="13"/>
      <c r="J318" s="13"/>
      <c r="K318" s="13"/>
      <c r="L318" s="13"/>
      <c r="M318" s="13"/>
      <c r="N318" s="13"/>
      <c r="O318" s="13"/>
      <c r="P318" s="356"/>
      <c r="Q318" s="13"/>
      <c r="R318" s="391" t="s">
        <v>3495</v>
      </c>
      <c r="S318" s="319">
        <f t="shared" ref="S318:AG318" si="746">S312-S313</f>
        <v>-13420.4299999999</v>
      </c>
      <c r="T318" s="58">
        <f t="shared" si="746"/>
        <v>356000.679</v>
      </c>
      <c r="U318" s="319">
        <f t="shared" si="746"/>
        <v>356000.679</v>
      </c>
      <c r="V318" s="58">
        <f t="shared" si="746"/>
        <v>0</v>
      </c>
      <c r="W318" s="58">
        <f t="shared" si="746"/>
        <v>0</v>
      </c>
      <c r="X318" s="58">
        <f t="shared" si="746"/>
        <v>0</v>
      </c>
      <c r="Y318" s="58">
        <f t="shared" si="746"/>
        <v>0</v>
      </c>
      <c r="Z318" s="58">
        <f t="shared" si="746"/>
        <v>0</v>
      </c>
      <c r="AA318" s="58">
        <f t="shared" si="746"/>
        <v>0</v>
      </c>
      <c r="AB318" s="58">
        <f t="shared" si="746"/>
        <v>0</v>
      </c>
      <c r="AC318" s="58">
        <f t="shared" si="746"/>
        <v>0</v>
      </c>
      <c r="AD318" s="58">
        <f t="shared" si="746"/>
        <v>0</v>
      </c>
      <c r="AE318" s="58">
        <f t="shared" si="746"/>
        <v>0</v>
      </c>
      <c r="AF318" s="58">
        <f t="shared" si="746"/>
        <v>0</v>
      </c>
      <c r="AG318" s="58">
        <f t="shared" si="746"/>
        <v>0</v>
      </c>
      <c r="AH318" s="339"/>
      <c r="AI318" s="332"/>
      <c r="AJ318" s="393"/>
      <c r="AK318" s="381"/>
      <c r="AL318" s="399"/>
      <c r="AM318" s="399"/>
      <c r="AN318" s="400"/>
      <c r="AO318" s="58">
        <f t="shared" ref="AO318:AX318" si="747">AO312-AO313</f>
        <v>0</v>
      </c>
      <c r="AP318" s="58">
        <f t="shared" si="747"/>
        <v>0</v>
      </c>
      <c r="AQ318" s="58">
        <f t="shared" si="747"/>
        <v>0</v>
      </c>
      <c r="AR318" s="58">
        <f t="shared" si="747"/>
        <v>0</v>
      </c>
      <c r="AS318" s="58">
        <f t="shared" si="747"/>
        <v>0</v>
      </c>
      <c r="AT318" s="58">
        <f t="shared" si="747"/>
        <v>0</v>
      </c>
      <c r="AU318" s="58">
        <f t="shared" si="747"/>
        <v>0</v>
      </c>
      <c r="AV318" s="58">
        <f t="shared" si="747"/>
        <v>0</v>
      </c>
      <c r="AW318" s="58">
        <f t="shared" si="747"/>
        <v>0</v>
      </c>
      <c r="AX318" s="58">
        <f t="shared" si="747"/>
        <v>0</v>
      </c>
      <c r="AY318" s="58" t="s">
        <v>3561</v>
      </c>
      <c r="AZ318" s="319">
        <f>AZ312-AZ313</f>
        <v>0</v>
      </c>
      <c r="BA318" s="344">
        <v>228777.12</v>
      </c>
      <c r="BB318" s="320">
        <v>127223.559</v>
      </c>
      <c r="BC318" s="342"/>
      <c r="BD318" s="13"/>
    </row>
    <row r="319" ht="15" customHeight="1" spans="1:56">
      <c r="A319" s="13"/>
      <c r="B319" s="13"/>
      <c r="C319" s="13"/>
      <c r="D319" s="13"/>
      <c r="E319" s="13"/>
      <c r="G319" s="13"/>
      <c r="H319" s="13"/>
      <c r="I319" s="13"/>
      <c r="J319" s="13"/>
      <c r="K319" s="13"/>
      <c r="L319" s="13"/>
      <c r="M319" s="13"/>
      <c r="N319" s="13"/>
      <c r="O319" s="13"/>
      <c r="P319" s="356"/>
      <c r="Q319" s="13"/>
      <c r="R319" s="392" t="s">
        <v>3496</v>
      </c>
      <c r="S319" s="322">
        <f t="shared" ref="S319:AG319" si="748">S318/S312</f>
        <v>-0.00711282791066921</v>
      </c>
      <c r="T319" s="61">
        <f t="shared" si="748"/>
        <v>0.24350637404318</v>
      </c>
      <c r="U319" s="322">
        <f t="shared" si="748"/>
        <v>0.24350637404318</v>
      </c>
      <c r="V319" s="61" t="e">
        <f t="shared" si="748"/>
        <v>#DIV/0!</v>
      </c>
      <c r="W319" s="61" t="e">
        <f t="shared" si="748"/>
        <v>#DIV/0!</v>
      </c>
      <c r="X319" s="61" t="e">
        <f t="shared" si="748"/>
        <v>#DIV/0!</v>
      </c>
      <c r="Y319" s="61" t="e">
        <f t="shared" si="748"/>
        <v>#DIV/0!</v>
      </c>
      <c r="Z319" s="61" t="e">
        <f t="shared" si="748"/>
        <v>#DIV/0!</v>
      </c>
      <c r="AA319" s="61" t="e">
        <f t="shared" si="748"/>
        <v>#DIV/0!</v>
      </c>
      <c r="AB319" s="61" t="e">
        <f t="shared" si="748"/>
        <v>#DIV/0!</v>
      </c>
      <c r="AC319" s="61" t="e">
        <f t="shared" si="748"/>
        <v>#DIV/0!</v>
      </c>
      <c r="AD319" s="61" t="e">
        <f t="shared" si="748"/>
        <v>#DIV/0!</v>
      </c>
      <c r="AE319" s="61" t="e">
        <f t="shared" si="748"/>
        <v>#DIV/0!</v>
      </c>
      <c r="AF319" s="61" t="e">
        <f t="shared" si="748"/>
        <v>#DIV/0!</v>
      </c>
      <c r="AG319" s="61" t="e">
        <f t="shared" si="748"/>
        <v>#DIV/0!</v>
      </c>
      <c r="AH319" s="340">
        <f>T319-S319</f>
        <v>0.250619201953849</v>
      </c>
      <c r="AI319" s="82" t="e">
        <f>AF319-S319</f>
        <v>#DIV/0!</v>
      </c>
      <c r="AJ319" s="393"/>
      <c r="AK319" s="381"/>
      <c r="AL319" s="399"/>
      <c r="AM319" s="399"/>
      <c r="AN319" s="400"/>
      <c r="AO319" s="61" t="e">
        <f t="shared" ref="AO319:AX319" si="749">AO318/AO312</f>
        <v>#DIV/0!</v>
      </c>
      <c r="AP319" s="61" t="e">
        <f t="shared" si="749"/>
        <v>#DIV/0!</v>
      </c>
      <c r="AQ319" s="61" t="e">
        <f t="shared" si="749"/>
        <v>#DIV/0!</v>
      </c>
      <c r="AR319" s="61" t="e">
        <f t="shared" si="749"/>
        <v>#DIV/0!</v>
      </c>
      <c r="AS319" s="61" t="e">
        <f t="shared" si="749"/>
        <v>#DIV/0!</v>
      </c>
      <c r="AT319" s="61" t="e">
        <f t="shared" si="749"/>
        <v>#DIV/0!</v>
      </c>
      <c r="AU319" s="61" t="e">
        <f t="shared" si="749"/>
        <v>#DIV/0!</v>
      </c>
      <c r="AV319" s="61" t="e">
        <f t="shared" si="749"/>
        <v>#DIV/0!</v>
      </c>
      <c r="AW319" s="61" t="e">
        <f t="shared" si="749"/>
        <v>#DIV/0!</v>
      </c>
      <c r="AX319" s="61" t="e">
        <f t="shared" si="749"/>
        <v>#DIV/0!</v>
      </c>
      <c r="AY319" s="61" t="e">
        <v>#DIV/0!</v>
      </c>
      <c r="AZ319" s="322" t="e">
        <f>AZ318/AZ312</f>
        <v>#DIV/0!</v>
      </c>
      <c r="BA319" s="322">
        <v>0.24128947019873</v>
      </c>
      <c r="BB319" s="403">
        <v>0.247597087566691</v>
      </c>
      <c r="BC319" s="342"/>
      <c r="BD319" s="13"/>
    </row>
    <row r="320" ht="15" customHeight="1" spans="1:56">
      <c r="A320" s="13"/>
      <c r="B320" s="13"/>
      <c r="C320" s="13"/>
      <c r="D320" s="13"/>
      <c r="E320" s="13"/>
      <c r="G320" s="13"/>
      <c r="H320" s="13"/>
      <c r="I320" s="13"/>
      <c r="J320" s="13"/>
      <c r="K320" s="13"/>
      <c r="L320" s="13"/>
      <c r="M320" s="13"/>
      <c r="N320" s="13"/>
      <c r="O320" s="13"/>
      <c r="P320" s="356"/>
      <c r="Q320" s="13"/>
      <c r="R320" s="391" t="s">
        <v>3497</v>
      </c>
      <c r="S320" s="58">
        <f t="shared" ref="S320:AG320" si="750">S312-S317</f>
        <v>-33420.4299999999</v>
      </c>
      <c r="T320" s="58">
        <f t="shared" si="750"/>
        <v>325828.559</v>
      </c>
      <c r="U320" s="58">
        <f t="shared" si="750"/>
        <v>336390.279</v>
      </c>
      <c r="V320" s="58">
        <f t="shared" si="750"/>
        <v>-10561.72</v>
      </c>
      <c r="W320" s="58">
        <f t="shared" si="750"/>
        <v>-10561.72</v>
      </c>
      <c r="X320" s="58">
        <f t="shared" si="750"/>
        <v>-10561.72</v>
      </c>
      <c r="Y320" s="58">
        <f t="shared" si="750"/>
        <v>-10561.72</v>
      </c>
      <c r="Z320" s="58">
        <f t="shared" si="750"/>
        <v>-10561.72</v>
      </c>
      <c r="AA320" s="58">
        <f t="shared" si="750"/>
        <v>-10561.72</v>
      </c>
      <c r="AB320" s="58">
        <f t="shared" si="750"/>
        <v>-10561.72</v>
      </c>
      <c r="AC320" s="58">
        <f t="shared" si="750"/>
        <v>-10561.72</v>
      </c>
      <c r="AD320" s="58">
        <f t="shared" si="750"/>
        <v>-10561.72</v>
      </c>
      <c r="AE320" s="58">
        <f t="shared" si="750"/>
        <v>-10561.72</v>
      </c>
      <c r="AF320" s="58">
        <f t="shared" si="750"/>
        <v>-10561.72</v>
      </c>
      <c r="AG320" s="58">
        <f t="shared" si="750"/>
        <v>0</v>
      </c>
      <c r="AH320" s="82"/>
      <c r="AI320" s="82"/>
      <c r="AJ320" s="393"/>
      <c r="AK320" s="381"/>
      <c r="AL320" s="399"/>
      <c r="AM320" s="399"/>
      <c r="AN320" s="400"/>
      <c r="AO320" s="58">
        <f t="shared" ref="AO320:BC320" si="751">AO312-AO317</f>
        <v>0</v>
      </c>
      <c r="AP320" s="58">
        <f t="shared" si="751"/>
        <v>0</v>
      </c>
      <c r="AQ320" s="58">
        <f t="shared" si="751"/>
        <v>0</v>
      </c>
      <c r="AR320" s="58">
        <f t="shared" si="751"/>
        <v>0</v>
      </c>
      <c r="AS320" s="58">
        <f t="shared" si="751"/>
        <v>0</v>
      </c>
      <c r="AT320" s="58">
        <f t="shared" si="751"/>
        <v>0</v>
      </c>
      <c r="AU320" s="58">
        <f t="shared" si="751"/>
        <v>0</v>
      </c>
      <c r="AV320" s="58">
        <f t="shared" si="751"/>
        <v>0</v>
      </c>
      <c r="AW320" s="58">
        <f t="shared" si="751"/>
        <v>0</v>
      </c>
      <c r="AX320" s="58">
        <f t="shared" si="751"/>
        <v>0</v>
      </c>
      <c r="AY320" s="58" t="e">
        <f t="shared" si="751"/>
        <v>#VALUE!</v>
      </c>
      <c r="AZ320" s="58">
        <f t="shared" si="751"/>
        <v>0</v>
      </c>
      <c r="BA320" s="58">
        <f t="shared" si="751"/>
        <v>209331.3</v>
      </c>
      <c r="BB320" s="58">
        <f t="shared" si="751"/>
        <v>127058.979</v>
      </c>
      <c r="BC320" s="58">
        <f t="shared" si="751"/>
        <v>0</v>
      </c>
      <c r="BD320" s="13"/>
    </row>
    <row r="321" ht="16.5" customHeight="1" spans="1:56">
      <c r="A321" s="14"/>
      <c r="B321" s="14"/>
      <c r="C321" s="14"/>
      <c r="D321" s="14"/>
      <c r="E321" s="14"/>
      <c r="G321" s="14"/>
      <c r="H321" s="14"/>
      <c r="I321" s="14"/>
      <c r="J321" s="14"/>
      <c r="K321" s="14"/>
      <c r="L321" s="14"/>
      <c r="M321" s="14"/>
      <c r="N321" s="14"/>
      <c r="O321" s="14"/>
      <c r="P321" s="355"/>
      <c r="Q321" s="14"/>
      <c r="R321" s="392" t="s">
        <v>3498</v>
      </c>
      <c r="S321" s="322">
        <f t="shared" ref="S321:AG321" si="752">S320/S312</f>
        <v>-0.0177128279265692</v>
      </c>
      <c r="T321" s="61">
        <f t="shared" si="752"/>
        <v>0.222868482118272</v>
      </c>
      <c r="U321" s="322">
        <f t="shared" si="752"/>
        <v>0.230092755251918</v>
      </c>
      <c r="V321" s="61" t="e">
        <f t="shared" si="752"/>
        <v>#DIV/0!</v>
      </c>
      <c r="W321" s="61" t="e">
        <f t="shared" si="752"/>
        <v>#DIV/0!</v>
      </c>
      <c r="X321" s="61" t="e">
        <f t="shared" si="752"/>
        <v>#DIV/0!</v>
      </c>
      <c r="Y321" s="61" t="e">
        <f t="shared" si="752"/>
        <v>#DIV/0!</v>
      </c>
      <c r="Z321" s="61" t="e">
        <f t="shared" si="752"/>
        <v>#DIV/0!</v>
      </c>
      <c r="AA321" s="61" t="e">
        <f t="shared" si="752"/>
        <v>#DIV/0!</v>
      </c>
      <c r="AB321" s="61" t="e">
        <f t="shared" si="752"/>
        <v>#DIV/0!</v>
      </c>
      <c r="AC321" s="61" t="e">
        <f t="shared" si="752"/>
        <v>#DIV/0!</v>
      </c>
      <c r="AD321" s="61" t="e">
        <f t="shared" si="752"/>
        <v>#DIV/0!</v>
      </c>
      <c r="AE321" s="61" t="e">
        <f t="shared" si="752"/>
        <v>#DIV/0!</v>
      </c>
      <c r="AF321" s="61" t="e">
        <f t="shared" si="752"/>
        <v>#DIV/0!</v>
      </c>
      <c r="AG321" s="61" t="e">
        <f t="shared" si="752"/>
        <v>#DIV/0!</v>
      </c>
      <c r="AH321" s="340">
        <f>T321-S321</f>
        <v>0.240581310044842</v>
      </c>
      <c r="AI321" s="82" t="e">
        <f>AF321-S321</f>
        <v>#DIV/0!</v>
      </c>
      <c r="AJ321" s="393"/>
      <c r="AK321" s="381"/>
      <c r="AL321" s="408"/>
      <c r="AM321" s="408"/>
      <c r="AN321" s="409"/>
      <c r="AO321" s="61" t="e">
        <f t="shared" ref="AO321:AX321" si="753">AO320/AO312</f>
        <v>#DIV/0!</v>
      </c>
      <c r="AP321" s="61" t="e">
        <f t="shared" si="753"/>
        <v>#DIV/0!</v>
      </c>
      <c r="AQ321" s="61" t="e">
        <f t="shared" si="753"/>
        <v>#DIV/0!</v>
      </c>
      <c r="AR321" s="61" t="e">
        <f t="shared" si="753"/>
        <v>#DIV/0!</v>
      </c>
      <c r="AS321" s="61" t="e">
        <f t="shared" si="753"/>
        <v>#DIV/0!</v>
      </c>
      <c r="AT321" s="61" t="e">
        <f t="shared" si="753"/>
        <v>#DIV/0!</v>
      </c>
      <c r="AU321" s="61" t="e">
        <f t="shared" si="753"/>
        <v>#DIV/0!</v>
      </c>
      <c r="AV321" s="61" t="e">
        <f t="shared" si="753"/>
        <v>#DIV/0!</v>
      </c>
      <c r="AW321" s="61" t="e">
        <f t="shared" si="753"/>
        <v>#DIV/0!</v>
      </c>
      <c r="AX321" s="61" t="e">
        <f t="shared" si="753"/>
        <v>#DIV/0!</v>
      </c>
      <c r="AY321" s="61" t="e">
        <v>#DIV/0!</v>
      </c>
      <c r="AZ321" s="322" t="e">
        <f>AZ320/AZ312</f>
        <v>#DIV/0!</v>
      </c>
      <c r="BA321" s="322">
        <v>0.220780113295471</v>
      </c>
      <c r="BB321" s="403">
        <v>0.247276788960112</v>
      </c>
      <c r="BC321" s="342"/>
      <c r="BD321" s="14"/>
    </row>
    <row r="322" spans="1:56">
      <c r="A322" s="305" t="s">
        <v>1159</v>
      </c>
      <c r="B322" s="306" t="s">
        <v>3594</v>
      </c>
      <c r="C322" s="307">
        <v>45658</v>
      </c>
      <c r="D322" s="307">
        <v>46022</v>
      </c>
      <c r="E322" s="308"/>
      <c r="F322" s="166" t="s">
        <v>3561</v>
      </c>
      <c r="G322" s="309"/>
      <c r="H322" s="355"/>
      <c r="I322" s="355"/>
      <c r="J322" s="355"/>
      <c r="K322" s="355"/>
      <c r="L322" s="355"/>
      <c r="M322" s="355"/>
      <c r="N322" s="355"/>
      <c r="O322" s="355"/>
      <c r="P322" s="356"/>
      <c r="Q322" s="358"/>
      <c r="R322" s="323" t="s">
        <v>3486</v>
      </c>
      <c r="S322" s="319">
        <v>66037.74</v>
      </c>
      <c r="T322" s="58">
        <f t="shared" ref="T322:T326" si="754">SUM(AO322:BC322)</f>
        <v>65541.28</v>
      </c>
      <c r="U322" s="319">
        <f t="shared" ref="U322:U326" si="755">SUM(BA322:BC322)</f>
        <v>65541.28</v>
      </c>
      <c r="V322" s="58">
        <f t="shared" ref="V322:V326" si="756">SUM(AO322:AZ322)</f>
        <v>0</v>
      </c>
      <c r="W322" s="58">
        <f t="shared" ref="W322:W326" si="757">SUM(AP322:AZ322)</f>
        <v>0</v>
      </c>
      <c r="X322" s="58">
        <f t="shared" ref="X322:X326" si="758">SUM(AQ322:AZ322)</f>
        <v>0</v>
      </c>
      <c r="Y322" s="58">
        <f t="shared" ref="Y322:Y326" si="759">SUM(AR322:AZ322)</f>
        <v>0</v>
      </c>
      <c r="Z322" s="58">
        <f t="shared" ref="Z322:Z326" si="760">SUM(AS322:AZ322)</f>
        <v>0</v>
      </c>
      <c r="AA322" s="58">
        <f t="shared" ref="AA322:AA326" si="761">SUM(AT322:AZ322)</f>
        <v>0</v>
      </c>
      <c r="AB322" s="58">
        <f t="shared" ref="AB322:AB326" si="762">SUM(AU322:AZ322)</f>
        <v>0</v>
      </c>
      <c r="AC322" s="58">
        <f t="shared" ref="AC322:AC326" si="763">SUM(AV322:AZ322)</f>
        <v>0</v>
      </c>
      <c r="AD322" s="58">
        <f t="shared" ref="AD322:AD326" si="764">SUM(AW322:AZ322)</f>
        <v>0</v>
      </c>
      <c r="AE322" s="58">
        <f t="shared" ref="AE322:AE326" si="765">SUM(AX322:AZ322)</f>
        <v>0</v>
      </c>
      <c r="AF322" s="58">
        <f t="shared" ref="AF322:AF326" si="766">SUM(AY322:AZ322)</f>
        <v>0</v>
      </c>
      <c r="AG322" s="58">
        <f t="shared" ref="AG322:AG326" si="767">SUM(AZ322:AZ322)</f>
        <v>0</v>
      </c>
      <c r="AH322" s="334"/>
      <c r="AI322" s="328"/>
      <c r="AJ322" s="361"/>
      <c r="AK322" s="362" t="s">
        <v>3595</v>
      </c>
      <c r="AL322" s="361"/>
      <c r="AM322" s="361"/>
      <c r="AN322" s="335"/>
      <c r="AO322" s="58"/>
      <c r="AP322" s="58"/>
      <c r="AQ322" s="58"/>
      <c r="AR322" s="58"/>
      <c r="AS322" s="58"/>
      <c r="AT322" s="58"/>
      <c r="AU322" s="58"/>
      <c r="AV322" s="58"/>
      <c r="AW322" s="58"/>
      <c r="AX322" s="58"/>
      <c r="AY322" s="58" t="s">
        <v>3561</v>
      </c>
      <c r="AZ322" s="319"/>
      <c r="BA322" s="413">
        <v>65541.28</v>
      </c>
      <c r="BB322" s="319"/>
      <c r="BC322" s="414"/>
      <c r="BD322" s="346" t="s">
        <v>3567</v>
      </c>
    </row>
    <row r="323" spans="1:56">
      <c r="A323" s="13"/>
      <c r="B323" s="13"/>
      <c r="C323" s="13"/>
      <c r="D323" s="13"/>
      <c r="E323" s="13"/>
      <c r="G323" s="13"/>
      <c r="H323" s="13"/>
      <c r="I323" s="13"/>
      <c r="J323" s="13"/>
      <c r="K323" s="13"/>
      <c r="L323" s="13"/>
      <c r="M323" s="13"/>
      <c r="N323" s="13"/>
      <c r="O323" s="13"/>
      <c r="P323" s="356"/>
      <c r="Q323" s="13"/>
      <c r="R323" s="324" t="s">
        <v>3490</v>
      </c>
      <c r="S323" s="319">
        <v>52081.32</v>
      </c>
      <c r="T323" s="58">
        <f t="shared" si="754"/>
        <v>28467.87</v>
      </c>
      <c r="U323" s="319">
        <f t="shared" si="755"/>
        <v>28467.87</v>
      </c>
      <c r="V323" s="58">
        <f t="shared" si="756"/>
        <v>0</v>
      </c>
      <c r="W323" s="58">
        <f t="shared" si="757"/>
        <v>0</v>
      </c>
      <c r="X323" s="58">
        <f t="shared" si="758"/>
        <v>0</v>
      </c>
      <c r="Y323" s="58">
        <f t="shared" si="759"/>
        <v>0</v>
      </c>
      <c r="Z323" s="58">
        <f t="shared" si="760"/>
        <v>0</v>
      </c>
      <c r="AA323" s="58">
        <f t="shared" si="761"/>
        <v>0</v>
      </c>
      <c r="AB323" s="58">
        <f t="shared" si="762"/>
        <v>0</v>
      </c>
      <c r="AC323" s="58">
        <f t="shared" si="763"/>
        <v>0</v>
      </c>
      <c r="AD323" s="58">
        <f t="shared" si="764"/>
        <v>0</v>
      </c>
      <c r="AE323" s="58">
        <f t="shared" si="765"/>
        <v>0</v>
      </c>
      <c r="AF323" s="58">
        <f t="shared" si="766"/>
        <v>0</v>
      </c>
      <c r="AG323" s="58">
        <f t="shared" si="767"/>
        <v>0</v>
      </c>
      <c r="AH323" s="334"/>
      <c r="AI323" s="328"/>
      <c r="AJ323" s="13"/>
      <c r="AK323" s="13"/>
      <c r="AL323" s="13"/>
      <c r="AM323" s="13"/>
      <c r="AN323" s="13"/>
      <c r="AO323" s="58"/>
      <c r="AP323" s="58"/>
      <c r="AQ323" s="58"/>
      <c r="AR323" s="58"/>
      <c r="AS323" s="58"/>
      <c r="AT323" s="58"/>
      <c r="AU323" s="58"/>
      <c r="AV323" s="58"/>
      <c r="AW323" s="58"/>
      <c r="AX323" s="58"/>
      <c r="AY323" s="58" t="s">
        <v>3561</v>
      </c>
      <c r="AZ323" s="319"/>
      <c r="BA323" s="413">
        <v>28467.87</v>
      </c>
      <c r="BB323" s="319"/>
      <c r="BC323" s="414"/>
      <c r="BD323" s="13"/>
    </row>
    <row r="324" spans="1:56">
      <c r="A324" s="13"/>
      <c r="B324" s="13"/>
      <c r="C324" s="13"/>
      <c r="D324" s="13"/>
      <c r="E324" s="13"/>
      <c r="G324" s="13"/>
      <c r="H324" s="13"/>
      <c r="I324" s="13"/>
      <c r="J324" s="13"/>
      <c r="K324" s="13"/>
      <c r="L324" s="13"/>
      <c r="M324" s="13"/>
      <c r="N324" s="13"/>
      <c r="O324" s="13"/>
      <c r="P324" s="356"/>
      <c r="Q324" s="13"/>
      <c r="R324" s="324" t="s">
        <v>3491</v>
      </c>
      <c r="S324" s="319"/>
      <c r="T324" s="58">
        <f t="shared" si="754"/>
        <v>0</v>
      </c>
      <c r="U324" s="319">
        <f t="shared" si="755"/>
        <v>0</v>
      </c>
      <c r="V324" s="58"/>
      <c r="W324" s="58"/>
      <c r="X324" s="58"/>
      <c r="Y324" s="58"/>
      <c r="Z324" s="58"/>
      <c r="AA324" s="58"/>
      <c r="AB324" s="58"/>
      <c r="AC324" s="58"/>
      <c r="AD324" s="58"/>
      <c r="AE324" s="58"/>
      <c r="AF324" s="58"/>
      <c r="AG324" s="58"/>
      <c r="AH324" s="334"/>
      <c r="AI324" s="328"/>
      <c r="AJ324" s="13"/>
      <c r="AK324" s="13"/>
      <c r="AL324" s="13"/>
      <c r="AM324" s="13"/>
      <c r="AN324" s="13"/>
      <c r="AO324" s="58"/>
      <c r="AP324" s="58"/>
      <c r="AQ324" s="58"/>
      <c r="AR324" s="58"/>
      <c r="AS324" s="58"/>
      <c r="AT324" s="58"/>
      <c r="AU324" s="58"/>
      <c r="AV324" s="58"/>
      <c r="AW324" s="58"/>
      <c r="AX324" s="58">
        <v>0</v>
      </c>
      <c r="AY324" s="58"/>
      <c r="AZ324" s="319"/>
      <c r="BA324" s="413"/>
      <c r="BB324" s="319"/>
      <c r="BC324" s="414"/>
      <c r="BD324" s="13"/>
    </row>
    <row r="325" spans="1:56">
      <c r="A325" s="13"/>
      <c r="B325" s="13"/>
      <c r="C325" s="13"/>
      <c r="D325" s="13"/>
      <c r="E325" s="13"/>
      <c r="G325" s="13"/>
      <c r="H325" s="13"/>
      <c r="I325" s="13"/>
      <c r="J325" s="13"/>
      <c r="K325" s="13"/>
      <c r="L325" s="13"/>
      <c r="M325" s="13"/>
      <c r="N325" s="13"/>
      <c r="O325" s="13"/>
      <c r="P325" s="356"/>
      <c r="Q325" s="13"/>
      <c r="R325" s="324" t="s">
        <v>3492</v>
      </c>
      <c r="S325" s="319">
        <v>0</v>
      </c>
      <c r="T325" s="58">
        <f t="shared" si="754"/>
        <v>0</v>
      </c>
      <c r="U325" s="319">
        <f t="shared" si="755"/>
        <v>0</v>
      </c>
      <c r="V325" s="58">
        <f t="shared" si="756"/>
        <v>0</v>
      </c>
      <c r="W325" s="58">
        <f t="shared" si="757"/>
        <v>0</v>
      </c>
      <c r="X325" s="58">
        <f t="shared" si="758"/>
        <v>0</v>
      </c>
      <c r="Y325" s="58">
        <f t="shared" si="759"/>
        <v>0</v>
      </c>
      <c r="Z325" s="58">
        <f t="shared" si="760"/>
        <v>0</v>
      </c>
      <c r="AA325" s="58">
        <f t="shared" si="761"/>
        <v>0</v>
      </c>
      <c r="AB325" s="58">
        <f t="shared" si="762"/>
        <v>0</v>
      </c>
      <c r="AC325" s="58">
        <f t="shared" si="763"/>
        <v>0</v>
      </c>
      <c r="AD325" s="58">
        <f t="shared" si="764"/>
        <v>0</v>
      </c>
      <c r="AE325" s="58">
        <f t="shared" si="765"/>
        <v>0</v>
      </c>
      <c r="AF325" s="58">
        <f t="shared" si="766"/>
        <v>0</v>
      </c>
      <c r="AG325" s="58">
        <f t="shared" si="767"/>
        <v>0</v>
      </c>
      <c r="AH325" s="334"/>
      <c r="AI325" s="328"/>
      <c r="AJ325" s="13"/>
      <c r="AK325" s="13"/>
      <c r="AL325" s="13"/>
      <c r="AM325" s="13"/>
      <c r="AN325" s="13"/>
      <c r="AO325" s="58"/>
      <c r="AP325" s="58"/>
      <c r="AQ325" s="58"/>
      <c r="AR325" s="58"/>
      <c r="AS325" s="58"/>
      <c r="AT325" s="58"/>
      <c r="AU325" s="58"/>
      <c r="AV325" s="58"/>
      <c r="AW325" s="58"/>
      <c r="AX325" s="58"/>
      <c r="AY325" s="58"/>
      <c r="AZ325" s="319"/>
      <c r="BA325" s="413">
        <v>0</v>
      </c>
      <c r="BB325" s="319"/>
      <c r="BC325" s="414"/>
      <c r="BD325" s="13"/>
    </row>
    <row r="326" spans="1:56">
      <c r="A326" s="13"/>
      <c r="B326" s="13"/>
      <c r="C326" s="13"/>
      <c r="D326" s="13"/>
      <c r="E326" s="13"/>
      <c r="G326" s="13"/>
      <c r="H326" s="13"/>
      <c r="I326" s="13"/>
      <c r="J326" s="13"/>
      <c r="K326" s="13"/>
      <c r="L326" s="13"/>
      <c r="M326" s="13"/>
      <c r="N326" s="13"/>
      <c r="O326" s="13"/>
      <c r="P326" s="356"/>
      <c r="Q326" s="13"/>
      <c r="R326" s="324" t="s">
        <v>3493</v>
      </c>
      <c r="S326" s="319">
        <v>0</v>
      </c>
      <c r="T326" s="58">
        <f t="shared" si="754"/>
        <v>-380.88</v>
      </c>
      <c r="U326" s="319">
        <f t="shared" si="755"/>
        <v>-380.88</v>
      </c>
      <c r="V326" s="58">
        <f t="shared" si="756"/>
        <v>0</v>
      </c>
      <c r="W326" s="58">
        <f t="shared" si="757"/>
        <v>0</v>
      </c>
      <c r="X326" s="58">
        <f t="shared" si="758"/>
        <v>0</v>
      </c>
      <c r="Y326" s="58">
        <f t="shared" si="759"/>
        <v>0</v>
      </c>
      <c r="Z326" s="58">
        <f t="shared" si="760"/>
        <v>0</v>
      </c>
      <c r="AA326" s="58">
        <f t="shared" si="761"/>
        <v>0</v>
      </c>
      <c r="AB326" s="58">
        <f t="shared" si="762"/>
        <v>0</v>
      </c>
      <c r="AC326" s="58">
        <f t="shared" si="763"/>
        <v>0</v>
      </c>
      <c r="AD326" s="58">
        <f t="shared" si="764"/>
        <v>0</v>
      </c>
      <c r="AE326" s="58">
        <f t="shared" si="765"/>
        <v>0</v>
      </c>
      <c r="AF326" s="58">
        <f t="shared" si="766"/>
        <v>0</v>
      </c>
      <c r="AG326" s="58">
        <f t="shared" si="767"/>
        <v>0</v>
      </c>
      <c r="AH326" s="334"/>
      <c r="AI326" s="328"/>
      <c r="AJ326" s="13"/>
      <c r="AK326" s="13"/>
      <c r="AL326" s="13"/>
      <c r="AM326" s="13"/>
      <c r="AN326" s="13"/>
      <c r="AO326" s="58"/>
      <c r="AP326" s="58"/>
      <c r="AQ326" s="58"/>
      <c r="AR326" s="58"/>
      <c r="AS326" s="58"/>
      <c r="AT326" s="58"/>
      <c r="AU326" s="58"/>
      <c r="AV326" s="58"/>
      <c r="AW326" s="58"/>
      <c r="AX326" s="58"/>
      <c r="AY326" s="58" t="s">
        <v>3561</v>
      </c>
      <c r="AZ326" s="319"/>
      <c r="BA326" s="413">
        <v>-380.88</v>
      </c>
      <c r="BB326" s="319"/>
      <c r="BC326" s="414"/>
      <c r="BD326" s="13"/>
    </row>
    <row r="327" ht="16.5" customHeight="1" spans="1:56">
      <c r="A327" s="13"/>
      <c r="B327" s="13"/>
      <c r="C327" s="13"/>
      <c r="D327" s="13"/>
      <c r="E327" s="13"/>
      <c r="G327" s="13"/>
      <c r="H327" s="13"/>
      <c r="I327" s="13"/>
      <c r="J327" s="13"/>
      <c r="K327" s="13"/>
      <c r="L327" s="13"/>
      <c r="M327" s="13"/>
      <c r="N327" s="13"/>
      <c r="O327" s="13"/>
      <c r="P327" s="315"/>
      <c r="Q327" s="13"/>
      <c r="R327" s="324" t="s">
        <v>3494</v>
      </c>
      <c r="S327" s="320">
        <f t="shared" ref="S327:AG327" si="768">SUM(S323:S326)</f>
        <v>52081.32</v>
      </c>
      <c r="T327" s="214">
        <f t="shared" si="768"/>
        <v>28086.99</v>
      </c>
      <c r="U327" s="320">
        <f t="shared" si="768"/>
        <v>28086.99</v>
      </c>
      <c r="V327" s="214">
        <f t="shared" si="768"/>
        <v>0</v>
      </c>
      <c r="W327" s="214">
        <f t="shared" si="768"/>
        <v>0</v>
      </c>
      <c r="X327" s="214">
        <f t="shared" si="768"/>
        <v>0</v>
      </c>
      <c r="Y327" s="214">
        <f t="shared" si="768"/>
        <v>0</v>
      </c>
      <c r="Z327" s="214">
        <f t="shared" si="768"/>
        <v>0</v>
      </c>
      <c r="AA327" s="214">
        <f t="shared" si="768"/>
        <v>0</v>
      </c>
      <c r="AB327" s="214">
        <f t="shared" si="768"/>
        <v>0</v>
      </c>
      <c r="AC327" s="214">
        <f t="shared" si="768"/>
        <v>0</v>
      </c>
      <c r="AD327" s="214">
        <f t="shared" si="768"/>
        <v>0</v>
      </c>
      <c r="AE327" s="214">
        <f t="shared" si="768"/>
        <v>0</v>
      </c>
      <c r="AF327" s="214">
        <f t="shared" si="768"/>
        <v>0</v>
      </c>
      <c r="AG327" s="214">
        <f t="shared" si="768"/>
        <v>0</v>
      </c>
      <c r="AH327" s="320">
        <f>SUM(AH323:AH326)</f>
        <v>0</v>
      </c>
      <c r="AI327" s="214">
        <f>SUM(AI323:AI326)</f>
        <v>0</v>
      </c>
      <c r="AJ327" s="13"/>
      <c r="AK327" s="13"/>
      <c r="AL327" s="13"/>
      <c r="AM327" s="13"/>
      <c r="AN327" s="13"/>
      <c r="AO327" s="214">
        <f t="shared" ref="AO327:AX327" si="769">SUM(AO323:AO326)</f>
        <v>0</v>
      </c>
      <c r="AP327" s="214">
        <f t="shared" si="769"/>
        <v>0</v>
      </c>
      <c r="AQ327" s="214">
        <f t="shared" si="769"/>
        <v>0</v>
      </c>
      <c r="AR327" s="214">
        <f t="shared" si="769"/>
        <v>0</v>
      </c>
      <c r="AS327" s="214">
        <f t="shared" si="769"/>
        <v>0</v>
      </c>
      <c r="AT327" s="214">
        <f t="shared" si="769"/>
        <v>0</v>
      </c>
      <c r="AU327" s="214">
        <f t="shared" si="769"/>
        <v>0</v>
      </c>
      <c r="AV327" s="214">
        <f t="shared" si="769"/>
        <v>0</v>
      </c>
      <c r="AW327" s="214">
        <f t="shared" si="769"/>
        <v>0</v>
      </c>
      <c r="AX327" s="214">
        <f t="shared" si="769"/>
        <v>0</v>
      </c>
      <c r="AY327" s="214" t="s">
        <v>3561</v>
      </c>
      <c r="AZ327" s="320">
        <f>SUM(AZ323:AZ326)</f>
        <v>0</v>
      </c>
      <c r="BA327" s="415">
        <v>28086.99</v>
      </c>
      <c r="BB327" s="320">
        <f>SUM(BB323:BB326)</f>
        <v>0</v>
      </c>
      <c r="BC327" s="416">
        <f>SUM(BC323:BC326)</f>
        <v>0</v>
      </c>
      <c r="BD327" s="13"/>
    </row>
    <row r="328" spans="1:56">
      <c r="A328" s="13"/>
      <c r="B328" s="13"/>
      <c r="C328" s="13"/>
      <c r="D328" s="13"/>
      <c r="E328" s="13"/>
      <c r="G328" s="13"/>
      <c r="H328" s="13"/>
      <c r="I328" s="13"/>
      <c r="J328" s="13"/>
      <c r="K328" s="13"/>
      <c r="L328" s="13"/>
      <c r="M328" s="13"/>
      <c r="N328" s="13"/>
      <c r="O328" s="13"/>
      <c r="P328" s="356"/>
      <c r="Q328" s="13"/>
      <c r="R328" s="324" t="s">
        <v>3495</v>
      </c>
      <c r="S328" s="320">
        <f t="shared" ref="S328:AG328" si="770">S322-S323</f>
        <v>13956.42</v>
      </c>
      <c r="T328" s="58">
        <f t="shared" si="770"/>
        <v>37073.41</v>
      </c>
      <c r="U328" s="319">
        <f t="shared" si="770"/>
        <v>37073.41</v>
      </c>
      <c r="V328" s="58">
        <f t="shared" si="770"/>
        <v>0</v>
      </c>
      <c r="W328" s="58">
        <f t="shared" si="770"/>
        <v>0</v>
      </c>
      <c r="X328" s="58">
        <f t="shared" si="770"/>
        <v>0</v>
      </c>
      <c r="Y328" s="58">
        <f t="shared" si="770"/>
        <v>0</v>
      </c>
      <c r="Z328" s="58">
        <f t="shared" si="770"/>
        <v>0</v>
      </c>
      <c r="AA328" s="58">
        <f t="shared" si="770"/>
        <v>0</v>
      </c>
      <c r="AB328" s="58">
        <f t="shared" si="770"/>
        <v>0</v>
      </c>
      <c r="AC328" s="58">
        <f t="shared" si="770"/>
        <v>0</v>
      </c>
      <c r="AD328" s="58">
        <f t="shared" si="770"/>
        <v>0</v>
      </c>
      <c r="AE328" s="58">
        <f t="shared" si="770"/>
        <v>0</v>
      </c>
      <c r="AF328" s="58">
        <f t="shared" si="770"/>
        <v>0</v>
      </c>
      <c r="AG328" s="58">
        <f t="shared" si="770"/>
        <v>0</v>
      </c>
      <c r="AH328" s="339"/>
      <c r="AI328" s="332"/>
      <c r="AJ328" s="13"/>
      <c r="AK328" s="13"/>
      <c r="AL328" s="13"/>
      <c r="AM328" s="13"/>
      <c r="AN328" s="13"/>
      <c r="AO328" s="58">
        <f t="shared" ref="AO328:AX328" si="771">AO322-AO323</f>
        <v>0</v>
      </c>
      <c r="AP328" s="58">
        <f t="shared" si="771"/>
        <v>0</v>
      </c>
      <c r="AQ328" s="58">
        <f t="shared" si="771"/>
        <v>0</v>
      </c>
      <c r="AR328" s="58">
        <f t="shared" si="771"/>
        <v>0</v>
      </c>
      <c r="AS328" s="58">
        <f t="shared" si="771"/>
        <v>0</v>
      </c>
      <c r="AT328" s="58">
        <f t="shared" si="771"/>
        <v>0</v>
      </c>
      <c r="AU328" s="58">
        <f t="shared" si="771"/>
        <v>0</v>
      </c>
      <c r="AV328" s="58">
        <f t="shared" si="771"/>
        <v>0</v>
      </c>
      <c r="AW328" s="58">
        <f t="shared" si="771"/>
        <v>0</v>
      </c>
      <c r="AX328" s="58">
        <f t="shared" si="771"/>
        <v>0</v>
      </c>
      <c r="AY328" s="58" t="s">
        <v>3561</v>
      </c>
      <c r="AZ328" s="319">
        <f>AZ322-AZ323</f>
        <v>0</v>
      </c>
      <c r="BA328" s="417">
        <v>37073.41</v>
      </c>
      <c r="BB328" s="320"/>
      <c r="BC328" s="414"/>
      <c r="BD328" s="13"/>
    </row>
    <row r="329" spans="1:56">
      <c r="A329" s="13"/>
      <c r="B329" s="13"/>
      <c r="C329" s="13"/>
      <c r="D329" s="13"/>
      <c r="E329" s="13"/>
      <c r="G329" s="13"/>
      <c r="H329" s="13"/>
      <c r="I329" s="13"/>
      <c r="J329" s="13"/>
      <c r="K329" s="13"/>
      <c r="L329" s="13"/>
      <c r="M329" s="13"/>
      <c r="N329" s="13"/>
      <c r="O329" s="13"/>
      <c r="P329" s="356"/>
      <c r="Q329" s="13"/>
      <c r="R329" s="325" t="s">
        <v>3496</v>
      </c>
      <c r="S329" s="403">
        <f t="shared" ref="S329:AG329" si="772">S328/S322</f>
        <v>0.211340061001482</v>
      </c>
      <c r="T329" s="61">
        <f t="shared" si="772"/>
        <v>0.565649770648361</v>
      </c>
      <c r="U329" s="322">
        <f t="shared" si="772"/>
        <v>0.565649770648361</v>
      </c>
      <c r="V329" s="61" t="e">
        <f t="shared" si="772"/>
        <v>#DIV/0!</v>
      </c>
      <c r="W329" s="61" t="e">
        <f t="shared" si="772"/>
        <v>#DIV/0!</v>
      </c>
      <c r="X329" s="61" t="e">
        <f t="shared" si="772"/>
        <v>#DIV/0!</v>
      </c>
      <c r="Y329" s="61" t="e">
        <f t="shared" si="772"/>
        <v>#DIV/0!</v>
      </c>
      <c r="Z329" s="61" t="e">
        <f t="shared" si="772"/>
        <v>#DIV/0!</v>
      </c>
      <c r="AA329" s="61" t="e">
        <f t="shared" si="772"/>
        <v>#DIV/0!</v>
      </c>
      <c r="AB329" s="61" t="e">
        <f t="shared" si="772"/>
        <v>#DIV/0!</v>
      </c>
      <c r="AC329" s="61" t="e">
        <f t="shared" si="772"/>
        <v>#DIV/0!</v>
      </c>
      <c r="AD329" s="61" t="e">
        <f t="shared" si="772"/>
        <v>#DIV/0!</v>
      </c>
      <c r="AE329" s="61" t="e">
        <f t="shared" si="772"/>
        <v>#DIV/0!</v>
      </c>
      <c r="AF329" s="61" t="e">
        <f t="shared" si="772"/>
        <v>#DIV/0!</v>
      </c>
      <c r="AG329" s="61" t="e">
        <f t="shared" si="772"/>
        <v>#DIV/0!</v>
      </c>
      <c r="AH329" s="340">
        <f>T329-S329</f>
        <v>0.354309709646879</v>
      </c>
      <c r="AI329" s="82" t="e">
        <f>AF329-S329</f>
        <v>#DIV/0!</v>
      </c>
      <c r="AJ329" s="13"/>
      <c r="AK329" s="13"/>
      <c r="AL329" s="13"/>
      <c r="AM329" s="13"/>
      <c r="AN329" s="13"/>
      <c r="AO329" s="61" t="e">
        <f t="shared" ref="AO329:AX329" si="773">AO328/AO322</f>
        <v>#DIV/0!</v>
      </c>
      <c r="AP329" s="61" t="e">
        <f t="shared" si="773"/>
        <v>#DIV/0!</v>
      </c>
      <c r="AQ329" s="61" t="e">
        <f t="shared" si="773"/>
        <v>#DIV/0!</v>
      </c>
      <c r="AR329" s="61" t="e">
        <f t="shared" si="773"/>
        <v>#DIV/0!</v>
      </c>
      <c r="AS329" s="61" t="e">
        <f t="shared" si="773"/>
        <v>#DIV/0!</v>
      </c>
      <c r="AT329" s="61" t="e">
        <f t="shared" si="773"/>
        <v>#DIV/0!</v>
      </c>
      <c r="AU329" s="61" t="e">
        <f t="shared" si="773"/>
        <v>#DIV/0!</v>
      </c>
      <c r="AV329" s="61" t="e">
        <f t="shared" si="773"/>
        <v>#DIV/0!</v>
      </c>
      <c r="AW329" s="61" t="e">
        <f t="shared" si="773"/>
        <v>#DIV/0!</v>
      </c>
      <c r="AX329" s="61" t="e">
        <f t="shared" si="773"/>
        <v>#DIV/0!</v>
      </c>
      <c r="AY329" s="61" t="e">
        <v>#DIV/0!</v>
      </c>
      <c r="AZ329" s="322" t="e">
        <f>AZ328/AZ322</f>
        <v>#DIV/0!</v>
      </c>
      <c r="BA329" s="418">
        <v>0.565649770648361</v>
      </c>
      <c r="BB329" s="403"/>
      <c r="BC329" s="414"/>
      <c r="BD329" s="13"/>
    </row>
    <row r="330" spans="1:56">
      <c r="A330" s="13"/>
      <c r="B330" s="13"/>
      <c r="C330" s="13"/>
      <c r="D330" s="13"/>
      <c r="E330" s="13"/>
      <c r="G330" s="13"/>
      <c r="H330" s="13"/>
      <c r="I330" s="13"/>
      <c r="J330" s="13"/>
      <c r="K330" s="13"/>
      <c r="L330" s="13"/>
      <c r="M330" s="13"/>
      <c r="N330" s="13"/>
      <c r="O330" s="13"/>
      <c r="P330" s="356"/>
      <c r="Q330" s="13"/>
      <c r="R330" s="324" t="s">
        <v>3497</v>
      </c>
      <c r="S330" s="58">
        <f t="shared" ref="S330:AG330" si="774">S322-S327</f>
        <v>13956.42</v>
      </c>
      <c r="T330" s="58">
        <f t="shared" si="774"/>
        <v>37454.29</v>
      </c>
      <c r="U330" s="58">
        <f t="shared" si="774"/>
        <v>37454.29</v>
      </c>
      <c r="V330" s="58">
        <f t="shared" si="774"/>
        <v>0</v>
      </c>
      <c r="W330" s="58">
        <f t="shared" si="774"/>
        <v>0</v>
      </c>
      <c r="X330" s="58">
        <f t="shared" si="774"/>
        <v>0</v>
      </c>
      <c r="Y330" s="58">
        <f t="shared" si="774"/>
        <v>0</v>
      </c>
      <c r="Z330" s="58">
        <f t="shared" si="774"/>
        <v>0</v>
      </c>
      <c r="AA330" s="58">
        <f t="shared" si="774"/>
        <v>0</v>
      </c>
      <c r="AB330" s="58">
        <f t="shared" si="774"/>
        <v>0</v>
      </c>
      <c r="AC330" s="58">
        <f t="shared" si="774"/>
        <v>0</v>
      </c>
      <c r="AD330" s="58">
        <f t="shared" si="774"/>
        <v>0</v>
      </c>
      <c r="AE330" s="58">
        <f t="shared" si="774"/>
        <v>0</v>
      </c>
      <c r="AF330" s="58">
        <f t="shared" si="774"/>
        <v>0</v>
      </c>
      <c r="AG330" s="58">
        <f t="shared" si="774"/>
        <v>0</v>
      </c>
      <c r="AH330" s="82"/>
      <c r="AI330" s="82"/>
      <c r="AJ330" s="13"/>
      <c r="AK330" s="13"/>
      <c r="AL330" s="13"/>
      <c r="AM330" s="13"/>
      <c r="AN330" s="13"/>
      <c r="AO330" s="58">
        <f t="shared" ref="AO330:BC330" si="775">AO322-AO327</f>
        <v>0</v>
      </c>
      <c r="AP330" s="58">
        <f t="shared" si="775"/>
        <v>0</v>
      </c>
      <c r="AQ330" s="58">
        <f t="shared" si="775"/>
        <v>0</v>
      </c>
      <c r="AR330" s="58">
        <f t="shared" si="775"/>
        <v>0</v>
      </c>
      <c r="AS330" s="58">
        <f t="shared" si="775"/>
        <v>0</v>
      </c>
      <c r="AT330" s="58">
        <f t="shared" si="775"/>
        <v>0</v>
      </c>
      <c r="AU330" s="58">
        <f t="shared" si="775"/>
        <v>0</v>
      </c>
      <c r="AV330" s="58">
        <f t="shared" si="775"/>
        <v>0</v>
      </c>
      <c r="AW330" s="58">
        <f t="shared" si="775"/>
        <v>0</v>
      </c>
      <c r="AX330" s="58">
        <f t="shared" si="775"/>
        <v>0</v>
      </c>
      <c r="AY330" s="58" t="e">
        <f t="shared" si="775"/>
        <v>#VALUE!</v>
      </c>
      <c r="AZ330" s="58">
        <f t="shared" si="775"/>
        <v>0</v>
      </c>
      <c r="BA330" s="58">
        <f t="shared" si="775"/>
        <v>37454.29</v>
      </c>
      <c r="BB330" s="58">
        <f t="shared" si="775"/>
        <v>0</v>
      </c>
      <c r="BC330" s="58">
        <f t="shared" si="775"/>
        <v>0</v>
      </c>
      <c r="BD330" s="13"/>
    </row>
    <row r="331" ht="16.5" customHeight="1" spans="1:56">
      <c r="A331" s="14"/>
      <c r="B331" s="14"/>
      <c r="C331" s="14"/>
      <c r="D331" s="14"/>
      <c r="E331" s="14"/>
      <c r="G331" s="14"/>
      <c r="H331" s="14"/>
      <c r="I331" s="14"/>
      <c r="J331" s="14"/>
      <c r="K331" s="14"/>
      <c r="L331" s="14"/>
      <c r="M331" s="14"/>
      <c r="N331" s="14"/>
      <c r="O331" s="14"/>
      <c r="P331" s="355"/>
      <c r="Q331" s="14"/>
      <c r="R331" s="325" t="s">
        <v>3498</v>
      </c>
      <c r="S331" s="403">
        <f t="shared" ref="S331:AG331" si="776">S330/S322</f>
        <v>0.211340061001482</v>
      </c>
      <c r="T331" s="61">
        <f t="shared" si="776"/>
        <v>0.571461070030979</v>
      </c>
      <c r="U331" s="322">
        <f t="shared" si="776"/>
        <v>0.571461070030979</v>
      </c>
      <c r="V331" s="61" t="e">
        <f t="shared" si="776"/>
        <v>#DIV/0!</v>
      </c>
      <c r="W331" s="61" t="e">
        <f t="shared" si="776"/>
        <v>#DIV/0!</v>
      </c>
      <c r="X331" s="61" t="e">
        <f t="shared" si="776"/>
        <v>#DIV/0!</v>
      </c>
      <c r="Y331" s="61" t="e">
        <f t="shared" si="776"/>
        <v>#DIV/0!</v>
      </c>
      <c r="Z331" s="61" t="e">
        <f t="shared" si="776"/>
        <v>#DIV/0!</v>
      </c>
      <c r="AA331" s="61" t="e">
        <f t="shared" si="776"/>
        <v>#DIV/0!</v>
      </c>
      <c r="AB331" s="61" t="e">
        <f t="shared" si="776"/>
        <v>#DIV/0!</v>
      </c>
      <c r="AC331" s="61" t="e">
        <f t="shared" si="776"/>
        <v>#DIV/0!</v>
      </c>
      <c r="AD331" s="61" t="e">
        <f t="shared" si="776"/>
        <v>#DIV/0!</v>
      </c>
      <c r="AE331" s="61" t="e">
        <f t="shared" si="776"/>
        <v>#DIV/0!</v>
      </c>
      <c r="AF331" s="61" t="e">
        <f t="shared" si="776"/>
        <v>#DIV/0!</v>
      </c>
      <c r="AG331" s="61" t="e">
        <f t="shared" si="776"/>
        <v>#DIV/0!</v>
      </c>
      <c r="AH331" s="340">
        <f>T331-S331</f>
        <v>0.360121009029497</v>
      </c>
      <c r="AI331" s="82" t="e">
        <f>AF331-S331</f>
        <v>#DIV/0!</v>
      </c>
      <c r="AJ331" s="14"/>
      <c r="AK331" s="14"/>
      <c r="AL331" s="14"/>
      <c r="AM331" s="14"/>
      <c r="AN331" s="14"/>
      <c r="AO331" s="61" t="e">
        <f t="shared" ref="AO331:AX331" si="777">AO330/AO322</f>
        <v>#DIV/0!</v>
      </c>
      <c r="AP331" s="61" t="e">
        <f t="shared" si="777"/>
        <v>#DIV/0!</v>
      </c>
      <c r="AQ331" s="61" t="e">
        <f t="shared" si="777"/>
        <v>#DIV/0!</v>
      </c>
      <c r="AR331" s="61" t="e">
        <f t="shared" si="777"/>
        <v>#DIV/0!</v>
      </c>
      <c r="AS331" s="61" t="e">
        <f t="shared" si="777"/>
        <v>#DIV/0!</v>
      </c>
      <c r="AT331" s="61" t="e">
        <f t="shared" si="777"/>
        <v>#DIV/0!</v>
      </c>
      <c r="AU331" s="61" t="e">
        <f t="shared" si="777"/>
        <v>#DIV/0!</v>
      </c>
      <c r="AV331" s="61" t="e">
        <f t="shared" si="777"/>
        <v>#DIV/0!</v>
      </c>
      <c r="AW331" s="61" t="e">
        <f t="shared" si="777"/>
        <v>#DIV/0!</v>
      </c>
      <c r="AX331" s="61" t="e">
        <f t="shared" si="777"/>
        <v>#DIV/0!</v>
      </c>
      <c r="AY331" s="61" t="e">
        <v>#DIV/0!</v>
      </c>
      <c r="AZ331" s="322" t="e">
        <f>AZ330/AZ322</f>
        <v>#DIV/0!</v>
      </c>
      <c r="BA331" s="418">
        <v>0.571461070030979</v>
      </c>
      <c r="BB331" s="403"/>
      <c r="BC331" s="414"/>
      <c r="BD331" s="14"/>
    </row>
    <row r="332" spans="1:56">
      <c r="A332" s="305" t="s">
        <v>1556</v>
      </c>
      <c r="B332" s="306" t="s">
        <v>3596</v>
      </c>
      <c r="C332" s="307">
        <v>45658</v>
      </c>
      <c r="D332" s="307">
        <v>46022</v>
      </c>
      <c r="E332" s="308"/>
      <c r="F332" s="166" t="s">
        <v>3561</v>
      </c>
      <c r="G332" s="309"/>
      <c r="H332" s="355"/>
      <c r="I332" s="355"/>
      <c r="J332" s="355"/>
      <c r="K332" s="355"/>
      <c r="L332" s="355"/>
      <c r="M332" s="355"/>
      <c r="N332" s="355"/>
      <c r="O332" s="355"/>
      <c r="P332" s="356"/>
      <c r="Q332" s="358"/>
      <c r="R332" s="323" t="s">
        <v>3486</v>
      </c>
      <c r="S332" s="319">
        <v>75471.7</v>
      </c>
      <c r="T332" s="58">
        <f t="shared" ref="T332:T336" si="778">SUM(AO332:BC332)</f>
        <v>74904.31</v>
      </c>
      <c r="U332" s="319">
        <f t="shared" ref="U332:U336" si="779">SUM(BA332:BC332)</f>
        <v>74904.31</v>
      </c>
      <c r="V332" s="58">
        <f t="shared" ref="V332:V336" si="780">SUM(AO332:AZ332)</f>
        <v>0</v>
      </c>
      <c r="W332" s="58">
        <f t="shared" ref="W332:W336" si="781">SUM(AP332:AZ332)</f>
        <v>0</v>
      </c>
      <c r="X332" s="58">
        <f t="shared" ref="X332:X336" si="782">SUM(AQ332:AZ332)</f>
        <v>0</v>
      </c>
      <c r="Y332" s="58">
        <f t="shared" ref="Y332:Y336" si="783">SUM(AR332:AZ332)</f>
        <v>0</v>
      </c>
      <c r="Z332" s="58">
        <f t="shared" ref="Z332:Z336" si="784">SUM(AS332:AZ332)</f>
        <v>0</v>
      </c>
      <c r="AA332" s="58">
        <f t="shared" ref="AA332:AA336" si="785">SUM(AT332:AZ332)</f>
        <v>0</v>
      </c>
      <c r="AB332" s="58">
        <f t="shared" ref="AB332:AB336" si="786">SUM(AU332:AZ332)</f>
        <v>0</v>
      </c>
      <c r="AC332" s="58">
        <f t="shared" ref="AC332:AC336" si="787">SUM(AV332:AZ332)</f>
        <v>0</v>
      </c>
      <c r="AD332" s="58">
        <f t="shared" ref="AD332:AD336" si="788">SUM(AW332:AZ332)</f>
        <v>0</v>
      </c>
      <c r="AE332" s="58">
        <f t="shared" ref="AE332:AE336" si="789">SUM(AX332:AZ332)</f>
        <v>0</v>
      </c>
      <c r="AF332" s="58">
        <f t="shared" ref="AF332:AF336" si="790">SUM(AY332:AZ332)</f>
        <v>0</v>
      </c>
      <c r="AG332" s="58">
        <f t="shared" ref="AG332:AG336" si="791">SUM(AZ332:AZ332)</f>
        <v>0</v>
      </c>
      <c r="AH332" s="334"/>
      <c r="AI332" s="328"/>
      <c r="AJ332" s="361"/>
      <c r="AK332" s="362" t="s">
        <v>3597</v>
      </c>
      <c r="AL332" s="361" t="s">
        <v>3598</v>
      </c>
      <c r="AM332" s="361"/>
      <c r="AN332" s="335"/>
      <c r="AO332" s="58"/>
      <c r="AP332" s="58"/>
      <c r="AQ332" s="58"/>
      <c r="AR332" s="58"/>
      <c r="AS332" s="58"/>
      <c r="AT332" s="58"/>
      <c r="AU332" s="58"/>
      <c r="AV332" s="58"/>
      <c r="AW332" s="58"/>
      <c r="AX332" s="58"/>
      <c r="AY332" s="58" t="s">
        <v>3561</v>
      </c>
      <c r="AZ332" s="319"/>
      <c r="BA332" s="344">
        <v>74904.31</v>
      </c>
      <c r="BB332" s="319"/>
      <c r="BC332" s="414"/>
      <c r="BD332" s="346" t="s">
        <v>3567</v>
      </c>
    </row>
    <row r="333" spans="1:56">
      <c r="A333" s="13"/>
      <c r="B333" s="13"/>
      <c r="C333" s="13"/>
      <c r="D333" s="13"/>
      <c r="E333" s="13"/>
      <c r="G333" s="13"/>
      <c r="H333" s="13"/>
      <c r="I333" s="13"/>
      <c r="J333" s="13"/>
      <c r="K333" s="13"/>
      <c r="L333" s="13"/>
      <c r="M333" s="13"/>
      <c r="N333" s="13"/>
      <c r="O333" s="13"/>
      <c r="P333" s="356"/>
      <c r="Q333" s="13"/>
      <c r="R333" s="324" t="s">
        <v>3490</v>
      </c>
      <c r="S333" s="319">
        <v>37005.12</v>
      </c>
      <c r="T333" s="58">
        <f t="shared" si="778"/>
        <v>30155.53</v>
      </c>
      <c r="U333" s="319">
        <f t="shared" si="779"/>
        <v>30155.53</v>
      </c>
      <c r="V333" s="58">
        <f t="shared" si="780"/>
        <v>0</v>
      </c>
      <c r="W333" s="58">
        <f t="shared" si="781"/>
        <v>0</v>
      </c>
      <c r="X333" s="58">
        <f t="shared" si="782"/>
        <v>0</v>
      </c>
      <c r="Y333" s="58">
        <f t="shared" si="783"/>
        <v>0</v>
      </c>
      <c r="Z333" s="58">
        <f t="shared" si="784"/>
        <v>0</v>
      </c>
      <c r="AA333" s="58">
        <f t="shared" si="785"/>
        <v>0</v>
      </c>
      <c r="AB333" s="58">
        <f t="shared" si="786"/>
        <v>0</v>
      </c>
      <c r="AC333" s="58">
        <f t="shared" si="787"/>
        <v>0</v>
      </c>
      <c r="AD333" s="58">
        <f t="shared" si="788"/>
        <v>0</v>
      </c>
      <c r="AE333" s="58">
        <f t="shared" si="789"/>
        <v>0</v>
      </c>
      <c r="AF333" s="58">
        <f t="shared" si="790"/>
        <v>0</v>
      </c>
      <c r="AG333" s="58">
        <f t="shared" si="791"/>
        <v>0</v>
      </c>
      <c r="AH333" s="334"/>
      <c r="AI333" s="328"/>
      <c r="AJ333" s="13"/>
      <c r="AK333" s="13"/>
      <c r="AL333" s="13"/>
      <c r="AM333" s="13"/>
      <c r="AN333" s="13"/>
      <c r="AO333" s="58"/>
      <c r="AP333" s="58"/>
      <c r="AQ333" s="58"/>
      <c r="AR333" s="58"/>
      <c r="AS333" s="58"/>
      <c r="AT333" s="58"/>
      <c r="AU333" s="58"/>
      <c r="AV333" s="58"/>
      <c r="AW333" s="58"/>
      <c r="AX333" s="58"/>
      <c r="AY333" s="58" t="s">
        <v>3561</v>
      </c>
      <c r="AZ333" s="319"/>
      <c r="BA333" s="344">
        <v>30155.53</v>
      </c>
      <c r="BB333" s="319"/>
      <c r="BC333" s="414"/>
      <c r="BD333" s="13"/>
    </row>
    <row r="334" spans="1:56">
      <c r="A334" s="13"/>
      <c r="B334" s="13"/>
      <c r="C334" s="13"/>
      <c r="D334" s="13"/>
      <c r="E334" s="13"/>
      <c r="G334" s="13"/>
      <c r="H334" s="13"/>
      <c r="I334" s="13"/>
      <c r="J334" s="13"/>
      <c r="K334" s="13"/>
      <c r="L334" s="13"/>
      <c r="M334" s="13"/>
      <c r="N334" s="13"/>
      <c r="O334" s="13"/>
      <c r="P334" s="356"/>
      <c r="Q334" s="13"/>
      <c r="R334" s="324" t="s">
        <v>3491</v>
      </c>
      <c r="S334" s="319"/>
      <c r="T334" s="58">
        <f t="shared" si="778"/>
        <v>0</v>
      </c>
      <c r="U334" s="319">
        <f t="shared" si="779"/>
        <v>0</v>
      </c>
      <c r="V334" s="58"/>
      <c r="W334" s="58"/>
      <c r="X334" s="58"/>
      <c r="Y334" s="58"/>
      <c r="Z334" s="58"/>
      <c r="AA334" s="58"/>
      <c r="AB334" s="58"/>
      <c r="AC334" s="58"/>
      <c r="AD334" s="58"/>
      <c r="AE334" s="58"/>
      <c r="AF334" s="58"/>
      <c r="AG334" s="58"/>
      <c r="AH334" s="334"/>
      <c r="AI334" s="328"/>
      <c r="AJ334" s="13"/>
      <c r="AK334" s="13"/>
      <c r="AL334" s="13"/>
      <c r="AM334" s="13"/>
      <c r="AN334" s="13"/>
      <c r="AO334" s="58"/>
      <c r="AP334" s="58"/>
      <c r="AQ334" s="58"/>
      <c r="AR334" s="58"/>
      <c r="AS334" s="58"/>
      <c r="AT334" s="58"/>
      <c r="AU334" s="58"/>
      <c r="AV334" s="58"/>
      <c r="AW334" s="58"/>
      <c r="AX334" s="58">
        <v>0</v>
      </c>
      <c r="AY334" s="58"/>
      <c r="AZ334" s="319"/>
      <c r="BA334" s="344"/>
      <c r="BB334" s="319"/>
      <c r="BC334" s="414"/>
      <c r="BD334" s="13"/>
    </row>
    <row r="335" spans="1:56">
      <c r="A335" s="13"/>
      <c r="B335" s="13"/>
      <c r="C335" s="13"/>
      <c r="D335" s="13"/>
      <c r="E335" s="13"/>
      <c r="G335" s="13"/>
      <c r="H335" s="13"/>
      <c r="I335" s="13"/>
      <c r="J335" s="13"/>
      <c r="K335" s="13"/>
      <c r="L335" s="13"/>
      <c r="M335" s="13"/>
      <c r="N335" s="13"/>
      <c r="O335" s="13"/>
      <c r="P335" s="356"/>
      <c r="Q335" s="13"/>
      <c r="R335" s="324" t="s">
        <v>3492</v>
      </c>
      <c r="S335" s="319">
        <v>0</v>
      </c>
      <c r="T335" s="58">
        <f t="shared" si="778"/>
        <v>0</v>
      </c>
      <c r="U335" s="319">
        <f t="shared" si="779"/>
        <v>0</v>
      </c>
      <c r="V335" s="58">
        <f t="shared" si="780"/>
        <v>0</v>
      </c>
      <c r="W335" s="58">
        <f t="shared" si="781"/>
        <v>0</v>
      </c>
      <c r="X335" s="58">
        <f t="shared" si="782"/>
        <v>0</v>
      </c>
      <c r="Y335" s="58">
        <f t="shared" si="783"/>
        <v>0</v>
      </c>
      <c r="Z335" s="58">
        <f t="shared" si="784"/>
        <v>0</v>
      </c>
      <c r="AA335" s="58">
        <f t="shared" si="785"/>
        <v>0</v>
      </c>
      <c r="AB335" s="58">
        <f t="shared" si="786"/>
        <v>0</v>
      </c>
      <c r="AC335" s="58">
        <f t="shared" si="787"/>
        <v>0</v>
      </c>
      <c r="AD335" s="58">
        <f t="shared" si="788"/>
        <v>0</v>
      </c>
      <c r="AE335" s="58">
        <f t="shared" si="789"/>
        <v>0</v>
      </c>
      <c r="AF335" s="58">
        <f t="shared" si="790"/>
        <v>0</v>
      </c>
      <c r="AG335" s="58">
        <f t="shared" si="791"/>
        <v>0</v>
      </c>
      <c r="AH335" s="334"/>
      <c r="AI335" s="328"/>
      <c r="AJ335" s="13"/>
      <c r="AK335" s="13"/>
      <c r="AL335" s="13"/>
      <c r="AM335" s="13"/>
      <c r="AN335" s="13"/>
      <c r="AO335" s="58"/>
      <c r="AP335" s="58"/>
      <c r="AQ335" s="58"/>
      <c r="AR335" s="58"/>
      <c r="AS335" s="58"/>
      <c r="AT335" s="58"/>
      <c r="AU335" s="58"/>
      <c r="AV335" s="58"/>
      <c r="AW335" s="58"/>
      <c r="AX335" s="58"/>
      <c r="AY335" s="58"/>
      <c r="AZ335" s="319"/>
      <c r="BA335" s="344">
        <v>0</v>
      </c>
      <c r="BB335" s="319"/>
      <c r="BC335" s="414"/>
      <c r="BD335" s="13"/>
    </row>
    <row r="336" spans="1:56">
      <c r="A336" s="13"/>
      <c r="B336" s="13"/>
      <c r="C336" s="13"/>
      <c r="D336" s="13"/>
      <c r="E336" s="13"/>
      <c r="G336" s="13"/>
      <c r="H336" s="13"/>
      <c r="I336" s="13"/>
      <c r="J336" s="13"/>
      <c r="K336" s="13"/>
      <c r="L336" s="13"/>
      <c r="M336" s="13"/>
      <c r="N336" s="13"/>
      <c r="O336" s="13"/>
      <c r="P336" s="356"/>
      <c r="Q336" s="13"/>
      <c r="R336" s="324" t="s">
        <v>3493</v>
      </c>
      <c r="S336" s="319">
        <v>26800</v>
      </c>
      <c r="T336" s="58">
        <f t="shared" si="778"/>
        <v>28397.17</v>
      </c>
      <c r="U336" s="319">
        <f t="shared" si="779"/>
        <v>28397.17</v>
      </c>
      <c r="V336" s="58">
        <f t="shared" si="780"/>
        <v>0</v>
      </c>
      <c r="W336" s="58">
        <f t="shared" si="781"/>
        <v>0</v>
      </c>
      <c r="X336" s="58">
        <f t="shared" si="782"/>
        <v>0</v>
      </c>
      <c r="Y336" s="58">
        <f t="shared" si="783"/>
        <v>0</v>
      </c>
      <c r="Z336" s="58">
        <f t="shared" si="784"/>
        <v>0</v>
      </c>
      <c r="AA336" s="58">
        <f t="shared" si="785"/>
        <v>0</v>
      </c>
      <c r="AB336" s="58">
        <f t="shared" si="786"/>
        <v>0</v>
      </c>
      <c r="AC336" s="58">
        <f t="shared" si="787"/>
        <v>0</v>
      </c>
      <c r="AD336" s="58">
        <f t="shared" si="788"/>
        <v>0</v>
      </c>
      <c r="AE336" s="58">
        <f t="shared" si="789"/>
        <v>0</v>
      </c>
      <c r="AF336" s="58">
        <f t="shared" si="790"/>
        <v>0</v>
      </c>
      <c r="AG336" s="58">
        <f t="shared" si="791"/>
        <v>0</v>
      </c>
      <c r="AH336" s="334"/>
      <c r="AI336" s="328"/>
      <c r="AJ336" s="13"/>
      <c r="AK336" s="13"/>
      <c r="AL336" s="13"/>
      <c r="AM336" s="13"/>
      <c r="AN336" s="13"/>
      <c r="AO336" s="58"/>
      <c r="AP336" s="58"/>
      <c r="AQ336" s="58"/>
      <c r="AR336" s="58"/>
      <c r="AS336" s="58"/>
      <c r="AT336" s="58"/>
      <c r="AU336" s="58"/>
      <c r="AV336" s="58"/>
      <c r="AW336" s="58"/>
      <c r="AX336" s="58"/>
      <c r="AY336" s="58" t="s">
        <v>3561</v>
      </c>
      <c r="AZ336" s="319"/>
      <c r="BA336" s="344">
        <v>28397.17</v>
      </c>
      <c r="BB336" s="319"/>
      <c r="BC336" s="414"/>
      <c r="BD336" s="13"/>
    </row>
    <row r="337" ht="16.5" customHeight="1" spans="1:56">
      <c r="A337" s="13"/>
      <c r="B337" s="13"/>
      <c r="C337" s="13"/>
      <c r="D337" s="13"/>
      <c r="E337" s="13"/>
      <c r="G337" s="13"/>
      <c r="H337" s="13"/>
      <c r="I337" s="13"/>
      <c r="J337" s="13"/>
      <c r="K337" s="13"/>
      <c r="L337" s="13"/>
      <c r="M337" s="13"/>
      <c r="N337" s="13"/>
      <c r="O337" s="13"/>
      <c r="P337" s="315"/>
      <c r="Q337" s="13"/>
      <c r="R337" s="324" t="s">
        <v>3494</v>
      </c>
      <c r="S337" s="320">
        <f t="shared" ref="S337:AG337" si="792">SUM(S333:S336)</f>
        <v>63805.12</v>
      </c>
      <c r="T337" s="214">
        <f t="shared" si="792"/>
        <v>58552.7</v>
      </c>
      <c r="U337" s="320">
        <f t="shared" si="792"/>
        <v>58552.7</v>
      </c>
      <c r="V337" s="214">
        <f t="shared" si="792"/>
        <v>0</v>
      </c>
      <c r="W337" s="214">
        <f t="shared" si="792"/>
        <v>0</v>
      </c>
      <c r="X337" s="214">
        <f t="shared" si="792"/>
        <v>0</v>
      </c>
      <c r="Y337" s="214">
        <f t="shared" si="792"/>
        <v>0</v>
      </c>
      <c r="Z337" s="214">
        <f t="shared" si="792"/>
        <v>0</v>
      </c>
      <c r="AA337" s="214">
        <f t="shared" si="792"/>
        <v>0</v>
      </c>
      <c r="AB337" s="214">
        <f t="shared" si="792"/>
        <v>0</v>
      </c>
      <c r="AC337" s="214">
        <f t="shared" si="792"/>
        <v>0</v>
      </c>
      <c r="AD337" s="214">
        <f t="shared" si="792"/>
        <v>0</v>
      </c>
      <c r="AE337" s="214">
        <f t="shared" si="792"/>
        <v>0</v>
      </c>
      <c r="AF337" s="214">
        <f t="shared" si="792"/>
        <v>0</v>
      </c>
      <c r="AG337" s="214">
        <f t="shared" si="792"/>
        <v>0</v>
      </c>
      <c r="AH337" s="320">
        <f>SUM(AH333:AH336)</f>
        <v>0</v>
      </c>
      <c r="AI337" s="214">
        <f>SUM(AI333:AI336)</f>
        <v>0</v>
      </c>
      <c r="AJ337" s="13"/>
      <c r="AK337" s="13"/>
      <c r="AL337" s="13"/>
      <c r="AM337" s="13"/>
      <c r="AN337" s="13"/>
      <c r="AO337" s="214">
        <f t="shared" ref="AO337:AX337" si="793">SUM(AO333:AO336)</f>
        <v>0</v>
      </c>
      <c r="AP337" s="214">
        <f t="shared" si="793"/>
        <v>0</v>
      </c>
      <c r="AQ337" s="214">
        <f t="shared" si="793"/>
        <v>0</v>
      </c>
      <c r="AR337" s="214">
        <f t="shared" si="793"/>
        <v>0</v>
      </c>
      <c r="AS337" s="214">
        <f t="shared" si="793"/>
        <v>0</v>
      </c>
      <c r="AT337" s="214">
        <f t="shared" si="793"/>
        <v>0</v>
      </c>
      <c r="AU337" s="214">
        <f t="shared" si="793"/>
        <v>0</v>
      </c>
      <c r="AV337" s="214">
        <f t="shared" si="793"/>
        <v>0</v>
      </c>
      <c r="AW337" s="214">
        <f t="shared" si="793"/>
        <v>0</v>
      </c>
      <c r="AX337" s="214">
        <f t="shared" si="793"/>
        <v>0</v>
      </c>
      <c r="AY337" s="214" t="s">
        <v>3561</v>
      </c>
      <c r="AZ337" s="320">
        <f>SUM(AZ333:AZ336)</f>
        <v>0</v>
      </c>
      <c r="BA337" s="320">
        <v>58552.7</v>
      </c>
      <c r="BB337" s="320">
        <f>SUM(BB333:BB336)</f>
        <v>0</v>
      </c>
      <c r="BC337" s="416">
        <f>SUM(BC333:BC336)</f>
        <v>0</v>
      </c>
      <c r="BD337" s="13"/>
    </row>
    <row r="338" spans="1:56">
      <c r="A338" s="13"/>
      <c r="B338" s="13"/>
      <c r="C338" s="13"/>
      <c r="D338" s="13"/>
      <c r="E338" s="13"/>
      <c r="G338" s="13"/>
      <c r="H338" s="13"/>
      <c r="I338" s="13"/>
      <c r="J338" s="13"/>
      <c r="K338" s="13"/>
      <c r="L338" s="13"/>
      <c r="M338" s="13"/>
      <c r="N338" s="13"/>
      <c r="O338" s="13"/>
      <c r="P338" s="356"/>
      <c r="Q338" s="13"/>
      <c r="R338" s="324" t="s">
        <v>3495</v>
      </c>
      <c r="S338" s="320">
        <f t="shared" ref="S338:AG338" si="794">S332-S333</f>
        <v>38466.58</v>
      </c>
      <c r="T338" s="58">
        <f t="shared" si="794"/>
        <v>44748.78</v>
      </c>
      <c r="U338" s="319">
        <f t="shared" si="794"/>
        <v>44748.78</v>
      </c>
      <c r="V338" s="58">
        <f t="shared" si="794"/>
        <v>0</v>
      </c>
      <c r="W338" s="58">
        <f t="shared" si="794"/>
        <v>0</v>
      </c>
      <c r="X338" s="58">
        <f t="shared" si="794"/>
        <v>0</v>
      </c>
      <c r="Y338" s="58">
        <f t="shared" si="794"/>
        <v>0</v>
      </c>
      <c r="Z338" s="58">
        <f t="shared" si="794"/>
        <v>0</v>
      </c>
      <c r="AA338" s="58">
        <f t="shared" si="794"/>
        <v>0</v>
      </c>
      <c r="AB338" s="58">
        <f t="shared" si="794"/>
        <v>0</v>
      </c>
      <c r="AC338" s="58">
        <f t="shared" si="794"/>
        <v>0</v>
      </c>
      <c r="AD338" s="58">
        <f t="shared" si="794"/>
        <v>0</v>
      </c>
      <c r="AE338" s="58">
        <f t="shared" si="794"/>
        <v>0</v>
      </c>
      <c r="AF338" s="58">
        <f t="shared" si="794"/>
        <v>0</v>
      </c>
      <c r="AG338" s="58">
        <f t="shared" si="794"/>
        <v>0</v>
      </c>
      <c r="AH338" s="339"/>
      <c r="AI338" s="332"/>
      <c r="AJ338" s="13"/>
      <c r="AK338" s="13"/>
      <c r="AL338" s="13"/>
      <c r="AM338" s="13"/>
      <c r="AN338" s="13"/>
      <c r="AO338" s="58">
        <f t="shared" ref="AO338:AX338" si="795">AO332-AO333</f>
        <v>0</v>
      </c>
      <c r="AP338" s="58">
        <f t="shared" si="795"/>
        <v>0</v>
      </c>
      <c r="AQ338" s="58">
        <f t="shared" si="795"/>
        <v>0</v>
      </c>
      <c r="AR338" s="58">
        <f t="shared" si="795"/>
        <v>0</v>
      </c>
      <c r="AS338" s="58">
        <f t="shared" si="795"/>
        <v>0</v>
      </c>
      <c r="AT338" s="58">
        <f t="shared" si="795"/>
        <v>0</v>
      </c>
      <c r="AU338" s="58">
        <f t="shared" si="795"/>
        <v>0</v>
      </c>
      <c r="AV338" s="58">
        <f t="shared" si="795"/>
        <v>0</v>
      </c>
      <c r="AW338" s="58">
        <f t="shared" si="795"/>
        <v>0</v>
      </c>
      <c r="AX338" s="58">
        <f t="shared" si="795"/>
        <v>0</v>
      </c>
      <c r="AY338" s="58" t="s">
        <v>3561</v>
      </c>
      <c r="AZ338" s="319">
        <f>AZ332-AZ333</f>
        <v>0</v>
      </c>
      <c r="BA338" s="344">
        <v>44748.78</v>
      </c>
      <c r="BB338" s="320"/>
      <c r="BC338" s="414"/>
      <c r="BD338" s="13"/>
    </row>
    <row r="339" spans="1:56">
      <c r="A339" s="13"/>
      <c r="B339" s="13"/>
      <c r="C339" s="13"/>
      <c r="D339" s="13"/>
      <c r="E339" s="13"/>
      <c r="G339" s="13"/>
      <c r="H339" s="13"/>
      <c r="I339" s="13"/>
      <c r="J339" s="13"/>
      <c r="K339" s="13"/>
      <c r="L339" s="13"/>
      <c r="M339" s="13"/>
      <c r="N339" s="13"/>
      <c r="O339" s="13"/>
      <c r="P339" s="356"/>
      <c r="Q339" s="13"/>
      <c r="R339" s="325" t="s">
        <v>3496</v>
      </c>
      <c r="S339" s="403">
        <f t="shared" ref="S339:AG339" si="796">S338/S332</f>
        <v>0.509682172257946</v>
      </c>
      <c r="T339" s="61">
        <f t="shared" si="796"/>
        <v>0.597412618846632</v>
      </c>
      <c r="U339" s="322">
        <f t="shared" si="796"/>
        <v>0.597412618846632</v>
      </c>
      <c r="V339" s="61" t="e">
        <f t="shared" si="796"/>
        <v>#DIV/0!</v>
      </c>
      <c r="W339" s="61" t="e">
        <f t="shared" si="796"/>
        <v>#DIV/0!</v>
      </c>
      <c r="X339" s="61" t="e">
        <f t="shared" si="796"/>
        <v>#DIV/0!</v>
      </c>
      <c r="Y339" s="61" t="e">
        <f t="shared" si="796"/>
        <v>#DIV/0!</v>
      </c>
      <c r="Z339" s="61" t="e">
        <f t="shared" si="796"/>
        <v>#DIV/0!</v>
      </c>
      <c r="AA339" s="61" t="e">
        <f t="shared" si="796"/>
        <v>#DIV/0!</v>
      </c>
      <c r="AB339" s="61" t="e">
        <f t="shared" si="796"/>
        <v>#DIV/0!</v>
      </c>
      <c r="AC339" s="61" t="e">
        <f t="shared" si="796"/>
        <v>#DIV/0!</v>
      </c>
      <c r="AD339" s="61" t="e">
        <f t="shared" si="796"/>
        <v>#DIV/0!</v>
      </c>
      <c r="AE339" s="61" t="e">
        <f t="shared" si="796"/>
        <v>#DIV/0!</v>
      </c>
      <c r="AF339" s="61" t="e">
        <f t="shared" si="796"/>
        <v>#DIV/0!</v>
      </c>
      <c r="AG339" s="61" t="e">
        <f t="shared" si="796"/>
        <v>#DIV/0!</v>
      </c>
      <c r="AH339" s="340">
        <f>T339-S339</f>
        <v>0.0877304465886868</v>
      </c>
      <c r="AI339" s="82" t="e">
        <f>AF339-S339</f>
        <v>#DIV/0!</v>
      </c>
      <c r="AJ339" s="13"/>
      <c r="AK339" s="13"/>
      <c r="AL339" s="13"/>
      <c r="AM339" s="13"/>
      <c r="AN339" s="13"/>
      <c r="AO339" s="61" t="e">
        <f t="shared" ref="AO339:AX339" si="797">AO338/AO332</f>
        <v>#DIV/0!</v>
      </c>
      <c r="AP339" s="61" t="e">
        <f t="shared" si="797"/>
        <v>#DIV/0!</v>
      </c>
      <c r="AQ339" s="61" t="e">
        <f t="shared" si="797"/>
        <v>#DIV/0!</v>
      </c>
      <c r="AR339" s="61" t="e">
        <f t="shared" si="797"/>
        <v>#DIV/0!</v>
      </c>
      <c r="AS339" s="61" t="e">
        <f t="shared" si="797"/>
        <v>#DIV/0!</v>
      </c>
      <c r="AT339" s="61" t="e">
        <f t="shared" si="797"/>
        <v>#DIV/0!</v>
      </c>
      <c r="AU339" s="61" t="e">
        <f t="shared" si="797"/>
        <v>#DIV/0!</v>
      </c>
      <c r="AV339" s="61" t="e">
        <f t="shared" si="797"/>
        <v>#DIV/0!</v>
      </c>
      <c r="AW339" s="61" t="e">
        <f t="shared" si="797"/>
        <v>#DIV/0!</v>
      </c>
      <c r="AX339" s="61" t="e">
        <f t="shared" si="797"/>
        <v>#DIV/0!</v>
      </c>
      <c r="AY339" s="61" t="e">
        <v>#DIV/0!</v>
      </c>
      <c r="AZ339" s="322" t="e">
        <f>AZ338/AZ332</f>
        <v>#DIV/0!</v>
      </c>
      <c r="BA339" s="322">
        <v>0.597412618846632</v>
      </c>
      <c r="BB339" s="403"/>
      <c r="BC339" s="414"/>
      <c r="BD339" s="13"/>
    </row>
    <row r="340" spans="1:56">
      <c r="A340" s="13"/>
      <c r="B340" s="13"/>
      <c r="C340" s="13"/>
      <c r="D340" s="13"/>
      <c r="E340" s="13"/>
      <c r="G340" s="13"/>
      <c r="H340" s="13"/>
      <c r="I340" s="13"/>
      <c r="J340" s="13"/>
      <c r="K340" s="13"/>
      <c r="L340" s="13"/>
      <c r="M340" s="13"/>
      <c r="N340" s="13"/>
      <c r="O340" s="13"/>
      <c r="P340" s="356"/>
      <c r="Q340" s="13"/>
      <c r="R340" s="324" t="s">
        <v>3497</v>
      </c>
      <c r="S340" s="58">
        <f t="shared" ref="S340:AG340" si="798">S332-S337</f>
        <v>11666.58</v>
      </c>
      <c r="T340" s="58">
        <f t="shared" si="798"/>
        <v>16351.61</v>
      </c>
      <c r="U340" s="58">
        <f t="shared" si="798"/>
        <v>16351.61</v>
      </c>
      <c r="V340" s="58">
        <f t="shared" si="798"/>
        <v>0</v>
      </c>
      <c r="W340" s="58">
        <f t="shared" si="798"/>
        <v>0</v>
      </c>
      <c r="X340" s="58">
        <f t="shared" si="798"/>
        <v>0</v>
      </c>
      <c r="Y340" s="58">
        <f t="shared" si="798"/>
        <v>0</v>
      </c>
      <c r="Z340" s="58">
        <f t="shared" si="798"/>
        <v>0</v>
      </c>
      <c r="AA340" s="58">
        <f t="shared" si="798"/>
        <v>0</v>
      </c>
      <c r="AB340" s="58">
        <f t="shared" si="798"/>
        <v>0</v>
      </c>
      <c r="AC340" s="58">
        <f t="shared" si="798"/>
        <v>0</v>
      </c>
      <c r="AD340" s="58">
        <f t="shared" si="798"/>
        <v>0</v>
      </c>
      <c r="AE340" s="58">
        <f t="shared" si="798"/>
        <v>0</v>
      </c>
      <c r="AF340" s="58">
        <f t="shared" si="798"/>
        <v>0</v>
      </c>
      <c r="AG340" s="58">
        <f t="shared" si="798"/>
        <v>0</v>
      </c>
      <c r="AH340" s="82"/>
      <c r="AI340" s="82"/>
      <c r="AJ340" s="13"/>
      <c r="AK340" s="13"/>
      <c r="AL340" s="13"/>
      <c r="AM340" s="13"/>
      <c r="AN340" s="13"/>
      <c r="AO340" s="58">
        <f t="shared" ref="AO340:BC340" si="799">AO332-AO337</f>
        <v>0</v>
      </c>
      <c r="AP340" s="58">
        <f t="shared" si="799"/>
        <v>0</v>
      </c>
      <c r="AQ340" s="58">
        <f t="shared" si="799"/>
        <v>0</v>
      </c>
      <c r="AR340" s="58">
        <f t="shared" si="799"/>
        <v>0</v>
      </c>
      <c r="AS340" s="58">
        <f t="shared" si="799"/>
        <v>0</v>
      </c>
      <c r="AT340" s="58">
        <f t="shared" si="799"/>
        <v>0</v>
      </c>
      <c r="AU340" s="58">
        <f t="shared" si="799"/>
        <v>0</v>
      </c>
      <c r="AV340" s="58">
        <f t="shared" si="799"/>
        <v>0</v>
      </c>
      <c r="AW340" s="58">
        <f t="shared" si="799"/>
        <v>0</v>
      </c>
      <c r="AX340" s="58">
        <f t="shared" si="799"/>
        <v>0</v>
      </c>
      <c r="AY340" s="58" t="e">
        <f t="shared" si="799"/>
        <v>#VALUE!</v>
      </c>
      <c r="AZ340" s="58">
        <f t="shared" si="799"/>
        <v>0</v>
      </c>
      <c r="BA340" s="58">
        <f t="shared" si="799"/>
        <v>16351.61</v>
      </c>
      <c r="BB340" s="58">
        <f t="shared" si="799"/>
        <v>0</v>
      </c>
      <c r="BC340" s="58">
        <f t="shared" si="799"/>
        <v>0</v>
      </c>
      <c r="BD340" s="13"/>
    </row>
    <row r="341" ht="16.5" customHeight="1" spans="1:56">
      <c r="A341" s="14"/>
      <c r="B341" s="14"/>
      <c r="C341" s="14"/>
      <c r="D341" s="14"/>
      <c r="E341" s="14"/>
      <c r="G341" s="14"/>
      <c r="H341" s="14"/>
      <c r="I341" s="14"/>
      <c r="J341" s="14"/>
      <c r="K341" s="14"/>
      <c r="L341" s="14"/>
      <c r="M341" s="14"/>
      <c r="N341" s="14"/>
      <c r="O341" s="14"/>
      <c r="P341" s="355"/>
      <c r="Q341" s="14"/>
      <c r="R341" s="325" t="s">
        <v>3498</v>
      </c>
      <c r="S341" s="403">
        <f t="shared" ref="S341:AG341" si="800">S340/S332</f>
        <v>0.154582181135445</v>
      </c>
      <c r="T341" s="61">
        <f t="shared" si="800"/>
        <v>0.21829998834513</v>
      </c>
      <c r="U341" s="322">
        <f t="shared" si="800"/>
        <v>0.21829998834513</v>
      </c>
      <c r="V341" s="61" t="e">
        <f t="shared" si="800"/>
        <v>#DIV/0!</v>
      </c>
      <c r="W341" s="61" t="e">
        <f t="shared" si="800"/>
        <v>#DIV/0!</v>
      </c>
      <c r="X341" s="61" t="e">
        <f t="shared" si="800"/>
        <v>#DIV/0!</v>
      </c>
      <c r="Y341" s="61" t="e">
        <f t="shared" si="800"/>
        <v>#DIV/0!</v>
      </c>
      <c r="Z341" s="61" t="e">
        <f t="shared" si="800"/>
        <v>#DIV/0!</v>
      </c>
      <c r="AA341" s="61" t="e">
        <f t="shared" si="800"/>
        <v>#DIV/0!</v>
      </c>
      <c r="AB341" s="61" t="e">
        <f t="shared" si="800"/>
        <v>#DIV/0!</v>
      </c>
      <c r="AC341" s="61" t="e">
        <f t="shared" si="800"/>
        <v>#DIV/0!</v>
      </c>
      <c r="AD341" s="61" t="e">
        <f t="shared" si="800"/>
        <v>#DIV/0!</v>
      </c>
      <c r="AE341" s="61" t="e">
        <f t="shared" si="800"/>
        <v>#DIV/0!</v>
      </c>
      <c r="AF341" s="61" t="e">
        <f t="shared" si="800"/>
        <v>#DIV/0!</v>
      </c>
      <c r="AG341" s="61" t="e">
        <f t="shared" si="800"/>
        <v>#DIV/0!</v>
      </c>
      <c r="AH341" s="340">
        <f>T341-S341</f>
        <v>0.0637178072096845</v>
      </c>
      <c r="AI341" s="82" t="e">
        <f>AF341-S341</f>
        <v>#DIV/0!</v>
      </c>
      <c r="AJ341" s="14"/>
      <c r="AK341" s="14"/>
      <c r="AL341" s="14"/>
      <c r="AM341" s="14"/>
      <c r="AN341" s="14"/>
      <c r="AO341" s="61" t="e">
        <f t="shared" ref="AO341:AX341" si="801">AO340/AO332</f>
        <v>#DIV/0!</v>
      </c>
      <c r="AP341" s="61" t="e">
        <f t="shared" si="801"/>
        <v>#DIV/0!</v>
      </c>
      <c r="AQ341" s="61" t="e">
        <f t="shared" si="801"/>
        <v>#DIV/0!</v>
      </c>
      <c r="AR341" s="61" t="e">
        <f t="shared" si="801"/>
        <v>#DIV/0!</v>
      </c>
      <c r="AS341" s="61" t="e">
        <f t="shared" si="801"/>
        <v>#DIV/0!</v>
      </c>
      <c r="AT341" s="61" t="e">
        <f t="shared" si="801"/>
        <v>#DIV/0!</v>
      </c>
      <c r="AU341" s="61" t="e">
        <f t="shared" si="801"/>
        <v>#DIV/0!</v>
      </c>
      <c r="AV341" s="61" t="e">
        <f t="shared" si="801"/>
        <v>#DIV/0!</v>
      </c>
      <c r="AW341" s="61" t="e">
        <f t="shared" si="801"/>
        <v>#DIV/0!</v>
      </c>
      <c r="AX341" s="61" t="e">
        <f t="shared" si="801"/>
        <v>#DIV/0!</v>
      </c>
      <c r="AY341" s="61" t="e">
        <v>#DIV/0!</v>
      </c>
      <c r="AZ341" s="322" t="e">
        <f>AZ340/AZ332</f>
        <v>#DIV/0!</v>
      </c>
      <c r="BA341" s="322">
        <v>0.21829998834513</v>
      </c>
      <c r="BB341" s="403"/>
      <c r="BC341" s="414"/>
      <c r="BD341" s="14"/>
    </row>
    <row r="342" ht="20.7" customHeight="1" spans="1:56">
      <c r="A342" s="384" t="s">
        <v>159</v>
      </c>
      <c r="B342" s="385" t="s">
        <v>160</v>
      </c>
      <c r="C342" s="405">
        <v>44917</v>
      </c>
      <c r="D342" s="405">
        <v>46326</v>
      </c>
      <c r="E342" s="304"/>
      <c r="F342" s="233" t="s">
        <v>3561</v>
      </c>
      <c r="G342" s="28">
        <v>0.727</v>
      </c>
      <c r="H342" s="12"/>
      <c r="I342" s="12"/>
      <c r="J342" s="12"/>
      <c r="K342" s="12"/>
      <c r="L342" s="12"/>
      <c r="M342" s="12"/>
      <c r="N342" s="12"/>
      <c r="O342" s="12"/>
      <c r="P342" s="304"/>
      <c r="Q342" s="12"/>
      <c r="R342" s="212" t="s">
        <v>3486</v>
      </c>
      <c r="S342" s="58">
        <v>351886.79</v>
      </c>
      <c r="T342" s="58">
        <f t="shared" ref="T342:T346" si="802">SUM(AO342:BC342)</f>
        <v>349989.63</v>
      </c>
      <c r="U342" s="319">
        <f t="shared" ref="U342:U346" si="803">SUM(BA342:BC342)</f>
        <v>260990.67</v>
      </c>
      <c r="V342" s="58">
        <f t="shared" ref="V342:V346" si="804">SUM(AO342:AZ342)</f>
        <v>88998.96</v>
      </c>
      <c r="W342" s="58">
        <f t="shared" ref="W342:W346" si="805">SUM(AP342:AZ342)</f>
        <v>88998.96</v>
      </c>
      <c r="X342" s="58">
        <f t="shared" ref="X342:X346" si="806">SUM(AQ342:AZ342)</f>
        <v>88998.96</v>
      </c>
      <c r="Y342" s="58">
        <f t="shared" ref="Y342:Y346" si="807">SUM(AR342:AZ342)</f>
        <v>88998.96</v>
      </c>
      <c r="Z342" s="58">
        <f t="shared" ref="Z342:Z346" si="808">SUM(AS342:AZ342)</f>
        <v>88998.96</v>
      </c>
      <c r="AA342" s="58">
        <f t="shared" ref="AA342:AA346" si="809">SUM(AT342:AZ342)</f>
        <v>88998.96</v>
      </c>
      <c r="AB342" s="58">
        <f t="shared" ref="AB342:AB346" si="810">SUM(AU342:AZ342)</f>
        <v>88998.96</v>
      </c>
      <c r="AC342" s="58">
        <f t="shared" ref="AC342:AC346" si="811">SUM(AV342:AZ342)</f>
        <v>88998.96</v>
      </c>
      <c r="AD342" s="58">
        <f t="shared" ref="AD342:AD346" si="812">SUM(AW342:AZ342)</f>
        <v>88998.96</v>
      </c>
      <c r="AE342" s="58">
        <f t="shared" ref="AE342:AE346" si="813">SUM(AX342:AZ342)</f>
        <v>88998.96</v>
      </c>
      <c r="AF342" s="58">
        <f t="shared" ref="AF342:AF346" si="814">SUM(AY342:AZ342)</f>
        <v>66560.5</v>
      </c>
      <c r="AG342" s="58">
        <f t="shared" ref="AG342:AG346" si="815">SUM(AZ342:AZ342)</f>
        <v>0</v>
      </c>
      <c r="AH342" s="328"/>
      <c r="AI342" s="328"/>
      <c r="AJ342" s="360"/>
      <c r="AK342" s="265" t="s">
        <v>3599</v>
      </c>
      <c r="AL342" s="410"/>
      <c r="AM342" s="410"/>
      <c r="AN342" s="233"/>
      <c r="AO342" s="58"/>
      <c r="AP342" s="58"/>
      <c r="AQ342" s="58"/>
      <c r="AR342" s="58"/>
      <c r="AS342" s="58"/>
      <c r="AT342" s="58"/>
      <c r="AU342" s="58"/>
      <c r="AV342" s="58"/>
      <c r="AW342" s="58"/>
      <c r="AX342" s="58">
        <v>22438.46</v>
      </c>
      <c r="AY342" s="58">
        <v>66560.5</v>
      </c>
      <c r="AZ342" s="58">
        <v>0</v>
      </c>
      <c r="BA342" s="344">
        <v>32200.04</v>
      </c>
      <c r="BB342" s="319">
        <v>7052.56</v>
      </c>
      <c r="BC342" s="419">
        <v>221738.07</v>
      </c>
      <c r="BD342" s="259"/>
    </row>
    <row r="343" ht="16.5" customHeight="1" spans="1:56">
      <c r="A343" s="13"/>
      <c r="B343" s="13"/>
      <c r="C343" s="13"/>
      <c r="D343" s="13"/>
      <c r="E343" s="13"/>
      <c r="F343" s="13"/>
      <c r="G343" s="13"/>
      <c r="H343" s="13"/>
      <c r="I343" s="13"/>
      <c r="J343" s="13"/>
      <c r="K343" s="13"/>
      <c r="L343" s="13"/>
      <c r="M343" s="13"/>
      <c r="N343" s="13"/>
      <c r="O343" s="13"/>
      <c r="P343" s="13"/>
      <c r="Q343" s="13"/>
      <c r="R343" s="212" t="s">
        <v>3490</v>
      </c>
      <c r="S343" s="58">
        <v>235685.1</v>
      </c>
      <c r="T343" s="58">
        <f t="shared" si="802"/>
        <v>231683.38</v>
      </c>
      <c r="U343" s="319">
        <f t="shared" si="803"/>
        <v>197558.85</v>
      </c>
      <c r="V343" s="58">
        <f t="shared" si="804"/>
        <v>34124.53</v>
      </c>
      <c r="W343" s="58">
        <f t="shared" si="805"/>
        <v>34124.53</v>
      </c>
      <c r="X343" s="58">
        <f t="shared" si="806"/>
        <v>34124.53</v>
      </c>
      <c r="Y343" s="58">
        <f t="shared" si="807"/>
        <v>34124.53</v>
      </c>
      <c r="Z343" s="58">
        <f t="shared" si="808"/>
        <v>34124.53</v>
      </c>
      <c r="AA343" s="58">
        <f t="shared" si="809"/>
        <v>34124.53</v>
      </c>
      <c r="AB343" s="58">
        <f t="shared" si="810"/>
        <v>34124.53</v>
      </c>
      <c r="AC343" s="58">
        <f t="shared" si="811"/>
        <v>34124.53</v>
      </c>
      <c r="AD343" s="58">
        <f t="shared" si="812"/>
        <v>34124.53</v>
      </c>
      <c r="AE343" s="58">
        <f t="shared" si="813"/>
        <v>34124.53</v>
      </c>
      <c r="AF343" s="58">
        <f t="shared" si="814"/>
        <v>20617.93</v>
      </c>
      <c r="AG343" s="58">
        <f t="shared" si="815"/>
        <v>20617.93</v>
      </c>
      <c r="AH343" s="328"/>
      <c r="AI343" s="328"/>
      <c r="AJ343" s="13"/>
      <c r="AK343" s="13"/>
      <c r="AL343" s="13"/>
      <c r="AM343" s="13"/>
      <c r="AN343" s="13"/>
      <c r="AO343" s="58"/>
      <c r="AP343" s="58"/>
      <c r="AQ343" s="58"/>
      <c r="AR343" s="58"/>
      <c r="AS343" s="58"/>
      <c r="AT343" s="58"/>
      <c r="AU343" s="58"/>
      <c r="AV343" s="58"/>
      <c r="AW343" s="58"/>
      <c r="AX343" s="58">
        <v>13506.6</v>
      </c>
      <c r="AY343" s="58">
        <v>0</v>
      </c>
      <c r="AZ343" s="58">
        <v>20617.93</v>
      </c>
      <c r="BA343" s="344">
        <v>91878.26</v>
      </c>
      <c r="BB343" s="319">
        <v>2631.75</v>
      </c>
      <c r="BC343" s="419">
        <v>103048.84</v>
      </c>
      <c r="BD343" s="259"/>
    </row>
    <row r="344" ht="16.5" customHeight="1" spans="1:56">
      <c r="A344" s="13"/>
      <c r="B344" s="13"/>
      <c r="C344" s="13"/>
      <c r="D344" s="13"/>
      <c r="E344" s="13"/>
      <c r="F344" s="13"/>
      <c r="G344" s="13"/>
      <c r="H344" s="13"/>
      <c r="I344" s="13"/>
      <c r="J344" s="13"/>
      <c r="K344" s="13"/>
      <c r="L344" s="13"/>
      <c r="M344" s="13"/>
      <c r="N344" s="13"/>
      <c r="O344" s="13"/>
      <c r="P344" s="13"/>
      <c r="Q344" s="13"/>
      <c r="R344" s="213" t="s">
        <v>3491</v>
      </c>
      <c r="S344" s="58"/>
      <c r="T344" s="58">
        <f t="shared" si="802"/>
        <v>0</v>
      </c>
      <c r="U344" s="319">
        <f t="shared" si="803"/>
        <v>0</v>
      </c>
      <c r="V344" s="58"/>
      <c r="W344" s="58"/>
      <c r="X344" s="58"/>
      <c r="Y344" s="58"/>
      <c r="Z344" s="58"/>
      <c r="AA344" s="58"/>
      <c r="AB344" s="58"/>
      <c r="AC344" s="58"/>
      <c r="AD344" s="58"/>
      <c r="AE344" s="58"/>
      <c r="AF344" s="58"/>
      <c r="AG344" s="58"/>
      <c r="AH344" s="328"/>
      <c r="AI344" s="328"/>
      <c r="AJ344" s="13"/>
      <c r="AK344" s="13"/>
      <c r="AL344" s="13"/>
      <c r="AM344" s="13"/>
      <c r="AN344" s="13"/>
      <c r="AO344" s="58"/>
      <c r="AP344" s="58"/>
      <c r="AQ344" s="58"/>
      <c r="AR344" s="58"/>
      <c r="AS344" s="58"/>
      <c r="AT344" s="58"/>
      <c r="AU344" s="58"/>
      <c r="AV344" s="58"/>
      <c r="AW344" s="58"/>
      <c r="AX344" s="58">
        <v>0</v>
      </c>
      <c r="AY344" s="58">
        <v>0</v>
      </c>
      <c r="AZ344" s="58">
        <v>0</v>
      </c>
      <c r="BA344" s="344"/>
      <c r="BB344" s="319"/>
      <c r="BC344" s="419"/>
      <c r="BD344" s="259"/>
    </row>
    <row r="345" ht="16.5" customHeight="1" spans="1:56">
      <c r="A345" s="13"/>
      <c r="B345" s="13"/>
      <c r="C345" s="13"/>
      <c r="D345" s="13"/>
      <c r="E345" s="13"/>
      <c r="F345" s="13"/>
      <c r="G345" s="13"/>
      <c r="H345" s="13"/>
      <c r="I345" s="13"/>
      <c r="J345" s="13"/>
      <c r="K345" s="13"/>
      <c r="L345" s="13"/>
      <c r="M345" s="13"/>
      <c r="N345" s="13"/>
      <c r="O345" s="13"/>
      <c r="P345" s="13"/>
      <c r="Q345" s="13"/>
      <c r="R345" s="212" t="s">
        <v>3492</v>
      </c>
      <c r="S345" s="58">
        <v>24000</v>
      </c>
      <c r="T345" s="58">
        <f t="shared" si="802"/>
        <v>5630.59</v>
      </c>
      <c r="U345" s="319">
        <f t="shared" si="803"/>
        <v>5630.59</v>
      </c>
      <c r="V345" s="58">
        <f t="shared" si="804"/>
        <v>0</v>
      </c>
      <c r="W345" s="58">
        <f t="shared" si="805"/>
        <v>0</v>
      </c>
      <c r="X345" s="58">
        <f t="shared" si="806"/>
        <v>0</v>
      </c>
      <c r="Y345" s="58">
        <f t="shared" si="807"/>
        <v>0</v>
      </c>
      <c r="Z345" s="58">
        <f t="shared" si="808"/>
        <v>0</v>
      </c>
      <c r="AA345" s="58">
        <f t="shared" si="809"/>
        <v>0</v>
      </c>
      <c r="AB345" s="58">
        <f t="shared" si="810"/>
        <v>0</v>
      </c>
      <c r="AC345" s="58">
        <f t="shared" si="811"/>
        <v>0</v>
      </c>
      <c r="AD345" s="58">
        <f t="shared" si="812"/>
        <v>0</v>
      </c>
      <c r="AE345" s="58">
        <f t="shared" si="813"/>
        <v>0</v>
      </c>
      <c r="AF345" s="58">
        <f t="shared" si="814"/>
        <v>0</v>
      </c>
      <c r="AG345" s="58">
        <f t="shared" si="815"/>
        <v>0</v>
      </c>
      <c r="AH345" s="328"/>
      <c r="AI345" s="328"/>
      <c r="AJ345" s="13"/>
      <c r="AK345" s="13"/>
      <c r="AL345" s="13"/>
      <c r="AM345" s="13"/>
      <c r="AN345" s="13"/>
      <c r="AO345" s="58"/>
      <c r="AP345" s="58"/>
      <c r="AQ345" s="58"/>
      <c r="AR345" s="58"/>
      <c r="AS345" s="58"/>
      <c r="AT345" s="58"/>
      <c r="AU345" s="58"/>
      <c r="AV345" s="58"/>
      <c r="AW345" s="58"/>
      <c r="AX345" s="58">
        <v>0</v>
      </c>
      <c r="AY345" s="58">
        <v>0</v>
      </c>
      <c r="AZ345" s="58">
        <v>0</v>
      </c>
      <c r="BA345" s="344">
        <v>306.5</v>
      </c>
      <c r="BB345" s="319">
        <v>0</v>
      </c>
      <c r="BC345" s="419">
        <v>5324.09</v>
      </c>
      <c r="BD345" s="259"/>
    </row>
    <row r="346" ht="16.5" customHeight="1" spans="1:56">
      <c r="A346" s="13"/>
      <c r="B346" s="13"/>
      <c r="C346" s="13"/>
      <c r="D346" s="13"/>
      <c r="E346" s="13"/>
      <c r="F346" s="13"/>
      <c r="G346" s="13"/>
      <c r="H346" s="13"/>
      <c r="I346" s="13"/>
      <c r="J346" s="13"/>
      <c r="K346" s="13"/>
      <c r="L346" s="13"/>
      <c r="M346" s="13"/>
      <c r="N346" s="13"/>
      <c r="O346" s="13"/>
      <c r="P346" s="13"/>
      <c r="Q346" s="13"/>
      <c r="R346" s="212" t="s">
        <v>3493</v>
      </c>
      <c r="S346" s="58">
        <v>6700</v>
      </c>
      <c r="T346" s="58">
        <f t="shared" si="802"/>
        <v>56790.417</v>
      </c>
      <c r="U346" s="319">
        <f t="shared" si="803"/>
        <v>37071.277</v>
      </c>
      <c r="V346" s="58">
        <f t="shared" si="804"/>
        <v>19719.14</v>
      </c>
      <c r="W346" s="58">
        <f t="shared" si="805"/>
        <v>19719.14</v>
      </c>
      <c r="X346" s="58">
        <f t="shared" si="806"/>
        <v>19719.14</v>
      </c>
      <c r="Y346" s="58">
        <f t="shared" si="807"/>
        <v>19719.14</v>
      </c>
      <c r="Z346" s="58">
        <f t="shared" si="808"/>
        <v>19719.14</v>
      </c>
      <c r="AA346" s="58">
        <f t="shared" si="809"/>
        <v>19719.14</v>
      </c>
      <c r="AB346" s="58">
        <f t="shared" si="810"/>
        <v>19719.14</v>
      </c>
      <c r="AC346" s="58">
        <f t="shared" si="811"/>
        <v>19719.14</v>
      </c>
      <c r="AD346" s="58">
        <f t="shared" si="812"/>
        <v>19719.14</v>
      </c>
      <c r="AE346" s="58">
        <f t="shared" si="813"/>
        <v>19719.14</v>
      </c>
      <c r="AF346" s="58">
        <f t="shared" si="814"/>
        <v>-94.89</v>
      </c>
      <c r="AG346" s="58">
        <f t="shared" si="815"/>
        <v>-82.99</v>
      </c>
      <c r="AH346" s="328"/>
      <c r="AI346" s="328"/>
      <c r="AJ346" s="13"/>
      <c r="AK346" s="13"/>
      <c r="AL346" s="13"/>
      <c r="AM346" s="13"/>
      <c r="AN346" s="13"/>
      <c r="AO346" s="58"/>
      <c r="AP346" s="58"/>
      <c r="AQ346" s="58"/>
      <c r="AR346" s="58"/>
      <c r="AS346" s="58"/>
      <c r="AT346" s="58"/>
      <c r="AU346" s="58"/>
      <c r="AV346" s="58"/>
      <c r="AW346" s="58"/>
      <c r="AX346" s="58">
        <v>19814.03</v>
      </c>
      <c r="AY346" s="58">
        <v>-11.9</v>
      </c>
      <c r="AZ346" s="58">
        <v>-82.99</v>
      </c>
      <c r="BA346" s="344">
        <v>2153.11</v>
      </c>
      <c r="BB346" s="319">
        <v>336.02</v>
      </c>
      <c r="BC346" s="419">
        <v>34582.147</v>
      </c>
      <c r="BD346" s="259"/>
    </row>
    <row r="347" ht="16.5" customHeight="1" spans="1:56">
      <c r="A347" s="13"/>
      <c r="B347" s="13"/>
      <c r="C347" s="13"/>
      <c r="D347" s="13"/>
      <c r="E347" s="13"/>
      <c r="F347" s="13"/>
      <c r="G347" s="13"/>
      <c r="H347" s="13"/>
      <c r="I347" s="13"/>
      <c r="J347" s="13"/>
      <c r="K347" s="13"/>
      <c r="L347" s="13"/>
      <c r="M347" s="13"/>
      <c r="N347" s="13"/>
      <c r="O347" s="13"/>
      <c r="P347" s="13"/>
      <c r="Q347" s="13"/>
      <c r="R347" s="213" t="s">
        <v>3494</v>
      </c>
      <c r="S347" s="214">
        <f t="shared" ref="S347:AG347" si="816">SUM(S343:S346)</f>
        <v>266385.1</v>
      </c>
      <c r="T347" s="214">
        <f t="shared" si="816"/>
        <v>294104.387</v>
      </c>
      <c r="U347" s="320">
        <f t="shared" si="816"/>
        <v>240260.717</v>
      </c>
      <c r="V347" s="214">
        <f t="shared" si="816"/>
        <v>53843.67</v>
      </c>
      <c r="W347" s="214">
        <f t="shared" si="816"/>
        <v>53843.67</v>
      </c>
      <c r="X347" s="214">
        <f t="shared" si="816"/>
        <v>53843.67</v>
      </c>
      <c r="Y347" s="214">
        <f t="shared" si="816"/>
        <v>53843.67</v>
      </c>
      <c r="Z347" s="214">
        <f t="shared" si="816"/>
        <v>53843.67</v>
      </c>
      <c r="AA347" s="214">
        <f t="shared" si="816"/>
        <v>53843.67</v>
      </c>
      <c r="AB347" s="214">
        <f t="shared" si="816"/>
        <v>53843.67</v>
      </c>
      <c r="AC347" s="214">
        <f t="shared" si="816"/>
        <v>53843.67</v>
      </c>
      <c r="AD347" s="214">
        <f t="shared" si="816"/>
        <v>53843.67</v>
      </c>
      <c r="AE347" s="214">
        <f t="shared" si="816"/>
        <v>53843.67</v>
      </c>
      <c r="AF347" s="214">
        <f t="shared" si="816"/>
        <v>20523.04</v>
      </c>
      <c r="AG347" s="214">
        <f t="shared" si="816"/>
        <v>20534.94</v>
      </c>
      <c r="AH347" s="214">
        <f>SUM(AH343:AH346)</f>
        <v>0</v>
      </c>
      <c r="AI347" s="214">
        <f>SUM(AI343:AI346)</f>
        <v>0</v>
      </c>
      <c r="AJ347" s="13"/>
      <c r="AK347" s="13"/>
      <c r="AL347" s="13"/>
      <c r="AM347" s="13"/>
      <c r="AN347" s="13"/>
      <c r="AO347" s="214">
        <f t="shared" ref="AO347:AX347" si="817">SUM(AO343:AO346)</f>
        <v>0</v>
      </c>
      <c r="AP347" s="214">
        <f t="shared" si="817"/>
        <v>0</v>
      </c>
      <c r="AQ347" s="214">
        <f t="shared" si="817"/>
        <v>0</v>
      </c>
      <c r="AR347" s="214">
        <f t="shared" si="817"/>
        <v>0</v>
      </c>
      <c r="AS347" s="214">
        <f t="shared" si="817"/>
        <v>0</v>
      </c>
      <c r="AT347" s="214">
        <f t="shared" si="817"/>
        <v>0</v>
      </c>
      <c r="AU347" s="214">
        <f t="shared" si="817"/>
        <v>0</v>
      </c>
      <c r="AV347" s="214">
        <f t="shared" si="817"/>
        <v>0</v>
      </c>
      <c r="AW347" s="214">
        <f t="shared" si="817"/>
        <v>0</v>
      </c>
      <c r="AX347" s="214">
        <f t="shared" si="817"/>
        <v>33320.63</v>
      </c>
      <c r="AY347" s="214">
        <v>-11.9</v>
      </c>
      <c r="AZ347" s="214">
        <f>SUM(AZ343:AZ346)</f>
        <v>20534.94</v>
      </c>
      <c r="BA347" s="320">
        <f>SUM(BA343:BA346)</f>
        <v>94337.87</v>
      </c>
      <c r="BB347" s="320">
        <f>SUM(BB343:BB346)</f>
        <v>2967.77</v>
      </c>
      <c r="BC347" s="320">
        <f>SUM(BC343:BC346)</f>
        <v>142955.077</v>
      </c>
      <c r="BD347" s="345"/>
    </row>
    <row r="348" ht="16.5" customHeight="1" spans="1:56">
      <c r="A348" s="13"/>
      <c r="B348" s="13"/>
      <c r="C348" s="13"/>
      <c r="D348" s="13"/>
      <c r="E348" s="13"/>
      <c r="F348" s="13"/>
      <c r="G348" s="13"/>
      <c r="H348" s="13"/>
      <c r="I348" s="13"/>
      <c r="J348" s="13"/>
      <c r="K348" s="13"/>
      <c r="L348" s="13"/>
      <c r="M348" s="13"/>
      <c r="N348" s="13"/>
      <c r="O348" s="13"/>
      <c r="P348" s="13"/>
      <c r="Q348" s="13"/>
      <c r="R348" s="212" t="s">
        <v>3495</v>
      </c>
      <c r="S348" s="58">
        <f t="shared" ref="S348:AG348" si="818">S342-S343</f>
        <v>116201.69</v>
      </c>
      <c r="T348" s="58">
        <f t="shared" si="818"/>
        <v>118306.25</v>
      </c>
      <c r="U348" s="319">
        <f t="shared" si="818"/>
        <v>63431.82</v>
      </c>
      <c r="V348" s="58">
        <f t="shared" si="818"/>
        <v>54874.43</v>
      </c>
      <c r="W348" s="58">
        <f t="shared" si="818"/>
        <v>54874.43</v>
      </c>
      <c r="X348" s="58">
        <f t="shared" si="818"/>
        <v>54874.43</v>
      </c>
      <c r="Y348" s="58">
        <f t="shared" si="818"/>
        <v>54874.43</v>
      </c>
      <c r="Z348" s="58">
        <f t="shared" si="818"/>
        <v>54874.43</v>
      </c>
      <c r="AA348" s="58">
        <f t="shared" si="818"/>
        <v>54874.43</v>
      </c>
      <c r="AB348" s="58">
        <f t="shared" si="818"/>
        <v>54874.43</v>
      </c>
      <c r="AC348" s="58">
        <f t="shared" si="818"/>
        <v>54874.43</v>
      </c>
      <c r="AD348" s="58">
        <f t="shared" si="818"/>
        <v>54874.43</v>
      </c>
      <c r="AE348" s="58">
        <f t="shared" si="818"/>
        <v>54874.43</v>
      </c>
      <c r="AF348" s="58">
        <f t="shared" si="818"/>
        <v>45942.57</v>
      </c>
      <c r="AG348" s="58">
        <f t="shared" si="818"/>
        <v>-20617.93</v>
      </c>
      <c r="AH348" s="332"/>
      <c r="AI348" s="332"/>
      <c r="AJ348" s="13"/>
      <c r="AK348" s="13"/>
      <c r="AL348" s="13"/>
      <c r="AM348" s="13"/>
      <c r="AN348" s="13"/>
      <c r="AO348" s="58">
        <f t="shared" ref="AO348:AZ348" si="819">AO342-AO343</f>
        <v>0</v>
      </c>
      <c r="AP348" s="58">
        <f t="shared" si="819"/>
        <v>0</v>
      </c>
      <c r="AQ348" s="58">
        <f t="shared" si="819"/>
        <v>0</v>
      </c>
      <c r="AR348" s="58">
        <f t="shared" si="819"/>
        <v>0</v>
      </c>
      <c r="AS348" s="58">
        <f t="shared" si="819"/>
        <v>0</v>
      </c>
      <c r="AT348" s="58">
        <f t="shared" si="819"/>
        <v>0</v>
      </c>
      <c r="AU348" s="58">
        <f t="shared" si="819"/>
        <v>0</v>
      </c>
      <c r="AV348" s="58">
        <f t="shared" si="819"/>
        <v>0</v>
      </c>
      <c r="AW348" s="58">
        <f t="shared" si="819"/>
        <v>0</v>
      </c>
      <c r="AX348" s="58">
        <f t="shared" si="819"/>
        <v>8931.86</v>
      </c>
      <c r="AY348" s="58">
        <f t="shared" si="819"/>
        <v>66560.5</v>
      </c>
      <c r="AZ348" s="58">
        <f t="shared" si="819"/>
        <v>-20617.93</v>
      </c>
      <c r="BA348" s="344">
        <v>-59678.22</v>
      </c>
      <c r="BB348" s="320">
        <v>4420.81</v>
      </c>
      <c r="BC348" s="420">
        <f>BC342-BC343</f>
        <v>118689.23</v>
      </c>
      <c r="BD348" s="259"/>
    </row>
    <row r="349" ht="16.5" customHeight="1" spans="1:56">
      <c r="A349" s="13"/>
      <c r="B349" s="13"/>
      <c r="C349" s="13"/>
      <c r="D349" s="13"/>
      <c r="E349" s="13"/>
      <c r="F349" s="13"/>
      <c r="G349" s="13"/>
      <c r="H349" s="13"/>
      <c r="I349" s="13"/>
      <c r="J349" s="13"/>
      <c r="K349" s="13"/>
      <c r="L349" s="13"/>
      <c r="M349" s="13"/>
      <c r="N349" s="13"/>
      <c r="O349" s="13"/>
      <c r="P349" s="13"/>
      <c r="Q349" s="13"/>
      <c r="R349" s="215" t="s">
        <v>3496</v>
      </c>
      <c r="S349" s="61">
        <f t="shared" ref="S349:AG349" si="820">S348/S342</f>
        <v>0.33022464412489</v>
      </c>
      <c r="T349" s="61">
        <f t="shared" si="820"/>
        <v>0.33802787242582</v>
      </c>
      <c r="U349" s="322">
        <f t="shared" si="820"/>
        <v>0.243042481173752</v>
      </c>
      <c r="V349" s="61">
        <f t="shared" si="820"/>
        <v>0.616573834121208</v>
      </c>
      <c r="W349" s="61">
        <f t="shared" si="820"/>
        <v>0.616573834121208</v>
      </c>
      <c r="X349" s="61">
        <f t="shared" si="820"/>
        <v>0.616573834121208</v>
      </c>
      <c r="Y349" s="61">
        <f t="shared" si="820"/>
        <v>0.616573834121208</v>
      </c>
      <c r="Z349" s="61">
        <f t="shared" si="820"/>
        <v>0.616573834121208</v>
      </c>
      <c r="AA349" s="61">
        <f t="shared" si="820"/>
        <v>0.616573834121208</v>
      </c>
      <c r="AB349" s="61">
        <f t="shared" si="820"/>
        <v>0.616573834121208</v>
      </c>
      <c r="AC349" s="61">
        <f t="shared" si="820"/>
        <v>0.616573834121208</v>
      </c>
      <c r="AD349" s="61">
        <f t="shared" si="820"/>
        <v>0.616573834121208</v>
      </c>
      <c r="AE349" s="61">
        <f t="shared" si="820"/>
        <v>0.616573834121208</v>
      </c>
      <c r="AF349" s="61">
        <f t="shared" si="820"/>
        <v>0.690237753622644</v>
      </c>
      <c r="AG349" s="61" t="e">
        <f t="shared" si="820"/>
        <v>#DIV/0!</v>
      </c>
      <c r="AH349" s="82">
        <f>T349-S349</f>
        <v>0.00780322830092994</v>
      </c>
      <c r="AI349" s="82">
        <f>AF349-S349</f>
        <v>0.360013109497754</v>
      </c>
      <c r="AJ349" s="13"/>
      <c r="AK349" s="13"/>
      <c r="AL349" s="13"/>
      <c r="AM349" s="13"/>
      <c r="AN349" s="13"/>
      <c r="AO349" s="61" t="e">
        <f t="shared" ref="AO349:AZ349" si="821">AO348/AO342</f>
        <v>#DIV/0!</v>
      </c>
      <c r="AP349" s="61" t="e">
        <f t="shared" si="821"/>
        <v>#DIV/0!</v>
      </c>
      <c r="AQ349" s="61" t="e">
        <f t="shared" si="821"/>
        <v>#DIV/0!</v>
      </c>
      <c r="AR349" s="61" t="e">
        <f t="shared" si="821"/>
        <v>#DIV/0!</v>
      </c>
      <c r="AS349" s="61" t="e">
        <f t="shared" si="821"/>
        <v>#DIV/0!</v>
      </c>
      <c r="AT349" s="61" t="e">
        <f t="shared" si="821"/>
        <v>#DIV/0!</v>
      </c>
      <c r="AU349" s="61" t="e">
        <f t="shared" si="821"/>
        <v>#DIV/0!</v>
      </c>
      <c r="AV349" s="61" t="e">
        <f t="shared" si="821"/>
        <v>#DIV/0!</v>
      </c>
      <c r="AW349" s="61" t="e">
        <f t="shared" si="821"/>
        <v>#DIV/0!</v>
      </c>
      <c r="AX349" s="61">
        <f t="shared" si="821"/>
        <v>0.398060294690456</v>
      </c>
      <c r="AY349" s="61">
        <f t="shared" si="821"/>
        <v>1</v>
      </c>
      <c r="AZ349" s="61" t="e">
        <f t="shared" si="821"/>
        <v>#DIV/0!</v>
      </c>
      <c r="BA349" s="322">
        <v>-1.85335856725644</v>
      </c>
      <c r="BB349" s="403">
        <v>0.626837630590878</v>
      </c>
      <c r="BC349" s="421">
        <f>BC348/BC342</f>
        <v>0.535267714741091</v>
      </c>
      <c r="BD349" s="259"/>
    </row>
    <row r="350" ht="16.5" customHeight="1" spans="1:56">
      <c r="A350" s="13"/>
      <c r="B350" s="13"/>
      <c r="C350" s="13"/>
      <c r="D350" s="13"/>
      <c r="E350" s="13"/>
      <c r="F350" s="13"/>
      <c r="G350" s="13"/>
      <c r="H350" s="13"/>
      <c r="I350" s="13"/>
      <c r="J350" s="13"/>
      <c r="K350" s="13"/>
      <c r="L350" s="13"/>
      <c r="M350" s="13"/>
      <c r="N350" s="13"/>
      <c r="O350" s="13"/>
      <c r="P350" s="13"/>
      <c r="Q350" s="13"/>
      <c r="R350" s="212" t="s">
        <v>3497</v>
      </c>
      <c r="S350" s="58">
        <f t="shared" ref="S350:AG350" si="822">S342-S347</f>
        <v>85501.69</v>
      </c>
      <c r="T350" s="58">
        <f t="shared" si="822"/>
        <v>55885.243</v>
      </c>
      <c r="U350" s="58">
        <f t="shared" si="822"/>
        <v>20729.953</v>
      </c>
      <c r="V350" s="58">
        <f t="shared" si="822"/>
        <v>35155.29</v>
      </c>
      <c r="W350" s="58">
        <f t="shared" si="822"/>
        <v>35155.29</v>
      </c>
      <c r="X350" s="58">
        <f t="shared" si="822"/>
        <v>35155.29</v>
      </c>
      <c r="Y350" s="58">
        <f t="shared" si="822"/>
        <v>35155.29</v>
      </c>
      <c r="Z350" s="58">
        <f t="shared" si="822"/>
        <v>35155.29</v>
      </c>
      <c r="AA350" s="58">
        <f t="shared" si="822"/>
        <v>35155.29</v>
      </c>
      <c r="AB350" s="58">
        <f t="shared" si="822"/>
        <v>35155.29</v>
      </c>
      <c r="AC350" s="58">
        <f t="shared" si="822"/>
        <v>35155.29</v>
      </c>
      <c r="AD350" s="58">
        <f t="shared" si="822"/>
        <v>35155.29</v>
      </c>
      <c r="AE350" s="58">
        <f t="shared" si="822"/>
        <v>35155.29</v>
      </c>
      <c r="AF350" s="58">
        <f t="shared" si="822"/>
        <v>46037.46</v>
      </c>
      <c r="AG350" s="58">
        <f t="shared" si="822"/>
        <v>-20534.94</v>
      </c>
      <c r="AH350" s="82"/>
      <c r="AI350" s="82"/>
      <c r="AJ350" s="13"/>
      <c r="AK350" s="13"/>
      <c r="AL350" s="13"/>
      <c r="AM350" s="13"/>
      <c r="AN350" s="13"/>
      <c r="AO350" s="58">
        <f t="shared" ref="AO350:BC350" si="823">AO342-AO347</f>
        <v>0</v>
      </c>
      <c r="AP350" s="58">
        <f t="shared" si="823"/>
        <v>0</v>
      </c>
      <c r="AQ350" s="58">
        <f t="shared" si="823"/>
        <v>0</v>
      </c>
      <c r="AR350" s="58">
        <f t="shared" si="823"/>
        <v>0</v>
      </c>
      <c r="AS350" s="58">
        <f t="shared" si="823"/>
        <v>0</v>
      </c>
      <c r="AT350" s="58">
        <f t="shared" si="823"/>
        <v>0</v>
      </c>
      <c r="AU350" s="58">
        <f t="shared" si="823"/>
        <v>0</v>
      </c>
      <c r="AV350" s="58">
        <f t="shared" si="823"/>
        <v>0</v>
      </c>
      <c r="AW350" s="58">
        <f t="shared" si="823"/>
        <v>0</v>
      </c>
      <c r="AX350" s="58">
        <f t="shared" si="823"/>
        <v>-10882.17</v>
      </c>
      <c r="AY350" s="58">
        <f t="shared" si="823"/>
        <v>66572.4</v>
      </c>
      <c r="AZ350" s="58">
        <f t="shared" si="823"/>
        <v>-20534.94</v>
      </c>
      <c r="BA350" s="58">
        <f t="shared" si="823"/>
        <v>-62137.83</v>
      </c>
      <c r="BB350" s="58">
        <f t="shared" si="823"/>
        <v>4084.79</v>
      </c>
      <c r="BC350" s="58">
        <f t="shared" si="823"/>
        <v>78782.993</v>
      </c>
      <c r="BD350" s="259"/>
    </row>
    <row r="351" ht="16.5" customHeight="1" spans="1:56">
      <c r="A351" s="14"/>
      <c r="B351" s="14"/>
      <c r="C351" s="14"/>
      <c r="D351" s="14"/>
      <c r="E351" s="14"/>
      <c r="F351" s="14"/>
      <c r="G351" s="14"/>
      <c r="H351" s="14"/>
      <c r="I351" s="14"/>
      <c r="J351" s="14"/>
      <c r="K351" s="14"/>
      <c r="L351" s="14"/>
      <c r="M351" s="14"/>
      <c r="N351" s="14"/>
      <c r="O351" s="14"/>
      <c r="P351" s="14"/>
      <c r="Q351" s="14"/>
      <c r="R351" s="215" t="s">
        <v>3498</v>
      </c>
      <c r="S351" s="61">
        <f t="shared" ref="S351:AG351" si="824">S350/S342</f>
        <v>0.242980675688337</v>
      </c>
      <c r="T351" s="61">
        <f t="shared" si="824"/>
        <v>0.159676853854213</v>
      </c>
      <c r="U351" s="322">
        <f t="shared" si="824"/>
        <v>0.0794279466005434</v>
      </c>
      <c r="V351" s="61">
        <f t="shared" si="824"/>
        <v>0.395007874249317</v>
      </c>
      <c r="W351" s="61">
        <f t="shared" si="824"/>
        <v>0.395007874249317</v>
      </c>
      <c r="X351" s="61">
        <f t="shared" si="824"/>
        <v>0.395007874249317</v>
      </c>
      <c r="Y351" s="61">
        <f t="shared" si="824"/>
        <v>0.395007874249317</v>
      </c>
      <c r="Z351" s="61">
        <f t="shared" si="824"/>
        <v>0.395007874249317</v>
      </c>
      <c r="AA351" s="61">
        <f t="shared" si="824"/>
        <v>0.395007874249317</v>
      </c>
      <c r="AB351" s="61">
        <f t="shared" si="824"/>
        <v>0.395007874249317</v>
      </c>
      <c r="AC351" s="61">
        <f t="shared" si="824"/>
        <v>0.395007874249317</v>
      </c>
      <c r="AD351" s="61">
        <f t="shared" si="824"/>
        <v>0.395007874249317</v>
      </c>
      <c r="AE351" s="61">
        <f t="shared" si="824"/>
        <v>0.395007874249317</v>
      </c>
      <c r="AF351" s="61">
        <f t="shared" si="824"/>
        <v>0.691663373922972</v>
      </c>
      <c r="AG351" s="61" t="e">
        <f t="shared" si="824"/>
        <v>#DIV/0!</v>
      </c>
      <c r="AH351" s="82">
        <f>T351-S351</f>
        <v>-0.0833038218341244</v>
      </c>
      <c r="AI351" s="82">
        <f>AF351-S351</f>
        <v>0.448682698234635</v>
      </c>
      <c r="AJ351" s="14"/>
      <c r="AK351" s="14"/>
      <c r="AL351" s="14"/>
      <c r="AM351" s="14"/>
      <c r="AN351" s="14"/>
      <c r="AO351" s="61" t="e">
        <f t="shared" ref="AO351:AZ351" si="825">AO350/AO342</f>
        <v>#DIV/0!</v>
      </c>
      <c r="AP351" s="61" t="e">
        <f t="shared" si="825"/>
        <v>#DIV/0!</v>
      </c>
      <c r="AQ351" s="61" t="e">
        <f t="shared" si="825"/>
        <v>#DIV/0!</v>
      </c>
      <c r="AR351" s="61" t="e">
        <f t="shared" si="825"/>
        <v>#DIV/0!</v>
      </c>
      <c r="AS351" s="61" t="e">
        <f t="shared" si="825"/>
        <v>#DIV/0!</v>
      </c>
      <c r="AT351" s="61" t="e">
        <f t="shared" si="825"/>
        <v>#DIV/0!</v>
      </c>
      <c r="AU351" s="61" t="e">
        <f t="shared" si="825"/>
        <v>#DIV/0!</v>
      </c>
      <c r="AV351" s="61" t="e">
        <f t="shared" si="825"/>
        <v>#DIV/0!</v>
      </c>
      <c r="AW351" s="61" t="e">
        <f t="shared" si="825"/>
        <v>#DIV/0!</v>
      </c>
      <c r="AX351" s="61">
        <f t="shared" si="825"/>
        <v>-0.484978470001952</v>
      </c>
      <c r="AY351" s="61">
        <f t="shared" si="825"/>
        <v>1.00017878471466</v>
      </c>
      <c r="AZ351" s="61" t="e">
        <f t="shared" si="825"/>
        <v>#DIV/0!</v>
      </c>
      <c r="BA351" s="322">
        <v>-1.92974387609456</v>
      </c>
      <c r="BB351" s="403">
        <v>0.579192520162891</v>
      </c>
      <c r="BC351" s="421">
        <f>BC350/BC342</f>
        <v>0.355297549942597</v>
      </c>
      <c r="BD351" s="259"/>
    </row>
    <row r="352" spans="1:56">
      <c r="A352" s="384" t="s">
        <v>154</v>
      </c>
      <c r="B352" s="385" t="s">
        <v>155</v>
      </c>
      <c r="C352" s="405">
        <v>44903</v>
      </c>
      <c r="D352" s="405">
        <v>46034</v>
      </c>
      <c r="E352" s="304"/>
      <c r="F352" s="233" t="s">
        <v>3561</v>
      </c>
      <c r="G352" s="28"/>
      <c r="H352" s="12"/>
      <c r="I352" s="12"/>
      <c r="J352" s="12"/>
      <c r="K352" s="12"/>
      <c r="L352" s="12"/>
      <c r="M352" s="12"/>
      <c r="N352" s="12"/>
      <c r="O352" s="12"/>
      <c r="P352" s="304"/>
      <c r="Q352" s="12"/>
      <c r="R352" s="212" t="s">
        <v>3486</v>
      </c>
      <c r="S352" s="58">
        <v>330094.34</v>
      </c>
      <c r="T352" s="58">
        <f t="shared" ref="T352:T356" si="826">SUM(AO352:BC352)</f>
        <v>327730.977</v>
      </c>
      <c r="U352" s="319">
        <f t="shared" ref="U352:U356" si="827">SUM(BA352:BC352)</f>
        <v>327731.107</v>
      </c>
      <c r="V352" s="58">
        <f t="shared" ref="V352:V356" si="828">SUM(AO352:AZ352)</f>
        <v>-0.13</v>
      </c>
      <c r="W352" s="58">
        <f t="shared" ref="W352:W356" si="829">SUM(AP352:AZ352)</f>
        <v>-0.13</v>
      </c>
      <c r="X352" s="58">
        <f t="shared" ref="X352:X356" si="830">SUM(AQ352:AZ352)</f>
        <v>-0.13</v>
      </c>
      <c r="Y352" s="58">
        <f t="shared" ref="Y352:Y356" si="831">SUM(AR352:AZ352)</f>
        <v>-0.13</v>
      </c>
      <c r="Z352" s="58">
        <f t="shared" ref="Z352:Z356" si="832">SUM(AS352:AZ352)</f>
        <v>-0.13</v>
      </c>
      <c r="AA352" s="58">
        <f t="shared" ref="AA352:AA356" si="833">SUM(AT352:AZ352)</f>
        <v>-0.13</v>
      </c>
      <c r="AB352" s="58">
        <f t="shared" ref="AB352:AB356" si="834">SUM(AU352:AZ352)</f>
        <v>-0.13</v>
      </c>
      <c r="AC352" s="58">
        <f t="shared" ref="AC352:AC356" si="835">SUM(AV352:AZ352)</f>
        <v>-0.13</v>
      </c>
      <c r="AD352" s="58">
        <f t="shared" ref="AD352:AD356" si="836">SUM(AW352:AZ352)</f>
        <v>-0.13</v>
      </c>
      <c r="AE352" s="58">
        <f t="shared" ref="AE352:AE356" si="837">SUM(AX352:AZ352)</f>
        <v>-0.13</v>
      </c>
      <c r="AF352" s="58">
        <f t="shared" ref="AF352:AF356" si="838">SUM(AY352:AZ352)</f>
        <v>-0.13</v>
      </c>
      <c r="AG352" s="58">
        <f t="shared" ref="AG352:AG356" si="839">SUM(AZ352:AZ352)</f>
        <v>-0.13</v>
      </c>
      <c r="AH352" s="328"/>
      <c r="AI352" s="328"/>
      <c r="AJ352" s="93"/>
      <c r="AK352" s="265" t="s">
        <v>3600</v>
      </c>
      <c r="AL352" s="410"/>
      <c r="AM352" s="410"/>
      <c r="AN352" s="233"/>
      <c r="AO352" s="58"/>
      <c r="AP352" s="58"/>
      <c r="AQ352" s="58"/>
      <c r="AR352" s="58"/>
      <c r="AS352" s="58"/>
      <c r="AT352" s="58"/>
      <c r="AU352" s="58"/>
      <c r="AV352" s="58"/>
      <c r="AW352" s="58"/>
      <c r="AX352" s="58"/>
      <c r="AY352" s="58">
        <v>0</v>
      </c>
      <c r="AZ352" s="58">
        <v>-0.13</v>
      </c>
      <c r="BA352" s="413">
        <v>75260.57</v>
      </c>
      <c r="BB352" s="319">
        <v>47129.727</v>
      </c>
      <c r="BC352" s="419">
        <v>205340.81</v>
      </c>
      <c r="BD352" s="343" t="s">
        <v>3568</v>
      </c>
    </row>
    <row r="353" spans="1:56">
      <c r="A353" s="13"/>
      <c r="B353" s="13"/>
      <c r="C353" s="13"/>
      <c r="D353" s="13"/>
      <c r="E353" s="13"/>
      <c r="F353" s="13"/>
      <c r="G353" s="13"/>
      <c r="H353" s="13"/>
      <c r="I353" s="13"/>
      <c r="J353" s="13"/>
      <c r="K353" s="13"/>
      <c r="L353" s="13"/>
      <c r="M353" s="13"/>
      <c r="N353" s="13"/>
      <c r="O353" s="13"/>
      <c r="P353" s="13"/>
      <c r="Q353" s="13"/>
      <c r="R353" s="212" t="s">
        <v>3490</v>
      </c>
      <c r="S353" s="58">
        <v>207999</v>
      </c>
      <c r="T353" s="58">
        <f t="shared" si="826"/>
        <v>131380.55</v>
      </c>
      <c r="U353" s="319">
        <f t="shared" si="827"/>
        <v>131380.55</v>
      </c>
      <c r="V353" s="58">
        <f t="shared" si="828"/>
        <v>0</v>
      </c>
      <c r="W353" s="58">
        <f t="shared" si="829"/>
        <v>0</v>
      </c>
      <c r="X353" s="58">
        <f t="shared" si="830"/>
        <v>0</v>
      </c>
      <c r="Y353" s="58">
        <f t="shared" si="831"/>
        <v>0</v>
      </c>
      <c r="Z353" s="58">
        <f t="shared" si="832"/>
        <v>0</v>
      </c>
      <c r="AA353" s="58">
        <f t="shared" si="833"/>
        <v>0</v>
      </c>
      <c r="AB353" s="58">
        <f t="shared" si="834"/>
        <v>0</v>
      </c>
      <c r="AC353" s="58">
        <f t="shared" si="835"/>
        <v>0</v>
      </c>
      <c r="AD353" s="58">
        <f t="shared" si="836"/>
        <v>0</v>
      </c>
      <c r="AE353" s="58">
        <f t="shared" si="837"/>
        <v>0</v>
      </c>
      <c r="AF353" s="58">
        <f t="shared" si="838"/>
        <v>0</v>
      </c>
      <c r="AG353" s="58">
        <f t="shared" si="839"/>
        <v>0</v>
      </c>
      <c r="AH353" s="328"/>
      <c r="AI353" s="328"/>
      <c r="AJ353" s="13"/>
      <c r="AK353" s="13"/>
      <c r="AL353" s="13"/>
      <c r="AM353" s="13"/>
      <c r="AN353" s="13"/>
      <c r="AO353" s="58"/>
      <c r="AP353" s="58"/>
      <c r="AQ353" s="58"/>
      <c r="AR353" s="58"/>
      <c r="AS353" s="58"/>
      <c r="AT353" s="58"/>
      <c r="AU353" s="58"/>
      <c r="AV353" s="58"/>
      <c r="AW353" s="58"/>
      <c r="AX353" s="58"/>
      <c r="AY353" s="58">
        <v>0</v>
      </c>
      <c r="AZ353" s="58">
        <v>0</v>
      </c>
      <c r="BA353" s="413">
        <v>48896.58</v>
      </c>
      <c r="BB353" s="319">
        <v>1331.99</v>
      </c>
      <c r="BC353" s="419">
        <v>81151.98</v>
      </c>
      <c r="BD353" s="13"/>
    </row>
    <row r="354" spans="1:56">
      <c r="A354" s="13"/>
      <c r="B354" s="13"/>
      <c r="C354" s="13"/>
      <c r="D354" s="13"/>
      <c r="E354" s="13"/>
      <c r="F354" s="13"/>
      <c r="G354" s="13"/>
      <c r="H354" s="13"/>
      <c r="I354" s="13"/>
      <c r="J354" s="13"/>
      <c r="K354" s="13"/>
      <c r="L354" s="13"/>
      <c r="M354" s="13"/>
      <c r="N354" s="13"/>
      <c r="O354" s="13"/>
      <c r="P354" s="13"/>
      <c r="Q354" s="13"/>
      <c r="R354" s="213" t="s">
        <v>3491</v>
      </c>
      <c r="S354" s="58"/>
      <c r="T354" s="58">
        <f t="shared" si="826"/>
        <v>0</v>
      </c>
      <c r="U354" s="319">
        <f t="shared" si="827"/>
        <v>0</v>
      </c>
      <c r="V354" s="58"/>
      <c r="W354" s="58"/>
      <c r="X354" s="58"/>
      <c r="Y354" s="58"/>
      <c r="Z354" s="58"/>
      <c r="AA354" s="58"/>
      <c r="AB354" s="58"/>
      <c r="AC354" s="58"/>
      <c r="AD354" s="58"/>
      <c r="AE354" s="58"/>
      <c r="AF354" s="58"/>
      <c r="AG354" s="58"/>
      <c r="AH354" s="328"/>
      <c r="AI354" s="328"/>
      <c r="AJ354" s="13"/>
      <c r="AK354" s="13"/>
      <c r="AL354" s="13"/>
      <c r="AM354" s="13"/>
      <c r="AN354" s="13"/>
      <c r="AO354" s="58"/>
      <c r="AP354" s="58"/>
      <c r="AQ354" s="58"/>
      <c r="AR354" s="58"/>
      <c r="AS354" s="58"/>
      <c r="AT354" s="58"/>
      <c r="AU354" s="58"/>
      <c r="AV354" s="58"/>
      <c r="AW354" s="58"/>
      <c r="AX354" s="58">
        <v>0</v>
      </c>
      <c r="AY354" s="58"/>
      <c r="AZ354" s="58"/>
      <c r="BA354" s="413"/>
      <c r="BB354" s="319"/>
      <c r="BC354" s="419"/>
      <c r="BD354" s="13"/>
    </row>
    <row r="355" spans="1:56">
      <c r="A355" s="13"/>
      <c r="B355" s="13"/>
      <c r="C355" s="13"/>
      <c r="D355" s="13"/>
      <c r="E355" s="13"/>
      <c r="F355" s="13"/>
      <c r="G355" s="13"/>
      <c r="H355" s="13"/>
      <c r="I355" s="13"/>
      <c r="J355" s="13"/>
      <c r="K355" s="13"/>
      <c r="L355" s="13"/>
      <c r="M355" s="13"/>
      <c r="N355" s="13"/>
      <c r="O355" s="13"/>
      <c r="P355" s="13"/>
      <c r="Q355" s="13"/>
      <c r="R355" s="212" t="s">
        <v>3492</v>
      </c>
      <c r="S355" s="58">
        <v>17000</v>
      </c>
      <c r="T355" s="58">
        <f t="shared" si="826"/>
        <v>4118.38</v>
      </c>
      <c r="U355" s="319">
        <f t="shared" si="827"/>
        <v>4118.38</v>
      </c>
      <c r="V355" s="58">
        <f t="shared" si="828"/>
        <v>0</v>
      </c>
      <c r="W355" s="58">
        <f t="shared" si="829"/>
        <v>0</v>
      </c>
      <c r="X355" s="58">
        <f t="shared" si="830"/>
        <v>0</v>
      </c>
      <c r="Y355" s="58">
        <f t="shared" si="831"/>
        <v>0</v>
      </c>
      <c r="Z355" s="58">
        <f t="shared" si="832"/>
        <v>0</v>
      </c>
      <c r="AA355" s="58">
        <f t="shared" si="833"/>
        <v>0</v>
      </c>
      <c r="AB355" s="58">
        <f t="shared" si="834"/>
        <v>0</v>
      </c>
      <c r="AC355" s="58">
        <f t="shared" si="835"/>
        <v>0</v>
      </c>
      <c r="AD355" s="58">
        <f t="shared" si="836"/>
        <v>0</v>
      </c>
      <c r="AE355" s="58">
        <f t="shared" si="837"/>
        <v>0</v>
      </c>
      <c r="AF355" s="58">
        <f t="shared" si="838"/>
        <v>0</v>
      </c>
      <c r="AG355" s="58">
        <f t="shared" si="839"/>
        <v>0</v>
      </c>
      <c r="AH355" s="328"/>
      <c r="AI355" s="328"/>
      <c r="AJ355" s="13"/>
      <c r="AK355" s="13"/>
      <c r="AL355" s="13"/>
      <c r="AM355" s="13"/>
      <c r="AN355" s="13"/>
      <c r="AO355" s="58"/>
      <c r="AP355" s="58"/>
      <c r="AQ355" s="58"/>
      <c r="AR355" s="58"/>
      <c r="AS355" s="58"/>
      <c r="AT355" s="58"/>
      <c r="AU355" s="58"/>
      <c r="AV355" s="58"/>
      <c r="AW355" s="58"/>
      <c r="AX355" s="58"/>
      <c r="AY355" s="58">
        <v>0</v>
      </c>
      <c r="AZ355" s="58">
        <v>0</v>
      </c>
      <c r="BA355" s="413">
        <v>0</v>
      </c>
      <c r="BB355" s="319">
        <v>0</v>
      </c>
      <c r="BC355" s="419">
        <v>4118.38</v>
      </c>
      <c r="BD355" s="13"/>
    </row>
    <row r="356" spans="1:56">
      <c r="A356" s="13"/>
      <c r="B356" s="13"/>
      <c r="C356" s="13"/>
      <c r="D356" s="13"/>
      <c r="E356" s="13"/>
      <c r="F356" s="13"/>
      <c r="G356" s="13"/>
      <c r="H356" s="13"/>
      <c r="I356" s="13"/>
      <c r="J356" s="13"/>
      <c r="K356" s="13"/>
      <c r="L356" s="13"/>
      <c r="M356" s="13"/>
      <c r="N356" s="13"/>
      <c r="O356" s="13"/>
      <c r="P356" s="13"/>
      <c r="Q356" s="13"/>
      <c r="R356" s="212" t="s">
        <v>3493</v>
      </c>
      <c r="S356" s="58">
        <v>10000</v>
      </c>
      <c r="T356" s="58">
        <f t="shared" si="826"/>
        <v>5370.95</v>
      </c>
      <c r="U356" s="319">
        <f t="shared" si="827"/>
        <v>5370.95</v>
      </c>
      <c r="V356" s="58">
        <f t="shared" si="828"/>
        <v>0</v>
      </c>
      <c r="W356" s="58">
        <f t="shared" si="829"/>
        <v>0</v>
      </c>
      <c r="X356" s="58">
        <f t="shared" si="830"/>
        <v>0</v>
      </c>
      <c r="Y356" s="58">
        <f t="shared" si="831"/>
        <v>0</v>
      </c>
      <c r="Z356" s="58">
        <f t="shared" si="832"/>
        <v>0</v>
      </c>
      <c r="AA356" s="58">
        <f t="shared" si="833"/>
        <v>0</v>
      </c>
      <c r="AB356" s="58">
        <f t="shared" si="834"/>
        <v>0</v>
      </c>
      <c r="AC356" s="58">
        <f t="shared" si="835"/>
        <v>0</v>
      </c>
      <c r="AD356" s="58">
        <f t="shared" si="836"/>
        <v>0</v>
      </c>
      <c r="AE356" s="58">
        <f t="shared" si="837"/>
        <v>0</v>
      </c>
      <c r="AF356" s="58">
        <f t="shared" si="838"/>
        <v>0</v>
      </c>
      <c r="AG356" s="58">
        <f t="shared" si="839"/>
        <v>0</v>
      </c>
      <c r="AH356" s="328"/>
      <c r="AI356" s="328"/>
      <c r="AJ356" s="13"/>
      <c r="AK356" s="13"/>
      <c r="AL356" s="13"/>
      <c r="AM356" s="13"/>
      <c r="AN356" s="13"/>
      <c r="AO356" s="58"/>
      <c r="AP356" s="58"/>
      <c r="AQ356" s="58"/>
      <c r="AR356" s="58"/>
      <c r="AS356" s="58"/>
      <c r="AT356" s="58"/>
      <c r="AU356" s="58"/>
      <c r="AV356" s="58"/>
      <c r="AW356" s="58"/>
      <c r="AX356" s="58"/>
      <c r="AY356" s="58">
        <v>0</v>
      </c>
      <c r="AZ356" s="58">
        <v>0</v>
      </c>
      <c r="BA356" s="413">
        <v>-322.66</v>
      </c>
      <c r="BB356" s="319">
        <v>10.03</v>
      </c>
      <c r="BC356" s="419">
        <v>5683.58</v>
      </c>
      <c r="BD356" s="13"/>
    </row>
    <row r="357" ht="16.5" customHeight="1" spans="1:56">
      <c r="A357" s="13"/>
      <c r="B357" s="13"/>
      <c r="C357" s="13"/>
      <c r="D357" s="13"/>
      <c r="E357" s="13"/>
      <c r="F357" s="13"/>
      <c r="G357" s="13"/>
      <c r="H357" s="13"/>
      <c r="I357" s="13"/>
      <c r="J357" s="13"/>
      <c r="K357" s="13"/>
      <c r="L357" s="13"/>
      <c r="M357" s="13"/>
      <c r="N357" s="13"/>
      <c r="O357" s="13"/>
      <c r="P357" s="13"/>
      <c r="Q357" s="13"/>
      <c r="R357" s="213" t="s">
        <v>3494</v>
      </c>
      <c r="S357" s="214">
        <f t="shared" ref="S357:AG357" si="840">SUM(S353:S356)</f>
        <v>234999</v>
      </c>
      <c r="T357" s="214">
        <f t="shared" si="840"/>
        <v>140869.88</v>
      </c>
      <c r="U357" s="320">
        <f t="shared" si="840"/>
        <v>140869.88</v>
      </c>
      <c r="V357" s="214">
        <f t="shared" si="840"/>
        <v>0</v>
      </c>
      <c r="W357" s="214">
        <f t="shared" si="840"/>
        <v>0</v>
      </c>
      <c r="X357" s="214">
        <f t="shared" si="840"/>
        <v>0</v>
      </c>
      <c r="Y357" s="214">
        <f t="shared" si="840"/>
        <v>0</v>
      </c>
      <c r="Z357" s="214">
        <f t="shared" si="840"/>
        <v>0</v>
      </c>
      <c r="AA357" s="214">
        <f t="shared" si="840"/>
        <v>0</v>
      </c>
      <c r="AB357" s="214">
        <f t="shared" si="840"/>
        <v>0</v>
      </c>
      <c r="AC357" s="214">
        <f t="shared" si="840"/>
        <v>0</v>
      </c>
      <c r="AD357" s="214">
        <f t="shared" si="840"/>
        <v>0</v>
      </c>
      <c r="AE357" s="214">
        <f t="shared" si="840"/>
        <v>0</v>
      </c>
      <c r="AF357" s="214">
        <f t="shared" si="840"/>
        <v>0</v>
      </c>
      <c r="AG357" s="214">
        <f t="shared" si="840"/>
        <v>0</v>
      </c>
      <c r="AH357" s="214">
        <f>SUM(AH353:AH356)</f>
        <v>0</v>
      </c>
      <c r="AI357" s="214">
        <f>SUM(AI353:AI356)</f>
        <v>0</v>
      </c>
      <c r="AJ357" s="13"/>
      <c r="AK357" s="13"/>
      <c r="AL357" s="13"/>
      <c r="AM357" s="13"/>
      <c r="AN357" s="13"/>
      <c r="AO357" s="214">
        <f t="shared" ref="AO357:AX357" si="841">SUM(AO353:AO356)</f>
        <v>0</v>
      </c>
      <c r="AP357" s="214">
        <f t="shared" si="841"/>
        <v>0</v>
      </c>
      <c r="AQ357" s="214">
        <f t="shared" si="841"/>
        <v>0</v>
      </c>
      <c r="AR357" s="214">
        <f t="shared" si="841"/>
        <v>0</v>
      </c>
      <c r="AS357" s="214">
        <f t="shared" si="841"/>
        <v>0</v>
      </c>
      <c r="AT357" s="214">
        <f t="shared" si="841"/>
        <v>0</v>
      </c>
      <c r="AU357" s="214">
        <f t="shared" si="841"/>
        <v>0</v>
      </c>
      <c r="AV357" s="214">
        <f t="shared" si="841"/>
        <v>0</v>
      </c>
      <c r="AW357" s="214">
        <f t="shared" si="841"/>
        <v>0</v>
      </c>
      <c r="AX357" s="214">
        <f t="shared" si="841"/>
        <v>0</v>
      </c>
      <c r="AY357" s="214">
        <v>0</v>
      </c>
      <c r="AZ357" s="214">
        <f>SUM(AZ353:AZ356)</f>
        <v>0</v>
      </c>
      <c r="BA357" s="415">
        <v>48573.92</v>
      </c>
      <c r="BB357" s="320">
        <f>SUM(BB353:BB356)</f>
        <v>1342.02</v>
      </c>
      <c r="BC357" s="320">
        <f>SUM(BC353:BC356)</f>
        <v>90953.94</v>
      </c>
      <c r="BD357" s="13"/>
    </row>
    <row r="358" spans="1:56">
      <c r="A358" s="13"/>
      <c r="B358" s="13"/>
      <c r="C358" s="13"/>
      <c r="D358" s="13"/>
      <c r="E358" s="13"/>
      <c r="F358" s="13"/>
      <c r="G358" s="13"/>
      <c r="H358" s="13"/>
      <c r="I358" s="13"/>
      <c r="J358" s="13"/>
      <c r="K358" s="13"/>
      <c r="L358" s="13"/>
      <c r="M358" s="13"/>
      <c r="N358" s="13"/>
      <c r="O358" s="13"/>
      <c r="P358" s="13"/>
      <c r="Q358" s="13"/>
      <c r="R358" s="212" t="s">
        <v>3495</v>
      </c>
      <c r="S358" s="58">
        <f t="shared" ref="S358:AG358" si="842">S352-S353</f>
        <v>122095.34</v>
      </c>
      <c r="T358" s="58">
        <f t="shared" si="842"/>
        <v>196350.427</v>
      </c>
      <c r="U358" s="319">
        <f t="shared" si="842"/>
        <v>196350.557</v>
      </c>
      <c r="V358" s="58">
        <f t="shared" si="842"/>
        <v>-0.13</v>
      </c>
      <c r="W358" s="58">
        <f t="shared" si="842"/>
        <v>-0.13</v>
      </c>
      <c r="X358" s="58">
        <f t="shared" si="842"/>
        <v>-0.13</v>
      </c>
      <c r="Y358" s="58">
        <f t="shared" si="842"/>
        <v>-0.13</v>
      </c>
      <c r="Z358" s="58">
        <f t="shared" si="842"/>
        <v>-0.13</v>
      </c>
      <c r="AA358" s="58">
        <f t="shared" si="842"/>
        <v>-0.13</v>
      </c>
      <c r="AB358" s="58">
        <f t="shared" si="842"/>
        <v>-0.13</v>
      </c>
      <c r="AC358" s="58">
        <f t="shared" si="842"/>
        <v>-0.13</v>
      </c>
      <c r="AD358" s="58">
        <f t="shared" si="842"/>
        <v>-0.13</v>
      </c>
      <c r="AE358" s="58">
        <f t="shared" si="842"/>
        <v>-0.13</v>
      </c>
      <c r="AF358" s="58">
        <f t="shared" si="842"/>
        <v>-0.13</v>
      </c>
      <c r="AG358" s="58">
        <f t="shared" si="842"/>
        <v>-0.13</v>
      </c>
      <c r="AH358" s="332"/>
      <c r="AI358" s="332"/>
      <c r="AJ358" s="13"/>
      <c r="AK358" s="13"/>
      <c r="AL358" s="13"/>
      <c r="AM358" s="13"/>
      <c r="AN358" s="13"/>
      <c r="AO358" s="58">
        <f t="shared" ref="AO358:AZ358" si="843">AO352-AO353</f>
        <v>0</v>
      </c>
      <c r="AP358" s="58">
        <f t="shared" si="843"/>
        <v>0</v>
      </c>
      <c r="AQ358" s="58">
        <f t="shared" si="843"/>
        <v>0</v>
      </c>
      <c r="AR358" s="58">
        <f t="shared" si="843"/>
        <v>0</v>
      </c>
      <c r="AS358" s="58">
        <f t="shared" si="843"/>
        <v>0</v>
      </c>
      <c r="AT358" s="58">
        <f t="shared" si="843"/>
        <v>0</v>
      </c>
      <c r="AU358" s="58">
        <f t="shared" si="843"/>
        <v>0</v>
      </c>
      <c r="AV358" s="58">
        <f t="shared" si="843"/>
        <v>0</v>
      </c>
      <c r="AW358" s="58">
        <f t="shared" si="843"/>
        <v>0</v>
      </c>
      <c r="AX358" s="58">
        <f t="shared" si="843"/>
        <v>0</v>
      </c>
      <c r="AY358" s="58">
        <f t="shared" si="843"/>
        <v>0</v>
      </c>
      <c r="AZ358" s="58">
        <f t="shared" si="843"/>
        <v>-0.13</v>
      </c>
      <c r="BA358" s="417">
        <v>26363.99</v>
      </c>
      <c r="BB358" s="320">
        <v>45797.737</v>
      </c>
      <c r="BC358" s="420">
        <f>BC352-BC353</f>
        <v>124188.83</v>
      </c>
      <c r="BD358" s="13"/>
    </row>
    <row r="359" spans="1:56">
      <c r="A359" s="13"/>
      <c r="B359" s="13"/>
      <c r="C359" s="13"/>
      <c r="D359" s="13"/>
      <c r="E359" s="13"/>
      <c r="F359" s="13"/>
      <c r="G359" s="13"/>
      <c r="H359" s="13"/>
      <c r="I359" s="13"/>
      <c r="J359" s="13"/>
      <c r="K359" s="13"/>
      <c r="L359" s="13"/>
      <c r="M359" s="13"/>
      <c r="N359" s="13"/>
      <c r="O359" s="13"/>
      <c r="P359" s="13"/>
      <c r="Q359" s="13"/>
      <c r="R359" s="215" t="s">
        <v>3496</v>
      </c>
      <c r="S359" s="61">
        <f t="shared" ref="S359:AG359" si="844">S358/S352</f>
        <v>0.369880137902395</v>
      </c>
      <c r="T359" s="61">
        <f t="shared" si="844"/>
        <v>0.599120744695428</v>
      </c>
      <c r="U359" s="322">
        <f t="shared" si="844"/>
        <v>0.599120903710858</v>
      </c>
      <c r="V359" s="61">
        <f t="shared" si="844"/>
        <v>1</v>
      </c>
      <c r="W359" s="61">
        <f t="shared" si="844"/>
        <v>1</v>
      </c>
      <c r="X359" s="61">
        <f t="shared" si="844"/>
        <v>1</v>
      </c>
      <c r="Y359" s="61">
        <f t="shared" si="844"/>
        <v>1</v>
      </c>
      <c r="Z359" s="61">
        <f t="shared" si="844"/>
        <v>1</v>
      </c>
      <c r="AA359" s="61">
        <f t="shared" si="844"/>
        <v>1</v>
      </c>
      <c r="AB359" s="61">
        <f t="shared" si="844"/>
        <v>1</v>
      </c>
      <c r="AC359" s="61">
        <f t="shared" si="844"/>
        <v>1</v>
      </c>
      <c r="AD359" s="61">
        <f t="shared" si="844"/>
        <v>1</v>
      </c>
      <c r="AE359" s="61">
        <f t="shared" si="844"/>
        <v>1</v>
      </c>
      <c r="AF359" s="61">
        <f t="shared" si="844"/>
        <v>1</v>
      </c>
      <c r="AG359" s="61">
        <f t="shared" si="844"/>
        <v>1</v>
      </c>
      <c r="AH359" s="82">
        <f>T359-S359</f>
        <v>0.229240606793033</v>
      </c>
      <c r="AI359" s="82">
        <f>AF359-S359</f>
        <v>0.630119862097605</v>
      </c>
      <c r="AJ359" s="13"/>
      <c r="AK359" s="13"/>
      <c r="AL359" s="13"/>
      <c r="AM359" s="13"/>
      <c r="AN359" s="13"/>
      <c r="AO359" s="61" t="e">
        <f t="shared" ref="AO359:AZ359" si="845">AO358/AO352</f>
        <v>#DIV/0!</v>
      </c>
      <c r="AP359" s="61" t="e">
        <f t="shared" si="845"/>
        <v>#DIV/0!</v>
      </c>
      <c r="AQ359" s="61" t="e">
        <f t="shared" si="845"/>
        <v>#DIV/0!</v>
      </c>
      <c r="AR359" s="61" t="e">
        <f t="shared" si="845"/>
        <v>#DIV/0!</v>
      </c>
      <c r="AS359" s="61" t="e">
        <f t="shared" si="845"/>
        <v>#DIV/0!</v>
      </c>
      <c r="AT359" s="61" t="e">
        <f t="shared" si="845"/>
        <v>#DIV/0!</v>
      </c>
      <c r="AU359" s="61" t="e">
        <f t="shared" si="845"/>
        <v>#DIV/0!</v>
      </c>
      <c r="AV359" s="61" t="e">
        <f t="shared" si="845"/>
        <v>#DIV/0!</v>
      </c>
      <c r="AW359" s="61" t="e">
        <f t="shared" si="845"/>
        <v>#DIV/0!</v>
      </c>
      <c r="AX359" s="61" t="e">
        <f t="shared" si="845"/>
        <v>#DIV/0!</v>
      </c>
      <c r="AY359" s="61" t="e">
        <f t="shared" si="845"/>
        <v>#DIV/0!</v>
      </c>
      <c r="AZ359" s="61">
        <f t="shared" si="845"/>
        <v>1</v>
      </c>
      <c r="BA359" s="418">
        <v>0.350302821251553</v>
      </c>
      <c r="BB359" s="403">
        <v>0.971737795128752</v>
      </c>
      <c r="BC359" s="421">
        <f>BC358/BC352</f>
        <v>0.604793708566748</v>
      </c>
      <c r="BD359" s="13"/>
    </row>
    <row r="360" spans="1:56">
      <c r="A360" s="13"/>
      <c r="B360" s="13"/>
      <c r="C360" s="13"/>
      <c r="D360" s="13"/>
      <c r="E360" s="13"/>
      <c r="F360" s="13"/>
      <c r="G360" s="13"/>
      <c r="H360" s="13"/>
      <c r="I360" s="13"/>
      <c r="J360" s="13"/>
      <c r="K360" s="13"/>
      <c r="L360" s="13"/>
      <c r="M360" s="13"/>
      <c r="N360" s="13"/>
      <c r="O360" s="13"/>
      <c r="P360" s="13"/>
      <c r="Q360" s="13"/>
      <c r="R360" s="212" t="s">
        <v>3497</v>
      </c>
      <c r="S360" s="58">
        <f t="shared" ref="S360:AG360" si="846">S352-S357</f>
        <v>95095.34</v>
      </c>
      <c r="T360" s="58">
        <f t="shared" si="846"/>
        <v>186861.097</v>
      </c>
      <c r="U360" s="58">
        <f t="shared" si="846"/>
        <v>186861.227</v>
      </c>
      <c r="V360" s="58">
        <f t="shared" si="846"/>
        <v>-0.13</v>
      </c>
      <c r="W360" s="58">
        <f t="shared" si="846"/>
        <v>-0.13</v>
      </c>
      <c r="X360" s="58">
        <f t="shared" si="846"/>
        <v>-0.13</v>
      </c>
      <c r="Y360" s="58">
        <f t="shared" si="846"/>
        <v>-0.13</v>
      </c>
      <c r="Z360" s="58">
        <f t="shared" si="846"/>
        <v>-0.13</v>
      </c>
      <c r="AA360" s="58">
        <f t="shared" si="846"/>
        <v>-0.13</v>
      </c>
      <c r="AB360" s="58">
        <f t="shared" si="846"/>
        <v>-0.13</v>
      </c>
      <c r="AC360" s="58">
        <f t="shared" si="846"/>
        <v>-0.13</v>
      </c>
      <c r="AD360" s="58">
        <f t="shared" si="846"/>
        <v>-0.13</v>
      </c>
      <c r="AE360" s="58">
        <f t="shared" si="846"/>
        <v>-0.13</v>
      </c>
      <c r="AF360" s="58">
        <f t="shared" si="846"/>
        <v>-0.13</v>
      </c>
      <c r="AG360" s="58">
        <f t="shared" si="846"/>
        <v>-0.13</v>
      </c>
      <c r="AH360" s="82"/>
      <c r="AI360" s="82"/>
      <c r="AJ360" s="13"/>
      <c r="AK360" s="13"/>
      <c r="AL360" s="13"/>
      <c r="AM360" s="13"/>
      <c r="AN360" s="13"/>
      <c r="AO360" s="58">
        <f t="shared" ref="AO360:BC360" si="847">AO352-AO357</f>
        <v>0</v>
      </c>
      <c r="AP360" s="58">
        <f t="shared" si="847"/>
        <v>0</v>
      </c>
      <c r="AQ360" s="58">
        <f t="shared" si="847"/>
        <v>0</v>
      </c>
      <c r="AR360" s="58">
        <f t="shared" si="847"/>
        <v>0</v>
      </c>
      <c r="AS360" s="58">
        <f t="shared" si="847"/>
        <v>0</v>
      </c>
      <c r="AT360" s="58">
        <f t="shared" si="847"/>
        <v>0</v>
      </c>
      <c r="AU360" s="58">
        <f t="shared" si="847"/>
        <v>0</v>
      </c>
      <c r="AV360" s="58">
        <f t="shared" si="847"/>
        <v>0</v>
      </c>
      <c r="AW360" s="58">
        <f t="shared" si="847"/>
        <v>0</v>
      </c>
      <c r="AX360" s="58">
        <f t="shared" si="847"/>
        <v>0</v>
      </c>
      <c r="AY360" s="58">
        <f t="shared" si="847"/>
        <v>0</v>
      </c>
      <c r="AZ360" s="58">
        <f t="shared" si="847"/>
        <v>-0.13</v>
      </c>
      <c r="BA360" s="58">
        <f t="shared" si="847"/>
        <v>26686.65</v>
      </c>
      <c r="BB360" s="58">
        <f t="shared" si="847"/>
        <v>45787.707</v>
      </c>
      <c r="BC360" s="58">
        <f t="shared" si="847"/>
        <v>114386.87</v>
      </c>
      <c r="BD360" s="13"/>
    </row>
    <row r="361" ht="19.65" customHeight="1" spans="1:56">
      <c r="A361" s="14"/>
      <c r="B361" s="14"/>
      <c r="C361" s="14"/>
      <c r="D361" s="14"/>
      <c r="E361" s="14"/>
      <c r="F361" s="14"/>
      <c r="G361" s="14"/>
      <c r="H361" s="14"/>
      <c r="I361" s="14"/>
      <c r="J361" s="14"/>
      <c r="K361" s="14"/>
      <c r="L361" s="14"/>
      <c r="M361" s="14"/>
      <c r="N361" s="14"/>
      <c r="O361" s="14"/>
      <c r="P361" s="14"/>
      <c r="Q361" s="14"/>
      <c r="R361" s="215" t="s">
        <v>3498</v>
      </c>
      <c r="S361" s="61">
        <f t="shared" ref="S361:AG361" si="848">S360/S352</f>
        <v>0.28808533948204</v>
      </c>
      <c r="T361" s="61">
        <f t="shared" si="848"/>
        <v>0.570166112189023</v>
      </c>
      <c r="U361" s="322">
        <f t="shared" si="848"/>
        <v>0.570166282689791</v>
      </c>
      <c r="V361" s="61">
        <f t="shared" si="848"/>
        <v>1</v>
      </c>
      <c r="W361" s="61">
        <f t="shared" si="848"/>
        <v>1</v>
      </c>
      <c r="X361" s="61">
        <f t="shared" si="848"/>
        <v>1</v>
      </c>
      <c r="Y361" s="61">
        <f t="shared" si="848"/>
        <v>1</v>
      </c>
      <c r="Z361" s="61">
        <f t="shared" si="848"/>
        <v>1</v>
      </c>
      <c r="AA361" s="61">
        <f t="shared" si="848"/>
        <v>1</v>
      </c>
      <c r="AB361" s="61">
        <f t="shared" si="848"/>
        <v>1</v>
      </c>
      <c r="AC361" s="61">
        <f t="shared" si="848"/>
        <v>1</v>
      </c>
      <c r="AD361" s="61">
        <f t="shared" si="848"/>
        <v>1</v>
      </c>
      <c r="AE361" s="61">
        <f t="shared" si="848"/>
        <v>1</v>
      </c>
      <c r="AF361" s="61">
        <f t="shared" si="848"/>
        <v>1</v>
      </c>
      <c r="AG361" s="61">
        <f t="shared" si="848"/>
        <v>1</v>
      </c>
      <c r="AH361" s="82">
        <f>T361-S361</f>
        <v>0.282080772706982</v>
      </c>
      <c r="AI361" s="82">
        <f>AF361-S361</f>
        <v>0.71191466051796</v>
      </c>
      <c r="AJ361" s="14"/>
      <c r="AK361" s="14"/>
      <c r="AL361" s="14"/>
      <c r="AM361" s="14"/>
      <c r="AN361" s="14"/>
      <c r="AO361" s="61" t="e">
        <f t="shared" ref="AO361:AZ361" si="849">AO360/AO352</f>
        <v>#DIV/0!</v>
      </c>
      <c r="AP361" s="61" t="e">
        <f t="shared" si="849"/>
        <v>#DIV/0!</v>
      </c>
      <c r="AQ361" s="61" t="e">
        <f t="shared" si="849"/>
        <v>#DIV/0!</v>
      </c>
      <c r="AR361" s="61" t="e">
        <f t="shared" si="849"/>
        <v>#DIV/0!</v>
      </c>
      <c r="AS361" s="61" t="e">
        <f t="shared" si="849"/>
        <v>#DIV/0!</v>
      </c>
      <c r="AT361" s="61" t="e">
        <f t="shared" si="849"/>
        <v>#DIV/0!</v>
      </c>
      <c r="AU361" s="61" t="e">
        <f t="shared" si="849"/>
        <v>#DIV/0!</v>
      </c>
      <c r="AV361" s="61" t="e">
        <f t="shared" si="849"/>
        <v>#DIV/0!</v>
      </c>
      <c r="AW361" s="61" t="e">
        <f t="shared" si="849"/>
        <v>#DIV/0!</v>
      </c>
      <c r="AX361" s="61" t="e">
        <f t="shared" si="849"/>
        <v>#DIV/0!</v>
      </c>
      <c r="AY361" s="61" t="e">
        <f t="shared" si="849"/>
        <v>#DIV/0!</v>
      </c>
      <c r="AZ361" s="61">
        <f t="shared" si="849"/>
        <v>1</v>
      </c>
      <c r="BA361" s="418">
        <v>0.354590059575685</v>
      </c>
      <c r="BB361" s="403">
        <v>0.971524978279632</v>
      </c>
      <c r="BC361" s="421">
        <f>BC360/BC352</f>
        <v>0.557058628530783</v>
      </c>
      <c r="BD361" s="14"/>
    </row>
    <row r="362" spans="1:56">
      <c r="A362" s="300" t="s">
        <v>879</v>
      </c>
      <c r="B362" s="301" t="s">
        <v>3601</v>
      </c>
      <c r="C362" s="302">
        <v>45748</v>
      </c>
      <c r="D362" s="302">
        <v>46112</v>
      </c>
      <c r="E362" s="304"/>
      <c r="F362" s="233" t="s">
        <v>3561</v>
      </c>
      <c r="G362" s="28"/>
      <c r="H362" s="406"/>
      <c r="I362" s="407"/>
      <c r="J362" s="407"/>
      <c r="K362" s="407"/>
      <c r="L362" s="12"/>
      <c r="M362" s="12"/>
      <c r="N362" s="12"/>
      <c r="O362" s="12"/>
      <c r="P362" s="304"/>
      <c r="Q362" s="12"/>
      <c r="R362" s="318" t="s">
        <v>3486</v>
      </c>
      <c r="S362" s="58">
        <v>150943.4</v>
      </c>
      <c r="T362" s="58">
        <f t="shared" ref="T362:T366" si="850">SUM(AO362:BC362)</f>
        <v>149808.61</v>
      </c>
      <c r="U362" s="319">
        <f t="shared" ref="U362:U366" si="851">SUM(BA362:BC362)</f>
        <v>112589.72</v>
      </c>
      <c r="V362" s="58">
        <f t="shared" ref="V362:V366" si="852">SUM(AO362:AZ362)</f>
        <v>37218.89</v>
      </c>
      <c r="W362" s="58">
        <f t="shared" ref="W362:W366" si="853">SUM(AP362:AZ362)</f>
        <v>37218.89</v>
      </c>
      <c r="X362" s="58">
        <f t="shared" ref="X362:X366" si="854">SUM(AQ362:AZ362)</f>
        <v>37218.89</v>
      </c>
      <c r="Y362" s="58">
        <f t="shared" ref="Y362:Y366" si="855">SUM(AR362:AZ362)</f>
        <v>37218.89</v>
      </c>
      <c r="Z362" s="58">
        <f t="shared" ref="Z362:Z366" si="856">SUM(AS362:AZ362)</f>
        <v>37218.89</v>
      </c>
      <c r="AA362" s="58">
        <f t="shared" ref="AA362:AA366" si="857">SUM(AT362:AZ362)</f>
        <v>37218.89</v>
      </c>
      <c r="AB362" s="58">
        <f t="shared" ref="AB362:AB366" si="858">SUM(AU362:AZ362)</f>
        <v>37218.89</v>
      </c>
      <c r="AC362" s="58">
        <f t="shared" ref="AC362:AC366" si="859">SUM(AV362:AZ362)</f>
        <v>37218.89</v>
      </c>
      <c r="AD362" s="58">
        <f t="shared" ref="AD362:AD366" si="860">SUM(AW362:AZ362)</f>
        <v>37218.89</v>
      </c>
      <c r="AE362" s="58">
        <f t="shared" ref="AE362:AE366" si="861">SUM(AX362:AZ362)</f>
        <v>37218.89</v>
      </c>
      <c r="AF362" s="58">
        <f t="shared" ref="AF362:AF366" si="862">SUM(AY362:AZ362)</f>
        <v>24398.94</v>
      </c>
      <c r="AG362" s="58">
        <f t="shared" ref="AG362:AG366" si="863">SUM(AZ362:AZ362)</f>
        <v>12819.77</v>
      </c>
      <c r="AH362" s="328"/>
      <c r="AI362" s="328"/>
      <c r="AJ362" s="93"/>
      <c r="AK362" s="93" t="s">
        <v>3602</v>
      </c>
      <c r="AL362" s="93"/>
      <c r="AM362" s="93" t="s">
        <v>3603</v>
      </c>
      <c r="AN362" s="233"/>
      <c r="AO362" s="58"/>
      <c r="AP362" s="58"/>
      <c r="AQ362" s="58"/>
      <c r="AR362" s="58"/>
      <c r="AS362" s="58"/>
      <c r="AT362" s="58"/>
      <c r="AU362" s="58"/>
      <c r="AV362" s="58"/>
      <c r="AW362" s="58"/>
      <c r="AX362" s="58">
        <v>12819.95</v>
      </c>
      <c r="AY362" s="58">
        <v>11579.17</v>
      </c>
      <c r="AZ362" s="58">
        <v>12819.77</v>
      </c>
      <c r="BA362" s="413">
        <v>112589.72</v>
      </c>
      <c r="BB362" s="319"/>
      <c r="BC362" s="414"/>
      <c r="BD362" s="343" t="s">
        <v>3568</v>
      </c>
    </row>
    <row r="363" spans="1:56">
      <c r="A363" s="13"/>
      <c r="B363" s="13"/>
      <c r="C363" s="13"/>
      <c r="D363" s="13"/>
      <c r="E363" s="13"/>
      <c r="F363" s="13"/>
      <c r="G363" s="13"/>
      <c r="H363" s="22"/>
      <c r="I363" s="22"/>
      <c r="J363" s="22"/>
      <c r="K363" s="22"/>
      <c r="L363" s="13"/>
      <c r="M363" s="13"/>
      <c r="N363" s="13"/>
      <c r="O363" s="13"/>
      <c r="P363" s="13"/>
      <c r="Q363" s="13"/>
      <c r="R363" s="213" t="s">
        <v>3490</v>
      </c>
      <c r="S363" s="58">
        <v>123201.71</v>
      </c>
      <c r="T363" s="58">
        <f t="shared" si="850"/>
        <v>129265.38</v>
      </c>
      <c r="U363" s="319">
        <f t="shared" si="851"/>
        <v>112560.11</v>
      </c>
      <c r="V363" s="58">
        <f t="shared" si="852"/>
        <v>16705.27</v>
      </c>
      <c r="W363" s="58">
        <f t="shared" si="853"/>
        <v>16705.27</v>
      </c>
      <c r="X363" s="58">
        <f t="shared" si="854"/>
        <v>16705.27</v>
      </c>
      <c r="Y363" s="58">
        <f t="shared" si="855"/>
        <v>16705.27</v>
      </c>
      <c r="Z363" s="58">
        <f t="shared" si="856"/>
        <v>16705.27</v>
      </c>
      <c r="AA363" s="58">
        <f t="shared" si="857"/>
        <v>16705.27</v>
      </c>
      <c r="AB363" s="58">
        <f t="shared" si="858"/>
        <v>16705.27</v>
      </c>
      <c r="AC363" s="58">
        <f t="shared" si="859"/>
        <v>16705.27</v>
      </c>
      <c r="AD363" s="58">
        <f t="shared" si="860"/>
        <v>16705.27</v>
      </c>
      <c r="AE363" s="58">
        <f t="shared" si="861"/>
        <v>16705.27</v>
      </c>
      <c r="AF363" s="58">
        <f t="shared" si="862"/>
        <v>7039.31</v>
      </c>
      <c r="AG363" s="58">
        <f t="shared" si="863"/>
        <v>7039.31</v>
      </c>
      <c r="AH363" s="328"/>
      <c r="AI363" s="328"/>
      <c r="AJ363" s="13"/>
      <c r="AK363" s="13"/>
      <c r="AL363" s="13"/>
      <c r="AM363" s="13"/>
      <c r="AN363" s="13"/>
      <c r="AO363" s="58"/>
      <c r="AP363" s="58"/>
      <c r="AQ363" s="58"/>
      <c r="AR363" s="58"/>
      <c r="AS363" s="58"/>
      <c r="AT363" s="58"/>
      <c r="AU363" s="58"/>
      <c r="AV363" s="58"/>
      <c r="AW363" s="58"/>
      <c r="AX363" s="58">
        <v>9665.96</v>
      </c>
      <c r="AY363" s="58">
        <v>0</v>
      </c>
      <c r="AZ363" s="58">
        <v>7039.31</v>
      </c>
      <c r="BA363" s="413">
        <v>112560.11</v>
      </c>
      <c r="BB363" s="319"/>
      <c r="BC363" s="414"/>
      <c r="BD363" s="13"/>
    </row>
    <row r="364" spans="1:56">
      <c r="A364" s="13"/>
      <c r="B364" s="13"/>
      <c r="C364" s="13"/>
      <c r="D364" s="13"/>
      <c r="E364" s="13"/>
      <c r="F364" s="13"/>
      <c r="G364" s="13"/>
      <c r="H364" s="22"/>
      <c r="I364" s="22"/>
      <c r="J364" s="22"/>
      <c r="K364" s="22"/>
      <c r="L364" s="13"/>
      <c r="M364" s="13"/>
      <c r="N364" s="13"/>
      <c r="O364" s="13"/>
      <c r="P364" s="13"/>
      <c r="Q364" s="13"/>
      <c r="R364" s="213" t="s">
        <v>3491</v>
      </c>
      <c r="S364" s="58"/>
      <c r="T364" s="58">
        <f t="shared" si="850"/>
        <v>30547.72</v>
      </c>
      <c r="U364" s="319">
        <f t="shared" si="851"/>
        <v>0</v>
      </c>
      <c r="V364" s="58"/>
      <c r="W364" s="58"/>
      <c r="X364" s="58"/>
      <c r="Y364" s="58"/>
      <c r="Z364" s="58"/>
      <c r="AA364" s="58"/>
      <c r="AB364" s="58"/>
      <c r="AC364" s="58"/>
      <c r="AD364" s="58"/>
      <c r="AE364" s="58"/>
      <c r="AF364" s="58"/>
      <c r="AG364" s="58"/>
      <c r="AH364" s="328"/>
      <c r="AI364" s="328"/>
      <c r="AJ364" s="13"/>
      <c r="AK364" s="13"/>
      <c r="AL364" s="13"/>
      <c r="AM364" s="13"/>
      <c r="AN364" s="13"/>
      <c r="AO364" s="58"/>
      <c r="AP364" s="58"/>
      <c r="AQ364" s="58"/>
      <c r="AR364" s="58"/>
      <c r="AS364" s="58"/>
      <c r="AT364" s="58"/>
      <c r="AU364" s="58"/>
      <c r="AV364" s="58"/>
      <c r="AW364" s="58"/>
      <c r="AX364" s="58">
        <v>11909.61</v>
      </c>
      <c r="AY364" s="58">
        <v>18638.11</v>
      </c>
      <c r="AZ364" s="58">
        <v>0</v>
      </c>
      <c r="BA364" s="413"/>
      <c r="BB364" s="319"/>
      <c r="BC364" s="414"/>
      <c r="BD364" s="13"/>
    </row>
    <row r="365" spans="1:56">
      <c r="A365" s="13"/>
      <c r="B365" s="13"/>
      <c r="C365" s="13"/>
      <c r="D365" s="13"/>
      <c r="E365" s="13"/>
      <c r="F365" s="13"/>
      <c r="G365" s="13"/>
      <c r="H365" s="22"/>
      <c r="I365" s="22"/>
      <c r="J365" s="22"/>
      <c r="K365" s="22"/>
      <c r="L365" s="13"/>
      <c r="M365" s="13"/>
      <c r="N365" s="13"/>
      <c r="O365" s="13"/>
      <c r="P365" s="13"/>
      <c r="Q365" s="13"/>
      <c r="R365" s="213" t="s">
        <v>3492</v>
      </c>
      <c r="S365" s="58">
        <v>0</v>
      </c>
      <c r="T365" s="58">
        <f t="shared" si="850"/>
        <v>0</v>
      </c>
      <c r="U365" s="319">
        <f t="shared" si="851"/>
        <v>0</v>
      </c>
      <c r="V365" s="58">
        <f t="shared" si="852"/>
        <v>0</v>
      </c>
      <c r="W365" s="58">
        <f t="shared" si="853"/>
        <v>0</v>
      </c>
      <c r="X365" s="58">
        <f t="shared" si="854"/>
        <v>0</v>
      </c>
      <c r="Y365" s="58">
        <f t="shared" si="855"/>
        <v>0</v>
      </c>
      <c r="Z365" s="58">
        <f t="shared" si="856"/>
        <v>0</v>
      </c>
      <c r="AA365" s="58">
        <f t="shared" si="857"/>
        <v>0</v>
      </c>
      <c r="AB365" s="58">
        <f t="shared" si="858"/>
        <v>0</v>
      </c>
      <c r="AC365" s="58">
        <f t="shared" si="859"/>
        <v>0</v>
      </c>
      <c r="AD365" s="58">
        <f t="shared" si="860"/>
        <v>0</v>
      </c>
      <c r="AE365" s="58">
        <f t="shared" si="861"/>
        <v>0</v>
      </c>
      <c r="AF365" s="58">
        <f t="shared" si="862"/>
        <v>0</v>
      </c>
      <c r="AG365" s="58">
        <f t="shared" si="863"/>
        <v>0</v>
      </c>
      <c r="AH365" s="328"/>
      <c r="AI365" s="328"/>
      <c r="AJ365" s="13"/>
      <c r="AK365" s="13"/>
      <c r="AL365" s="13"/>
      <c r="AM365" s="13"/>
      <c r="AN365" s="13"/>
      <c r="AO365" s="58"/>
      <c r="AP365" s="58"/>
      <c r="AQ365" s="58"/>
      <c r="AR365" s="58"/>
      <c r="AS365" s="58"/>
      <c r="AT365" s="58"/>
      <c r="AU365" s="58"/>
      <c r="AV365" s="58"/>
      <c r="AW365" s="58"/>
      <c r="AX365" s="58"/>
      <c r="AY365" s="58">
        <v>0</v>
      </c>
      <c r="AZ365" s="58">
        <v>0</v>
      </c>
      <c r="BA365" s="413">
        <v>0</v>
      </c>
      <c r="BB365" s="319"/>
      <c r="BC365" s="414"/>
      <c r="BD365" s="13"/>
    </row>
    <row r="366" spans="1:56">
      <c r="A366" s="13"/>
      <c r="B366" s="13"/>
      <c r="C366" s="13"/>
      <c r="D366" s="13"/>
      <c r="E366" s="13"/>
      <c r="F366" s="13"/>
      <c r="G366" s="13"/>
      <c r="H366" s="22"/>
      <c r="I366" s="22"/>
      <c r="J366" s="22"/>
      <c r="K366" s="22"/>
      <c r="L366" s="13"/>
      <c r="M366" s="13"/>
      <c r="N366" s="13"/>
      <c r="O366" s="13"/>
      <c r="P366" s="13"/>
      <c r="Q366" s="13"/>
      <c r="R366" s="213" t="s">
        <v>3493</v>
      </c>
      <c r="S366" s="58">
        <v>0</v>
      </c>
      <c r="T366" s="58">
        <f t="shared" si="850"/>
        <v>-827.92</v>
      </c>
      <c r="U366" s="319">
        <f t="shared" si="851"/>
        <v>-790.7</v>
      </c>
      <c r="V366" s="58">
        <f t="shared" si="852"/>
        <v>-37.22</v>
      </c>
      <c r="W366" s="58">
        <f t="shared" si="853"/>
        <v>-37.22</v>
      </c>
      <c r="X366" s="58">
        <f t="shared" si="854"/>
        <v>-37.22</v>
      </c>
      <c r="Y366" s="58">
        <f t="shared" si="855"/>
        <v>-37.22</v>
      </c>
      <c r="Z366" s="58">
        <f t="shared" si="856"/>
        <v>-37.22</v>
      </c>
      <c r="AA366" s="58">
        <f t="shared" si="857"/>
        <v>-37.22</v>
      </c>
      <c r="AB366" s="58">
        <f t="shared" si="858"/>
        <v>-37.22</v>
      </c>
      <c r="AC366" s="58">
        <f t="shared" si="859"/>
        <v>-37.22</v>
      </c>
      <c r="AD366" s="58">
        <f t="shared" si="860"/>
        <v>-37.22</v>
      </c>
      <c r="AE366" s="58">
        <f t="shared" si="861"/>
        <v>-37.22</v>
      </c>
      <c r="AF366" s="58">
        <f t="shared" si="862"/>
        <v>-37.22</v>
      </c>
      <c r="AG366" s="58">
        <f t="shared" si="863"/>
        <v>-24.4</v>
      </c>
      <c r="AH366" s="328"/>
      <c r="AI366" s="328"/>
      <c r="AJ366" s="13"/>
      <c r="AK366" s="13"/>
      <c r="AL366" s="13"/>
      <c r="AM366" s="13"/>
      <c r="AN366" s="13"/>
      <c r="AO366" s="58"/>
      <c r="AP366" s="58"/>
      <c r="AQ366" s="58"/>
      <c r="AR366" s="58"/>
      <c r="AS366" s="58"/>
      <c r="AT366" s="58"/>
      <c r="AU366" s="58"/>
      <c r="AV366" s="58"/>
      <c r="AW366" s="58"/>
      <c r="AX366" s="58"/>
      <c r="AY366" s="58">
        <v>-12.82</v>
      </c>
      <c r="AZ366" s="58">
        <v>-24.4</v>
      </c>
      <c r="BA366" s="413">
        <v>-790.7</v>
      </c>
      <c r="BB366" s="319"/>
      <c r="BC366" s="414"/>
      <c r="BD366" s="13"/>
    </row>
    <row r="367" ht="16.5" customHeight="1" spans="1:56">
      <c r="A367" s="13"/>
      <c r="B367" s="13"/>
      <c r="C367" s="13"/>
      <c r="D367" s="13"/>
      <c r="E367" s="13"/>
      <c r="F367" s="13"/>
      <c r="G367" s="13"/>
      <c r="H367" s="22"/>
      <c r="I367" s="22"/>
      <c r="J367" s="22"/>
      <c r="K367" s="22"/>
      <c r="L367" s="13"/>
      <c r="M367" s="13"/>
      <c r="N367" s="13"/>
      <c r="O367" s="13"/>
      <c r="P367" s="13"/>
      <c r="Q367" s="13"/>
      <c r="R367" s="213" t="s">
        <v>3494</v>
      </c>
      <c r="S367" s="214">
        <f t="shared" ref="S367:AG367" si="864">SUM(S363:S366)</f>
        <v>123201.71</v>
      </c>
      <c r="T367" s="214">
        <f t="shared" si="864"/>
        <v>158985.18</v>
      </c>
      <c r="U367" s="320">
        <f t="shared" si="864"/>
        <v>111769.41</v>
      </c>
      <c r="V367" s="214">
        <f t="shared" si="864"/>
        <v>16668.05</v>
      </c>
      <c r="W367" s="214">
        <f t="shared" si="864"/>
        <v>16668.05</v>
      </c>
      <c r="X367" s="214">
        <f t="shared" si="864"/>
        <v>16668.05</v>
      </c>
      <c r="Y367" s="214">
        <f t="shared" si="864"/>
        <v>16668.05</v>
      </c>
      <c r="Z367" s="214">
        <f t="shared" si="864"/>
        <v>16668.05</v>
      </c>
      <c r="AA367" s="214">
        <f t="shared" si="864"/>
        <v>16668.05</v>
      </c>
      <c r="AB367" s="214">
        <f t="shared" si="864"/>
        <v>16668.05</v>
      </c>
      <c r="AC367" s="214">
        <f t="shared" si="864"/>
        <v>16668.05</v>
      </c>
      <c r="AD367" s="214">
        <f t="shared" si="864"/>
        <v>16668.05</v>
      </c>
      <c r="AE367" s="214">
        <f t="shared" si="864"/>
        <v>16668.05</v>
      </c>
      <c r="AF367" s="214">
        <f t="shared" si="864"/>
        <v>7002.09</v>
      </c>
      <c r="AG367" s="214">
        <f t="shared" si="864"/>
        <v>7014.91</v>
      </c>
      <c r="AH367" s="214">
        <f>SUM(AH363:AH366)</f>
        <v>0</v>
      </c>
      <c r="AI367" s="214">
        <f>SUM(AI363:AI366)</f>
        <v>0</v>
      </c>
      <c r="AJ367" s="13"/>
      <c r="AK367" s="13"/>
      <c r="AL367" s="13"/>
      <c r="AM367" s="13"/>
      <c r="AN367" s="13"/>
      <c r="AO367" s="214">
        <f t="shared" ref="AO367:AX367" si="865">SUM(AO363:AO366)</f>
        <v>0</v>
      </c>
      <c r="AP367" s="214">
        <f t="shared" si="865"/>
        <v>0</v>
      </c>
      <c r="AQ367" s="214">
        <f t="shared" si="865"/>
        <v>0</v>
      </c>
      <c r="AR367" s="214">
        <f t="shared" si="865"/>
        <v>0</v>
      </c>
      <c r="AS367" s="214">
        <f t="shared" si="865"/>
        <v>0</v>
      </c>
      <c r="AT367" s="214">
        <f t="shared" si="865"/>
        <v>0</v>
      </c>
      <c r="AU367" s="214">
        <f t="shared" si="865"/>
        <v>0</v>
      </c>
      <c r="AV367" s="214">
        <f t="shared" si="865"/>
        <v>0</v>
      </c>
      <c r="AW367" s="214">
        <f t="shared" si="865"/>
        <v>0</v>
      </c>
      <c r="AX367" s="214">
        <f t="shared" si="865"/>
        <v>21575.57</v>
      </c>
      <c r="AY367" s="214">
        <v>-12.82</v>
      </c>
      <c r="AZ367" s="214">
        <f>SUM(AZ363:AZ366)</f>
        <v>7014.91</v>
      </c>
      <c r="BA367" s="415">
        <v>111769.41</v>
      </c>
      <c r="BB367" s="320">
        <f>SUM(BB363:BB366)</f>
        <v>0</v>
      </c>
      <c r="BC367" s="416">
        <f>SUM(BC363:BC366)</f>
        <v>0</v>
      </c>
      <c r="BD367" s="13"/>
    </row>
    <row r="368" spans="1:56">
      <c r="A368" s="13"/>
      <c r="B368" s="13"/>
      <c r="C368" s="13"/>
      <c r="D368" s="13"/>
      <c r="E368" s="13"/>
      <c r="F368" s="13"/>
      <c r="G368" s="13"/>
      <c r="H368" s="22"/>
      <c r="I368" s="22"/>
      <c r="J368" s="22"/>
      <c r="K368" s="22"/>
      <c r="L368" s="13"/>
      <c r="M368" s="13"/>
      <c r="N368" s="13"/>
      <c r="O368" s="13"/>
      <c r="P368" s="13"/>
      <c r="Q368" s="13"/>
      <c r="R368" s="213" t="s">
        <v>3495</v>
      </c>
      <c r="S368" s="58">
        <f t="shared" ref="S368:AG368" si="866">S362-S363</f>
        <v>27741.69</v>
      </c>
      <c r="T368" s="58">
        <f t="shared" si="866"/>
        <v>20543.23</v>
      </c>
      <c r="U368" s="319">
        <f t="shared" si="866"/>
        <v>29.6100000000006</v>
      </c>
      <c r="V368" s="58">
        <f t="shared" si="866"/>
        <v>20513.62</v>
      </c>
      <c r="W368" s="58">
        <f t="shared" si="866"/>
        <v>20513.62</v>
      </c>
      <c r="X368" s="58">
        <f t="shared" si="866"/>
        <v>20513.62</v>
      </c>
      <c r="Y368" s="58">
        <f t="shared" si="866"/>
        <v>20513.62</v>
      </c>
      <c r="Z368" s="58">
        <f t="shared" si="866"/>
        <v>20513.62</v>
      </c>
      <c r="AA368" s="58">
        <f t="shared" si="866"/>
        <v>20513.62</v>
      </c>
      <c r="AB368" s="58">
        <f t="shared" si="866"/>
        <v>20513.62</v>
      </c>
      <c r="AC368" s="58">
        <f t="shared" si="866"/>
        <v>20513.62</v>
      </c>
      <c r="AD368" s="58">
        <f t="shared" si="866"/>
        <v>20513.62</v>
      </c>
      <c r="AE368" s="58">
        <f t="shared" si="866"/>
        <v>20513.62</v>
      </c>
      <c r="AF368" s="58">
        <f t="shared" si="866"/>
        <v>17359.63</v>
      </c>
      <c r="AG368" s="58">
        <f t="shared" si="866"/>
        <v>5780.46</v>
      </c>
      <c r="AH368" s="332"/>
      <c r="AI368" s="332"/>
      <c r="AJ368" s="13"/>
      <c r="AK368" s="13"/>
      <c r="AL368" s="13"/>
      <c r="AM368" s="13"/>
      <c r="AN368" s="13"/>
      <c r="AO368" s="58">
        <f t="shared" ref="AO368:AZ368" si="867">AO362-AO363</f>
        <v>0</v>
      </c>
      <c r="AP368" s="58">
        <f t="shared" si="867"/>
        <v>0</v>
      </c>
      <c r="AQ368" s="58">
        <f t="shared" si="867"/>
        <v>0</v>
      </c>
      <c r="AR368" s="58">
        <f t="shared" si="867"/>
        <v>0</v>
      </c>
      <c r="AS368" s="58">
        <f t="shared" si="867"/>
        <v>0</v>
      </c>
      <c r="AT368" s="58">
        <f t="shared" si="867"/>
        <v>0</v>
      </c>
      <c r="AU368" s="58">
        <f t="shared" si="867"/>
        <v>0</v>
      </c>
      <c r="AV368" s="58">
        <f t="shared" si="867"/>
        <v>0</v>
      </c>
      <c r="AW368" s="58">
        <f t="shared" si="867"/>
        <v>0</v>
      </c>
      <c r="AX368" s="58">
        <f t="shared" si="867"/>
        <v>3153.99</v>
      </c>
      <c r="AY368" s="58">
        <f t="shared" si="867"/>
        <v>11579.17</v>
      </c>
      <c r="AZ368" s="58">
        <f t="shared" si="867"/>
        <v>5780.46</v>
      </c>
      <c r="BA368" s="417">
        <v>29.609999999986</v>
      </c>
      <c r="BB368" s="320"/>
      <c r="BC368" s="414"/>
      <c r="BD368" s="13"/>
    </row>
    <row r="369" spans="1:56">
      <c r="A369" s="13"/>
      <c r="B369" s="13"/>
      <c r="C369" s="13"/>
      <c r="D369" s="13"/>
      <c r="E369" s="13"/>
      <c r="F369" s="13"/>
      <c r="G369" s="13"/>
      <c r="H369" s="22"/>
      <c r="I369" s="22"/>
      <c r="J369" s="22"/>
      <c r="K369" s="22"/>
      <c r="L369" s="13"/>
      <c r="M369" s="13"/>
      <c r="N369" s="13"/>
      <c r="O369" s="13"/>
      <c r="P369" s="13"/>
      <c r="Q369" s="13"/>
      <c r="R369" s="321" t="s">
        <v>3496</v>
      </c>
      <c r="S369" s="61">
        <f t="shared" ref="S369:AG369" si="868">S368/S362</f>
        <v>0.183788691655283</v>
      </c>
      <c r="T369" s="61">
        <f t="shared" si="868"/>
        <v>0.137129835194386</v>
      </c>
      <c r="U369" s="322">
        <f t="shared" si="868"/>
        <v>0.000262990262343672</v>
      </c>
      <c r="V369" s="61">
        <f t="shared" si="868"/>
        <v>0.55116152039999</v>
      </c>
      <c r="W369" s="61">
        <f t="shared" si="868"/>
        <v>0.55116152039999</v>
      </c>
      <c r="X369" s="61">
        <f t="shared" si="868"/>
        <v>0.55116152039999</v>
      </c>
      <c r="Y369" s="61">
        <f t="shared" si="868"/>
        <v>0.55116152039999</v>
      </c>
      <c r="Z369" s="61">
        <f t="shared" si="868"/>
        <v>0.55116152039999</v>
      </c>
      <c r="AA369" s="61">
        <f t="shared" si="868"/>
        <v>0.55116152039999</v>
      </c>
      <c r="AB369" s="61">
        <f t="shared" si="868"/>
        <v>0.55116152039999</v>
      </c>
      <c r="AC369" s="61">
        <f t="shared" si="868"/>
        <v>0.55116152039999</v>
      </c>
      <c r="AD369" s="61">
        <f t="shared" si="868"/>
        <v>0.55116152039999</v>
      </c>
      <c r="AE369" s="61">
        <f t="shared" si="868"/>
        <v>0.55116152039999</v>
      </c>
      <c r="AF369" s="61">
        <f t="shared" si="868"/>
        <v>0.711491154943616</v>
      </c>
      <c r="AG369" s="61">
        <f t="shared" si="868"/>
        <v>0.450902005262185</v>
      </c>
      <c r="AH369" s="82">
        <f>T369-S369</f>
        <v>-0.0466588564608971</v>
      </c>
      <c r="AI369" s="82">
        <f>AF369-S369</f>
        <v>0.527702463288334</v>
      </c>
      <c r="AJ369" s="13"/>
      <c r="AK369" s="13"/>
      <c r="AL369" s="13"/>
      <c r="AM369" s="13"/>
      <c r="AN369" s="13"/>
      <c r="AO369" s="61" t="e">
        <f t="shared" ref="AO369:AZ369" si="869">AO368/AO362</f>
        <v>#DIV/0!</v>
      </c>
      <c r="AP369" s="61" t="e">
        <f t="shared" si="869"/>
        <v>#DIV/0!</v>
      </c>
      <c r="AQ369" s="61" t="e">
        <f t="shared" si="869"/>
        <v>#DIV/0!</v>
      </c>
      <c r="AR369" s="61" t="e">
        <f t="shared" si="869"/>
        <v>#DIV/0!</v>
      </c>
      <c r="AS369" s="61" t="e">
        <f t="shared" si="869"/>
        <v>#DIV/0!</v>
      </c>
      <c r="AT369" s="61" t="e">
        <f t="shared" si="869"/>
        <v>#DIV/0!</v>
      </c>
      <c r="AU369" s="61" t="e">
        <f t="shared" si="869"/>
        <v>#DIV/0!</v>
      </c>
      <c r="AV369" s="61" t="e">
        <f t="shared" si="869"/>
        <v>#DIV/0!</v>
      </c>
      <c r="AW369" s="61" t="e">
        <f t="shared" si="869"/>
        <v>#DIV/0!</v>
      </c>
      <c r="AX369" s="61">
        <f t="shared" si="869"/>
        <v>0.246022020366694</v>
      </c>
      <c r="AY369" s="61">
        <f t="shared" si="869"/>
        <v>1</v>
      </c>
      <c r="AZ369" s="61">
        <f t="shared" si="869"/>
        <v>0.450902005262185</v>
      </c>
      <c r="BA369" s="418">
        <v>0.000262990262343543</v>
      </c>
      <c r="BB369" s="403"/>
      <c r="BC369" s="414"/>
      <c r="BD369" s="13"/>
    </row>
    <row r="370" spans="1:56">
      <c r="A370" s="13"/>
      <c r="B370" s="13"/>
      <c r="C370" s="13"/>
      <c r="D370" s="13"/>
      <c r="E370" s="13"/>
      <c r="F370" s="13"/>
      <c r="G370" s="13"/>
      <c r="H370" s="22"/>
      <c r="I370" s="22"/>
      <c r="J370" s="22"/>
      <c r="K370" s="22"/>
      <c r="L370" s="13"/>
      <c r="M370" s="13"/>
      <c r="N370" s="13"/>
      <c r="O370" s="13"/>
      <c r="P370" s="13"/>
      <c r="Q370" s="13"/>
      <c r="R370" s="213" t="s">
        <v>3497</v>
      </c>
      <c r="S370" s="58">
        <f t="shared" ref="S370:AG370" si="870">S362-S367</f>
        <v>27741.69</v>
      </c>
      <c r="T370" s="58">
        <f t="shared" si="870"/>
        <v>-9176.57000000001</v>
      </c>
      <c r="U370" s="58">
        <f t="shared" si="870"/>
        <v>820.309999999998</v>
      </c>
      <c r="V370" s="58">
        <f t="shared" si="870"/>
        <v>20550.84</v>
      </c>
      <c r="W370" s="58">
        <f t="shared" si="870"/>
        <v>20550.84</v>
      </c>
      <c r="X370" s="58">
        <f t="shared" si="870"/>
        <v>20550.84</v>
      </c>
      <c r="Y370" s="58">
        <f t="shared" si="870"/>
        <v>20550.84</v>
      </c>
      <c r="Z370" s="58">
        <f t="shared" si="870"/>
        <v>20550.84</v>
      </c>
      <c r="AA370" s="58">
        <f t="shared" si="870"/>
        <v>20550.84</v>
      </c>
      <c r="AB370" s="58">
        <f t="shared" si="870"/>
        <v>20550.84</v>
      </c>
      <c r="AC370" s="58">
        <f t="shared" si="870"/>
        <v>20550.84</v>
      </c>
      <c r="AD370" s="58">
        <f t="shared" si="870"/>
        <v>20550.84</v>
      </c>
      <c r="AE370" s="58">
        <f t="shared" si="870"/>
        <v>20550.84</v>
      </c>
      <c r="AF370" s="58">
        <f t="shared" si="870"/>
        <v>17396.85</v>
      </c>
      <c r="AG370" s="58">
        <f t="shared" si="870"/>
        <v>5804.86</v>
      </c>
      <c r="AH370" s="82"/>
      <c r="AI370" s="82"/>
      <c r="AJ370" s="13"/>
      <c r="AK370" s="13"/>
      <c r="AL370" s="13"/>
      <c r="AM370" s="13"/>
      <c r="AN370" s="13"/>
      <c r="AO370" s="58">
        <f t="shared" ref="AO370:BC370" si="871">AO362-AO367</f>
        <v>0</v>
      </c>
      <c r="AP370" s="58">
        <f t="shared" si="871"/>
        <v>0</v>
      </c>
      <c r="AQ370" s="58">
        <f t="shared" si="871"/>
        <v>0</v>
      </c>
      <c r="AR370" s="58">
        <f t="shared" si="871"/>
        <v>0</v>
      </c>
      <c r="AS370" s="58">
        <f t="shared" si="871"/>
        <v>0</v>
      </c>
      <c r="AT370" s="58">
        <f t="shared" si="871"/>
        <v>0</v>
      </c>
      <c r="AU370" s="58">
        <f t="shared" si="871"/>
        <v>0</v>
      </c>
      <c r="AV370" s="58">
        <f t="shared" si="871"/>
        <v>0</v>
      </c>
      <c r="AW370" s="58">
        <f t="shared" si="871"/>
        <v>0</v>
      </c>
      <c r="AX370" s="58">
        <f t="shared" si="871"/>
        <v>-8755.62</v>
      </c>
      <c r="AY370" s="58">
        <f t="shared" si="871"/>
        <v>11591.99</v>
      </c>
      <c r="AZ370" s="58">
        <f t="shared" si="871"/>
        <v>5804.86</v>
      </c>
      <c r="BA370" s="58">
        <f t="shared" si="871"/>
        <v>820.309999999998</v>
      </c>
      <c r="BB370" s="58">
        <f t="shared" si="871"/>
        <v>0</v>
      </c>
      <c r="BC370" s="58">
        <f t="shared" si="871"/>
        <v>0</v>
      </c>
      <c r="BD370" s="13"/>
    </row>
    <row r="371" ht="16.5" customHeight="1" spans="1:56">
      <c r="A371" s="14"/>
      <c r="B371" s="14"/>
      <c r="C371" s="14"/>
      <c r="D371" s="14"/>
      <c r="E371" s="14"/>
      <c r="F371" s="14"/>
      <c r="G371" s="14"/>
      <c r="H371" s="24"/>
      <c r="I371" s="24"/>
      <c r="J371" s="24"/>
      <c r="K371" s="24"/>
      <c r="L371" s="14"/>
      <c r="M371" s="14"/>
      <c r="N371" s="14"/>
      <c r="O371" s="14"/>
      <c r="P371" s="14"/>
      <c r="Q371" s="14"/>
      <c r="R371" s="321" t="s">
        <v>3498</v>
      </c>
      <c r="S371" s="61">
        <f t="shared" ref="S371:AG371" si="872">S370/S362</f>
        <v>0.183788691655283</v>
      </c>
      <c r="T371" s="61">
        <f t="shared" si="872"/>
        <v>-0.0612552910009646</v>
      </c>
      <c r="U371" s="322">
        <f t="shared" si="872"/>
        <v>0.00728583391094673</v>
      </c>
      <c r="V371" s="61">
        <f t="shared" si="872"/>
        <v>0.552161550223556</v>
      </c>
      <c r="W371" s="61">
        <f t="shared" si="872"/>
        <v>0.552161550223556</v>
      </c>
      <c r="X371" s="61">
        <f t="shared" si="872"/>
        <v>0.552161550223556</v>
      </c>
      <c r="Y371" s="61">
        <f t="shared" si="872"/>
        <v>0.552161550223556</v>
      </c>
      <c r="Z371" s="61">
        <f t="shared" si="872"/>
        <v>0.552161550223556</v>
      </c>
      <c r="AA371" s="61">
        <f t="shared" si="872"/>
        <v>0.552161550223556</v>
      </c>
      <c r="AB371" s="61">
        <f t="shared" si="872"/>
        <v>0.552161550223556</v>
      </c>
      <c r="AC371" s="61">
        <f t="shared" si="872"/>
        <v>0.552161550223556</v>
      </c>
      <c r="AD371" s="61">
        <f t="shared" si="872"/>
        <v>0.552161550223556</v>
      </c>
      <c r="AE371" s="61">
        <f t="shared" si="872"/>
        <v>0.552161550223556</v>
      </c>
      <c r="AF371" s="61">
        <f t="shared" si="872"/>
        <v>0.713016631050365</v>
      </c>
      <c r="AG371" s="61">
        <f t="shared" si="872"/>
        <v>0.452805315539982</v>
      </c>
      <c r="AH371" s="82">
        <f>T371-S371</f>
        <v>-0.245043982656247</v>
      </c>
      <c r="AI371" s="82">
        <f>AF371-S371</f>
        <v>0.529227939395083</v>
      </c>
      <c r="AJ371" s="14"/>
      <c r="AK371" s="14"/>
      <c r="AL371" s="14"/>
      <c r="AM371" s="14"/>
      <c r="AN371" s="14"/>
      <c r="AO371" s="61" t="e">
        <f t="shared" ref="AO371:AZ371" si="873">AO370/AO362</f>
        <v>#DIV/0!</v>
      </c>
      <c r="AP371" s="61" t="e">
        <f t="shared" si="873"/>
        <v>#DIV/0!</v>
      </c>
      <c r="AQ371" s="61" t="e">
        <f t="shared" si="873"/>
        <v>#DIV/0!</v>
      </c>
      <c r="AR371" s="61" t="e">
        <f t="shared" si="873"/>
        <v>#DIV/0!</v>
      </c>
      <c r="AS371" s="61" t="e">
        <f t="shared" si="873"/>
        <v>#DIV/0!</v>
      </c>
      <c r="AT371" s="61" t="e">
        <f t="shared" si="873"/>
        <v>#DIV/0!</v>
      </c>
      <c r="AU371" s="61" t="e">
        <f t="shared" si="873"/>
        <v>#DIV/0!</v>
      </c>
      <c r="AV371" s="61" t="e">
        <f t="shared" si="873"/>
        <v>#DIV/0!</v>
      </c>
      <c r="AW371" s="61" t="e">
        <f t="shared" si="873"/>
        <v>#DIV/0!</v>
      </c>
      <c r="AX371" s="61">
        <f t="shared" si="873"/>
        <v>-0.682968342310227</v>
      </c>
      <c r="AY371" s="61">
        <f t="shared" si="873"/>
        <v>1.0011071605305</v>
      </c>
      <c r="AZ371" s="61">
        <f t="shared" si="873"/>
        <v>0.452805315539982</v>
      </c>
      <c r="BA371" s="418">
        <v>0.00728583391094663</v>
      </c>
      <c r="BB371" s="403"/>
      <c r="BC371" s="414"/>
      <c r="BD371" s="14"/>
    </row>
    <row r="372" ht="15" customHeight="1" spans="1:56">
      <c r="A372" s="300" t="s">
        <v>2682</v>
      </c>
      <c r="B372" s="301" t="s">
        <v>3604</v>
      </c>
      <c r="C372" s="302">
        <v>45807</v>
      </c>
      <c r="D372" s="302">
        <v>46275</v>
      </c>
      <c r="E372" s="304"/>
      <c r="F372" s="233">
        <v>0.81</v>
      </c>
      <c r="G372" s="28">
        <v>0</v>
      </c>
      <c r="H372" s="301"/>
      <c r="I372" s="301"/>
      <c r="J372" s="12"/>
      <c r="K372" s="12"/>
      <c r="L372" s="12"/>
      <c r="M372" s="12"/>
      <c r="N372" s="12"/>
      <c r="O372" s="12"/>
      <c r="P372" s="304"/>
      <c r="Q372" s="12"/>
      <c r="R372" s="318" t="s">
        <v>3486</v>
      </c>
      <c r="S372" s="58">
        <v>181603.77</v>
      </c>
      <c r="T372" s="58">
        <f t="shared" ref="T372:T376" si="874">SUM(AO372:BC372)</f>
        <v>180238.51</v>
      </c>
      <c r="U372" s="319">
        <f t="shared" ref="U372:U376" si="875">SUM(BA372:BC372)</f>
        <v>139982.95</v>
      </c>
      <c r="V372" s="58">
        <f t="shared" ref="V372:V376" si="876">SUM(AO372:AZ372)</f>
        <v>40255.56</v>
      </c>
      <c r="W372" s="58">
        <f t="shared" ref="W372:W376" si="877">SUM(AP372:AZ372)</f>
        <v>40255.56</v>
      </c>
      <c r="X372" s="58">
        <f t="shared" ref="X372:X376" si="878">SUM(AQ372:AZ372)</f>
        <v>40255.56</v>
      </c>
      <c r="Y372" s="58">
        <f t="shared" ref="Y372:Y376" si="879">SUM(AR372:AZ372)</f>
        <v>40255.56</v>
      </c>
      <c r="Z372" s="58">
        <f t="shared" ref="Z372:Z376" si="880">SUM(AS372:AZ372)</f>
        <v>40255.56</v>
      </c>
      <c r="AA372" s="58">
        <f t="shared" ref="AA372:AA376" si="881">SUM(AT372:AZ372)</f>
        <v>40255.56</v>
      </c>
      <c r="AB372" s="58">
        <f t="shared" ref="AB372:AB376" si="882">SUM(AU372:AZ372)</f>
        <v>40255.56</v>
      </c>
      <c r="AC372" s="58">
        <f t="shared" ref="AC372:AC376" si="883">SUM(AV372:AZ372)</f>
        <v>40255.56</v>
      </c>
      <c r="AD372" s="58">
        <f t="shared" ref="AD372:AD376" si="884">SUM(AW372:AZ372)</f>
        <v>40255.56</v>
      </c>
      <c r="AE372" s="58">
        <f t="shared" ref="AE372:AE376" si="885">SUM(AX372:AZ372)</f>
        <v>40255.56</v>
      </c>
      <c r="AF372" s="58">
        <f t="shared" ref="AF372:AF376" si="886">SUM(AY372:AZ372)</f>
        <v>40255.56</v>
      </c>
      <c r="AG372" s="58">
        <f t="shared" ref="AG372:AG376" si="887">SUM(AZ372:AZ372)</f>
        <v>3848.19</v>
      </c>
      <c r="AH372" s="328"/>
      <c r="AI372" s="328"/>
      <c r="AJ372" s="93"/>
      <c r="AK372" s="28" t="s">
        <v>3605</v>
      </c>
      <c r="AL372" s="93" t="s">
        <v>3606</v>
      </c>
      <c r="AM372" s="93"/>
      <c r="AN372" s="411">
        <v>0.096</v>
      </c>
      <c r="AO372" s="58"/>
      <c r="AP372" s="58"/>
      <c r="AQ372" s="58"/>
      <c r="AR372" s="58"/>
      <c r="AS372" s="58"/>
      <c r="AT372" s="58"/>
      <c r="AU372" s="58"/>
      <c r="AV372" s="58"/>
      <c r="AW372" s="58"/>
      <c r="AX372" s="58">
        <v>0</v>
      </c>
      <c r="AY372" s="58">
        <v>36407.37</v>
      </c>
      <c r="AZ372" s="58">
        <v>3848.19</v>
      </c>
      <c r="BA372" s="422">
        <v>139982.95</v>
      </c>
      <c r="BB372" s="319"/>
      <c r="BC372" s="414"/>
      <c r="BD372" s="259"/>
    </row>
    <row r="373" ht="15" customHeight="1" spans="1:56">
      <c r="A373" s="13"/>
      <c r="B373" s="13"/>
      <c r="C373" s="13"/>
      <c r="D373" s="13"/>
      <c r="E373" s="13"/>
      <c r="F373" s="13"/>
      <c r="G373" s="13"/>
      <c r="H373" s="13"/>
      <c r="I373" s="13"/>
      <c r="J373" s="13"/>
      <c r="K373" s="13"/>
      <c r="L373" s="13"/>
      <c r="M373" s="13"/>
      <c r="N373" s="13"/>
      <c r="O373" s="13"/>
      <c r="P373" s="13"/>
      <c r="Q373" s="13"/>
      <c r="R373" s="213" t="s">
        <v>3490</v>
      </c>
      <c r="S373" s="58">
        <v>148783.99</v>
      </c>
      <c r="T373" s="58">
        <f t="shared" si="874"/>
        <v>172338.83</v>
      </c>
      <c r="U373" s="319">
        <f t="shared" si="875"/>
        <v>154415.59</v>
      </c>
      <c r="V373" s="58">
        <f t="shared" si="876"/>
        <v>17923.24</v>
      </c>
      <c r="W373" s="58">
        <f t="shared" si="877"/>
        <v>17923.24</v>
      </c>
      <c r="X373" s="58">
        <f t="shared" si="878"/>
        <v>17923.24</v>
      </c>
      <c r="Y373" s="58">
        <f t="shared" si="879"/>
        <v>17923.24</v>
      </c>
      <c r="Z373" s="58">
        <f t="shared" si="880"/>
        <v>17923.24</v>
      </c>
      <c r="AA373" s="58">
        <f t="shared" si="881"/>
        <v>17923.24</v>
      </c>
      <c r="AB373" s="58">
        <f t="shared" si="882"/>
        <v>17923.24</v>
      </c>
      <c r="AC373" s="58">
        <f t="shared" si="883"/>
        <v>17923.24</v>
      </c>
      <c r="AD373" s="58">
        <f t="shared" si="884"/>
        <v>17923.24</v>
      </c>
      <c r="AE373" s="58">
        <f t="shared" si="885"/>
        <v>17923.24</v>
      </c>
      <c r="AF373" s="58">
        <f t="shared" si="886"/>
        <v>17923.23</v>
      </c>
      <c r="AG373" s="58">
        <f t="shared" si="887"/>
        <v>0</v>
      </c>
      <c r="AH373" s="328"/>
      <c r="AI373" s="328"/>
      <c r="AJ373" s="13"/>
      <c r="AK373" s="13"/>
      <c r="AL373" s="13"/>
      <c r="AM373" s="13"/>
      <c r="AN373" s="13"/>
      <c r="AO373" s="58"/>
      <c r="AP373" s="58"/>
      <c r="AQ373" s="58"/>
      <c r="AR373" s="58"/>
      <c r="AS373" s="58"/>
      <c r="AT373" s="58"/>
      <c r="AU373" s="58"/>
      <c r="AV373" s="58"/>
      <c r="AW373" s="58"/>
      <c r="AX373" s="58">
        <v>0.01</v>
      </c>
      <c r="AY373" s="58">
        <v>17923.23</v>
      </c>
      <c r="AZ373" s="58">
        <v>0</v>
      </c>
      <c r="BA373" s="422">
        <v>154415.59</v>
      </c>
      <c r="BB373" s="319"/>
      <c r="BC373" s="414"/>
      <c r="BD373" s="259"/>
    </row>
    <row r="374" ht="15" customHeight="1" spans="1:56">
      <c r="A374" s="13"/>
      <c r="B374" s="13"/>
      <c r="C374" s="13"/>
      <c r="D374" s="13"/>
      <c r="E374" s="13"/>
      <c r="F374" s="13"/>
      <c r="G374" s="13"/>
      <c r="H374" s="13"/>
      <c r="I374" s="13"/>
      <c r="J374" s="13"/>
      <c r="K374" s="13"/>
      <c r="L374" s="13"/>
      <c r="M374" s="13"/>
      <c r="N374" s="13"/>
      <c r="O374" s="13"/>
      <c r="P374" s="13"/>
      <c r="Q374" s="13"/>
      <c r="R374" s="213" t="s">
        <v>3491</v>
      </c>
      <c r="S374" s="58"/>
      <c r="T374" s="58">
        <f t="shared" si="874"/>
        <v>0</v>
      </c>
      <c r="U374" s="319">
        <f t="shared" si="875"/>
        <v>0</v>
      </c>
      <c r="V374" s="58"/>
      <c r="W374" s="58"/>
      <c r="X374" s="58"/>
      <c r="Y374" s="58"/>
      <c r="Z374" s="58"/>
      <c r="AA374" s="58"/>
      <c r="AB374" s="58"/>
      <c r="AC374" s="58"/>
      <c r="AD374" s="58"/>
      <c r="AE374" s="58"/>
      <c r="AF374" s="58"/>
      <c r="AG374" s="58"/>
      <c r="AH374" s="328"/>
      <c r="AI374" s="328"/>
      <c r="AJ374" s="13"/>
      <c r="AK374" s="13"/>
      <c r="AL374" s="13"/>
      <c r="AM374" s="13"/>
      <c r="AN374" s="13"/>
      <c r="AO374" s="58"/>
      <c r="AP374" s="58"/>
      <c r="AQ374" s="58"/>
      <c r="AR374" s="58"/>
      <c r="AS374" s="58"/>
      <c r="AT374" s="58"/>
      <c r="AU374" s="58"/>
      <c r="AV374" s="58"/>
      <c r="AW374" s="58"/>
      <c r="AX374" s="58">
        <v>0</v>
      </c>
      <c r="AY374" s="58"/>
      <c r="AZ374" s="58"/>
      <c r="BA374" s="422"/>
      <c r="BB374" s="319"/>
      <c r="BC374" s="414"/>
      <c r="BD374" s="259"/>
    </row>
    <row r="375" ht="15" customHeight="1" spans="1:56">
      <c r="A375" s="13"/>
      <c r="B375" s="13"/>
      <c r="C375" s="13"/>
      <c r="D375" s="13"/>
      <c r="E375" s="13"/>
      <c r="F375" s="13"/>
      <c r="G375" s="13"/>
      <c r="H375" s="13"/>
      <c r="I375" s="13"/>
      <c r="J375" s="13"/>
      <c r="K375" s="13"/>
      <c r="L375" s="13"/>
      <c r="M375" s="13"/>
      <c r="N375" s="13"/>
      <c r="O375" s="13"/>
      <c r="P375" s="13"/>
      <c r="Q375" s="13"/>
      <c r="R375" s="213" t="s">
        <v>3492</v>
      </c>
      <c r="S375" s="58">
        <v>0</v>
      </c>
      <c r="T375" s="58">
        <f t="shared" si="874"/>
        <v>0</v>
      </c>
      <c r="U375" s="319">
        <f t="shared" si="875"/>
        <v>0</v>
      </c>
      <c r="V375" s="58">
        <f t="shared" si="876"/>
        <v>0</v>
      </c>
      <c r="W375" s="58">
        <f t="shared" si="877"/>
        <v>0</v>
      </c>
      <c r="X375" s="58">
        <f t="shared" si="878"/>
        <v>0</v>
      </c>
      <c r="Y375" s="58">
        <f t="shared" si="879"/>
        <v>0</v>
      </c>
      <c r="Z375" s="58">
        <f t="shared" si="880"/>
        <v>0</v>
      </c>
      <c r="AA375" s="58">
        <f t="shared" si="881"/>
        <v>0</v>
      </c>
      <c r="AB375" s="58">
        <f t="shared" si="882"/>
        <v>0</v>
      </c>
      <c r="AC375" s="58">
        <f t="shared" si="883"/>
        <v>0</v>
      </c>
      <c r="AD375" s="58">
        <f t="shared" si="884"/>
        <v>0</v>
      </c>
      <c r="AE375" s="58">
        <f t="shared" si="885"/>
        <v>0</v>
      </c>
      <c r="AF375" s="58">
        <f t="shared" si="886"/>
        <v>0</v>
      </c>
      <c r="AG375" s="58">
        <f t="shared" si="887"/>
        <v>0</v>
      </c>
      <c r="AH375" s="328"/>
      <c r="AI375" s="328"/>
      <c r="AJ375" s="13"/>
      <c r="AK375" s="13"/>
      <c r="AL375" s="13"/>
      <c r="AM375" s="13"/>
      <c r="AN375" s="13"/>
      <c r="AO375" s="58"/>
      <c r="AP375" s="58"/>
      <c r="AQ375" s="58"/>
      <c r="AR375" s="58"/>
      <c r="AS375" s="58"/>
      <c r="AT375" s="58"/>
      <c r="AU375" s="58"/>
      <c r="AV375" s="58"/>
      <c r="AW375" s="58"/>
      <c r="AX375" s="58"/>
      <c r="AY375" s="58">
        <v>0</v>
      </c>
      <c r="AZ375" s="58">
        <v>0</v>
      </c>
      <c r="BA375" s="422">
        <v>0</v>
      </c>
      <c r="BB375" s="319"/>
      <c r="BC375" s="414"/>
      <c r="BD375" s="259"/>
    </row>
    <row r="376" ht="15" customHeight="1" spans="1:56">
      <c r="A376" s="13"/>
      <c r="B376" s="13"/>
      <c r="C376" s="13"/>
      <c r="D376" s="13"/>
      <c r="E376" s="13"/>
      <c r="F376" s="13"/>
      <c r="G376" s="13"/>
      <c r="H376" s="13"/>
      <c r="I376" s="13"/>
      <c r="J376" s="13"/>
      <c r="K376" s="13"/>
      <c r="L376" s="13"/>
      <c r="M376" s="13"/>
      <c r="N376" s="13"/>
      <c r="O376" s="13"/>
      <c r="P376" s="13"/>
      <c r="Q376" s="13"/>
      <c r="R376" s="213" t="s">
        <v>3493</v>
      </c>
      <c r="S376" s="58">
        <v>0</v>
      </c>
      <c r="T376" s="58">
        <f t="shared" si="874"/>
        <v>-231.65</v>
      </c>
      <c r="U376" s="319">
        <f t="shared" si="875"/>
        <v>-195.24</v>
      </c>
      <c r="V376" s="58">
        <f t="shared" si="876"/>
        <v>-36.41</v>
      </c>
      <c r="W376" s="58">
        <f t="shared" si="877"/>
        <v>-36.41</v>
      </c>
      <c r="X376" s="58">
        <f t="shared" si="878"/>
        <v>-36.41</v>
      </c>
      <c r="Y376" s="58">
        <f t="shared" si="879"/>
        <v>-36.41</v>
      </c>
      <c r="Z376" s="58">
        <f t="shared" si="880"/>
        <v>-36.41</v>
      </c>
      <c r="AA376" s="58">
        <f t="shared" si="881"/>
        <v>-36.41</v>
      </c>
      <c r="AB376" s="58">
        <f t="shared" si="882"/>
        <v>-36.41</v>
      </c>
      <c r="AC376" s="58">
        <f t="shared" si="883"/>
        <v>-36.41</v>
      </c>
      <c r="AD376" s="58">
        <f t="shared" si="884"/>
        <v>-36.41</v>
      </c>
      <c r="AE376" s="58">
        <f t="shared" si="885"/>
        <v>-36.41</v>
      </c>
      <c r="AF376" s="58">
        <f t="shared" si="886"/>
        <v>-36.41</v>
      </c>
      <c r="AG376" s="58">
        <f t="shared" si="887"/>
        <v>-36.41</v>
      </c>
      <c r="AH376" s="328"/>
      <c r="AI376" s="328"/>
      <c r="AJ376" s="13"/>
      <c r="AK376" s="13"/>
      <c r="AL376" s="13"/>
      <c r="AM376" s="13"/>
      <c r="AN376" s="13"/>
      <c r="AO376" s="58"/>
      <c r="AP376" s="58"/>
      <c r="AQ376" s="58"/>
      <c r="AR376" s="58"/>
      <c r="AS376" s="58"/>
      <c r="AT376" s="58"/>
      <c r="AU376" s="58"/>
      <c r="AV376" s="58"/>
      <c r="AW376" s="58"/>
      <c r="AX376" s="58">
        <v>0</v>
      </c>
      <c r="AY376" s="58">
        <v>0</v>
      </c>
      <c r="AZ376" s="58">
        <v>-36.41</v>
      </c>
      <c r="BA376" s="422">
        <v>-195.24</v>
      </c>
      <c r="BB376" s="319"/>
      <c r="BC376" s="414"/>
      <c r="BD376" s="259"/>
    </row>
    <row r="377" ht="16.5" customHeight="1" spans="1:56">
      <c r="A377" s="13"/>
      <c r="B377" s="13"/>
      <c r="C377" s="13"/>
      <c r="D377" s="13"/>
      <c r="E377" s="13"/>
      <c r="F377" s="13"/>
      <c r="G377" s="13"/>
      <c r="H377" s="13"/>
      <c r="I377" s="13"/>
      <c r="J377" s="13"/>
      <c r="K377" s="13"/>
      <c r="L377" s="13"/>
      <c r="M377" s="13"/>
      <c r="N377" s="13"/>
      <c r="O377" s="13"/>
      <c r="P377" s="13"/>
      <c r="Q377" s="13"/>
      <c r="R377" s="213" t="s">
        <v>3494</v>
      </c>
      <c r="S377" s="214">
        <f t="shared" ref="S377:AG377" si="888">SUM(S373:S376)</f>
        <v>148783.99</v>
      </c>
      <c r="T377" s="214">
        <f t="shared" si="888"/>
        <v>172107.18</v>
      </c>
      <c r="U377" s="320">
        <f t="shared" si="888"/>
        <v>154220.35</v>
      </c>
      <c r="V377" s="214">
        <f t="shared" si="888"/>
        <v>17886.83</v>
      </c>
      <c r="W377" s="214">
        <f t="shared" si="888"/>
        <v>17886.83</v>
      </c>
      <c r="X377" s="214">
        <f t="shared" si="888"/>
        <v>17886.83</v>
      </c>
      <c r="Y377" s="214">
        <f t="shared" si="888"/>
        <v>17886.83</v>
      </c>
      <c r="Z377" s="214">
        <f t="shared" si="888"/>
        <v>17886.83</v>
      </c>
      <c r="AA377" s="214">
        <f t="shared" si="888"/>
        <v>17886.83</v>
      </c>
      <c r="AB377" s="214">
        <f t="shared" si="888"/>
        <v>17886.83</v>
      </c>
      <c r="AC377" s="214">
        <f t="shared" si="888"/>
        <v>17886.83</v>
      </c>
      <c r="AD377" s="214">
        <f t="shared" si="888"/>
        <v>17886.83</v>
      </c>
      <c r="AE377" s="214">
        <f t="shared" si="888"/>
        <v>17886.83</v>
      </c>
      <c r="AF377" s="214">
        <f t="shared" si="888"/>
        <v>17886.82</v>
      </c>
      <c r="AG377" s="214">
        <f t="shared" si="888"/>
        <v>-36.41</v>
      </c>
      <c r="AH377" s="214">
        <f>SUM(AH373:AH376)</f>
        <v>0</v>
      </c>
      <c r="AI377" s="214">
        <f>SUM(AI373:AI376)</f>
        <v>0</v>
      </c>
      <c r="AJ377" s="13"/>
      <c r="AK377" s="13"/>
      <c r="AL377" s="13"/>
      <c r="AM377" s="13"/>
      <c r="AN377" s="13"/>
      <c r="AO377" s="214">
        <f t="shared" ref="AO377:AX377" si="889">SUM(AO373:AO376)</f>
        <v>0</v>
      </c>
      <c r="AP377" s="214">
        <f t="shared" si="889"/>
        <v>0</v>
      </c>
      <c r="AQ377" s="214">
        <f t="shared" si="889"/>
        <v>0</v>
      </c>
      <c r="AR377" s="214">
        <f t="shared" si="889"/>
        <v>0</v>
      </c>
      <c r="AS377" s="214">
        <f t="shared" si="889"/>
        <v>0</v>
      </c>
      <c r="AT377" s="214">
        <f t="shared" si="889"/>
        <v>0</v>
      </c>
      <c r="AU377" s="214">
        <f t="shared" si="889"/>
        <v>0</v>
      </c>
      <c r="AV377" s="214">
        <f t="shared" si="889"/>
        <v>0</v>
      </c>
      <c r="AW377" s="214">
        <f t="shared" si="889"/>
        <v>0</v>
      </c>
      <c r="AX377" s="214">
        <f t="shared" si="889"/>
        <v>0.01</v>
      </c>
      <c r="AY377" s="214">
        <v>17923.23</v>
      </c>
      <c r="AZ377" s="214">
        <f>SUM(AZ373:AZ376)</f>
        <v>-36.41</v>
      </c>
      <c r="BA377" s="415">
        <v>154220.35</v>
      </c>
      <c r="BB377" s="320">
        <f>SUM(BB373:BB376)</f>
        <v>0</v>
      </c>
      <c r="BC377" s="416">
        <f>SUM(BC373:BC376)</f>
        <v>0</v>
      </c>
      <c r="BD377" s="345"/>
    </row>
    <row r="378" ht="15" customHeight="1" spans="1:56">
      <c r="A378" s="13"/>
      <c r="B378" s="13"/>
      <c r="C378" s="13"/>
      <c r="D378" s="13"/>
      <c r="E378" s="13"/>
      <c r="F378" s="13"/>
      <c r="G378" s="13"/>
      <c r="H378" s="13"/>
      <c r="I378" s="13"/>
      <c r="J378" s="13"/>
      <c r="K378" s="13"/>
      <c r="L378" s="13"/>
      <c r="M378" s="13"/>
      <c r="N378" s="13"/>
      <c r="O378" s="13"/>
      <c r="P378" s="13"/>
      <c r="Q378" s="13"/>
      <c r="R378" s="213" t="s">
        <v>3495</v>
      </c>
      <c r="S378" s="58">
        <f t="shared" ref="S378:AG378" si="890">S372-S373</f>
        <v>32819.78</v>
      </c>
      <c r="T378" s="58">
        <f t="shared" si="890"/>
        <v>7899.68000000002</v>
      </c>
      <c r="U378" s="319">
        <f t="shared" si="890"/>
        <v>-14432.64</v>
      </c>
      <c r="V378" s="58">
        <f t="shared" si="890"/>
        <v>22332.32</v>
      </c>
      <c r="W378" s="58">
        <f t="shared" si="890"/>
        <v>22332.32</v>
      </c>
      <c r="X378" s="58">
        <f t="shared" si="890"/>
        <v>22332.32</v>
      </c>
      <c r="Y378" s="58">
        <f t="shared" si="890"/>
        <v>22332.32</v>
      </c>
      <c r="Z378" s="58">
        <f t="shared" si="890"/>
        <v>22332.32</v>
      </c>
      <c r="AA378" s="58">
        <f t="shared" si="890"/>
        <v>22332.32</v>
      </c>
      <c r="AB378" s="58">
        <f t="shared" si="890"/>
        <v>22332.32</v>
      </c>
      <c r="AC378" s="58">
        <f t="shared" si="890"/>
        <v>22332.32</v>
      </c>
      <c r="AD378" s="58">
        <f t="shared" si="890"/>
        <v>22332.32</v>
      </c>
      <c r="AE378" s="58">
        <f t="shared" si="890"/>
        <v>22332.32</v>
      </c>
      <c r="AF378" s="58">
        <f t="shared" si="890"/>
        <v>22332.33</v>
      </c>
      <c r="AG378" s="58">
        <f t="shared" si="890"/>
        <v>3848.19</v>
      </c>
      <c r="AH378" s="332"/>
      <c r="AI378" s="332"/>
      <c r="AJ378" s="13"/>
      <c r="AK378" s="13"/>
      <c r="AL378" s="13"/>
      <c r="AM378" s="13"/>
      <c r="AN378" s="13"/>
      <c r="AO378" s="58">
        <f t="shared" ref="AO378:AZ378" si="891">AO372-AO373</f>
        <v>0</v>
      </c>
      <c r="AP378" s="58">
        <f t="shared" si="891"/>
        <v>0</v>
      </c>
      <c r="AQ378" s="58">
        <f t="shared" si="891"/>
        <v>0</v>
      </c>
      <c r="AR378" s="58">
        <f t="shared" si="891"/>
        <v>0</v>
      </c>
      <c r="AS378" s="58">
        <f t="shared" si="891"/>
        <v>0</v>
      </c>
      <c r="AT378" s="58">
        <f t="shared" si="891"/>
        <v>0</v>
      </c>
      <c r="AU378" s="58">
        <f t="shared" si="891"/>
        <v>0</v>
      </c>
      <c r="AV378" s="58">
        <f t="shared" si="891"/>
        <v>0</v>
      </c>
      <c r="AW378" s="58">
        <f t="shared" si="891"/>
        <v>0</v>
      </c>
      <c r="AX378" s="58">
        <f t="shared" si="891"/>
        <v>-0.01</v>
      </c>
      <c r="AY378" s="58">
        <f t="shared" si="891"/>
        <v>18484.14</v>
      </c>
      <c r="AZ378" s="58">
        <f t="shared" si="891"/>
        <v>3848.19</v>
      </c>
      <c r="BA378" s="422">
        <v>-14432.64</v>
      </c>
      <c r="BB378" s="320"/>
      <c r="BC378" s="414"/>
      <c r="BD378" s="259"/>
    </row>
    <row r="379" ht="15" customHeight="1" spans="1:56">
      <c r="A379" s="13"/>
      <c r="B379" s="13"/>
      <c r="C379" s="13"/>
      <c r="D379" s="13"/>
      <c r="E379" s="13"/>
      <c r="F379" s="13"/>
      <c r="G379" s="13"/>
      <c r="H379" s="13"/>
      <c r="I379" s="13"/>
      <c r="J379" s="13"/>
      <c r="K379" s="13"/>
      <c r="L379" s="13"/>
      <c r="M379" s="13"/>
      <c r="N379" s="13"/>
      <c r="O379" s="13"/>
      <c r="P379" s="13"/>
      <c r="Q379" s="13"/>
      <c r="R379" s="321" t="s">
        <v>3496</v>
      </c>
      <c r="S379" s="61">
        <f t="shared" ref="S379:AG379" si="892">S378/S372</f>
        <v>0.180721909022043</v>
      </c>
      <c r="T379" s="61">
        <f t="shared" si="892"/>
        <v>0.0438290352045188</v>
      </c>
      <c r="U379" s="322">
        <f t="shared" si="892"/>
        <v>-0.103102842167564</v>
      </c>
      <c r="V379" s="61">
        <f t="shared" si="892"/>
        <v>0.554763615262091</v>
      </c>
      <c r="W379" s="61">
        <f t="shared" si="892"/>
        <v>0.554763615262091</v>
      </c>
      <c r="X379" s="61">
        <f t="shared" si="892"/>
        <v>0.554763615262091</v>
      </c>
      <c r="Y379" s="61">
        <f t="shared" si="892"/>
        <v>0.554763615262091</v>
      </c>
      <c r="Z379" s="61">
        <f t="shared" si="892"/>
        <v>0.554763615262091</v>
      </c>
      <c r="AA379" s="61">
        <f t="shared" si="892"/>
        <v>0.554763615262091</v>
      </c>
      <c r="AB379" s="61">
        <f t="shared" si="892"/>
        <v>0.554763615262091</v>
      </c>
      <c r="AC379" s="61">
        <f t="shared" si="892"/>
        <v>0.554763615262091</v>
      </c>
      <c r="AD379" s="61">
        <f t="shared" si="892"/>
        <v>0.554763615262091</v>
      </c>
      <c r="AE379" s="61">
        <f t="shared" si="892"/>
        <v>0.554763615262091</v>
      </c>
      <c r="AF379" s="61">
        <f t="shared" si="892"/>
        <v>0.554763863674981</v>
      </c>
      <c r="AG379" s="61">
        <f t="shared" si="892"/>
        <v>1</v>
      </c>
      <c r="AH379" s="82">
        <f>T379-S379</f>
        <v>-0.136892873817524</v>
      </c>
      <c r="AI379" s="82">
        <f>AF379-S379</f>
        <v>0.374041954652938</v>
      </c>
      <c r="AJ379" s="13"/>
      <c r="AK379" s="13"/>
      <c r="AL379" s="13"/>
      <c r="AM379" s="13"/>
      <c r="AN379" s="13"/>
      <c r="AO379" s="61" t="e">
        <f t="shared" ref="AO379:AZ379" si="893">AO378/AO372</f>
        <v>#DIV/0!</v>
      </c>
      <c r="AP379" s="61" t="e">
        <f t="shared" si="893"/>
        <v>#DIV/0!</v>
      </c>
      <c r="AQ379" s="61" t="e">
        <f t="shared" si="893"/>
        <v>#DIV/0!</v>
      </c>
      <c r="AR379" s="61" t="e">
        <f t="shared" si="893"/>
        <v>#DIV/0!</v>
      </c>
      <c r="AS379" s="61" t="e">
        <f t="shared" si="893"/>
        <v>#DIV/0!</v>
      </c>
      <c r="AT379" s="61" t="e">
        <f t="shared" si="893"/>
        <v>#DIV/0!</v>
      </c>
      <c r="AU379" s="61" t="e">
        <f t="shared" si="893"/>
        <v>#DIV/0!</v>
      </c>
      <c r="AV379" s="61" t="e">
        <f t="shared" si="893"/>
        <v>#DIV/0!</v>
      </c>
      <c r="AW379" s="61" t="e">
        <f t="shared" si="893"/>
        <v>#DIV/0!</v>
      </c>
      <c r="AX379" s="61" t="e">
        <f t="shared" si="893"/>
        <v>#DIV/0!</v>
      </c>
      <c r="AY379" s="61">
        <f t="shared" si="893"/>
        <v>0.507703247996216</v>
      </c>
      <c r="AZ379" s="61">
        <f t="shared" si="893"/>
        <v>1</v>
      </c>
      <c r="BA379" s="418">
        <v>-0.103102842167564</v>
      </c>
      <c r="BB379" s="403"/>
      <c r="BC379" s="414"/>
      <c r="BD379" s="259"/>
    </row>
    <row r="380" ht="15" customHeight="1" spans="1:56">
      <c r="A380" s="13"/>
      <c r="B380" s="13"/>
      <c r="C380" s="13"/>
      <c r="D380" s="13"/>
      <c r="E380" s="13"/>
      <c r="F380" s="13"/>
      <c r="G380" s="13"/>
      <c r="H380" s="13"/>
      <c r="I380" s="13"/>
      <c r="J380" s="13"/>
      <c r="K380" s="13"/>
      <c r="L380" s="13"/>
      <c r="M380" s="13"/>
      <c r="N380" s="13"/>
      <c r="O380" s="13"/>
      <c r="P380" s="13"/>
      <c r="Q380" s="13"/>
      <c r="R380" s="213" t="s">
        <v>3497</v>
      </c>
      <c r="S380" s="58">
        <f t="shared" ref="S380:AG380" si="894">S372-S377</f>
        <v>32819.78</v>
      </c>
      <c r="T380" s="58">
        <f t="shared" si="894"/>
        <v>8131.33000000002</v>
      </c>
      <c r="U380" s="58">
        <f t="shared" si="894"/>
        <v>-14237.4</v>
      </c>
      <c r="V380" s="58">
        <f t="shared" si="894"/>
        <v>22368.73</v>
      </c>
      <c r="W380" s="58">
        <f t="shared" si="894"/>
        <v>22368.73</v>
      </c>
      <c r="X380" s="58">
        <f t="shared" si="894"/>
        <v>22368.73</v>
      </c>
      <c r="Y380" s="58">
        <f t="shared" si="894"/>
        <v>22368.73</v>
      </c>
      <c r="Z380" s="58">
        <f t="shared" si="894"/>
        <v>22368.73</v>
      </c>
      <c r="AA380" s="58">
        <f t="shared" si="894"/>
        <v>22368.73</v>
      </c>
      <c r="AB380" s="58">
        <f t="shared" si="894"/>
        <v>22368.73</v>
      </c>
      <c r="AC380" s="58">
        <f t="shared" si="894"/>
        <v>22368.73</v>
      </c>
      <c r="AD380" s="58">
        <f t="shared" si="894"/>
        <v>22368.73</v>
      </c>
      <c r="AE380" s="58">
        <f t="shared" si="894"/>
        <v>22368.73</v>
      </c>
      <c r="AF380" s="58">
        <f t="shared" si="894"/>
        <v>22368.74</v>
      </c>
      <c r="AG380" s="58">
        <f t="shared" si="894"/>
        <v>3884.6</v>
      </c>
      <c r="AH380" s="82"/>
      <c r="AI380" s="82"/>
      <c r="AJ380" s="13"/>
      <c r="AK380" s="13"/>
      <c r="AL380" s="13"/>
      <c r="AM380" s="13"/>
      <c r="AN380" s="13"/>
      <c r="AO380" s="58">
        <f t="shared" ref="AO380:BC380" si="895">AO372-AO377</f>
        <v>0</v>
      </c>
      <c r="AP380" s="58">
        <f t="shared" si="895"/>
        <v>0</v>
      </c>
      <c r="AQ380" s="58">
        <f t="shared" si="895"/>
        <v>0</v>
      </c>
      <c r="AR380" s="58">
        <f t="shared" si="895"/>
        <v>0</v>
      </c>
      <c r="AS380" s="58">
        <f t="shared" si="895"/>
        <v>0</v>
      </c>
      <c r="AT380" s="58">
        <f t="shared" si="895"/>
        <v>0</v>
      </c>
      <c r="AU380" s="58">
        <f t="shared" si="895"/>
        <v>0</v>
      </c>
      <c r="AV380" s="58">
        <f t="shared" si="895"/>
        <v>0</v>
      </c>
      <c r="AW380" s="58">
        <f t="shared" si="895"/>
        <v>0</v>
      </c>
      <c r="AX380" s="58">
        <f t="shared" si="895"/>
        <v>-0.01</v>
      </c>
      <c r="AY380" s="58">
        <f t="shared" si="895"/>
        <v>18484.14</v>
      </c>
      <c r="AZ380" s="58">
        <f t="shared" si="895"/>
        <v>3884.6</v>
      </c>
      <c r="BA380" s="58">
        <f t="shared" si="895"/>
        <v>-14237.4</v>
      </c>
      <c r="BB380" s="58">
        <f t="shared" si="895"/>
        <v>0</v>
      </c>
      <c r="BC380" s="58">
        <f t="shared" si="895"/>
        <v>0</v>
      </c>
      <c r="BD380" s="259"/>
    </row>
    <row r="381" ht="16.5" customHeight="1" spans="1:56">
      <c r="A381" s="14"/>
      <c r="B381" s="14"/>
      <c r="C381" s="14"/>
      <c r="D381" s="14"/>
      <c r="E381" s="14"/>
      <c r="F381" s="14"/>
      <c r="G381" s="14"/>
      <c r="H381" s="14"/>
      <c r="I381" s="14"/>
      <c r="J381" s="14"/>
      <c r="K381" s="14"/>
      <c r="L381" s="14"/>
      <c r="M381" s="14"/>
      <c r="N381" s="14"/>
      <c r="O381" s="14"/>
      <c r="P381" s="14"/>
      <c r="Q381" s="14"/>
      <c r="R381" s="321" t="s">
        <v>3498</v>
      </c>
      <c r="S381" s="61">
        <f t="shared" ref="S381:AG381" si="896">S380/S372</f>
        <v>0.180721909022043</v>
      </c>
      <c r="T381" s="61">
        <f t="shared" si="896"/>
        <v>0.0451142766326687</v>
      </c>
      <c r="U381" s="322">
        <f t="shared" si="896"/>
        <v>-0.101708100879428</v>
      </c>
      <c r="V381" s="61">
        <f t="shared" si="896"/>
        <v>0.555668086594746</v>
      </c>
      <c r="W381" s="61">
        <f t="shared" si="896"/>
        <v>0.555668086594746</v>
      </c>
      <c r="X381" s="61">
        <f t="shared" si="896"/>
        <v>0.555668086594746</v>
      </c>
      <c r="Y381" s="61">
        <f t="shared" si="896"/>
        <v>0.555668086594746</v>
      </c>
      <c r="Z381" s="61">
        <f t="shared" si="896"/>
        <v>0.555668086594746</v>
      </c>
      <c r="AA381" s="61">
        <f t="shared" si="896"/>
        <v>0.555668086594746</v>
      </c>
      <c r="AB381" s="61">
        <f t="shared" si="896"/>
        <v>0.555668086594746</v>
      </c>
      <c r="AC381" s="61">
        <f t="shared" si="896"/>
        <v>0.555668086594746</v>
      </c>
      <c r="AD381" s="61">
        <f t="shared" si="896"/>
        <v>0.555668086594746</v>
      </c>
      <c r="AE381" s="61">
        <f t="shared" si="896"/>
        <v>0.555668086594746</v>
      </c>
      <c r="AF381" s="61">
        <f t="shared" si="896"/>
        <v>0.555668335007636</v>
      </c>
      <c r="AG381" s="61">
        <f t="shared" si="896"/>
        <v>1.00946159103371</v>
      </c>
      <c r="AH381" s="82">
        <f>T381-S381</f>
        <v>-0.135607632389374</v>
      </c>
      <c r="AI381" s="82">
        <f>AF381-S381</f>
        <v>0.374946425985593</v>
      </c>
      <c r="AJ381" s="14"/>
      <c r="AK381" s="14"/>
      <c r="AL381" s="14"/>
      <c r="AM381" s="14"/>
      <c r="AN381" s="14"/>
      <c r="AO381" s="61" t="e">
        <f t="shared" ref="AO381:AZ381" si="897">AO380/AO372</f>
        <v>#DIV/0!</v>
      </c>
      <c r="AP381" s="61" t="e">
        <f t="shared" si="897"/>
        <v>#DIV/0!</v>
      </c>
      <c r="AQ381" s="61" t="e">
        <f t="shared" si="897"/>
        <v>#DIV/0!</v>
      </c>
      <c r="AR381" s="61" t="e">
        <f t="shared" si="897"/>
        <v>#DIV/0!</v>
      </c>
      <c r="AS381" s="61" t="e">
        <f t="shared" si="897"/>
        <v>#DIV/0!</v>
      </c>
      <c r="AT381" s="61" t="e">
        <f t="shared" si="897"/>
        <v>#DIV/0!</v>
      </c>
      <c r="AU381" s="61" t="e">
        <f t="shared" si="897"/>
        <v>#DIV/0!</v>
      </c>
      <c r="AV381" s="61" t="e">
        <f t="shared" si="897"/>
        <v>#DIV/0!</v>
      </c>
      <c r="AW381" s="61" t="e">
        <f t="shared" si="897"/>
        <v>#DIV/0!</v>
      </c>
      <c r="AX381" s="61" t="e">
        <f t="shared" si="897"/>
        <v>#DIV/0!</v>
      </c>
      <c r="AY381" s="61">
        <f t="shared" si="897"/>
        <v>0.507703247996216</v>
      </c>
      <c r="AZ381" s="61">
        <f t="shared" si="897"/>
        <v>1.00946159103371</v>
      </c>
      <c r="BA381" s="418">
        <v>-0.101708100879428</v>
      </c>
      <c r="BB381" s="403"/>
      <c r="BC381" s="414"/>
      <c r="BD381" s="259"/>
    </row>
    <row r="382" ht="16.5" customHeight="1" spans="1:56">
      <c r="A382" s="300" t="s">
        <v>2640</v>
      </c>
      <c r="B382" s="301" t="s">
        <v>3607</v>
      </c>
      <c r="C382" s="302">
        <v>45839</v>
      </c>
      <c r="D382" s="302">
        <v>46203</v>
      </c>
      <c r="E382" s="304"/>
      <c r="F382" s="233" t="s">
        <v>3561</v>
      </c>
      <c r="G382" s="12">
        <v>0</v>
      </c>
      <c r="H382" s="12"/>
      <c r="I382" s="12"/>
      <c r="J382" s="12"/>
      <c r="K382" s="12"/>
      <c r="L382" s="12"/>
      <c r="M382" s="12"/>
      <c r="N382" s="12"/>
      <c r="O382" s="12"/>
      <c r="P382" s="304"/>
      <c r="Q382" s="12"/>
      <c r="R382" s="318" t="s">
        <v>3486</v>
      </c>
      <c r="S382" s="58">
        <v>188679.25</v>
      </c>
      <c r="T382" s="58">
        <f t="shared" ref="T382:T386" si="898">SUM(AO382:BC382)</f>
        <v>152129.83</v>
      </c>
      <c r="U382" s="319">
        <f t="shared" ref="U382:U386" si="899">SUM(BA382:BC382)</f>
        <v>127263.98</v>
      </c>
      <c r="V382" s="58">
        <f t="shared" ref="V382:V386" si="900">SUM(AO382:AZ382)</f>
        <v>24865.85</v>
      </c>
      <c r="W382" s="58">
        <f t="shared" ref="W382:W386" si="901">SUM(AP382:AZ382)</f>
        <v>24865.85</v>
      </c>
      <c r="X382" s="58">
        <f t="shared" ref="X382:X386" si="902">SUM(AQ382:AZ382)</f>
        <v>24865.85</v>
      </c>
      <c r="Y382" s="58">
        <f t="shared" ref="Y382:Y386" si="903">SUM(AR382:AZ382)</f>
        <v>24865.85</v>
      </c>
      <c r="Z382" s="58">
        <f t="shared" ref="Z382:Z386" si="904">SUM(AS382:AZ382)</f>
        <v>24865.85</v>
      </c>
      <c r="AA382" s="58">
        <f t="shared" ref="AA382:AA386" si="905">SUM(AT382:AZ382)</f>
        <v>24865.85</v>
      </c>
      <c r="AB382" s="58">
        <f t="shared" ref="AB382:AB386" si="906">SUM(AU382:AZ382)</f>
        <v>24865.85</v>
      </c>
      <c r="AC382" s="58">
        <f t="shared" ref="AC382:AC386" si="907">SUM(AV382:AZ382)</f>
        <v>24865.85</v>
      </c>
      <c r="AD382" s="58">
        <f t="shared" ref="AD382:AD386" si="908">SUM(AW382:AZ382)</f>
        <v>24865.85</v>
      </c>
      <c r="AE382" s="58">
        <f t="shared" ref="AE382:AE386" si="909">SUM(AX382:AZ382)</f>
        <v>24865.85</v>
      </c>
      <c r="AF382" s="58">
        <f t="shared" ref="AF382:AF386" si="910">SUM(AY382:AZ382)</f>
        <v>15256.79</v>
      </c>
      <c r="AG382" s="58">
        <f t="shared" ref="AG382:AG386" si="911">SUM(AZ382:AZ382)</f>
        <v>7201.51</v>
      </c>
      <c r="AH382" s="328"/>
      <c r="AI382" s="328"/>
      <c r="AJ382" s="301"/>
      <c r="AK382" s="93" t="s">
        <v>3608</v>
      </c>
      <c r="AL382" s="93" t="s">
        <v>3609</v>
      </c>
      <c r="AM382" s="93"/>
      <c r="AN382" s="412">
        <v>0.0755</v>
      </c>
      <c r="AO382" s="58"/>
      <c r="AP382" s="58"/>
      <c r="AQ382" s="58"/>
      <c r="AR382" s="58"/>
      <c r="AS382" s="58"/>
      <c r="AT382" s="58"/>
      <c r="AU382" s="58"/>
      <c r="AV382" s="58"/>
      <c r="AW382" s="58"/>
      <c r="AX382" s="58">
        <v>9609.06</v>
      </c>
      <c r="AY382" s="58">
        <v>8055.28</v>
      </c>
      <c r="AZ382" s="58">
        <v>7201.51</v>
      </c>
      <c r="BA382" s="413">
        <v>127263.98</v>
      </c>
      <c r="BB382" s="319"/>
      <c r="BC382" s="423"/>
      <c r="BD382" s="259"/>
    </row>
    <row r="383" ht="16.5" customHeight="1" spans="1:56">
      <c r="A383" s="13"/>
      <c r="B383" s="13"/>
      <c r="C383" s="13"/>
      <c r="D383" s="13"/>
      <c r="E383" s="13"/>
      <c r="F383" s="13"/>
      <c r="G383" s="13"/>
      <c r="H383" s="13"/>
      <c r="I383" s="13"/>
      <c r="J383" s="13"/>
      <c r="K383" s="13"/>
      <c r="L383" s="13"/>
      <c r="M383" s="13"/>
      <c r="N383" s="13"/>
      <c r="O383" s="13"/>
      <c r="P383" s="13"/>
      <c r="Q383" s="13"/>
      <c r="R383" s="213" t="s">
        <v>3490</v>
      </c>
      <c r="S383" s="58">
        <v>154705.8</v>
      </c>
      <c r="T383" s="58">
        <f t="shared" si="898"/>
        <v>174002.79</v>
      </c>
      <c r="U383" s="319">
        <f t="shared" si="899"/>
        <v>174002.79</v>
      </c>
      <c r="V383" s="58">
        <f t="shared" si="900"/>
        <v>0</v>
      </c>
      <c r="W383" s="58">
        <f t="shared" si="901"/>
        <v>0</v>
      </c>
      <c r="X383" s="58">
        <f t="shared" si="902"/>
        <v>0</v>
      </c>
      <c r="Y383" s="58">
        <f t="shared" si="903"/>
        <v>0</v>
      </c>
      <c r="Z383" s="58">
        <f t="shared" si="904"/>
        <v>0</v>
      </c>
      <c r="AA383" s="58">
        <f t="shared" si="905"/>
        <v>0</v>
      </c>
      <c r="AB383" s="58">
        <f t="shared" si="906"/>
        <v>0</v>
      </c>
      <c r="AC383" s="58">
        <f t="shared" si="907"/>
        <v>0</v>
      </c>
      <c r="AD383" s="58">
        <f t="shared" si="908"/>
        <v>0</v>
      </c>
      <c r="AE383" s="58">
        <f t="shared" si="909"/>
        <v>0</v>
      </c>
      <c r="AF383" s="58">
        <f t="shared" si="910"/>
        <v>0</v>
      </c>
      <c r="AG383" s="58">
        <f t="shared" si="911"/>
        <v>0</v>
      </c>
      <c r="AH383" s="328"/>
      <c r="AI383" s="328"/>
      <c r="AJ383" s="13"/>
      <c r="AK383" s="13"/>
      <c r="AL383" s="13"/>
      <c r="AM383" s="13"/>
      <c r="AN383" s="13"/>
      <c r="AO383" s="58"/>
      <c r="AP383" s="58"/>
      <c r="AQ383" s="58"/>
      <c r="AR383" s="58"/>
      <c r="AS383" s="58"/>
      <c r="AT383" s="58"/>
      <c r="AU383" s="58"/>
      <c r="AV383" s="58"/>
      <c r="AW383" s="58"/>
      <c r="AX383" s="58">
        <v>0</v>
      </c>
      <c r="AY383" s="58">
        <v>0</v>
      </c>
      <c r="AZ383" s="58">
        <v>0</v>
      </c>
      <c r="BA383" s="413">
        <v>174002.79</v>
      </c>
      <c r="BB383" s="319"/>
      <c r="BC383" s="423"/>
      <c r="BD383" s="259"/>
    </row>
    <row r="384" ht="16.5" customHeight="1" spans="1:56">
      <c r="A384" s="13"/>
      <c r="B384" s="13"/>
      <c r="C384" s="13"/>
      <c r="D384" s="13"/>
      <c r="E384" s="13"/>
      <c r="F384" s="13"/>
      <c r="G384" s="13"/>
      <c r="H384" s="13"/>
      <c r="I384" s="13"/>
      <c r="J384" s="13"/>
      <c r="K384" s="13"/>
      <c r="L384" s="13"/>
      <c r="M384" s="13"/>
      <c r="N384" s="13"/>
      <c r="O384" s="13"/>
      <c r="P384" s="13"/>
      <c r="Q384" s="13"/>
      <c r="R384" s="213" t="s">
        <v>3491</v>
      </c>
      <c r="S384" s="58"/>
      <c r="T384" s="58">
        <f t="shared" si="898"/>
        <v>0</v>
      </c>
      <c r="U384" s="319">
        <f t="shared" si="899"/>
        <v>0</v>
      </c>
      <c r="V384" s="58"/>
      <c r="W384" s="58"/>
      <c r="X384" s="58"/>
      <c r="Y384" s="58"/>
      <c r="Z384" s="58"/>
      <c r="AA384" s="58"/>
      <c r="AB384" s="58"/>
      <c r="AC384" s="58"/>
      <c r="AD384" s="58"/>
      <c r="AE384" s="58"/>
      <c r="AF384" s="58"/>
      <c r="AG384" s="58"/>
      <c r="AH384" s="328"/>
      <c r="AI384" s="328"/>
      <c r="AJ384" s="13"/>
      <c r="AK384" s="13"/>
      <c r="AL384" s="13"/>
      <c r="AM384" s="13"/>
      <c r="AN384" s="13"/>
      <c r="AO384" s="58"/>
      <c r="AP384" s="58"/>
      <c r="AQ384" s="58"/>
      <c r="AR384" s="58"/>
      <c r="AS384" s="58"/>
      <c r="AT384" s="58"/>
      <c r="AU384" s="58"/>
      <c r="AV384" s="58"/>
      <c r="AW384" s="58"/>
      <c r="AX384" s="58">
        <v>0</v>
      </c>
      <c r="AY384" s="58"/>
      <c r="AZ384" s="58"/>
      <c r="BA384" s="413"/>
      <c r="BB384" s="319"/>
      <c r="BC384" s="423"/>
      <c r="BD384" s="259"/>
    </row>
    <row r="385" ht="16.5" customHeight="1" spans="1:56">
      <c r="A385" s="13"/>
      <c r="B385" s="13"/>
      <c r="C385" s="13"/>
      <c r="D385" s="13"/>
      <c r="E385" s="13"/>
      <c r="F385" s="13"/>
      <c r="G385" s="13"/>
      <c r="H385" s="13"/>
      <c r="I385" s="13"/>
      <c r="J385" s="13"/>
      <c r="K385" s="13"/>
      <c r="L385" s="13"/>
      <c r="M385" s="13"/>
      <c r="N385" s="13"/>
      <c r="O385" s="13"/>
      <c r="P385" s="13"/>
      <c r="Q385" s="13"/>
      <c r="R385" s="213" t="s">
        <v>3492</v>
      </c>
      <c r="S385" s="58">
        <v>0</v>
      </c>
      <c r="T385" s="58">
        <f t="shared" si="898"/>
        <v>0</v>
      </c>
      <c r="U385" s="319">
        <f t="shared" si="899"/>
        <v>0</v>
      </c>
      <c r="V385" s="58">
        <f t="shared" si="900"/>
        <v>0</v>
      </c>
      <c r="W385" s="58">
        <f t="shared" si="901"/>
        <v>0</v>
      </c>
      <c r="X385" s="58">
        <f t="shared" si="902"/>
        <v>0</v>
      </c>
      <c r="Y385" s="58">
        <f t="shared" si="903"/>
        <v>0</v>
      </c>
      <c r="Z385" s="58">
        <f t="shared" si="904"/>
        <v>0</v>
      </c>
      <c r="AA385" s="58">
        <f t="shared" si="905"/>
        <v>0</v>
      </c>
      <c r="AB385" s="58">
        <f t="shared" si="906"/>
        <v>0</v>
      </c>
      <c r="AC385" s="58">
        <f t="shared" si="907"/>
        <v>0</v>
      </c>
      <c r="AD385" s="58">
        <f t="shared" si="908"/>
        <v>0</v>
      </c>
      <c r="AE385" s="58">
        <f t="shared" si="909"/>
        <v>0</v>
      </c>
      <c r="AF385" s="58">
        <f t="shared" si="910"/>
        <v>0</v>
      </c>
      <c r="AG385" s="58">
        <f t="shared" si="911"/>
        <v>0</v>
      </c>
      <c r="AH385" s="328"/>
      <c r="AI385" s="328"/>
      <c r="AJ385" s="13"/>
      <c r="AK385" s="13"/>
      <c r="AL385" s="13"/>
      <c r="AM385" s="13"/>
      <c r="AN385" s="13"/>
      <c r="AO385" s="58"/>
      <c r="AP385" s="58"/>
      <c r="AQ385" s="58"/>
      <c r="AR385" s="58"/>
      <c r="AS385" s="58"/>
      <c r="AT385" s="58"/>
      <c r="AU385" s="58"/>
      <c r="AV385" s="58"/>
      <c r="AW385" s="58"/>
      <c r="AX385" s="58"/>
      <c r="AY385" s="58">
        <v>0</v>
      </c>
      <c r="AZ385" s="58">
        <v>0</v>
      </c>
      <c r="BA385" s="413">
        <v>0</v>
      </c>
      <c r="BB385" s="319"/>
      <c r="BC385" s="423"/>
      <c r="BD385" s="259"/>
    </row>
    <row r="386" ht="16.5" customHeight="1" spans="1:56">
      <c r="A386" s="13"/>
      <c r="B386" s="13"/>
      <c r="C386" s="13"/>
      <c r="D386" s="13"/>
      <c r="E386" s="13"/>
      <c r="F386" s="13"/>
      <c r="G386" s="13"/>
      <c r="H386" s="13"/>
      <c r="I386" s="13"/>
      <c r="J386" s="13"/>
      <c r="K386" s="13"/>
      <c r="L386" s="13"/>
      <c r="M386" s="13"/>
      <c r="N386" s="13"/>
      <c r="O386" s="13"/>
      <c r="P386" s="13"/>
      <c r="Q386" s="13"/>
      <c r="R386" s="213" t="s">
        <v>3493</v>
      </c>
      <c r="S386" s="58">
        <v>0</v>
      </c>
      <c r="T386" s="58">
        <f t="shared" si="898"/>
        <v>242.2</v>
      </c>
      <c r="U386" s="319">
        <f t="shared" si="899"/>
        <v>374.87</v>
      </c>
      <c r="V386" s="58">
        <f t="shared" si="900"/>
        <v>-132.67</v>
      </c>
      <c r="W386" s="58">
        <f t="shared" si="901"/>
        <v>-132.67</v>
      </c>
      <c r="X386" s="58">
        <f t="shared" si="902"/>
        <v>-132.67</v>
      </c>
      <c r="Y386" s="58">
        <f t="shared" si="903"/>
        <v>-132.67</v>
      </c>
      <c r="Z386" s="58">
        <f t="shared" si="904"/>
        <v>-132.67</v>
      </c>
      <c r="AA386" s="58">
        <f t="shared" si="905"/>
        <v>-132.67</v>
      </c>
      <c r="AB386" s="58">
        <f t="shared" si="906"/>
        <v>-132.67</v>
      </c>
      <c r="AC386" s="58">
        <f t="shared" si="907"/>
        <v>-132.67</v>
      </c>
      <c r="AD386" s="58">
        <f t="shared" si="908"/>
        <v>-132.67</v>
      </c>
      <c r="AE386" s="58">
        <f t="shared" si="909"/>
        <v>-132.67</v>
      </c>
      <c r="AF386" s="58">
        <f t="shared" si="910"/>
        <v>-97.54</v>
      </c>
      <c r="AG386" s="58">
        <f t="shared" si="911"/>
        <v>-52.8</v>
      </c>
      <c r="AH386" s="328"/>
      <c r="AI386" s="328"/>
      <c r="AJ386" s="13"/>
      <c r="AK386" s="13"/>
      <c r="AL386" s="13"/>
      <c r="AM386" s="13"/>
      <c r="AN386" s="13"/>
      <c r="AO386" s="58"/>
      <c r="AP386" s="58"/>
      <c r="AQ386" s="58"/>
      <c r="AR386" s="58"/>
      <c r="AS386" s="58"/>
      <c r="AT386" s="58"/>
      <c r="AU386" s="58"/>
      <c r="AV386" s="58"/>
      <c r="AW386" s="58"/>
      <c r="AX386" s="58">
        <v>-35.13</v>
      </c>
      <c r="AY386" s="58">
        <v>-44.74</v>
      </c>
      <c r="AZ386" s="58">
        <v>-52.8</v>
      </c>
      <c r="BA386" s="413">
        <v>374.87</v>
      </c>
      <c r="BB386" s="319"/>
      <c r="BC386" s="423"/>
      <c r="BD386" s="259"/>
    </row>
    <row r="387" ht="16.5" customHeight="1" spans="1:56">
      <c r="A387" s="13"/>
      <c r="B387" s="13"/>
      <c r="C387" s="13"/>
      <c r="D387" s="13"/>
      <c r="E387" s="13"/>
      <c r="F387" s="13"/>
      <c r="G387" s="13"/>
      <c r="H387" s="13"/>
      <c r="I387" s="13"/>
      <c r="J387" s="13"/>
      <c r="K387" s="13"/>
      <c r="L387" s="13"/>
      <c r="M387" s="13"/>
      <c r="N387" s="13"/>
      <c r="O387" s="13"/>
      <c r="P387" s="13"/>
      <c r="Q387" s="13"/>
      <c r="R387" s="213" t="s">
        <v>3494</v>
      </c>
      <c r="S387" s="214">
        <f t="shared" ref="S387:AG387" si="912">SUM(S383:S386)</f>
        <v>154705.8</v>
      </c>
      <c r="T387" s="214">
        <f t="shared" si="912"/>
        <v>174244.99</v>
      </c>
      <c r="U387" s="320">
        <f t="shared" si="912"/>
        <v>174377.66</v>
      </c>
      <c r="V387" s="214">
        <f t="shared" si="912"/>
        <v>-132.67</v>
      </c>
      <c r="W387" s="214">
        <f t="shared" si="912"/>
        <v>-132.67</v>
      </c>
      <c r="X387" s="214">
        <f t="shared" si="912"/>
        <v>-132.67</v>
      </c>
      <c r="Y387" s="214">
        <f t="shared" si="912"/>
        <v>-132.67</v>
      </c>
      <c r="Z387" s="214">
        <f t="shared" si="912"/>
        <v>-132.67</v>
      </c>
      <c r="AA387" s="214">
        <f t="shared" si="912"/>
        <v>-132.67</v>
      </c>
      <c r="AB387" s="214">
        <f t="shared" si="912"/>
        <v>-132.67</v>
      </c>
      <c r="AC387" s="214">
        <f t="shared" si="912"/>
        <v>-132.67</v>
      </c>
      <c r="AD387" s="214">
        <f t="shared" si="912"/>
        <v>-132.67</v>
      </c>
      <c r="AE387" s="214">
        <f t="shared" si="912"/>
        <v>-132.67</v>
      </c>
      <c r="AF387" s="214">
        <f t="shared" si="912"/>
        <v>-97.54</v>
      </c>
      <c r="AG387" s="214">
        <f t="shared" si="912"/>
        <v>-52.8</v>
      </c>
      <c r="AH387" s="214">
        <f>SUM(AH383:AH386)</f>
        <v>0</v>
      </c>
      <c r="AI387" s="214">
        <f>SUM(AI383:AI386)</f>
        <v>0</v>
      </c>
      <c r="AJ387" s="13"/>
      <c r="AK387" s="13"/>
      <c r="AL387" s="13"/>
      <c r="AM387" s="13"/>
      <c r="AN387" s="13"/>
      <c r="AO387" s="214">
        <f t="shared" ref="AO387:AX387" si="913">SUM(AO383:AO386)</f>
        <v>0</v>
      </c>
      <c r="AP387" s="214">
        <f t="shared" si="913"/>
        <v>0</v>
      </c>
      <c r="AQ387" s="214">
        <f t="shared" si="913"/>
        <v>0</v>
      </c>
      <c r="AR387" s="214">
        <f t="shared" si="913"/>
        <v>0</v>
      </c>
      <c r="AS387" s="214">
        <f t="shared" si="913"/>
        <v>0</v>
      </c>
      <c r="AT387" s="214">
        <f t="shared" si="913"/>
        <v>0</v>
      </c>
      <c r="AU387" s="214">
        <f t="shared" si="913"/>
        <v>0</v>
      </c>
      <c r="AV387" s="214">
        <f t="shared" si="913"/>
        <v>0</v>
      </c>
      <c r="AW387" s="214">
        <f t="shared" si="913"/>
        <v>0</v>
      </c>
      <c r="AX387" s="214">
        <f t="shared" si="913"/>
        <v>-35.13</v>
      </c>
      <c r="AY387" s="214">
        <v>-44.74</v>
      </c>
      <c r="AZ387" s="214">
        <f>SUM(AZ383:AZ386)</f>
        <v>-52.8</v>
      </c>
      <c r="BA387" s="415">
        <v>174377.66</v>
      </c>
      <c r="BB387" s="320">
        <f>SUM(BB383:BB386)</f>
        <v>0</v>
      </c>
      <c r="BC387" s="416">
        <f>SUM(BC383:BC386)</f>
        <v>0</v>
      </c>
      <c r="BD387" s="345"/>
    </row>
    <row r="388" ht="16.5" customHeight="1" spans="1:56">
      <c r="A388" s="13"/>
      <c r="B388" s="13"/>
      <c r="C388" s="13"/>
      <c r="D388" s="13"/>
      <c r="E388" s="13"/>
      <c r="F388" s="13"/>
      <c r="G388" s="13"/>
      <c r="H388" s="13"/>
      <c r="I388" s="13"/>
      <c r="J388" s="13"/>
      <c r="K388" s="13"/>
      <c r="L388" s="13"/>
      <c r="M388" s="13"/>
      <c r="N388" s="13"/>
      <c r="O388" s="13"/>
      <c r="P388" s="13"/>
      <c r="Q388" s="13"/>
      <c r="R388" s="213" t="s">
        <v>3495</v>
      </c>
      <c r="S388" s="214">
        <f t="shared" ref="S388:AG388" si="914">S382-S383</f>
        <v>33973.45</v>
      </c>
      <c r="T388" s="58">
        <f t="shared" si="914"/>
        <v>-21872.96</v>
      </c>
      <c r="U388" s="319">
        <f t="shared" si="914"/>
        <v>-46738.81</v>
      </c>
      <c r="V388" s="58">
        <f t="shared" si="914"/>
        <v>24865.85</v>
      </c>
      <c r="W388" s="58">
        <f t="shared" si="914"/>
        <v>24865.85</v>
      </c>
      <c r="X388" s="58">
        <f t="shared" si="914"/>
        <v>24865.85</v>
      </c>
      <c r="Y388" s="58">
        <f t="shared" si="914"/>
        <v>24865.85</v>
      </c>
      <c r="Z388" s="58">
        <f t="shared" si="914"/>
        <v>24865.85</v>
      </c>
      <c r="AA388" s="58">
        <f t="shared" si="914"/>
        <v>24865.85</v>
      </c>
      <c r="AB388" s="58">
        <f t="shared" si="914"/>
        <v>24865.85</v>
      </c>
      <c r="AC388" s="58">
        <f t="shared" si="914"/>
        <v>24865.85</v>
      </c>
      <c r="AD388" s="58">
        <f t="shared" si="914"/>
        <v>24865.85</v>
      </c>
      <c r="AE388" s="58">
        <f t="shared" si="914"/>
        <v>24865.85</v>
      </c>
      <c r="AF388" s="58">
        <f t="shared" si="914"/>
        <v>15256.79</v>
      </c>
      <c r="AG388" s="58">
        <f t="shared" si="914"/>
        <v>7201.51</v>
      </c>
      <c r="AH388" s="332"/>
      <c r="AI388" s="332"/>
      <c r="AJ388" s="13"/>
      <c r="AK388" s="13"/>
      <c r="AL388" s="13"/>
      <c r="AM388" s="13"/>
      <c r="AN388" s="13"/>
      <c r="AO388" s="58">
        <f t="shared" ref="AO388:AZ388" si="915">AO382-AO383</f>
        <v>0</v>
      </c>
      <c r="AP388" s="58">
        <f t="shared" si="915"/>
        <v>0</v>
      </c>
      <c r="AQ388" s="58">
        <f t="shared" si="915"/>
        <v>0</v>
      </c>
      <c r="AR388" s="58">
        <f t="shared" si="915"/>
        <v>0</v>
      </c>
      <c r="AS388" s="58">
        <f t="shared" si="915"/>
        <v>0</v>
      </c>
      <c r="AT388" s="58">
        <f t="shared" si="915"/>
        <v>0</v>
      </c>
      <c r="AU388" s="58">
        <f t="shared" si="915"/>
        <v>0</v>
      </c>
      <c r="AV388" s="58">
        <f t="shared" si="915"/>
        <v>0</v>
      </c>
      <c r="AW388" s="58">
        <f t="shared" si="915"/>
        <v>0</v>
      </c>
      <c r="AX388" s="58">
        <f t="shared" si="915"/>
        <v>9609.06</v>
      </c>
      <c r="AY388" s="58">
        <f t="shared" si="915"/>
        <v>8055.28</v>
      </c>
      <c r="AZ388" s="58">
        <f t="shared" si="915"/>
        <v>7201.51</v>
      </c>
      <c r="BA388" s="417">
        <v>-46738.81</v>
      </c>
      <c r="BB388" s="320"/>
      <c r="BC388" s="423"/>
      <c r="BD388" s="259"/>
    </row>
    <row r="389" ht="16.5" customHeight="1" spans="1:56">
      <c r="A389" s="13"/>
      <c r="B389" s="13"/>
      <c r="C389" s="13"/>
      <c r="D389" s="13"/>
      <c r="E389" s="13"/>
      <c r="F389" s="13"/>
      <c r="G389" s="13"/>
      <c r="H389" s="13"/>
      <c r="I389" s="13"/>
      <c r="J389" s="13"/>
      <c r="K389" s="13"/>
      <c r="L389" s="13"/>
      <c r="M389" s="13"/>
      <c r="N389" s="13"/>
      <c r="O389" s="13"/>
      <c r="P389" s="13"/>
      <c r="Q389" s="13"/>
      <c r="R389" s="321" t="s">
        <v>3496</v>
      </c>
      <c r="S389" s="424">
        <f t="shared" ref="S389:AG389" si="916">S388/S382</f>
        <v>0.180059280498518</v>
      </c>
      <c r="T389" s="61">
        <f t="shared" si="916"/>
        <v>-0.143778245200169</v>
      </c>
      <c r="U389" s="322">
        <f t="shared" si="916"/>
        <v>-0.367258748311973</v>
      </c>
      <c r="V389" s="61">
        <f t="shared" si="916"/>
        <v>1</v>
      </c>
      <c r="W389" s="61">
        <f t="shared" si="916"/>
        <v>1</v>
      </c>
      <c r="X389" s="61">
        <f t="shared" si="916"/>
        <v>1</v>
      </c>
      <c r="Y389" s="61">
        <f t="shared" si="916"/>
        <v>1</v>
      </c>
      <c r="Z389" s="61">
        <f t="shared" si="916"/>
        <v>1</v>
      </c>
      <c r="AA389" s="61">
        <f t="shared" si="916"/>
        <v>1</v>
      </c>
      <c r="AB389" s="61">
        <f t="shared" si="916"/>
        <v>1</v>
      </c>
      <c r="AC389" s="61">
        <f t="shared" si="916"/>
        <v>1</v>
      </c>
      <c r="AD389" s="61">
        <f t="shared" si="916"/>
        <v>1</v>
      </c>
      <c r="AE389" s="61">
        <f t="shared" si="916"/>
        <v>1</v>
      </c>
      <c r="AF389" s="61">
        <f t="shared" si="916"/>
        <v>1</v>
      </c>
      <c r="AG389" s="61">
        <f t="shared" si="916"/>
        <v>1</v>
      </c>
      <c r="AH389" s="82">
        <f>T389-S389</f>
        <v>-0.323837525698687</v>
      </c>
      <c r="AI389" s="82">
        <f>AF389-S389</f>
        <v>0.819940719501482</v>
      </c>
      <c r="AJ389" s="13"/>
      <c r="AK389" s="13"/>
      <c r="AL389" s="13"/>
      <c r="AM389" s="13"/>
      <c r="AN389" s="13"/>
      <c r="AO389" s="61" t="e">
        <f t="shared" ref="AO389:AZ389" si="917">AO388/AO382</f>
        <v>#DIV/0!</v>
      </c>
      <c r="AP389" s="61" t="e">
        <f t="shared" si="917"/>
        <v>#DIV/0!</v>
      </c>
      <c r="AQ389" s="61" t="e">
        <f t="shared" si="917"/>
        <v>#DIV/0!</v>
      </c>
      <c r="AR389" s="61" t="e">
        <f t="shared" si="917"/>
        <v>#DIV/0!</v>
      </c>
      <c r="AS389" s="61" t="e">
        <f t="shared" si="917"/>
        <v>#DIV/0!</v>
      </c>
      <c r="AT389" s="61" t="e">
        <f t="shared" si="917"/>
        <v>#DIV/0!</v>
      </c>
      <c r="AU389" s="61" t="e">
        <f t="shared" si="917"/>
        <v>#DIV/0!</v>
      </c>
      <c r="AV389" s="61" t="e">
        <f t="shared" si="917"/>
        <v>#DIV/0!</v>
      </c>
      <c r="AW389" s="61" t="e">
        <f t="shared" si="917"/>
        <v>#DIV/0!</v>
      </c>
      <c r="AX389" s="61">
        <f t="shared" si="917"/>
        <v>1</v>
      </c>
      <c r="AY389" s="61">
        <f t="shared" si="917"/>
        <v>1</v>
      </c>
      <c r="AZ389" s="61">
        <f t="shared" si="917"/>
        <v>1</v>
      </c>
      <c r="BA389" s="418">
        <v>-0.367258748311973</v>
      </c>
      <c r="BB389" s="403"/>
      <c r="BC389" s="423"/>
      <c r="BD389" s="259"/>
    </row>
    <row r="390" ht="16.5" customHeight="1" spans="1:56">
      <c r="A390" s="13"/>
      <c r="B390" s="13"/>
      <c r="C390" s="13"/>
      <c r="D390" s="13"/>
      <c r="E390" s="13"/>
      <c r="F390" s="13"/>
      <c r="G390" s="13"/>
      <c r="H390" s="13"/>
      <c r="I390" s="13"/>
      <c r="J390" s="13"/>
      <c r="K390" s="13"/>
      <c r="L390" s="13"/>
      <c r="M390" s="13"/>
      <c r="N390" s="13"/>
      <c r="O390" s="13"/>
      <c r="P390" s="13"/>
      <c r="Q390" s="13"/>
      <c r="R390" s="213" t="s">
        <v>3497</v>
      </c>
      <c r="S390" s="58">
        <f t="shared" ref="S390:AG390" si="918">S382-S387</f>
        <v>33973.45</v>
      </c>
      <c r="T390" s="58">
        <f t="shared" si="918"/>
        <v>-22115.16</v>
      </c>
      <c r="U390" s="58">
        <f t="shared" si="918"/>
        <v>-47113.68</v>
      </c>
      <c r="V390" s="58">
        <f t="shared" si="918"/>
        <v>24998.52</v>
      </c>
      <c r="W390" s="58">
        <f t="shared" si="918"/>
        <v>24998.52</v>
      </c>
      <c r="X390" s="58">
        <f t="shared" si="918"/>
        <v>24998.52</v>
      </c>
      <c r="Y390" s="58">
        <f t="shared" si="918"/>
        <v>24998.52</v>
      </c>
      <c r="Z390" s="58">
        <f t="shared" si="918"/>
        <v>24998.52</v>
      </c>
      <c r="AA390" s="58">
        <f t="shared" si="918"/>
        <v>24998.52</v>
      </c>
      <c r="AB390" s="58">
        <f t="shared" si="918"/>
        <v>24998.52</v>
      </c>
      <c r="AC390" s="58">
        <f t="shared" si="918"/>
        <v>24998.52</v>
      </c>
      <c r="AD390" s="58">
        <f t="shared" si="918"/>
        <v>24998.52</v>
      </c>
      <c r="AE390" s="58">
        <f t="shared" si="918"/>
        <v>24998.52</v>
      </c>
      <c r="AF390" s="58">
        <f t="shared" si="918"/>
        <v>15354.33</v>
      </c>
      <c r="AG390" s="58">
        <f t="shared" si="918"/>
        <v>7254.31</v>
      </c>
      <c r="AH390" s="82"/>
      <c r="AI390" s="82"/>
      <c r="AJ390" s="13"/>
      <c r="AK390" s="13"/>
      <c r="AL390" s="13"/>
      <c r="AM390" s="13"/>
      <c r="AN390" s="13"/>
      <c r="AO390" s="58">
        <f t="shared" ref="AO390:BC390" si="919">AO382-AO387</f>
        <v>0</v>
      </c>
      <c r="AP390" s="58">
        <f t="shared" si="919"/>
        <v>0</v>
      </c>
      <c r="AQ390" s="58">
        <f t="shared" si="919"/>
        <v>0</v>
      </c>
      <c r="AR390" s="58">
        <f t="shared" si="919"/>
        <v>0</v>
      </c>
      <c r="AS390" s="58">
        <f t="shared" si="919"/>
        <v>0</v>
      </c>
      <c r="AT390" s="58">
        <f t="shared" si="919"/>
        <v>0</v>
      </c>
      <c r="AU390" s="58">
        <f t="shared" si="919"/>
        <v>0</v>
      </c>
      <c r="AV390" s="58">
        <f t="shared" si="919"/>
        <v>0</v>
      </c>
      <c r="AW390" s="58">
        <f t="shared" si="919"/>
        <v>0</v>
      </c>
      <c r="AX390" s="58">
        <f t="shared" si="919"/>
        <v>9644.19</v>
      </c>
      <c r="AY390" s="58">
        <f t="shared" si="919"/>
        <v>8100.02</v>
      </c>
      <c r="AZ390" s="58">
        <f t="shared" si="919"/>
        <v>7254.31</v>
      </c>
      <c r="BA390" s="58">
        <f t="shared" si="919"/>
        <v>-47113.68</v>
      </c>
      <c r="BB390" s="58">
        <f t="shared" si="919"/>
        <v>0</v>
      </c>
      <c r="BC390" s="58">
        <f t="shared" si="919"/>
        <v>0</v>
      </c>
      <c r="BD390" s="259"/>
    </row>
    <row r="391" ht="16.5" customHeight="1" spans="1:56">
      <c r="A391" s="14"/>
      <c r="B391" s="14"/>
      <c r="C391" s="14"/>
      <c r="D391" s="14"/>
      <c r="E391" s="14"/>
      <c r="F391" s="14"/>
      <c r="G391" s="14"/>
      <c r="H391" s="14"/>
      <c r="I391" s="14"/>
      <c r="J391" s="14"/>
      <c r="K391" s="14"/>
      <c r="L391" s="14"/>
      <c r="M391" s="14"/>
      <c r="N391" s="14"/>
      <c r="O391" s="14"/>
      <c r="P391" s="14"/>
      <c r="Q391" s="14"/>
      <c r="R391" s="321" t="s">
        <v>3498</v>
      </c>
      <c r="S391" s="424">
        <f t="shared" ref="S391:AG391" si="920">S390/S382</f>
        <v>0.180059280498518</v>
      </c>
      <c r="T391" s="61">
        <f t="shared" si="920"/>
        <v>-0.145370306402104</v>
      </c>
      <c r="U391" s="322">
        <f t="shared" si="920"/>
        <v>-0.37020435790237</v>
      </c>
      <c r="V391" s="61">
        <f t="shared" si="920"/>
        <v>1.00533542991693</v>
      </c>
      <c r="W391" s="61">
        <f t="shared" si="920"/>
        <v>1.00533542991693</v>
      </c>
      <c r="X391" s="61">
        <f t="shared" si="920"/>
        <v>1.00533542991693</v>
      </c>
      <c r="Y391" s="61">
        <f t="shared" si="920"/>
        <v>1.00533542991693</v>
      </c>
      <c r="Z391" s="61">
        <f t="shared" si="920"/>
        <v>1.00533542991693</v>
      </c>
      <c r="AA391" s="61">
        <f t="shared" si="920"/>
        <v>1.00533542991693</v>
      </c>
      <c r="AB391" s="61">
        <f t="shared" si="920"/>
        <v>1.00533542991693</v>
      </c>
      <c r="AC391" s="61">
        <f t="shared" si="920"/>
        <v>1.00533542991693</v>
      </c>
      <c r="AD391" s="61">
        <f t="shared" si="920"/>
        <v>1.00533542991693</v>
      </c>
      <c r="AE391" s="61">
        <f t="shared" si="920"/>
        <v>1.00533542991693</v>
      </c>
      <c r="AF391" s="61">
        <f t="shared" si="920"/>
        <v>1.0063932190192</v>
      </c>
      <c r="AG391" s="61">
        <f t="shared" si="920"/>
        <v>1.00733179569285</v>
      </c>
      <c r="AH391" s="82">
        <f>T391-S391</f>
        <v>-0.325429586900622</v>
      </c>
      <c r="AI391" s="82">
        <f>AF391-S391</f>
        <v>0.826333938520686</v>
      </c>
      <c r="AJ391" s="14"/>
      <c r="AK391" s="14"/>
      <c r="AL391" s="14"/>
      <c r="AM391" s="14"/>
      <c r="AN391" s="14"/>
      <c r="AO391" s="61" t="e">
        <f t="shared" ref="AO391:AZ391" si="921">AO390/AO382</f>
        <v>#DIV/0!</v>
      </c>
      <c r="AP391" s="61" t="e">
        <f t="shared" si="921"/>
        <v>#DIV/0!</v>
      </c>
      <c r="AQ391" s="61" t="e">
        <f t="shared" si="921"/>
        <v>#DIV/0!</v>
      </c>
      <c r="AR391" s="61" t="e">
        <f t="shared" si="921"/>
        <v>#DIV/0!</v>
      </c>
      <c r="AS391" s="61" t="e">
        <f t="shared" si="921"/>
        <v>#DIV/0!</v>
      </c>
      <c r="AT391" s="61" t="e">
        <f t="shared" si="921"/>
        <v>#DIV/0!</v>
      </c>
      <c r="AU391" s="61" t="e">
        <f t="shared" si="921"/>
        <v>#DIV/0!</v>
      </c>
      <c r="AV391" s="61" t="e">
        <f t="shared" si="921"/>
        <v>#DIV/0!</v>
      </c>
      <c r="AW391" s="61" t="e">
        <f t="shared" si="921"/>
        <v>#DIV/0!</v>
      </c>
      <c r="AX391" s="61">
        <f t="shared" si="921"/>
        <v>1.00365592472104</v>
      </c>
      <c r="AY391" s="61">
        <f t="shared" si="921"/>
        <v>1.00555412102373</v>
      </c>
      <c r="AZ391" s="61">
        <f t="shared" si="921"/>
        <v>1.00733179569285</v>
      </c>
      <c r="BA391" s="418">
        <v>-0.370204357902369</v>
      </c>
      <c r="BB391" s="403"/>
      <c r="BC391" s="423"/>
      <c r="BD391" s="259"/>
    </row>
    <row r="392" ht="16.5" customHeight="1" spans="1:56">
      <c r="A392" s="300" t="s">
        <v>2600</v>
      </c>
      <c r="B392" s="301" t="s">
        <v>3610</v>
      </c>
      <c r="C392" s="302">
        <v>45870</v>
      </c>
      <c r="D392" s="302">
        <v>46234</v>
      </c>
      <c r="E392" s="304"/>
      <c r="F392" s="233">
        <v>5</v>
      </c>
      <c r="G392" s="12">
        <v>5</v>
      </c>
      <c r="H392" s="12"/>
      <c r="I392" s="12"/>
      <c r="J392" s="12"/>
      <c r="K392" s="12"/>
      <c r="L392" s="12"/>
      <c r="M392" s="12"/>
      <c r="N392" s="12"/>
      <c r="O392" s="12"/>
      <c r="P392" s="304"/>
      <c r="Q392" s="12"/>
      <c r="R392" s="318" t="s">
        <v>3486</v>
      </c>
      <c r="S392" s="58">
        <v>1000000</v>
      </c>
      <c r="T392" s="58">
        <f t="shared" ref="T392:T396" si="922">SUM(AO392:BC392)</f>
        <v>658235</v>
      </c>
      <c r="U392" s="319">
        <f t="shared" ref="U392:U396" si="923">SUM(BA392:BC392)</f>
        <v>411660</v>
      </c>
      <c r="V392" s="58">
        <f t="shared" ref="V392:V396" si="924">SUM(AO392:AZ392)</f>
        <v>246575</v>
      </c>
      <c r="W392" s="58">
        <f t="shared" ref="W392:W396" si="925">SUM(AP392:AZ392)</f>
        <v>246575</v>
      </c>
      <c r="X392" s="58">
        <f t="shared" ref="X392:X396" si="926">SUM(AQ392:AZ392)</f>
        <v>246575</v>
      </c>
      <c r="Y392" s="58">
        <f t="shared" ref="Y392:Y396" si="927">SUM(AR392:AZ392)</f>
        <v>246575</v>
      </c>
      <c r="Z392" s="58">
        <f t="shared" ref="Z392:Z396" si="928">SUM(AS392:AZ392)</f>
        <v>246575</v>
      </c>
      <c r="AA392" s="58">
        <f t="shared" ref="AA392:AA396" si="929">SUM(AT392:AZ392)</f>
        <v>246575</v>
      </c>
      <c r="AB392" s="58">
        <f t="shared" ref="AB392:AB396" si="930">SUM(AU392:AZ392)</f>
        <v>246575</v>
      </c>
      <c r="AC392" s="58">
        <f t="shared" ref="AC392:AC396" si="931">SUM(AV392:AZ392)</f>
        <v>246575</v>
      </c>
      <c r="AD392" s="58">
        <f t="shared" ref="AD392:AD396" si="932">SUM(AW392:AZ392)</f>
        <v>246575</v>
      </c>
      <c r="AE392" s="58">
        <f t="shared" ref="AE392:AE396" si="933">SUM(AX392:AZ392)</f>
        <v>246575</v>
      </c>
      <c r="AF392" s="58">
        <f t="shared" ref="AF392:AF396" si="934">SUM(AY392:AZ392)</f>
        <v>161644</v>
      </c>
      <c r="AG392" s="58">
        <f t="shared" ref="AG392:AG396" si="935">SUM(AZ392:AZ392)</f>
        <v>84932</v>
      </c>
      <c r="AH392" s="328"/>
      <c r="AI392" s="328"/>
      <c r="AJ392" s="301"/>
      <c r="AK392" s="93"/>
      <c r="AL392" s="93"/>
      <c r="AM392" s="93"/>
      <c r="AN392" s="233"/>
      <c r="AO392" s="58"/>
      <c r="AP392" s="58"/>
      <c r="AQ392" s="58"/>
      <c r="AR392" s="58"/>
      <c r="AS392" s="58"/>
      <c r="AT392" s="58"/>
      <c r="AU392" s="58"/>
      <c r="AV392" s="58"/>
      <c r="AW392" s="58"/>
      <c r="AX392" s="58">
        <v>84931</v>
      </c>
      <c r="AY392" s="58">
        <v>76712</v>
      </c>
      <c r="AZ392" s="58">
        <v>84932</v>
      </c>
      <c r="BA392" s="413">
        <v>411660</v>
      </c>
      <c r="BB392" s="319"/>
      <c r="BC392" s="423"/>
      <c r="BD392" s="259"/>
    </row>
    <row r="393" ht="16.5" customHeight="1" spans="1:56">
      <c r="A393" s="13"/>
      <c r="B393" s="13"/>
      <c r="C393" s="13"/>
      <c r="D393" s="13"/>
      <c r="E393" s="13"/>
      <c r="F393" s="13"/>
      <c r="G393" s="13"/>
      <c r="H393" s="13"/>
      <c r="I393" s="13"/>
      <c r="J393" s="13"/>
      <c r="K393" s="13"/>
      <c r="L393" s="13"/>
      <c r="M393" s="13"/>
      <c r="N393" s="13"/>
      <c r="O393" s="13"/>
      <c r="P393" s="13"/>
      <c r="Q393" s="13"/>
      <c r="R393" s="213" t="s">
        <v>3490</v>
      </c>
      <c r="S393" s="58">
        <v>783494.65</v>
      </c>
      <c r="T393" s="58">
        <f t="shared" si="922"/>
        <v>572477.37</v>
      </c>
      <c r="U393" s="319">
        <f t="shared" si="923"/>
        <v>331483.93</v>
      </c>
      <c r="V393" s="58">
        <f t="shared" si="924"/>
        <v>240993.44</v>
      </c>
      <c r="W393" s="58">
        <f t="shared" si="925"/>
        <v>240993.44</v>
      </c>
      <c r="X393" s="58">
        <f t="shared" si="926"/>
        <v>240993.44</v>
      </c>
      <c r="Y393" s="58">
        <f t="shared" si="927"/>
        <v>240993.44</v>
      </c>
      <c r="Z393" s="58">
        <f t="shared" si="928"/>
        <v>240993.44</v>
      </c>
      <c r="AA393" s="58">
        <f t="shared" si="929"/>
        <v>240993.44</v>
      </c>
      <c r="AB393" s="58">
        <f t="shared" si="930"/>
        <v>240993.44</v>
      </c>
      <c r="AC393" s="58">
        <f t="shared" si="931"/>
        <v>240993.44</v>
      </c>
      <c r="AD393" s="58">
        <f t="shared" si="932"/>
        <v>240993.44</v>
      </c>
      <c r="AE393" s="58">
        <f t="shared" si="933"/>
        <v>240993.44</v>
      </c>
      <c r="AF393" s="58">
        <f t="shared" si="934"/>
        <v>153789.65</v>
      </c>
      <c r="AG393" s="58">
        <f t="shared" si="935"/>
        <v>66585.86</v>
      </c>
      <c r="AH393" s="328"/>
      <c r="AI393" s="328"/>
      <c r="AJ393" s="13"/>
      <c r="AK393" s="13"/>
      <c r="AL393" s="13"/>
      <c r="AM393" s="13"/>
      <c r="AN393" s="13"/>
      <c r="AO393" s="58"/>
      <c r="AP393" s="58"/>
      <c r="AQ393" s="58"/>
      <c r="AR393" s="58"/>
      <c r="AS393" s="58"/>
      <c r="AT393" s="58"/>
      <c r="AU393" s="58"/>
      <c r="AV393" s="58"/>
      <c r="AW393" s="58"/>
      <c r="AX393" s="58">
        <v>87203.79</v>
      </c>
      <c r="AY393" s="58">
        <v>87203.79</v>
      </c>
      <c r="AZ393" s="58">
        <v>66585.86</v>
      </c>
      <c r="BA393" s="413">
        <v>331483.93</v>
      </c>
      <c r="BB393" s="319"/>
      <c r="BC393" s="423"/>
      <c r="BD393" s="259"/>
    </row>
    <row r="394" ht="16.5" customHeight="1" spans="1:56">
      <c r="A394" s="13"/>
      <c r="B394" s="13"/>
      <c r="C394" s="13"/>
      <c r="D394" s="13"/>
      <c r="E394" s="13"/>
      <c r="F394" s="13"/>
      <c r="G394" s="13"/>
      <c r="H394" s="13"/>
      <c r="I394" s="13"/>
      <c r="J394" s="13"/>
      <c r="K394" s="13"/>
      <c r="L394" s="13"/>
      <c r="M394" s="13"/>
      <c r="N394" s="13"/>
      <c r="O394" s="13"/>
      <c r="P394" s="13"/>
      <c r="Q394" s="13"/>
      <c r="R394" s="213" t="s">
        <v>3491</v>
      </c>
      <c r="S394" s="58"/>
      <c r="T394" s="58">
        <f t="shared" si="922"/>
        <v>0</v>
      </c>
      <c r="U394" s="319">
        <f t="shared" si="923"/>
        <v>0</v>
      </c>
      <c r="V394" s="58"/>
      <c r="W394" s="58"/>
      <c r="X394" s="58"/>
      <c r="Y394" s="58"/>
      <c r="Z394" s="58"/>
      <c r="AA394" s="58"/>
      <c r="AB394" s="58"/>
      <c r="AC394" s="58"/>
      <c r="AD394" s="58"/>
      <c r="AE394" s="58"/>
      <c r="AF394" s="58"/>
      <c r="AG394" s="58"/>
      <c r="AH394" s="328"/>
      <c r="AI394" s="328"/>
      <c r="AJ394" s="13"/>
      <c r="AK394" s="13"/>
      <c r="AL394" s="13"/>
      <c r="AM394" s="13"/>
      <c r="AN394" s="13"/>
      <c r="AO394" s="58"/>
      <c r="AP394" s="58"/>
      <c r="AQ394" s="58"/>
      <c r="AR394" s="58"/>
      <c r="AS394" s="58"/>
      <c r="AT394" s="58"/>
      <c r="AU394" s="58"/>
      <c r="AV394" s="58"/>
      <c r="AW394" s="58"/>
      <c r="AX394" s="58">
        <v>0</v>
      </c>
      <c r="AY394" s="58"/>
      <c r="AZ394" s="58"/>
      <c r="BA394" s="413"/>
      <c r="BB394" s="319"/>
      <c r="BC394" s="423"/>
      <c r="BD394" s="259"/>
    </row>
    <row r="395" ht="16.5" customHeight="1" spans="1:56">
      <c r="A395" s="13"/>
      <c r="B395" s="13"/>
      <c r="C395" s="13"/>
      <c r="D395" s="13"/>
      <c r="E395" s="13"/>
      <c r="F395" s="13"/>
      <c r="G395" s="13"/>
      <c r="H395" s="13"/>
      <c r="I395" s="13"/>
      <c r="J395" s="13"/>
      <c r="K395" s="13"/>
      <c r="L395" s="13"/>
      <c r="M395" s="13"/>
      <c r="N395" s="13"/>
      <c r="O395" s="13"/>
      <c r="P395" s="13"/>
      <c r="Q395" s="13"/>
      <c r="R395" s="213" t="s">
        <v>3492</v>
      </c>
      <c r="S395" s="58">
        <v>25000</v>
      </c>
      <c r="T395" s="58">
        <f t="shared" si="922"/>
        <v>0</v>
      </c>
      <c r="U395" s="319">
        <f t="shared" si="923"/>
        <v>0</v>
      </c>
      <c r="V395" s="58">
        <f t="shared" si="924"/>
        <v>0</v>
      </c>
      <c r="W395" s="58">
        <f t="shared" si="925"/>
        <v>0</v>
      </c>
      <c r="X395" s="58">
        <f t="shared" si="926"/>
        <v>0</v>
      </c>
      <c r="Y395" s="58">
        <f t="shared" si="927"/>
        <v>0</v>
      </c>
      <c r="Z395" s="58">
        <f t="shared" si="928"/>
        <v>0</v>
      </c>
      <c r="AA395" s="58">
        <f t="shared" si="929"/>
        <v>0</v>
      </c>
      <c r="AB395" s="58">
        <f t="shared" si="930"/>
        <v>0</v>
      </c>
      <c r="AC395" s="58">
        <f t="shared" si="931"/>
        <v>0</v>
      </c>
      <c r="AD395" s="58">
        <f t="shared" si="932"/>
        <v>0</v>
      </c>
      <c r="AE395" s="58">
        <f t="shared" si="933"/>
        <v>0</v>
      </c>
      <c r="AF395" s="58">
        <f t="shared" si="934"/>
        <v>0</v>
      </c>
      <c r="AG395" s="58">
        <f t="shared" si="935"/>
        <v>0</v>
      </c>
      <c r="AH395" s="328"/>
      <c r="AI395" s="328"/>
      <c r="AJ395" s="13"/>
      <c r="AK395" s="13"/>
      <c r="AL395" s="13"/>
      <c r="AM395" s="13"/>
      <c r="AN395" s="13"/>
      <c r="AO395" s="58"/>
      <c r="AP395" s="58"/>
      <c r="AQ395" s="58"/>
      <c r="AR395" s="58"/>
      <c r="AS395" s="58"/>
      <c r="AT395" s="58"/>
      <c r="AU395" s="58"/>
      <c r="AV395" s="58"/>
      <c r="AW395" s="58"/>
      <c r="AX395" s="58"/>
      <c r="AY395" s="58"/>
      <c r="AZ395" s="58">
        <v>0</v>
      </c>
      <c r="BA395" s="413">
        <v>0</v>
      </c>
      <c r="BB395" s="319"/>
      <c r="BC395" s="423"/>
      <c r="BD395" s="259"/>
    </row>
    <row r="396" ht="16.5" customHeight="1" spans="1:56">
      <c r="A396" s="13"/>
      <c r="B396" s="13"/>
      <c r="C396" s="13"/>
      <c r="D396" s="13"/>
      <c r="E396" s="13"/>
      <c r="F396" s="13"/>
      <c r="G396" s="13"/>
      <c r="H396" s="13"/>
      <c r="I396" s="13"/>
      <c r="J396" s="13"/>
      <c r="K396" s="13"/>
      <c r="L396" s="13"/>
      <c r="M396" s="13"/>
      <c r="N396" s="13"/>
      <c r="O396" s="13"/>
      <c r="P396" s="13"/>
      <c r="Q396" s="13"/>
      <c r="R396" s="213" t="s">
        <v>3493</v>
      </c>
      <c r="S396" s="58">
        <v>35000</v>
      </c>
      <c r="T396" s="58">
        <f t="shared" si="922"/>
        <v>-4391.79</v>
      </c>
      <c r="U396" s="319">
        <f t="shared" si="923"/>
        <v>-3142.47</v>
      </c>
      <c r="V396" s="58">
        <f t="shared" si="924"/>
        <v>-1249.32</v>
      </c>
      <c r="W396" s="58">
        <f t="shared" si="925"/>
        <v>-1249.32</v>
      </c>
      <c r="X396" s="58">
        <f t="shared" si="926"/>
        <v>-1249.32</v>
      </c>
      <c r="Y396" s="58">
        <f t="shared" si="927"/>
        <v>-1249.32</v>
      </c>
      <c r="Z396" s="58">
        <f t="shared" si="928"/>
        <v>-1249.32</v>
      </c>
      <c r="AA396" s="58">
        <f t="shared" si="929"/>
        <v>-1249.32</v>
      </c>
      <c r="AB396" s="58">
        <f t="shared" si="930"/>
        <v>-1249.32</v>
      </c>
      <c r="AC396" s="58">
        <f t="shared" si="931"/>
        <v>-1249.32</v>
      </c>
      <c r="AD396" s="58">
        <f t="shared" si="932"/>
        <v>-1249.32</v>
      </c>
      <c r="AE396" s="58">
        <f t="shared" si="933"/>
        <v>-1249.32</v>
      </c>
      <c r="AF396" s="58">
        <f t="shared" si="934"/>
        <v>-915.07</v>
      </c>
      <c r="AG396" s="58">
        <f t="shared" si="935"/>
        <v>-495.89</v>
      </c>
      <c r="AH396" s="328"/>
      <c r="AI396" s="328"/>
      <c r="AJ396" s="13"/>
      <c r="AK396" s="13"/>
      <c r="AL396" s="13"/>
      <c r="AM396" s="13"/>
      <c r="AN396" s="13"/>
      <c r="AO396" s="58"/>
      <c r="AP396" s="58"/>
      <c r="AQ396" s="58"/>
      <c r="AR396" s="58"/>
      <c r="AS396" s="58"/>
      <c r="AT396" s="58"/>
      <c r="AU396" s="58"/>
      <c r="AV396" s="58"/>
      <c r="AW396" s="58"/>
      <c r="AX396" s="58">
        <v>-334.25</v>
      </c>
      <c r="AY396" s="58">
        <v>-419.18</v>
      </c>
      <c r="AZ396" s="58">
        <v>-495.89</v>
      </c>
      <c r="BA396" s="413">
        <v>-3142.47</v>
      </c>
      <c r="BB396" s="319"/>
      <c r="BC396" s="423"/>
      <c r="BD396" s="259"/>
    </row>
    <row r="397" ht="16.5" customHeight="1" spans="1:56">
      <c r="A397" s="13"/>
      <c r="B397" s="13"/>
      <c r="C397" s="13"/>
      <c r="D397" s="13"/>
      <c r="E397" s="13"/>
      <c r="F397" s="13"/>
      <c r="G397" s="13"/>
      <c r="H397" s="13"/>
      <c r="I397" s="13"/>
      <c r="J397" s="13"/>
      <c r="K397" s="13"/>
      <c r="L397" s="13"/>
      <c r="M397" s="13"/>
      <c r="N397" s="13"/>
      <c r="O397" s="13"/>
      <c r="P397" s="13"/>
      <c r="Q397" s="13"/>
      <c r="R397" s="213" t="s">
        <v>3494</v>
      </c>
      <c r="S397" s="214">
        <f t="shared" ref="S397:AG397" si="936">SUM(S393:S396)</f>
        <v>843494.65</v>
      </c>
      <c r="T397" s="214">
        <f t="shared" si="936"/>
        <v>568085.58</v>
      </c>
      <c r="U397" s="320">
        <f t="shared" si="936"/>
        <v>328341.46</v>
      </c>
      <c r="V397" s="214">
        <f t="shared" si="936"/>
        <v>239744.12</v>
      </c>
      <c r="W397" s="214">
        <f t="shared" si="936"/>
        <v>239744.12</v>
      </c>
      <c r="X397" s="214">
        <f t="shared" si="936"/>
        <v>239744.12</v>
      </c>
      <c r="Y397" s="214">
        <f t="shared" si="936"/>
        <v>239744.12</v>
      </c>
      <c r="Z397" s="214">
        <f t="shared" si="936"/>
        <v>239744.12</v>
      </c>
      <c r="AA397" s="214">
        <f t="shared" si="936"/>
        <v>239744.12</v>
      </c>
      <c r="AB397" s="214">
        <f t="shared" si="936"/>
        <v>239744.12</v>
      </c>
      <c r="AC397" s="214">
        <f t="shared" si="936"/>
        <v>239744.12</v>
      </c>
      <c r="AD397" s="214">
        <f t="shared" si="936"/>
        <v>239744.12</v>
      </c>
      <c r="AE397" s="214">
        <f t="shared" si="936"/>
        <v>239744.12</v>
      </c>
      <c r="AF397" s="214">
        <f t="shared" si="936"/>
        <v>152874.58</v>
      </c>
      <c r="AG397" s="214">
        <f t="shared" si="936"/>
        <v>66089.97</v>
      </c>
      <c r="AH397" s="214">
        <f>SUM(AH393:AH396)</f>
        <v>0</v>
      </c>
      <c r="AI397" s="214">
        <f>SUM(AI393:AI396)</f>
        <v>0</v>
      </c>
      <c r="AJ397" s="13"/>
      <c r="AK397" s="13"/>
      <c r="AL397" s="13"/>
      <c r="AM397" s="13"/>
      <c r="AN397" s="13"/>
      <c r="AO397" s="214">
        <f t="shared" ref="AO397:AX397" si="937">SUM(AO393:AO396)</f>
        <v>0</v>
      </c>
      <c r="AP397" s="214">
        <f t="shared" si="937"/>
        <v>0</v>
      </c>
      <c r="AQ397" s="214">
        <f t="shared" si="937"/>
        <v>0</v>
      </c>
      <c r="AR397" s="214">
        <f t="shared" si="937"/>
        <v>0</v>
      </c>
      <c r="AS397" s="214">
        <f t="shared" si="937"/>
        <v>0</v>
      </c>
      <c r="AT397" s="214">
        <f t="shared" si="937"/>
        <v>0</v>
      </c>
      <c r="AU397" s="214">
        <f t="shared" si="937"/>
        <v>0</v>
      </c>
      <c r="AV397" s="214">
        <f t="shared" si="937"/>
        <v>0</v>
      </c>
      <c r="AW397" s="214">
        <f t="shared" si="937"/>
        <v>0</v>
      </c>
      <c r="AX397" s="214">
        <f t="shared" si="937"/>
        <v>86869.54</v>
      </c>
      <c r="AY397" s="214">
        <v>86784.61</v>
      </c>
      <c r="AZ397" s="214">
        <f>SUM(AZ393:AZ396)</f>
        <v>66089.97</v>
      </c>
      <c r="BA397" s="415">
        <v>328341.46</v>
      </c>
      <c r="BB397" s="320">
        <f>SUM(BB393:BB396)</f>
        <v>0</v>
      </c>
      <c r="BC397" s="416">
        <f>SUM(BC393:BC396)</f>
        <v>0</v>
      </c>
      <c r="BD397" s="345"/>
    </row>
    <row r="398" ht="16.5" customHeight="1" spans="1:56">
      <c r="A398" s="13"/>
      <c r="B398" s="13"/>
      <c r="C398" s="13"/>
      <c r="D398" s="13"/>
      <c r="E398" s="13"/>
      <c r="F398" s="13"/>
      <c r="G398" s="13"/>
      <c r="H398" s="13"/>
      <c r="I398" s="13"/>
      <c r="J398" s="13"/>
      <c r="K398" s="13"/>
      <c r="L398" s="13"/>
      <c r="M398" s="13"/>
      <c r="N398" s="13"/>
      <c r="O398" s="13"/>
      <c r="P398" s="13"/>
      <c r="Q398" s="13"/>
      <c r="R398" s="213" t="s">
        <v>3495</v>
      </c>
      <c r="S398" s="58">
        <f t="shared" ref="S398:AG398" si="938">S392-S393</f>
        <v>216505.35</v>
      </c>
      <c r="T398" s="58">
        <f t="shared" si="938"/>
        <v>85757.63</v>
      </c>
      <c r="U398" s="319">
        <f t="shared" si="938"/>
        <v>80176.07</v>
      </c>
      <c r="V398" s="58">
        <f t="shared" si="938"/>
        <v>5581.56</v>
      </c>
      <c r="W398" s="58">
        <f t="shared" si="938"/>
        <v>5581.56</v>
      </c>
      <c r="X398" s="58">
        <f t="shared" si="938"/>
        <v>5581.56</v>
      </c>
      <c r="Y398" s="58">
        <f t="shared" si="938"/>
        <v>5581.56</v>
      </c>
      <c r="Z398" s="58">
        <f t="shared" si="938"/>
        <v>5581.56</v>
      </c>
      <c r="AA398" s="58">
        <f t="shared" si="938"/>
        <v>5581.56</v>
      </c>
      <c r="AB398" s="58">
        <f t="shared" si="938"/>
        <v>5581.56</v>
      </c>
      <c r="AC398" s="58">
        <f t="shared" si="938"/>
        <v>5581.56</v>
      </c>
      <c r="AD398" s="58">
        <f t="shared" si="938"/>
        <v>5581.56</v>
      </c>
      <c r="AE398" s="58">
        <f t="shared" si="938"/>
        <v>5581.56</v>
      </c>
      <c r="AF398" s="58">
        <f t="shared" si="938"/>
        <v>7854.35000000001</v>
      </c>
      <c r="AG398" s="58">
        <f t="shared" si="938"/>
        <v>18346.14</v>
      </c>
      <c r="AH398" s="332"/>
      <c r="AI398" s="332"/>
      <c r="AJ398" s="13"/>
      <c r="AK398" s="13"/>
      <c r="AL398" s="13"/>
      <c r="AM398" s="13"/>
      <c r="AN398" s="13"/>
      <c r="AO398" s="58">
        <f t="shared" ref="AO398:AZ398" si="939">AO392-AO393</f>
        <v>0</v>
      </c>
      <c r="AP398" s="58">
        <f t="shared" si="939"/>
        <v>0</v>
      </c>
      <c r="AQ398" s="58">
        <f t="shared" si="939"/>
        <v>0</v>
      </c>
      <c r="AR398" s="58">
        <f t="shared" si="939"/>
        <v>0</v>
      </c>
      <c r="AS398" s="58">
        <f t="shared" si="939"/>
        <v>0</v>
      </c>
      <c r="AT398" s="58">
        <f t="shared" si="939"/>
        <v>0</v>
      </c>
      <c r="AU398" s="58">
        <f t="shared" si="939"/>
        <v>0</v>
      </c>
      <c r="AV398" s="58">
        <f t="shared" si="939"/>
        <v>0</v>
      </c>
      <c r="AW398" s="58">
        <f t="shared" si="939"/>
        <v>0</v>
      </c>
      <c r="AX398" s="58">
        <f t="shared" si="939"/>
        <v>-2272.78999999999</v>
      </c>
      <c r="AY398" s="58">
        <f t="shared" si="939"/>
        <v>-10491.79</v>
      </c>
      <c r="AZ398" s="58">
        <f t="shared" si="939"/>
        <v>18346.14</v>
      </c>
      <c r="BA398" s="417">
        <v>80176.07</v>
      </c>
      <c r="BB398" s="320"/>
      <c r="BC398" s="423"/>
      <c r="BD398" s="259"/>
    </row>
    <row r="399" ht="16.5" customHeight="1" spans="1:56">
      <c r="A399" s="13"/>
      <c r="B399" s="13"/>
      <c r="C399" s="13"/>
      <c r="D399" s="13"/>
      <c r="E399" s="13"/>
      <c r="F399" s="13"/>
      <c r="G399" s="13"/>
      <c r="H399" s="13"/>
      <c r="I399" s="13"/>
      <c r="J399" s="13"/>
      <c r="K399" s="13"/>
      <c r="L399" s="13"/>
      <c r="M399" s="13"/>
      <c r="N399" s="13"/>
      <c r="O399" s="13"/>
      <c r="P399" s="13"/>
      <c r="Q399" s="13"/>
      <c r="R399" s="321" t="s">
        <v>3496</v>
      </c>
      <c r="S399" s="61">
        <f t="shared" ref="S399:AG399" si="940">S398/S392</f>
        <v>0.21650535</v>
      </c>
      <c r="T399" s="61">
        <f t="shared" si="940"/>
        <v>0.130284214604207</v>
      </c>
      <c r="U399" s="322">
        <f t="shared" si="940"/>
        <v>0.194762838264587</v>
      </c>
      <c r="V399" s="61">
        <f t="shared" si="940"/>
        <v>0.0226363581060529</v>
      </c>
      <c r="W399" s="61">
        <f t="shared" si="940"/>
        <v>0.0226363581060529</v>
      </c>
      <c r="X399" s="61">
        <f t="shared" si="940"/>
        <v>0.0226363581060529</v>
      </c>
      <c r="Y399" s="61">
        <f t="shared" si="940"/>
        <v>0.0226363581060529</v>
      </c>
      <c r="Z399" s="61">
        <f t="shared" si="940"/>
        <v>0.0226363581060529</v>
      </c>
      <c r="AA399" s="61">
        <f t="shared" si="940"/>
        <v>0.0226363581060529</v>
      </c>
      <c r="AB399" s="61">
        <f t="shared" si="940"/>
        <v>0.0226363581060529</v>
      </c>
      <c r="AC399" s="61">
        <f t="shared" si="940"/>
        <v>0.0226363581060529</v>
      </c>
      <c r="AD399" s="61">
        <f t="shared" si="940"/>
        <v>0.0226363581060529</v>
      </c>
      <c r="AE399" s="61">
        <f t="shared" si="940"/>
        <v>0.0226363581060529</v>
      </c>
      <c r="AF399" s="61">
        <f t="shared" si="940"/>
        <v>0.0485904209249957</v>
      </c>
      <c r="AG399" s="61">
        <f t="shared" si="940"/>
        <v>0.216009748975651</v>
      </c>
      <c r="AH399" s="82">
        <f>T399-S399</f>
        <v>-0.0862211353957933</v>
      </c>
      <c r="AI399" s="82">
        <f>AF399-S399</f>
        <v>-0.167914929075004</v>
      </c>
      <c r="AJ399" s="13"/>
      <c r="AK399" s="13"/>
      <c r="AL399" s="13"/>
      <c r="AM399" s="13"/>
      <c r="AN399" s="13"/>
      <c r="AO399" s="61" t="e">
        <f t="shared" ref="AO399:AZ399" si="941">AO398/AO392</f>
        <v>#DIV/0!</v>
      </c>
      <c r="AP399" s="61" t="e">
        <f t="shared" si="941"/>
        <v>#DIV/0!</v>
      </c>
      <c r="AQ399" s="61" t="e">
        <f t="shared" si="941"/>
        <v>#DIV/0!</v>
      </c>
      <c r="AR399" s="61" t="e">
        <f t="shared" si="941"/>
        <v>#DIV/0!</v>
      </c>
      <c r="AS399" s="61" t="e">
        <f t="shared" si="941"/>
        <v>#DIV/0!</v>
      </c>
      <c r="AT399" s="61" t="e">
        <f t="shared" si="941"/>
        <v>#DIV/0!</v>
      </c>
      <c r="AU399" s="61" t="e">
        <f t="shared" si="941"/>
        <v>#DIV/0!</v>
      </c>
      <c r="AV399" s="61" t="e">
        <f t="shared" si="941"/>
        <v>#DIV/0!</v>
      </c>
      <c r="AW399" s="61" t="e">
        <f t="shared" si="941"/>
        <v>#DIV/0!</v>
      </c>
      <c r="AX399" s="61">
        <f t="shared" si="941"/>
        <v>-0.0267604290541733</v>
      </c>
      <c r="AY399" s="61">
        <f t="shared" si="941"/>
        <v>-0.136768562936698</v>
      </c>
      <c r="AZ399" s="61">
        <f t="shared" si="941"/>
        <v>0.216009748975651</v>
      </c>
      <c r="BA399" s="418">
        <v>0.194762838264587</v>
      </c>
      <c r="BB399" s="403"/>
      <c r="BC399" s="423"/>
      <c r="BD399" s="259"/>
    </row>
    <row r="400" ht="16.5" customHeight="1" spans="1:56">
      <c r="A400" s="13"/>
      <c r="B400" s="13"/>
      <c r="C400" s="13"/>
      <c r="D400" s="13"/>
      <c r="E400" s="13"/>
      <c r="F400" s="13"/>
      <c r="G400" s="13"/>
      <c r="H400" s="13"/>
      <c r="I400" s="13"/>
      <c r="J400" s="13"/>
      <c r="K400" s="13"/>
      <c r="L400" s="13"/>
      <c r="M400" s="13"/>
      <c r="N400" s="13"/>
      <c r="O400" s="13"/>
      <c r="P400" s="13"/>
      <c r="Q400" s="13"/>
      <c r="R400" s="213" t="s">
        <v>3497</v>
      </c>
      <c r="S400" s="58">
        <f t="shared" ref="S400:AG400" si="942">S392-S397</f>
        <v>156505.35</v>
      </c>
      <c r="T400" s="58">
        <f t="shared" si="942"/>
        <v>90149.42</v>
      </c>
      <c r="U400" s="58">
        <f t="shared" si="942"/>
        <v>83318.54</v>
      </c>
      <c r="V400" s="58">
        <f t="shared" si="942"/>
        <v>6830.88</v>
      </c>
      <c r="W400" s="58">
        <f t="shared" si="942"/>
        <v>6830.88</v>
      </c>
      <c r="X400" s="58">
        <f t="shared" si="942"/>
        <v>6830.88</v>
      </c>
      <c r="Y400" s="58">
        <f t="shared" si="942"/>
        <v>6830.88</v>
      </c>
      <c r="Z400" s="58">
        <f t="shared" si="942"/>
        <v>6830.88</v>
      </c>
      <c r="AA400" s="58">
        <f t="shared" si="942"/>
        <v>6830.88</v>
      </c>
      <c r="AB400" s="58">
        <f t="shared" si="942"/>
        <v>6830.88</v>
      </c>
      <c r="AC400" s="58">
        <f t="shared" si="942"/>
        <v>6830.88</v>
      </c>
      <c r="AD400" s="58">
        <f t="shared" si="942"/>
        <v>6830.88</v>
      </c>
      <c r="AE400" s="58">
        <f t="shared" si="942"/>
        <v>6830.88</v>
      </c>
      <c r="AF400" s="58">
        <f t="shared" si="942"/>
        <v>8769.42000000001</v>
      </c>
      <c r="AG400" s="58">
        <f t="shared" si="942"/>
        <v>18842.03</v>
      </c>
      <c r="AH400" s="82"/>
      <c r="AI400" s="82"/>
      <c r="AJ400" s="13"/>
      <c r="AK400" s="13"/>
      <c r="AL400" s="13"/>
      <c r="AM400" s="13"/>
      <c r="AN400" s="13"/>
      <c r="AO400" s="58">
        <f t="shared" ref="AO400:BC400" si="943">AO392-AO397</f>
        <v>0</v>
      </c>
      <c r="AP400" s="58">
        <f t="shared" si="943"/>
        <v>0</v>
      </c>
      <c r="AQ400" s="58">
        <f t="shared" si="943"/>
        <v>0</v>
      </c>
      <c r="AR400" s="58">
        <f t="shared" si="943"/>
        <v>0</v>
      </c>
      <c r="AS400" s="58">
        <f t="shared" si="943"/>
        <v>0</v>
      </c>
      <c r="AT400" s="58">
        <f t="shared" si="943"/>
        <v>0</v>
      </c>
      <c r="AU400" s="58">
        <f t="shared" si="943"/>
        <v>0</v>
      </c>
      <c r="AV400" s="58">
        <f t="shared" si="943"/>
        <v>0</v>
      </c>
      <c r="AW400" s="58">
        <f t="shared" si="943"/>
        <v>0</v>
      </c>
      <c r="AX400" s="58">
        <f t="shared" si="943"/>
        <v>-1938.53999999999</v>
      </c>
      <c r="AY400" s="58">
        <f t="shared" si="943"/>
        <v>-10072.61</v>
      </c>
      <c r="AZ400" s="58">
        <f t="shared" si="943"/>
        <v>18842.03</v>
      </c>
      <c r="BA400" s="58">
        <f t="shared" si="943"/>
        <v>83318.54</v>
      </c>
      <c r="BB400" s="58">
        <f t="shared" si="943"/>
        <v>0</v>
      </c>
      <c r="BC400" s="58">
        <f t="shared" si="943"/>
        <v>0</v>
      </c>
      <c r="BD400" s="259"/>
    </row>
    <row r="401" ht="16.5" customHeight="1" spans="1:56">
      <c r="A401" s="14"/>
      <c r="B401" s="14"/>
      <c r="C401" s="14"/>
      <c r="D401" s="14"/>
      <c r="E401" s="14"/>
      <c r="F401" s="14"/>
      <c r="G401" s="14"/>
      <c r="H401" s="14"/>
      <c r="I401" s="14"/>
      <c r="J401" s="14"/>
      <c r="K401" s="14"/>
      <c r="L401" s="14"/>
      <c r="M401" s="14"/>
      <c r="N401" s="14"/>
      <c r="O401" s="14"/>
      <c r="P401" s="14"/>
      <c r="Q401" s="14"/>
      <c r="R401" s="321" t="s">
        <v>3498</v>
      </c>
      <c r="S401" s="61">
        <f t="shared" ref="S401:AG401" si="944">S400/S392</f>
        <v>0.15650535</v>
      </c>
      <c r="T401" s="61">
        <f t="shared" si="944"/>
        <v>0.1369562846096</v>
      </c>
      <c r="U401" s="322">
        <f t="shared" si="944"/>
        <v>0.202396492250887</v>
      </c>
      <c r="V401" s="61">
        <f t="shared" si="944"/>
        <v>0.0277030518097942</v>
      </c>
      <c r="W401" s="61">
        <f t="shared" si="944"/>
        <v>0.0277030518097942</v>
      </c>
      <c r="X401" s="61">
        <f t="shared" si="944"/>
        <v>0.0277030518097942</v>
      </c>
      <c r="Y401" s="61">
        <f t="shared" si="944"/>
        <v>0.0277030518097942</v>
      </c>
      <c r="Z401" s="61">
        <f t="shared" si="944"/>
        <v>0.0277030518097942</v>
      </c>
      <c r="AA401" s="61">
        <f t="shared" si="944"/>
        <v>0.0277030518097942</v>
      </c>
      <c r="AB401" s="61">
        <f t="shared" si="944"/>
        <v>0.0277030518097942</v>
      </c>
      <c r="AC401" s="61">
        <f t="shared" si="944"/>
        <v>0.0277030518097942</v>
      </c>
      <c r="AD401" s="61">
        <f t="shared" si="944"/>
        <v>0.0277030518097942</v>
      </c>
      <c r="AE401" s="61">
        <f t="shared" si="944"/>
        <v>0.0277030518097942</v>
      </c>
      <c r="AF401" s="61">
        <f t="shared" si="944"/>
        <v>0.0542514414392122</v>
      </c>
      <c r="AG401" s="61">
        <f t="shared" si="944"/>
        <v>0.221848419912401</v>
      </c>
      <c r="AH401" s="82">
        <f>T401-S401</f>
        <v>-0.0195490653904</v>
      </c>
      <c r="AI401" s="82">
        <f>AF401-S401</f>
        <v>-0.102253908560788</v>
      </c>
      <c r="AJ401" s="14"/>
      <c r="AK401" s="14"/>
      <c r="AL401" s="14"/>
      <c r="AM401" s="14"/>
      <c r="AN401" s="14"/>
      <c r="AO401" s="61" t="e">
        <f t="shared" ref="AO401:AZ401" si="945">AO400/AO392</f>
        <v>#DIV/0!</v>
      </c>
      <c r="AP401" s="61" t="e">
        <f t="shared" si="945"/>
        <v>#DIV/0!</v>
      </c>
      <c r="AQ401" s="61" t="e">
        <f t="shared" si="945"/>
        <v>#DIV/0!</v>
      </c>
      <c r="AR401" s="61" t="e">
        <f t="shared" si="945"/>
        <v>#DIV/0!</v>
      </c>
      <c r="AS401" s="61" t="e">
        <f t="shared" si="945"/>
        <v>#DIV/0!</v>
      </c>
      <c r="AT401" s="61" t="e">
        <f t="shared" si="945"/>
        <v>#DIV/0!</v>
      </c>
      <c r="AU401" s="61" t="e">
        <f t="shared" si="945"/>
        <v>#DIV/0!</v>
      </c>
      <c r="AV401" s="61" t="e">
        <f t="shared" si="945"/>
        <v>#DIV/0!</v>
      </c>
      <c r="AW401" s="61" t="e">
        <f t="shared" si="945"/>
        <v>#DIV/0!</v>
      </c>
      <c r="AX401" s="61">
        <f t="shared" si="945"/>
        <v>-0.022824881374292</v>
      </c>
      <c r="AY401" s="61">
        <f t="shared" si="945"/>
        <v>-0.131304228803838</v>
      </c>
      <c r="AZ401" s="61">
        <f t="shared" si="945"/>
        <v>0.221848419912401</v>
      </c>
      <c r="BA401" s="418">
        <v>0.202396492250887</v>
      </c>
      <c r="BB401" s="403"/>
      <c r="BC401" s="423"/>
      <c r="BD401" s="259"/>
    </row>
    <row r="402" ht="16.5" customHeight="1" spans="1:56">
      <c r="A402" s="300" t="s">
        <v>2500</v>
      </c>
      <c r="B402" s="301" t="s">
        <v>3611</v>
      </c>
      <c r="C402" s="302">
        <v>45809</v>
      </c>
      <c r="D402" s="302">
        <v>46173</v>
      </c>
      <c r="E402" s="304"/>
      <c r="F402" s="233">
        <v>0.75</v>
      </c>
      <c r="G402" s="12">
        <v>0.5</v>
      </c>
      <c r="H402" s="12"/>
      <c r="I402" s="12"/>
      <c r="J402" s="12"/>
      <c r="K402" s="12"/>
      <c r="L402" s="12"/>
      <c r="M402" s="12"/>
      <c r="N402" s="12"/>
      <c r="O402" s="12"/>
      <c r="P402" s="304"/>
      <c r="Q402" s="12"/>
      <c r="R402" s="318" t="s">
        <v>3486</v>
      </c>
      <c r="S402" s="58">
        <v>435000</v>
      </c>
      <c r="T402" s="58">
        <f t="shared" ref="T402:T406" si="946">SUM(AO402:BC402)</f>
        <v>435000</v>
      </c>
      <c r="U402" s="319">
        <f t="shared" ref="U402:U406" si="947">SUM(BA402:BC402)</f>
        <v>435000</v>
      </c>
      <c r="V402" s="58">
        <f t="shared" ref="V402:V406" si="948">SUM(AO402:AZ402)</f>
        <v>0</v>
      </c>
      <c r="W402" s="58">
        <f t="shared" ref="W402:W406" si="949">SUM(AP402:AZ402)</f>
        <v>0</v>
      </c>
      <c r="X402" s="58">
        <f t="shared" ref="X402:X406" si="950">SUM(AQ402:AZ402)</f>
        <v>0</v>
      </c>
      <c r="Y402" s="58">
        <f t="shared" ref="Y402:Y406" si="951">SUM(AR402:AZ402)</f>
        <v>0</v>
      </c>
      <c r="Z402" s="58">
        <f t="shared" ref="Z402:Z406" si="952">SUM(AS402:AZ402)</f>
        <v>0</v>
      </c>
      <c r="AA402" s="58">
        <f t="shared" ref="AA402:AA406" si="953">SUM(AT402:AZ402)</f>
        <v>0</v>
      </c>
      <c r="AB402" s="58">
        <f t="shared" ref="AB402:AB406" si="954">SUM(AU402:AZ402)</f>
        <v>0</v>
      </c>
      <c r="AC402" s="58">
        <f t="shared" ref="AC402:AC406" si="955">SUM(AV402:AZ402)</f>
        <v>0</v>
      </c>
      <c r="AD402" s="58">
        <f t="shared" ref="AD402:AD406" si="956">SUM(AW402:AZ402)</f>
        <v>0</v>
      </c>
      <c r="AE402" s="58">
        <f t="shared" ref="AE402:AE406" si="957">SUM(AX402:AZ402)</f>
        <v>0</v>
      </c>
      <c r="AF402" s="58">
        <f t="shared" ref="AF402:AF406" si="958">SUM(AY402:AZ402)</f>
        <v>0</v>
      </c>
      <c r="AG402" s="58">
        <f t="shared" ref="AG402:AG406" si="959">SUM(AZ402:AZ402)</f>
        <v>0</v>
      </c>
      <c r="AH402" s="328"/>
      <c r="AI402" s="328"/>
      <c r="AJ402" s="301"/>
      <c r="AK402" s="93" t="s">
        <v>3612</v>
      </c>
      <c r="AL402" s="301" t="s">
        <v>3613</v>
      </c>
      <c r="AM402" s="93"/>
      <c r="AN402" s="233"/>
      <c r="AO402" s="58"/>
      <c r="AP402" s="58"/>
      <c r="AQ402" s="58"/>
      <c r="AR402" s="58"/>
      <c r="AS402" s="58"/>
      <c r="AT402" s="58"/>
      <c r="AU402" s="58"/>
      <c r="AV402" s="58"/>
      <c r="AW402" s="58"/>
      <c r="AX402" s="58">
        <v>0</v>
      </c>
      <c r="AY402" s="58">
        <v>0</v>
      </c>
      <c r="AZ402" s="58">
        <v>0</v>
      </c>
      <c r="BA402" s="413">
        <v>435000</v>
      </c>
      <c r="BB402" s="319"/>
      <c r="BC402" s="423"/>
      <c r="BD402" s="259"/>
    </row>
    <row r="403" ht="16.5" customHeight="1" spans="1:56">
      <c r="A403" s="13"/>
      <c r="B403" s="13"/>
      <c r="C403" s="13"/>
      <c r="D403" s="13"/>
      <c r="E403" s="13"/>
      <c r="F403" s="13"/>
      <c r="G403" s="13"/>
      <c r="H403" s="13"/>
      <c r="I403" s="13"/>
      <c r="J403" s="13"/>
      <c r="K403" s="13"/>
      <c r="L403" s="13"/>
      <c r="M403" s="13"/>
      <c r="N403" s="13"/>
      <c r="O403" s="13"/>
      <c r="P403" s="13"/>
      <c r="Q403" s="13"/>
      <c r="R403" s="213" t="s">
        <v>3490</v>
      </c>
      <c r="S403" s="58">
        <v>354384.65</v>
      </c>
      <c r="T403" s="58">
        <f t="shared" si="946"/>
        <v>345708.9</v>
      </c>
      <c r="U403" s="319">
        <f t="shared" si="947"/>
        <v>317303.07</v>
      </c>
      <c r="V403" s="58">
        <f t="shared" si="948"/>
        <v>28405.83</v>
      </c>
      <c r="W403" s="58">
        <f t="shared" si="949"/>
        <v>28405.83</v>
      </c>
      <c r="X403" s="58">
        <f t="shared" si="950"/>
        <v>28405.83</v>
      </c>
      <c r="Y403" s="58">
        <f t="shared" si="951"/>
        <v>28405.83</v>
      </c>
      <c r="Z403" s="58">
        <f t="shared" si="952"/>
        <v>28405.83</v>
      </c>
      <c r="AA403" s="58">
        <f t="shared" si="953"/>
        <v>28405.83</v>
      </c>
      <c r="AB403" s="58">
        <f t="shared" si="954"/>
        <v>28405.83</v>
      </c>
      <c r="AC403" s="58">
        <f t="shared" si="955"/>
        <v>28405.83</v>
      </c>
      <c r="AD403" s="58">
        <f t="shared" si="956"/>
        <v>28405.83</v>
      </c>
      <c r="AE403" s="58">
        <f t="shared" si="957"/>
        <v>28405.83</v>
      </c>
      <c r="AF403" s="58">
        <f t="shared" si="958"/>
        <v>28405.83</v>
      </c>
      <c r="AG403" s="58">
        <f t="shared" si="959"/>
        <v>0</v>
      </c>
      <c r="AH403" s="328"/>
      <c r="AI403" s="328"/>
      <c r="AJ403" s="13"/>
      <c r="AK403" s="13"/>
      <c r="AL403" s="13"/>
      <c r="AM403" s="13"/>
      <c r="AN403" s="13"/>
      <c r="AO403" s="58"/>
      <c r="AP403" s="58"/>
      <c r="AQ403" s="58"/>
      <c r="AR403" s="58"/>
      <c r="AS403" s="58"/>
      <c r="AT403" s="58"/>
      <c r="AU403" s="58"/>
      <c r="AV403" s="58"/>
      <c r="AW403" s="58"/>
      <c r="AX403" s="58">
        <v>0</v>
      </c>
      <c r="AY403" s="58">
        <v>28405.83</v>
      </c>
      <c r="AZ403" s="58">
        <v>0</v>
      </c>
      <c r="BA403" s="413">
        <v>317303.07</v>
      </c>
      <c r="BB403" s="319"/>
      <c r="BC403" s="423"/>
      <c r="BD403" s="259"/>
    </row>
    <row r="404" ht="16.5" customHeight="1" spans="1:56">
      <c r="A404" s="13"/>
      <c r="B404" s="13"/>
      <c r="C404" s="13"/>
      <c r="D404" s="13"/>
      <c r="E404" s="13"/>
      <c r="F404" s="13"/>
      <c r="G404" s="13"/>
      <c r="H404" s="13"/>
      <c r="I404" s="13"/>
      <c r="J404" s="13"/>
      <c r="K404" s="13"/>
      <c r="L404" s="13"/>
      <c r="M404" s="13"/>
      <c r="N404" s="13"/>
      <c r="O404" s="13"/>
      <c r="P404" s="13"/>
      <c r="Q404" s="13"/>
      <c r="R404" s="213" t="s">
        <v>3491</v>
      </c>
      <c r="S404" s="58"/>
      <c r="T404" s="58">
        <f t="shared" si="946"/>
        <v>0</v>
      </c>
      <c r="U404" s="319">
        <f t="shared" si="947"/>
        <v>0</v>
      </c>
      <c r="V404" s="58"/>
      <c r="W404" s="58"/>
      <c r="X404" s="58"/>
      <c r="Y404" s="58"/>
      <c r="Z404" s="58"/>
      <c r="AA404" s="58"/>
      <c r="AB404" s="58"/>
      <c r="AC404" s="58"/>
      <c r="AD404" s="58"/>
      <c r="AE404" s="58"/>
      <c r="AF404" s="58"/>
      <c r="AG404" s="58"/>
      <c r="AH404" s="328"/>
      <c r="AI404" s="328"/>
      <c r="AJ404" s="13"/>
      <c r="AK404" s="13"/>
      <c r="AL404" s="13"/>
      <c r="AM404" s="13"/>
      <c r="AN404" s="13"/>
      <c r="AO404" s="58"/>
      <c r="AP404" s="58"/>
      <c r="AQ404" s="58"/>
      <c r="AR404" s="58"/>
      <c r="AS404" s="58"/>
      <c r="AT404" s="58"/>
      <c r="AU404" s="58"/>
      <c r="AV404" s="58"/>
      <c r="AW404" s="58"/>
      <c r="AX404" s="58">
        <v>0</v>
      </c>
      <c r="AY404" s="58"/>
      <c r="AZ404" s="58"/>
      <c r="BA404" s="413"/>
      <c r="BB404" s="319"/>
      <c r="BC404" s="423"/>
      <c r="BD404" s="259"/>
    </row>
    <row r="405" ht="16.5" customHeight="1" spans="1:56">
      <c r="A405" s="13"/>
      <c r="B405" s="13"/>
      <c r="C405" s="13"/>
      <c r="D405" s="13"/>
      <c r="E405" s="13"/>
      <c r="F405" s="13"/>
      <c r="G405" s="13"/>
      <c r="H405" s="13"/>
      <c r="I405" s="13"/>
      <c r="J405" s="13"/>
      <c r="K405" s="13"/>
      <c r="L405" s="13"/>
      <c r="M405" s="13"/>
      <c r="N405" s="13"/>
      <c r="O405" s="13"/>
      <c r="P405" s="13"/>
      <c r="Q405" s="13"/>
      <c r="R405" s="213" t="s">
        <v>3492</v>
      </c>
      <c r="S405" s="58">
        <v>13000</v>
      </c>
      <c r="T405" s="58">
        <f t="shared" si="946"/>
        <v>0</v>
      </c>
      <c r="U405" s="319">
        <f t="shared" si="947"/>
        <v>0</v>
      </c>
      <c r="V405" s="58">
        <f t="shared" si="948"/>
        <v>0</v>
      </c>
      <c r="W405" s="58">
        <f t="shared" si="949"/>
        <v>0</v>
      </c>
      <c r="X405" s="58">
        <f t="shared" si="950"/>
        <v>0</v>
      </c>
      <c r="Y405" s="58">
        <f t="shared" si="951"/>
        <v>0</v>
      </c>
      <c r="Z405" s="58">
        <f t="shared" si="952"/>
        <v>0</v>
      </c>
      <c r="AA405" s="58">
        <f t="shared" si="953"/>
        <v>0</v>
      </c>
      <c r="AB405" s="58">
        <f t="shared" si="954"/>
        <v>0</v>
      </c>
      <c r="AC405" s="58">
        <f t="shared" si="955"/>
        <v>0</v>
      </c>
      <c r="AD405" s="58">
        <f t="shared" si="956"/>
        <v>0</v>
      </c>
      <c r="AE405" s="58">
        <f t="shared" si="957"/>
        <v>0</v>
      </c>
      <c r="AF405" s="58">
        <f t="shared" si="958"/>
        <v>0</v>
      </c>
      <c r="AG405" s="58">
        <f t="shared" si="959"/>
        <v>0</v>
      </c>
      <c r="AH405" s="328"/>
      <c r="AI405" s="328"/>
      <c r="AJ405" s="13"/>
      <c r="AK405" s="13"/>
      <c r="AL405" s="13"/>
      <c r="AM405" s="13"/>
      <c r="AN405" s="13"/>
      <c r="AO405" s="58"/>
      <c r="AP405" s="58"/>
      <c r="AQ405" s="58"/>
      <c r="AR405" s="58"/>
      <c r="AS405" s="58"/>
      <c r="AT405" s="58"/>
      <c r="AU405" s="58"/>
      <c r="AV405" s="58"/>
      <c r="AW405" s="58"/>
      <c r="AX405" s="58"/>
      <c r="AY405" s="58"/>
      <c r="AZ405" s="58">
        <v>0</v>
      </c>
      <c r="BA405" s="413">
        <v>0</v>
      </c>
      <c r="BB405" s="319"/>
      <c r="BC405" s="423"/>
      <c r="BD405" s="259"/>
    </row>
    <row r="406" ht="16.5" customHeight="1" spans="1:56">
      <c r="A406" s="13"/>
      <c r="B406" s="13"/>
      <c r="C406" s="13"/>
      <c r="D406" s="13"/>
      <c r="E406" s="13"/>
      <c r="F406" s="13"/>
      <c r="G406" s="13"/>
      <c r="H406" s="13"/>
      <c r="I406" s="13"/>
      <c r="J406" s="13"/>
      <c r="K406" s="13"/>
      <c r="L406" s="13"/>
      <c r="M406" s="13"/>
      <c r="N406" s="13"/>
      <c r="O406" s="13"/>
      <c r="P406" s="13"/>
      <c r="Q406" s="13"/>
      <c r="R406" s="213" t="s">
        <v>3493</v>
      </c>
      <c r="S406" s="58">
        <v>0</v>
      </c>
      <c r="T406" s="58">
        <f t="shared" si="946"/>
        <v>-28405.83</v>
      </c>
      <c r="U406" s="319">
        <f t="shared" si="947"/>
        <v>0</v>
      </c>
      <c r="V406" s="58">
        <f t="shared" si="948"/>
        <v>-28405.83</v>
      </c>
      <c r="W406" s="58">
        <f t="shared" si="949"/>
        <v>-28405.83</v>
      </c>
      <c r="X406" s="58">
        <f t="shared" si="950"/>
        <v>-28405.83</v>
      </c>
      <c r="Y406" s="58">
        <f t="shared" si="951"/>
        <v>-28405.83</v>
      </c>
      <c r="Z406" s="58">
        <f t="shared" si="952"/>
        <v>-28405.83</v>
      </c>
      <c r="AA406" s="58">
        <f t="shared" si="953"/>
        <v>-28405.83</v>
      </c>
      <c r="AB406" s="58">
        <f t="shared" si="954"/>
        <v>-28405.83</v>
      </c>
      <c r="AC406" s="58">
        <f t="shared" si="955"/>
        <v>-28405.83</v>
      </c>
      <c r="AD406" s="58">
        <f t="shared" si="956"/>
        <v>-28405.83</v>
      </c>
      <c r="AE406" s="58">
        <f t="shared" si="957"/>
        <v>-28405.83</v>
      </c>
      <c r="AF406" s="58">
        <f t="shared" si="958"/>
        <v>-28405.83</v>
      </c>
      <c r="AG406" s="58">
        <f t="shared" si="959"/>
        <v>0</v>
      </c>
      <c r="AH406" s="328"/>
      <c r="AI406" s="328"/>
      <c r="AJ406" s="13"/>
      <c r="AK406" s="13"/>
      <c r="AL406" s="13"/>
      <c r="AM406" s="13"/>
      <c r="AN406" s="13"/>
      <c r="AO406" s="58"/>
      <c r="AP406" s="58"/>
      <c r="AQ406" s="58"/>
      <c r="AR406" s="58"/>
      <c r="AS406" s="58"/>
      <c r="AT406" s="58"/>
      <c r="AU406" s="58"/>
      <c r="AV406" s="58"/>
      <c r="AW406" s="58"/>
      <c r="AX406" s="58">
        <v>0</v>
      </c>
      <c r="AY406" s="58">
        <v>-28405.83</v>
      </c>
      <c r="AZ406" s="58">
        <v>0</v>
      </c>
      <c r="BA406" s="413">
        <v>0</v>
      </c>
      <c r="BB406" s="319"/>
      <c r="BC406" s="423"/>
      <c r="BD406" s="259"/>
    </row>
    <row r="407" ht="16.5" customHeight="1" spans="1:56">
      <c r="A407" s="13"/>
      <c r="B407" s="13"/>
      <c r="C407" s="13"/>
      <c r="D407" s="13"/>
      <c r="E407" s="13"/>
      <c r="F407" s="13"/>
      <c r="G407" s="13"/>
      <c r="H407" s="13"/>
      <c r="I407" s="13"/>
      <c r="J407" s="13"/>
      <c r="K407" s="13"/>
      <c r="L407" s="13"/>
      <c r="M407" s="13"/>
      <c r="N407" s="13"/>
      <c r="O407" s="13"/>
      <c r="P407" s="13"/>
      <c r="Q407" s="13"/>
      <c r="R407" s="213" t="s">
        <v>3494</v>
      </c>
      <c r="S407" s="214">
        <f t="shared" ref="S407:AG407" si="960">SUM(S403:S406)</f>
        <v>367384.65</v>
      </c>
      <c r="T407" s="214">
        <f t="shared" si="960"/>
        <v>317303.07</v>
      </c>
      <c r="U407" s="320">
        <f t="shared" si="960"/>
        <v>317303.07</v>
      </c>
      <c r="V407" s="214">
        <f t="shared" si="960"/>
        <v>0</v>
      </c>
      <c r="W407" s="214">
        <f t="shared" si="960"/>
        <v>0</v>
      </c>
      <c r="X407" s="214">
        <f t="shared" si="960"/>
        <v>0</v>
      </c>
      <c r="Y407" s="214">
        <f t="shared" si="960"/>
        <v>0</v>
      </c>
      <c r="Z407" s="214">
        <f t="shared" si="960"/>
        <v>0</v>
      </c>
      <c r="AA407" s="214">
        <f t="shared" si="960"/>
        <v>0</v>
      </c>
      <c r="AB407" s="214">
        <f t="shared" si="960"/>
        <v>0</v>
      </c>
      <c r="AC407" s="214">
        <f t="shared" si="960"/>
        <v>0</v>
      </c>
      <c r="AD407" s="214">
        <f t="shared" si="960"/>
        <v>0</v>
      </c>
      <c r="AE407" s="214">
        <f t="shared" si="960"/>
        <v>0</v>
      </c>
      <c r="AF407" s="214">
        <f t="shared" si="960"/>
        <v>0</v>
      </c>
      <c r="AG407" s="214">
        <f t="shared" si="960"/>
        <v>0</v>
      </c>
      <c r="AH407" s="214">
        <f>SUM(AH403:AH406)</f>
        <v>0</v>
      </c>
      <c r="AI407" s="214">
        <f>SUM(AI403:AI406)</f>
        <v>0</v>
      </c>
      <c r="AJ407" s="13"/>
      <c r="AK407" s="13"/>
      <c r="AL407" s="13"/>
      <c r="AM407" s="13"/>
      <c r="AN407" s="13"/>
      <c r="AO407" s="214">
        <f t="shared" ref="AO407:AX407" si="961">SUM(AO403:AO406)</f>
        <v>0</v>
      </c>
      <c r="AP407" s="214">
        <f t="shared" si="961"/>
        <v>0</v>
      </c>
      <c r="AQ407" s="214">
        <f t="shared" si="961"/>
        <v>0</v>
      </c>
      <c r="AR407" s="214">
        <f t="shared" si="961"/>
        <v>0</v>
      </c>
      <c r="AS407" s="214">
        <f t="shared" si="961"/>
        <v>0</v>
      </c>
      <c r="AT407" s="214">
        <f t="shared" si="961"/>
        <v>0</v>
      </c>
      <c r="AU407" s="214">
        <f t="shared" si="961"/>
        <v>0</v>
      </c>
      <c r="AV407" s="214">
        <f t="shared" si="961"/>
        <v>0</v>
      </c>
      <c r="AW407" s="214">
        <f t="shared" si="961"/>
        <v>0</v>
      </c>
      <c r="AX407" s="214">
        <f t="shared" si="961"/>
        <v>0</v>
      </c>
      <c r="AY407" s="214">
        <v>0</v>
      </c>
      <c r="AZ407" s="214">
        <f>SUM(AZ403:AZ406)</f>
        <v>0</v>
      </c>
      <c r="BA407" s="415">
        <v>317303.07</v>
      </c>
      <c r="BB407" s="320">
        <f>SUM(BB403:BB406)</f>
        <v>0</v>
      </c>
      <c r="BC407" s="416">
        <f>SUM(BC403:BC406)</f>
        <v>0</v>
      </c>
      <c r="BD407" s="345"/>
    </row>
    <row r="408" ht="16.5" customHeight="1" spans="1:56">
      <c r="A408" s="13"/>
      <c r="B408" s="13"/>
      <c r="C408" s="13"/>
      <c r="D408" s="13"/>
      <c r="E408" s="13"/>
      <c r="F408" s="13"/>
      <c r="G408" s="13"/>
      <c r="H408" s="13"/>
      <c r="I408" s="13"/>
      <c r="J408" s="13"/>
      <c r="K408" s="13"/>
      <c r="L408" s="13"/>
      <c r="M408" s="13"/>
      <c r="N408" s="13"/>
      <c r="O408" s="13"/>
      <c r="P408" s="13"/>
      <c r="Q408" s="13"/>
      <c r="R408" s="213" t="s">
        <v>3495</v>
      </c>
      <c r="S408" s="58">
        <f t="shared" ref="S408:AG408" si="962">S402-S403</f>
        <v>80615.35</v>
      </c>
      <c r="T408" s="58">
        <f t="shared" si="962"/>
        <v>89291.1</v>
      </c>
      <c r="U408" s="319">
        <f t="shared" si="962"/>
        <v>117696.93</v>
      </c>
      <c r="V408" s="58">
        <f t="shared" si="962"/>
        <v>-28405.83</v>
      </c>
      <c r="W408" s="58">
        <f t="shared" si="962"/>
        <v>-28405.83</v>
      </c>
      <c r="X408" s="58">
        <f t="shared" si="962"/>
        <v>-28405.83</v>
      </c>
      <c r="Y408" s="58">
        <f t="shared" si="962"/>
        <v>-28405.83</v>
      </c>
      <c r="Z408" s="58">
        <f t="shared" si="962"/>
        <v>-28405.83</v>
      </c>
      <c r="AA408" s="58">
        <f t="shared" si="962"/>
        <v>-28405.83</v>
      </c>
      <c r="AB408" s="58">
        <f t="shared" si="962"/>
        <v>-28405.83</v>
      </c>
      <c r="AC408" s="58">
        <f t="shared" si="962"/>
        <v>-28405.83</v>
      </c>
      <c r="AD408" s="58">
        <f t="shared" si="962"/>
        <v>-28405.83</v>
      </c>
      <c r="AE408" s="58">
        <f t="shared" si="962"/>
        <v>-28405.83</v>
      </c>
      <c r="AF408" s="58">
        <f t="shared" si="962"/>
        <v>-28405.83</v>
      </c>
      <c r="AG408" s="58">
        <f t="shared" si="962"/>
        <v>0</v>
      </c>
      <c r="AH408" s="332"/>
      <c r="AI408" s="332"/>
      <c r="AJ408" s="13"/>
      <c r="AK408" s="13"/>
      <c r="AL408" s="13"/>
      <c r="AM408" s="13"/>
      <c r="AN408" s="13"/>
      <c r="AO408" s="58">
        <f t="shared" ref="AO408:AZ408" si="963">AO402-AO403</f>
        <v>0</v>
      </c>
      <c r="AP408" s="58">
        <f t="shared" si="963"/>
        <v>0</v>
      </c>
      <c r="AQ408" s="58">
        <f t="shared" si="963"/>
        <v>0</v>
      </c>
      <c r="AR408" s="58">
        <f t="shared" si="963"/>
        <v>0</v>
      </c>
      <c r="AS408" s="58">
        <f t="shared" si="963"/>
        <v>0</v>
      </c>
      <c r="AT408" s="58">
        <f t="shared" si="963"/>
        <v>0</v>
      </c>
      <c r="AU408" s="58">
        <f t="shared" si="963"/>
        <v>0</v>
      </c>
      <c r="AV408" s="58">
        <f t="shared" si="963"/>
        <v>0</v>
      </c>
      <c r="AW408" s="58">
        <f t="shared" si="963"/>
        <v>0</v>
      </c>
      <c r="AX408" s="58">
        <f t="shared" si="963"/>
        <v>0</v>
      </c>
      <c r="AY408" s="58">
        <f t="shared" si="963"/>
        <v>-28405.83</v>
      </c>
      <c r="AZ408" s="58">
        <f t="shared" si="963"/>
        <v>0</v>
      </c>
      <c r="BA408" s="417">
        <v>117696.93</v>
      </c>
      <c r="BB408" s="320"/>
      <c r="BC408" s="423"/>
      <c r="BD408" s="259"/>
    </row>
    <row r="409" ht="16.5" customHeight="1" spans="1:56">
      <c r="A409" s="13"/>
      <c r="B409" s="13"/>
      <c r="C409" s="13"/>
      <c r="D409" s="13"/>
      <c r="E409" s="13"/>
      <c r="F409" s="13"/>
      <c r="G409" s="13"/>
      <c r="H409" s="13"/>
      <c r="I409" s="13"/>
      <c r="J409" s="13"/>
      <c r="K409" s="13"/>
      <c r="L409" s="13"/>
      <c r="M409" s="13"/>
      <c r="N409" s="13"/>
      <c r="O409" s="13"/>
      <c r="P409" s="13"/>
      <c r="Q409" s="13"/>
      <c r="R409" s="321" t="s">
        <v>3496</v>
      </c>
      <c r="S409" s="61">
        <f t="shared" ref="S409:AG409" si="964">S408/S402</f>
        <v>0.185322643678161</v>
      </c>
      <c r="T409" s="61">
        <f t="shared" si="964"/>
        <v>0.205266896551724</v>
      </c>
      <c r="U409" s="322">
        <f t="shared" si="964"/>
        <v>0.270567655172414</v>
      </c>
      <c r="V409" s="61" t="e">
        <f t="shared" si="964"/>
        <v>#DIV/0!</v>
      </c>
      <c r="W409" s="61" t="e">
        <f t="shared" si="964"/>
        <v>#DIV/0!</v>
      </c>
      <c r="X409" s="61" t="e">
        <f t="shared" si="964"/>
        <v>#DIV/0!</v>
      </c>
      <c r="Y409" s="61" t="e">
        <f t="shared" si="964"/>
        <v>#DIV/0!</v>
      </c>
      <c r="Z409" s="61" t="e">
        <f t="shared" si="964"/>
        <v>#DIV/0!</v>
      </c>
      <c r="AA409" s="61" t="e">
        <f t="shared" si="964"/>
        <v>#DIV/0!</v>
      </c>
      <c r="AB409" s="61" t="e">
        <f t="shared" si="964"/>
        <v>#DIV/0!</v>
      </c>
      <c r="AC409" s="61" t="e">
        <f t="shared" si="964"/>
        <v>#DIV/0!</v>
      </c>
      <c r="AD409" s="61" t="e">
        <f t="shared" si="964"/>
        <v>#DIV/0!</v>
      </c>
      <c r="AE409" s="61" t="e">
        <f t="shared" si="964"/>
        <v>#DIV/0!</v>
      </c>
      <c r="AF409" s="61" t="e">
        <f t="shared" si="964"/>
        <v>#DIV/0!</v>
      </c>
      <c r="AG409" s="61" t="e">
        <f t="shared" si="964"/>
        <v>#DIV/0!</v>
      </c>
      <c r="AH409" s="82">
        <f>T409-S409</f>
        <v>0.0199442528735632</v>
      </c>
      <c r="AI409" s="82" t="e">
        <f>AF409-S409</f>
        <v>#DIV/0!</v>
      </c>
      <c r="AJ409" s="13"/>
      <c r="AK409" s="13"/>
      <c r="AL409" s="13"/>
      <c r="AM409" s="13"/>
      <c r="AN409" s="13"/>
      <c r="AO409" s="61" t="e">
        <f t="shared" ref="AO409:AZ409" si="965">AO408/AO402</f>
        <v>#DIV/0!</v>
      </c>
      <c r="AP409" s="61" t="e">
        <f t="shared" si="965"/>
        <v>#DIV/0!</v>
      </c>
      <c r="AQ409" s="61" t="e">
        <f t="shared" si="965"/>
        <v>#DIV/0!</v>
      </c>
      <c r="AR409" s="61" t="e">
        <f t="shared" si="965"/>
        <v>#DIV/0!</v>
      </c>
      <c r="AS409" s="61" t="e">
        <f t="shared" si="965"/>
        <v>#DIV/0!</v>
      </c>
      <c r="AT409" s="61" t="e">
        <f t="shared" si="965"/>
        <v>#DIV/0!</v>
      </c>
      <c r="AU409" s="61" t="e">
        <f t="shared" si="965"/>
        <v>#DIV/0!</v>
      </c>
      <c r="AV409" s="61" t="e">
        <f t="shared" si="965"/>
        <v>#DIV/0!</v>
      </c>
      <c r="AW409" s="61" t="e">
        <f t="shared" si="965"/>
        <v>#DIV/0!</v>
      </c>
      <c r="AX409" s="61" t="e">
        <f t="shared" si="965"/>
        <v>#DIV/0!</v>
      </c>
      <c r="AY409" s="61" t="e">
        <f t="shared" si="965"/>
        <v>#DIV/0!</v>
      </c>
      <c r="AZ409" s="61" t="e">
        <f t="shared" si="965"/>
        <v>#DIV/0!</v>
      </c>
      <c r="BA409" s="418">
        <v>0.270567655172414</v>
      </c>
      <c r="BB409" s="403"/>
      <c r="BC409" s="423"/>
      <c r="BD409" s="259"/>
    </row>
    <row r="410" ht="16.5" customHeight="1" spans="1:56">
      <c r="A410" s="13"/>
      <c r="B410" s="13"/>
      <c r="C410" s="13"/>
      <c r="D410" s="13"/>
      <c r="E410" s="13"/>
      <c r="F410" s="13"/>
      <c r="G410" s="13"/>
      <c r="H410" s="13"/>
      <c r="I410" s="13"/>
      <c r="J410" s="13"/>
      <c r="K410" s="13"/>
      <c r="L410" s="13"/>
      <c r="M410" s="13"/>
      <c r="N410" s="13"/>
      <c r="O410" s="13"/>
      <c r="P410" s="13"/>
      <c r="Q410" s="13"/>
      <c r="R410" s="213" t="s">
        <v>3497</v>
      </c>
      <c r="S410" s="58">
        <f t="shared" ref="S410:AG410" si="966">S402-S407</f>
        <v>67615.35</v>
      </c>
      <c r="T410" s="58">
        <f t="shared" si="966"/>
        <v>117696.93</v>
      </c>
      <c r="U410" s="58">
        <f t="shared" si="966"/>
        <v>117696.93</v>
      </c>
      <c r="V410" s="58">
        <f t="shared" si="966"/>
        <v>0</v>
      </c>
      <c r="W410" s="58">
        <f t="shared" si="966"/>
        <v>0</v>
      </c>
      <c r="X410" s="58">
        <f t="shared" si="966"/>
        <v>0</v>
      </c>
      <c r="Y410" s="58">
        <f t="shared" si="966"/>
        <v>0</v>
      </c>
      <c r="Z410" s="58">
        <f t="shared" si="966"/>
        <v>0</v>
      </c>
      <c r="AA410" s="58">
        <f t="shared" si="966"/>
        <v>0</v>
      </c>
      <c r="AB410" s="58">
        <f t="shared" si="966"/>
        <v>0</v>
      </c>
      <c r="AC410" s="58">
        <f t="shared" si="966"/>
        <v>0</v>
      </c>
      <c r="AD410" s="58">
        <f t="shared" si="966"/>
        <v>0</v>
      </c>
      <c r="AE410" s="58">
        <f t="shared" si="966"/>
        <v>0</v>
      </c>
      <c r="AF410" s="58">
        <f t="shared" si="966"/>
        <v>0</v>
      </c>
      <c r="AG410" s="58">
        <f t="shared" si="966"/>
        <v>0</v>
      </c>
      <c r="AH410" s="82"/>
      <c r="AI410" s="82"/>
      <c r="AJ410" s="13"/>
      <c r="AK410" s="13"/>
      <c r="AL410" s="13"/>
      <c r="AM410" s="13"/>
      <c r="AN410" s="13"/>
      <c r="AO410" s="58">
        <f t="shared" ref="AO410:BC410" si="967">AO402-AO407</f>
        <v>0</v>
      </c>
      <c r="AP410" s="58">
        <f t="shared" si="967"/>
        <v>0</v>
      </c>
      <c r="AQ410" s="58">
        <f t="shared" si="967"/>
        <v>0</v>
      </c>
      <c r="AR410" s="58">
        <f t="shared" si="967"/>
        <v>0</v>
      </c>
      <c r="AS410" s="58">
        <f t="shared" si="967"/>
        <v>0</v>
      </c>
      <c r="AT410" s="58">
        <f t="shared" si="967"/>
        <v>0</v>
      </c>
      <c r="AU410" s="58">
        <f t="shared" si="967"/>
        <v>0</v>
      </c>
      <c r="AV410" s="58">
        <f t="shared" si="967"/>
        <v>0</v>
      </c>
      <c r="AW410" s="58">
        <f t="shared" si="967"/>
        <v>0</v>
      </c>
      <c r="AX410" s="58">
        <f t="shared" si="967"/>
        <v>0</v>
      </c>
      <c r="AY410" s="58">
        <f t="shared" si="967"/>
        <v>0</v>
      </c>
      <c r="AZ410" s="58">
        <f t="shared" si="967"/>
        <v>0</v>
      </c>
      <c r="BA410" s="58">
        <f t="shared" si="967"/>
        <v>117696.93</v>
      </c>
      <c r="BB410" s="58">
        <f t="shared" si="967"/>
        <v>0</v>
      </c>
      <c r="BC410" s="58">
        <f t="shared" si="967"/>
        <v>0</v>
      </c>
      <c r="BD410" s="259"/>
    </row>
    <row r="411" ht="16.5" customHeight="1" spans="1:56">
      <c r="A411" s="14"/>
      <c r="B411" s="14"/>
      <c r="C411" s="14"/>
      <c r="D411" s="14"/>
      <c r="E411" s="14"/>
      <c r="F411" s="14"/>
      <c r="G411" s="14"/>
      <c r="H411" s="14"/>
      <c r="I411" s="14"/>
      <c r="J411" s="14"/>
      <c r="K411" s="14"/>
      <c r="L411" s="14"/>
      <c r="M411" s="14"/>
      <c r="N411" s="14"/>
      <c r="O411" s="14"/>
      <c r="P411" s="14"/>
      <c r="Q411" s="14"/>
      <c r="R411" s="321" t="s">
        <v>3498</v>
      </c>
      <c r="S411" s="61">
        <f t="shared" ref="S411:AG411" si="968">S410/S402</f>
        <v>0.155437586206896</v>
      </c>
      <c r="T411" s="61">
        <f t="shared" si="968"/>
        <v>0.270567655172414</v>
      </c>
      <c r="U411" s="322">
        <f t="shared" si="968"/>
        <v>0.270567655172414</v>
      </c>
      <c r="V411" s="61" t="e">
        <f t="shared" si="968"/>
        <v>#DIV/0!</v>
      </c>
      <c r="W411" s="61" t="e">
        <f t="shared" si="968"/>
        <v>#DIV/0!</v>
      </c>
      <c r="X411" s="61" t="e">
        <f t="shared" si="968"/>
        <v>#DIV/0!</v>
      </c>
      <c r="Y411" s="61" t="e">
        <f t="shared" si="968"/>
        <v>#DIV/0!</v>
      </c>
      <c r="Z411" s="61" t="e">
        <f t="shared" si="968"/>
        <v>#DIV/0!</v>
      </c>
      <c r="AA411" s="61" t="e">
        <f t="shared" si="968"/>
        <v>#DIV/0!</v>
      </c>
      <c r="AB411" s="61" t="e">
        <f t="shared" si="968"/>
        <v>#DIV/0!</v>
      </c>
      <c r="AC411" s="61" t="e">
        <f t="shared" si="968"/>
        <v>#DIV/0!</v>
      </c>
      <c r="AD411" s="61" t="e">
        <f t="shared" si="968"/>
        <v>#DIV/0!</v>
      </c>
      <c r="AE411" s="61" t="e">
        <f t="shared" si="968"/>
        <v>#DIV/0!</v>
      </c>
      <c r="AF411" s="61" t="e">
        <f t="shared" si="968"/>
        <v>#DIV/0!</v>
      </c>
      <c r="AG411" s="61" t="e">
        <f t="shared" si="968"/>
        <v>#DIV/0!</v>
      </c>
      <c r="AH411" s="82">
        <f>T411-S411</f>
        <v>0.115130068965517</v>
      </c>
      <c r="AI411" s="82" t="e">
        <f>AF411-S411</f>
        <v>#DIV/0!</v>
      </c>
      <c r="AJ411" s="14"/>
      <c r="AK411" s="14"/>
      <c r="AL411" s="14"/>
      <c r="AM411" s="14"/>
      <c r="AN411" s="14"/>
      <c r="AO411" s="61" t="e">
        <f t="shared" ref="AO411:AZ411" si="969">AO410/AO402</f>
        <v>#DIV/0!</v>
      </c>
      <c r="AP411" s="61" t="e">
        <f t="shared" si="969"/>
        <v>#DIV/0!</v>
      </c>
      <c r="AQ411" s="61" t="e">
        <f t="shared" si="969"/>
        <v>#DIV/0!</v>
      </c>
      <c r="AR411" s="61" t="e">
        <f t="shared" si="969"/>
        <v>#DIV/0!</v>
      </c>
      <c r="AS411" s="61" t="e">
        <f t="shared" si="969"/>
        <v>#DIV/0!</v>
      </c>
      <c r="AT411" s="61" t="e">
        <f t="shared" si="969"/>
        <v>#DIV/0!</v>
      </c>
      <c r="AU411" s="61" t="e">
        <f t="shared" si="969"/>
        <v>#DIV/0!</v>
      </c>
      <c r="AV411" s="61" t="e">
        <f t="shared" si="969"/>
        <v>#DIV/0!</v>
      </c>
      <c r="AW411" s="61" t="e">
        <f t="shared" si="969"/>
        <v>#DIV/0!</v>
      </c>
      <c r="AX411" s="61" t="e">
        <f t="shared" si="969"/>
        <v>#DIV/0!</v>
      </c>
      <c r="AY411" s="61" t="e">
        <f t="shared" si="969"/>
        <v>#DIV/0!</v>
      </c>
      <c r="AZ411" s="61" t="e">
        <f t="shared" si="969"/>
        <v>#DIV/0!</v>
      </c>
      <c r="BA411" s="418">
        <v>0.270567655172414</v>
      </c>
      <c r="BB411" s="403"/>
      <c r="BC411" s="423"/>
      <c r="BD411" s="259"/>
    </row>
    <row r="412" ht="16.5" customHeight="1" spans="1:56">
      <c r="A412" s="300" t="s">
        <v>2386</v>
      </c>
      <c r="B412" s="301" t="s">
        <v>3614</v>
      </c>
      <c r="C412" s="302">
        <v>45962</v>
      </c>
      <c r="D412" s="302">
        <v>46271</v>
      </c>
      <c r="E412" s="304"/>
      <c r="F412" s="233">
        <v>0.19</v>
      </c>
      <c r="G412" s="12">
        <v>1</v>
      </c>
      <c r="H412" s="12"/>
      <c r="I412" s="12"/>
      <c r="J412" s="12"/>
      <c r="K412" s="12"/>
      <c r="L412" s="12"/>
      <c r="M412" s="12"/>
      <c r="N412" s="12"/>
      <c r="O412" s="12"/>
      <c r="P412" s="304"/>
      <c r="Q412" s="12"/>
      <c r="R412" s="318" t="s">
        <v>3486</v>
      </c>
      <c r="S412" s="58">
        <v>80188.68</v>
      </c>
      <c r="T412" s="58">
        <f t="shared" ref="T412:T416" si="970">SUM(AO412:BC412)</f>
        <v>38758.25</v>
      </c>
      <c r="U412" s="319">
        <f t="shared" ref="U412:U416" si="971">SUM(BA412:BC412)</f>
        <v>15477.62</v>
      </c>
      <c r="V412" s="58">
        <f t="shared" ref="V412:V416" si="972">SUM(AO412:AZ412)</f>
        <v>23280.63</v>
      </c>
      <c r="W412" s="58">
        <f t="shared" ref="W412:W416" si="973">SUM(AP412:AZ412)</f>
        <v>23280.63</v>
      </c>
      <c r="X412" s="58">
        <f t="shared" ref="X412:X416" si="974">SUM(AQ412:AZ412)</f>
        <v>23280.63</v>
      </c>
      <c r="Y412" s="58">
        <f t="shared" ref="Y412:Y416" si="975">SUM(AR412:AZ412)</f>
        <v>23280.63</v>
      </c>
      <c r="Z412" s="58">
        <f t="shared" ref="Z412:Z416" si="976">SUM(AS412:AZ412)</f>
        <v>23280.63</v>
      </c>
      <c r="AA412" s="58">
        <f t="shared" ref="AA412:AA416" si="977">SUM(AT412:AZ412)</f>
        <v>23280.63</v>
      </c>
      <c r="AB412" s="58">
        <f t="shared" ref="AB412:AB416" si="978">SUM(AU412:AZ412)</f>
        <v>23280.63</v>
      </c>
      <c r="AC412" s="58">
        <f t="shared" ref="AC412:AC416" si="979">SUM(AV412:AZ412)</f>
        <v>23280.63</v>
      </c>
      <c r="AD412" s="58">
        <f t="shared" ref="AD412:AD416" si="980">SUM(AW412:AZ412)</f>
        <v>23280.63</v>
      </c>
      <c r="AE412" s="58">
        <f t="shared" ref="AE412:AE416" si="981">SUM(AX412:AZ412)</f>
        <v>23280.63</v>
      </c>
      <c r="AF412" s="58">
        <f t="shared" ref="AF412:AF416" si="982">SUM(AY412:AZ412)</f>
        <v>15261.76</v>
      </c>
      <c r="AG412" s="58">
        <f t="shared" ref="AG412:AG416" si="983">SUM(AZ412:AZ412)</f>
        <v>8018.87</v>
      </c>
      <c r="AH412" s="328"/>
      <c r="AI412" s="328"/>
      <c r="AJ412" s="301"/>
      <c r="AK412" s="93" t="s">
        <v>3615</v>
      </c>
      <c r="AL412" s="93"/>
      <c r="AM412" s="93"/>
      <c r="AN412" s="233"/>
      <c r="AO412" s="58"/>
      <c r="AP412" s="58"/>
      <c r="AQ412" s="58"/>
      <c r="AR412" s="58"/>
      <c r="AS412" s="58"/>
      <c r="AT412" s="58"/>
      <c r="AU412" s="58"/>
      <c r="AV412" s="58"/>
      <c r="AW412" s="58"/>
      <c r="AX412" s="58">
        <v>8018.87</v>
      </c>
      <c r="AY412" s="58">
        <v>7242.89</v>
      </c>
      <c r="AZ412" s="58">
        <v>8018.87</v>
      </c>
      <c r="BA412" s="413">
        <v>15477.62</v>
      </c>
      <c r="BB412" s="319"/>
      <c r="BC412" s="423"/>
      <c r="BD412" s="259"/>
    </row>
    <row r="413" ht="16.5" customHeight="1" spans="1:56">
      <c r="A413" s="13"/>
      <c r="B413" s="13"/>
      <c r="C413" s="13"/>
      <c r="D413" s="13"/>
      <c r="E413" s="13"/>
      <c r="F413" s="13"/>
      <c r="G413" s="13"/>
      <c r="H413" s="13"/>
      <c r="I413" s="13"/>
      <c r="J413" s="13"/>
      <c r="K413" s="13"/>
      <c r="L413" s="13"/>
      <c r="M413" s="13"/>
      <c r="N413" s="13"/>
      <c r="O413" s="13"/>
      <c r="P413" s="13"/>
      <c r="Q413" s="13"/>
      <c r="R413" s="213" t="s">
        <v>3490</v>
      </c>
      <c r="S413" s="58">
        <v>64941.27</v>
      </c>
      <c r="T413" s="58">
        <f t="shared" si="970"/>
        <v>48254.88</v>
      </c>
      <c r="U413" s="319">
        <f t="shared" si="971"/>
        <v>0</v>
      </c>
      <c r="V413" s="58">
        <f t="shared" si="972"/>
        <v>48254.88</v>
      </c>
      <c r="W413" s="58">
        <f t="shared" si="973"/>
        <v>48254.88</v>
      </c>
      <c r="X413" s="58">
        <f t="shared" si="974"/>
        <v>48254.88</v>
      </c>
      <c r="Y413" s="58">
        <f t="shared" si="975"/>
        <v>48254.88</v>
      </c>
      <c r="Z413" s="58">
        <f t="shared" si="976"/>
        <v>48254.88</v>
      </c>
      <c r="AA413" s="58">
        <f t="shared" si="977"/>
        <v>48254.88</v>
      </c>
      <c r="AB413" s="58">
        <f t="shared" si="978"/>
        <v>48254.88</v>
      </c>
      <c r="AC413" s="58">
        <f t="shared" si="979"/>
        <v>48254.88</v>
      </c>
      <c r="AD413" s="58">
        <f t="shared" si="980"/>
        <v>48254.88</v>
      </c>
      <c r="AE413" s="58">
        <f t="shared" si="981"/>
        <v>48254.88</v>
      </c>
      <c r="AF413" s="58">
        <f t="shared" si="982"/>
        <v>26195.52</v>
      </c>
      <c r="AG413" s="58">
        <f t="shared" si="983"/>
        <v>22059.37</v>
      </c>
      <c r="AH413" s="328"/>
      <c r="AI413" s="328"/>
      <c r="AJ413" s="13"/>
      <c r="AK413" s="13"/>
      <c r="AL413" s="13"/>
      <c r="AM413" s="13"/>
      <c r="AN413" s="13"/>
      <c r="AO413" s="58"/>
      <c r="AP413" s="58"/>
      <c r="AQ413" s="58"/>
      <c r="AR413" s="58"/>
      <c r="AS413" s="58"/>
      <c r="AT413" s="58"/>
      <c r="AU413" s="58"/>
      <c r="AV413" s="58"/>
      <c r="AW413" s="58"/>
      <c r="AX413" s="58">
        <v>22059.36</v>
      </c>
      <c r="AY413" s="58">
        <v>4136.15</v>
      </c>
      <c r="AZ413" s="58">
        <v>22059.37</v>
      </c>
      <c r="BA413" s="413">
        <v>0</v>
      </c>
      <c r="BB413" s="319"/>
      <c r="BC413" s="423"/>
      <c r="BD413" s="259"/>
    </row>
    <row r="414" ht="16.5" customHeight="1" spans="1:56">
      <c r="A414" s="13"/>
      <c r="B414" s="13"/>
      <c r="C414" s="13"/>
      <c r="D414" s="13"/>
      <c r="E414" s="13"/>
      <c r="F414" s="13"/>
      <c r="G414" s="13"/>
      <c r="H414" s="13"/>
      <c r="I414" s="13"/>
      <c r="J414" s="13"/>
      <c r="K414" s="13"/>
      <c r="L414" s="13"/>
      <c r="M414" s="13"/>
      <c r="N414" s="13"/>
      <c r="O414" s="13"/>
      <c r="P414" s="13"/>
      <c r="Q414" s="13"/>
      <c r="R414" s="213" t="s">
        <v>3491</v>
      </c>
      <c r="S414" s="58"/>
      <c r="T414" s="58">
        <f t="shared" si="970"/>
        <v>0</v>
      </c>
      <c r="U414" s="319">
        <f t="shared" si="971"/>
        <v>0</v>
      </c>
      <c r="V414" s="58"/>
      <c r="W414" s="58"/>
      <c r="X414" s="58"/>
      <c r="Y414" s="58"/>
      <c r="Z414" s="58"/>
      <c r="AA414" s="58"/>
      <c r="AB414" s="58"/>
      <c r="AC414" s="58"/>
      <c r="AD414" s="58"/>
      <c r="AE414" s="58"/>
      <c r="AF414" s="58"/>
      <c r="AG414" s="58"/>
      <c r="AH414" s="328"/>
      <c r="AI414" s="328"/>
      <c r="AJ414" s="13"/>
      <c r="AK414" s="13"/>
      <c r="AL414" s="13"/>
      <c r="AM414" s="13"/>
      <c r="AN414" s="13"/>
      <c r="AO414" s="58"/>
      <c r="AP414" s="58"/>
      <c r="AQ414" s="58"/>
      <c r="AR414" s="58"/>
      <c r="AS414" s="58"/>
      <c r="AT414" s="58"/>
      <c r="AU414" s="58"/>
      <c r="AV414" s="58"/>
      <c r="AW414" s="58"/>
      <c r="AX414" s="58">
        <v>0</v>
      </c>
      <c r="AY414" s="58">
        <v>0</v>
      </c>
      <c r="AZ414" s="58">
        <v>0</v>
      </c>
      <c r="BA414" s="413"/>
      <c r="BB414" s="319"/>
      <c r="BC414" s="423"/>
      <c r="BD414" s="259"/>
    </row>
    <row r="415" ht="16.5" customHeight="1" spans="1:56">
      <c r="A415" s="13"/>
      <c r="B415" s="13"/>
      <c r="C415" s="13"/>
      <c r="D415" s="13"/>
      <c r="E415" s="13"/>
      <c r="F415" s="13"/>
      <c r="G415" s="13"/>
      <c r="H415" s="13"/>
      <c r="I415" s="13"/>
      <c r="J415" s="13"/>
      <c r="K415" s="13"/>
      <c r="L415" s="13"/>
      <c r="M415" s="13"/>
      <c r="N415" s="13"/>
      <c r="O415" s="13"/>
      <c r="P415" s="13"/>
      <c r="Q415" s="13"/>
      <c r="R415" s="213" t="s">
        <v>3492</v>
      </c>
      <c r="S415" s="58">
        <v>0</v>
      </c>
      <c r="T415" s="58">
        <f t="shared" si="970"/>
        <v>0</v>
      </c>
      <c r="U415" s="319">
        <f t="shared" si="971"/>
        <v>0</v>
      </c>
      <c r="V415" s="58">
        <f t="shared" si="972"/>
        <v>0</v>
      </c>
      <c r="W415" s="58">
        <f t="shared" si="973"/>
        <v>0</v>
      </c>
      <c r="X415" s="58">
        <f t="shared" si="974"/>
        <v>0</v>
      </c>
      <c r="Y415" s="58">
        <f t="shared" si="975"/>
        <v>0</v>
      </c>
      <c r="Z415" s="58">
        <f t="shared" si="976"/>
        <v>0</v>
      </c>
      <c r="AA415" s="58">
        <f t="shared" si="977"/>
        <v>0</v>
      </c>
      <c r="AB415" s="58">
        <f t="shared" si="978"/>
        <v>0</v>
      </c>
      <c r="AC415" s="58">
        <f t="shared" si="979"/>
        <v>0</v>
      </c>
      <c r="AD415" s="58">
        <f t="shared" si="980"/>
        <v>0</v>
      </c>
      <c r="AE415" s="58">
        <f t="shared" si="981"/>
        <v>0</v>
      </c>
      <c r="AF415" s="58">
        <f t="shared" si="982"/>
        <v>0</v>
      </c>
      <c r="AG415" s="58">
        <f t="shared" si="983"/>
        <v>0</v>
      </c>
      <c r="AH415" s="328"/>
      <c r="AI415" s="328"/>
      <c r="AJ415" s="13"/>
      <c r="AK415" s="13"/>
      <c r="AL415" s="13"/>
      <c r="AM415" s="13"/>
      <c r="AN415" s="13"/>
      <c r="AO415" s="58"/>
      <c r="AP415" s="58"/>
      <c r="AQ415" s="58"/>
      <c r="AR415" s="58"/>
      <c r="AS415" s="58"/>
      <c r="AT415" s="58"/>
      <c r="AU415" s="58"/>
      <c r="AV415" s="58"/>
      <c r="AW415" s="58"/>
      <c r="AX415" s="58">
        <v>0</v>
      </c>
      <c r="AY415" s="58">
        <v>0</v>
      </c>
      <c r="AZ415" s="58">
        <v>0</v>
      </c>
      <c r="BA415" s="413">
        <v>0</v>
      </c>
      <c r="BB415" s="319"/>
      <c r="BC415" s="423"/>
      <c r="BD415" s="259"/>
    </row>
    <row r="416" ht="16.5" customHeight="1" spans="1:56">
      <c r="A416" s="13"/>
      <c r="B416" s="13"/>
      <c r="C416" s="13"/>
      <c r="D416" s="13"/>
      <c r="E416" s="13"/>
      <c r="F416" s="13"/>
      <c r="G416" s="13"/>
      <c r="H416" s="13"/>
      <c r="I416" s="13"/>
      <c r="J416" s="13"/>
      <c r="K416" s="13"/>
      <c r="L416" s="13"/>
      <c r="M416" s="13"/>
      <c r="N416" s="13"/>
      <c r="O416" s="13"/>
      <c r="P416" s="13"/>
      <c r="Q416" s="13"/>
      <c r="R416" s="213" t="s">
        <v>3493</v>
      </c>
      <c r="S416" s="58">
        <v>0</v>
      </c>
      <c r="T416" s="58">
        <f t="shared" si="970"/>
        <v>-72.95</v>
      </c>
      <c r="U416" s="319">
        <f t="shared" si="971"/>
        <v>-56.65</v>
      </c>
      <c r="V416" s="58">
        <f t="shared" si="972"/>
        <v>-16.3</v>
      </c>
      <c r="W416" s="58">
        <f t="shared" si="973"/>
        <v>-16.3</v>
      </c>
      <c r="X416" s="58">
        <f t="shared" si="974"/>
        <v>-16.3</v>
      </c>
      <c r="Y416" s="58">
        <f t="shared" si="975"/>
        <v>-16.3</v>
      </c>
      <c r="Z416" s="58">
        <f t="shared" si="976"/>
        <v>-16.3</v>
      </c>
      <c r="AA416" s="58">
        <f t="shared" si="977"/>
        <v>-16.3</v>
      </c>
      <c r="AB416" s="58">
        <f t="shared" si="978"/>
        <v>-16.3</v>
      </c>
      <c r="AC416" s="58">
        <f t="shared" si="979"/>
        <v>-16.3</v>
      </c>
      <c r="AD416" s="58">
        <f t="shared" si="980"/>
        <v>-16.3</v>
      </c>
      <c r="AE416" s="58">
        <f t="shared" si="981"/>
        <v>-16.3</v>
      </c>
      <c r="AF416" s="58">
        <f t="shared" si="982"/>
        <v>-16.3</v>
      </c>
      <c r="AG416" s="58">
        <f t="shared" si="983"/>
        <v>-16.3</v>
      </c>
      <c r="AH416" s="328"/>
      <c r="AI416" s="328"/>
      <c r="AJ416" s="13"/>
      <c r="AK416" s="13"/>
      <c r="AL416" s="13"/>
      <c r="AM416" s="13"/>
      <c r="AN416" s="13"/>
      <c r="AO416" s="58"/>
      <c r="AP416" s="58"/>
      <c r="AQ416" s="58"/>
      <c r="AR416" s="58"/>
      <c r="AS416" s="58"/>
      <c r="AT416" s="58"/>
      <c r="AU416" s="58"/>
      <c r="AV416" s="58"/>
      <c r="AW416" s="58"/>
      <c r="AX416" s="58">
        <v>0</v>
      </c>
      <c r="AY416" s="58">
        <v>0</v>
      </c>
      <c r="AZ416" s="58">
        <v>-16.3</v>
      </c>
      <c r="BA416" s="413">
        <v>-56.65</v>
      </c>
      <c r="BB416" s="319"/>
      <c r="BC416" s="423"/>
      <c r="BD416" s="259"/>
    </row>
    <row r="417" ht="16.5" customHeight="1" spans="1:56">
      <c r="A417" s="13"/>
      <c r="B417" s="13"/>
      <c r="C417" s="13"/>
      <c r="D417" s="13"/>
      <c r="E417" s="13"/>
      <c r="F417" s="13"/>
      <c r="G417" s="13"/>
      <c r="H417" s="13"/>
      <c r="I417" s="13"/>
      <c r="J417" s="13"/>
      <c r="K417" s="13"/>
      <c r="L417" s="13"/>
      <c r="M417" s="13"/>
      <c r="N417" s="13"/>
      <c r="O417" s="13"/>
      <c r="P417" s="13"/>
      <c r="Q417" s="13"/>
      <c r="R417" s="213" t="s">
        <v>3494</v>
      </c>
      <c r="S417" s="214">
        <f t="shared" ref="S417:AG417" si="984">SUM(S413:S416)</f>
        <v>64941.27</v>
      </c>
      <c r="T417" s="214">
        <f t="shared" si="984"/>
        <v>48181.93</v>
      </c>
      <c r="U417" s="320">
        <f t="shared" si="984"/>
        <v>-56.65</v>
      </c>
      <c r="V417" s="214">
        <f t="shared" si="984"/>
        <v>48238.58</v>
      </c>
      <c r="W417" s="214">
        <f t="shared" si="984"/>
        <v>48238.58</v>
      </c>
      <c r="X417" s="214">
        <f t="shared" si="984"/>
        <v>48238.58</v>
      </c>
      <c r="Y417" s="214">
        <f t="shared" si="984"/>
        <v>48238.58</v>
      </c>
      <c r="Z417" s="214">
        <f t="shared" si="984"/>
        <v>48238.58</v>
      </c>
      <c r="AA417" s="214">
        <f t="shared" si="984"/>
        <v>48238.58</v>
      </c>
      <c r="AB417" s="214">
        <f t="shared" si="984"/>
        <v>48238.58</v>
      </c>
      <c r="AC417" s="214">
        <f t="shared" si="984"/>
        <v>48238.58</v>
      </c>
      <c r="AD417" s="214">
        <f t="shared" si="984"/>
        <v>48238.58</v>
      </c>
      <c r="AE417" s="214">
        <f t="shared" si="984"/>
        <v>48238.58</v>
      </c>
      <c r="AF417" s="214">
        <f t="shared" si="984"/>
        <v>26179.22</v>
      </c>
      <c r="AG417" s="214">
        <f t="shared" si="984"/>
        <v>22043.07</v>
      </c>
      <c r="AH417" s="214">
        <f>SUM(AH413:AH416)</f>
        <v>0</v>
      </c>
      <c r="AI417" s="214">
        <f>SUM(AI413:AI416)</f>
        <v>0</v>
      </c>
      <c r="AJ417" s="13"/>
      <c r="AK417" s="13"/>
      <c r="AL417" s="13"/>
      <c r="AM417" s="13"/>
      <c r="AN417" s="13"/>
      <c r="AO417" s="214">
        <f t="shared" ref="AO417:AX417" si="985">SUM(AO413:AO416)</f>
        <v>0</v>
      </c>
      <c r="AP417" s="214">
        <f t="shared" si="985"/>
        <v>0</v>
      </c>
      <c r="AQ417" s="214">
        <f t="shared" si="985"/>
        <v>0</v>
      </c>
      <c r="AR417" s="214">
        <f t="shared" si="985"/>
        <v>0</v>
      </c>
      <c r="AS417" s="214">
        <f t="shared" si="985"/>
        <v>0</v>
      </c>
      <c r="AT417" s="214">
        <f t="shared" si="985"/>
        <v>0</v>
      </c>
      <c r="AU417" s="214">
        <f t="shared" si="985"/>
        <v>0</v>
      </c>
      <c r="AV417" s="214">
        <f t="shared" si="985"/>
        <v>0</v>
      </c>
      <c r="AW417" s="214">
        <f t="shared" si="985"/>
        <v>0</v>
      </c>
      <c r="AX417" s="214">
        <f t="shared" si="985"/>
        <v>22059.36</v>
      </c>
      <c r="AY417" s="214">
        <v>4136.15</v>
      </c>
      <c r="AZ417" s="214">
        <f>SUM(AZ413:AZ416)</f>
        <v>22043.07</v>
      </c>
      <c r="BA417" s="415">
        <v>-56.65</v>
      </c>
      <c r="BB417" s="320">
        <f>SUM(BB413:BB416)</f>
        <v>0</v>
      </c>
      <c r="BC417" s="416">
        <f>SUM(BC413:BC416)</f>
        <v>0</v>
      </c>
      <c r="BD417" s="345"/>
    </row>
    <row r="418" ht="16.5" customHeight="1" spans="1:56">
      <c r="A418" s="13"/>
      <c r="B418" s="13"/>
      <c r="C418" s="13"/>
      <c r="D418" s="13"/>
      <c r="E418" s="13"/>
      <c r="F418" s="13"/>
      <c r="G418" s="13"/>
      <c r="H418" s="13"/>
      <c r="I418" s="13"/>
      <c r="J418" s="13"/>
      <c r="K418" s="13"/>
      <c r="L418" s="13"/>
      <c r="M418" s="13"/>
      <c r="N418" s="13"/>
      <c r="O418" s="13"/>
      <c r="P418" s="13"/>
      <c r="Q418" s="13"/>
      <c r="R418" s="213" t="s">
        <v>3495</v>
      </c>
      <c r="S418" s="58">
        <f t="shared" ref="S418:AG418" si="986">S412-S413</f>
        <v>15247.41</v>
      </c>
      <c r="T418" s="58">
        <f t="shared" si="986"/>
        <v>-9496.63</v>
      </c>
      <c r="U418" s="319">
        <f t="shared" si="986"/>
        <v>15477.62</v>
      </c>
      <c r="V418" s="58">
        <f t="shared" si="986"/>
        <v>-24974.25</v>
      </c>
      <c r="W418" s="58">
        <f t="shared" si="986"/>
        <v>-24974.25</v>
      </c>
      <c r="X418" s="58">
        <f t="shared" si="986"/>
        <v>-24974.25</v>
      </c>
      <c r="Y418" s="58">
        <f t="shared" si="986"/>
        <v>-24974.25</v>
      </c>
      <c r="Z418" s="58">
        <f t="shared" si="986"/>
        <v>-24974.25</v>
      </c>
      <c r="AA418" s="58">
        <f t="shared" si="986"/>
        <v>-24974.25</v>
      </c>
      <c r="AB418" s="58">
        <f t="shared" si="986"/>
        <v>-24974.25</v>
      </c>
      <c r="AC418" s="58">
        <f t="shared" si="986"/>
        <v>-24974.25</v>
      </c>
      <c r="AD418" s="58">
        <f t="shared" si="986"/>
        <v>-24974.25</v>
      </c>
      <c r="AE418" s="58">
        <f t="shared" si="986"/>
        <v>-24974.25</v>
      </c>
      <c r="AF418" s="58">
        <f t="shared" si="986"/>
        <v>-10933.76</v>
      </c>
      <c r="AG418" s="58">
        <f t="shared" si="986"/>
        <v>-14040.5</v>
      </c>
      <c r="AH418" s="332"/>
      <c r="AI418" s="332"/>
      <c r="AJ418" s="13"/>
      <c r="AK418" s="13"/>
      <c r="AL418" s="13"/>
      <c r="AM418" s="13"/>
      <c r="AN418" s="13"/>
      <c r="AO418" s="58">
        <f t="shared" ref="AO418:AZ418" si="987">AO412-AO413</f>
        <v>0</v>
      </c>
      <c r="AP418" s="58">
        <f t="shared" si="987"/>
        <v>0</v>
      </c>
      <c r="AQ418" s="58">
        <f t="shared" si="987"/>
        <v>0</v>
      </c>
      <c r="AR418" s="58">
        <f t="shared" si="987"/>
        <v>0</v>
      </c>
      <c r="AS418" s="58">
        <f t="shared" si="987"/>
        <v>0</v>
      </c>
      <c r="AT418" s="58">
        <f t="shared" si="987"/>
        <v>0</v>
      </c>
      <c r="AU418" s="58">
        <f t="shared" si="987"/>
        <v>0</v>
      </c>
      <c r="AV418" s="58">
        <f t="shared" si="987"/>
        <v>0</v>
      </c>
      <c r="AW418" s="58">
        <f t="shared" si="987"/>
        <v>0</v>
      </c>
      <c r="AX418" s="58">
        <f t="shared" si="987"/>
        <v>-14040.49</v>
      </c>
      <c r="AY418" s="58">
        <f t="shared" si="987"/>
        <v>3106.74</v>
      </c>
      <c r="AZ418" s="58">
        <f t="shared" si="987"/>
        <v>-14040.5</v>
      </c>
      <c r="BA418" s="417">
        <v>15477.62</v>
      </c>
      <c r="BB418" s="320"/>
      <c r="BC418" s="423"/>
      <c r="BD418" s="259"/>
    </row>
    <row r="419" ht="16.5" customHeight="1" spans="1:56">
      <c r="A419" s="13"/>
      <c r="B419" s="13"/>
      <c r="C419" s="13"/>
      <c r="D419" s="13"/>
      <c r="E419" s="13"/>
      <c r="F419" s="13"/>
      <c r="G419" s="13"/>
      <c r="H419" s="13"/>
      <c r="I419" s="13"/>
      <c r="J419" s="13"/>
      <c r="K419" s="13"/>
      <c r="L419" s="13"/>
      <c r="M419" s="13"/>
      <c r="N419" s="13"/>
      <c r="O419" s="13"/>
      <c r="P419" s="13"/>
      <c r="Q419" s="13"/>
      <c r="R419" s="321" t="s">
        <v>3496</v>
      </c>
      <c r="S419" s="61">
        <f t="shared" ref="S419:AG419" si="988">S418/S412</f>
        <v>0.190144169975114</v>
      </c>
      <c r="T419" s="61">
        <f t="shared" si="988"/>
        <v>-0.245022156573117</v>
      </c>
      <c r="U419" s="322">
        <f t="shared" si="988"/>
        <v>1</v>
      </c>
      <c r="V419" s="61">
        <f t="shared" si="988"/>
        <v>-1.07274803130328</v>
      </c>
      <c r="W419" s="61">
        <f t="shared" si="988"/>
        <v>-1.07274803130328</v>
      </c>
      <c r="X419" s="61">
        <f t="shared" si="988"/>
        <v>-1.07274803130328</v>
      </c>
      <c r="Y419" s="61">
        <f t="shared" si="988"/>
        <v>-1.07274803130328</v>
      </c>
      <c r="Z419" s="61">
        <f t="shared" si="988"/>
        <v>-1.07274803130328</v>
      </c>
      <c r="AA419" s="61">
        <f t="shared" si="988"/>
        <v>-1.07274803130328</v>
      </c>
      <c r="AB419" s="61">
        <f t="shared" si="988"/>
        <v>-1.07274803130328</v>
      </c>
      <c r="AC419" s="61">
        <f t="shared" si="988"/>
        <v>-1.07274803130328</v>
      </c>
      <c r="AD419" s="61">
        <f t="shared" si="988"/>
        <v>-1.07274803130328</v>
      </c>
      <c r="AE419" s="61">
        <f t="shared" si="988"/>
        <v>-1.07274803130328</v>
      </c>
      <c r="AF419" s="61">
        <f t="shared" si="988"/>
        <v>-0.716415406873126</v>
      </c>
      <c r="AG419" s="61">
        <f t="shared" si="988"/>
        <v>-1.75093248799394</v>
      </c>
      <c r="AH419" s="82">
        <f>T419-S419</f>
        <v>-0.435166326548231</v>
      </c>
      <c r="AI419" s="82">
        <f>AF419-S419</f>
        <v>-0.906559576848239</v>
      </c>
      <c r="AJ419" s="13"/>
      <c r="AK419" s="13"/>
      <c r="AL419" s="13"/>
      <c r="AM419" s="13"/>
      <c r="AN419" s="13"/>
      <c r="AO419" s="61" t="e">
        <f t="shared" ref="AO419:AZ419" si="989">AO418/AO412</f>
        <v>#DIV/0!</v>
      </c>
      <c r="AP419" s="61" t="e">
        <f t="shared" si="989"/>
        <v>#DIV/0!</v>
      </c>
      <c r="AQ419" s="61" t="e">
        <f t="shared" si="989"/>
        <v>#DIV/0!</v>
      </c>
      <c r="AR419" s="61" t="e">
        <f t="shared" si="989"/>
        <v>#DIV/0!</v>
      </c>
      <c r="AS419" s="61" t="e">
        <f t="shared" si="989"/>
        <v>#DIV/0!</v>
      </c>
      <c r="AT419" s="61" t="e">
        <f t="shared" si="989"/>
        <v>#DIV/0!</v>
      </c>
      <c r="AU419" s="61" t="e">
        <f t="shared" si="989"/>
        <v>#DIV/0!</v>
      </c>
      <c r="AV419" s="61" t="e">
        <f t="shared" si="989"/>
        <v>#DIV/0!</v>
      </c>
      <c r="AW419" s="61" t="e">
        <f t="shared" si="989"/>
        <v>#DIV/0!</v>
      </c>
      <c r="AX419" s="61">
        <f t="shared" si="989"/>
        <v>-1.75093124093544</v>
      </c>
      <c r="AY419" s="61">
        <f t="shared" si="989"/>
        <v>0.428936515672611</v>
      </c>
      <c r="AZ419" s="61">
        <f t="shared" si="989"/>
        <v>-1.75093248799394</v>
      </c>
      <c r="BA419" s="418">
        <v>1</v>
      </c>
      <c r="BB419" s="403"/>
      <c r="BC419" s="423"/>
      <c r="BD419" s="259"/>
    </row>
    <row r="420" ht="16.5" customHeight="1" spans="1:56">
      <c r="A420" s="13"/>
      <c r="B420" s="13"/>
      <c r="C420" s="13"/>
      <c r="D420" s="13"/>
      <c r="E420" s="13"/>
      <c r="F420" s="13"/>
      <c r="G420" s="13"/>
      <c r="H420" s="13"/>
      <c r="I420" s="13"/>
      <c r="J420" s="13"/>
      <c r="K420" s="13"/>
      <c r="L420" s="13"/>
      <c r="M420" s="13"/>
      <c r="N420" s="13"/>
      <c r="O420" s="13"/>
      <c r="P420" s="13"/>
      <c r="Q420" s="13"/>
      <c r="R420" s="213" t="s">
        <v>3497</v>
      </c>
      <c r="S420" s="58">
        <f t="shared" ref="S420:AG420" si="990">S412-S417</f>
        <v>15247.41</v>
      </c>
      <c r="T420" s="58">
        <f t="shared" si="990"/>
        <v>-9423.68000000001</v>
      </c>
      <c r="U420" s="58">
        <f t="shared" si="990"/>
        <v>15534.27</v>
      </c>
      <c r="V420" s="58">
        <f t="shared" si="990"/>
        <v>-24957.95</v>
      </c>
      <c r="W420" s="58">
        <f t="shared" si="990"/>
        <v>-24957.95</v>
      </c>
      <c r="X420" s="58">
        <f t="shared" si="990"/>
        <v>-24957.95</v>
      </c>
      <c r="Y420" s="58">
        <f t="shared" si="990"/>
        <v>-24957.95</v>
      </c>
      <c r="Z420" s="58">
        <f t="shared" si="990"/>
        <v>-24957.95</v>
      </c>
      <c r="AA420" s="58">
        <f t="shared" si="990"/>
        <v>-24957.95</v>
      </c>
      <c r="AB420" s="58">
        <f t="shared" si="990"/>
        <v>-24957.95</v>
      </c>
      <c r="AC420" s="58">
        <f t="shared" si="990"/>
        <v>-24957.95</v>
      </c>
      <c r="AD420" s="58">
        <f t="shared" si="990"/>
        <v>-24957.95</v>
      </c>
      <c r="AE420" s="58">
        <f t="shared" si="990"/>
        <v>-24957.95</v>
      </c>
      <c r="AF420" s="58">
        <f t="shared" si="990"/>
        <v>-10917.46</v>
      </c>
      <c r="AG420" s="58">
        <f t="shared" si="990"/>
        <v>-14024.2</v>
      </c>
      <c r="AH420" s="82"/>
      <c r="AI420" s="82"/>
      <c r="AJ420" s="13"/>
      <c r="AK420" s="13"/>
      <c r="AL420" s="13"/>
      <c r="AM420" s="13"/>
      <c r="AN420" s="13"/>
      <c r="AO420" s="58">
        <f t="shared" ref="AO420:BC420" si="991">AO412-AO417</f>
        <v>0</v>
      </c>
      <c r="AP420" s="58">
        <f t="shared" si="991"/>
        <v>0</v>
      </c>
      <c r="AQ420" s="58">
        <f t="shared" si="991"/>
        <v>0</v>
      </c>
      <c r="AR420" s="58">
        <f t="shared" si="991"/>
        <v>0</v>
      </c>
      <c r="AS420" s="58">
        <f t="shared" si="991"/>
        <v>0</v>
      </c>
      <c r="AT420" s="58">
        <f t="shared" si="991"/>
        <v>0</v>
      </c>
      <c r="AU420" s="58">
        <f t="shared" si="991"/>
        <v>0</v>
      </c>
      <c r="AV420" s="58">
        <f t="shared" si="991"/>
        <v>0</v>
      </c>
      <c r="AW420" s="58">
        <f t="shared" si="991"/>
        <v>0</v>
      </c>
      <c r="AX420" s="58">
        <f t="shared" si="991"/>
        <v>-14040.49</v>
      </c>
      <c r="AY420" s="58">
        <f t="shared" si="991"/>
        <v>3106.74</v>
      </c>
      <c r="AZ420" s="58">
        <f t="shared" si="991"/>
        <v>-14024.2</v>
      </c>
      <c r="BA420" s="58">
        <f t="shared" si="991"/>
        <v>15534.27</v>
      </c>
      <c r="BB420" s="58">
        <f t="shared" si="991"/>
        <v>0</v>
      </c>
      <c r="BC420" s="58">
        <f t="shared" si="991"/>
        <v>0</v>
      </c>
      <c r="BD420" s="259"/>
    </row>
    <row r="421" ht="16.5" customHeight="1" spans="1:56">
      <c r="A421" s="14"/>
      <c r="B421" s="14"/>
      <c r="C421" s="14"/>
      <c r="D421" s="14"/>
      <c r="E421" s="14"/>
      <c r="F421" s="14"/>
      <c r="G421" s="14"/>
      <c r="H421" s="14"/>
      <c r="I421" s="14"/>
      <c r="J421" s="14"/>
      <c r="K421" s="14"/>
      <c r="L421" s="14"/>
      <c r="M421" s="14"/>
      <c r="N421" s="14"/>
      <c r="O421" s="14"/>
      <c r="P421" s="14"/>
      <c r="Q421" s="14"/>
      <c r="R421" s="321" t="s">
        <v>3498</v>
      </c>
      <c r="S421" s="61">
        <f t="shared" ref="S421:AG421" si="992">S420/S412</f>
        <v>0.190144169975114</v>
      </c>
      <c r="T421" s="61">
        <f t="shared" si="992"/>
        <v>-0.243139976650133</v>
      </c>
      <c r="U421" s="322">
        <f t="shared" si="992"/>
        <v>1.00366012345567</v>
      </c>
      <c r="V421" s="61">
        <f t="shared" si="992"/>
        <v>-1.07204787842941</v>
      </c>
      <c r="W421" s="61">
        <f t="shared" si="992"/>
        <v>-1.07204787842941</v>
      </c>
      <c r="X421" s="61">
        <f t="shared" si="992"/>
        <v>-1.07204787842941</v>
      </c>
      <c r="Y421" s="61">
        <f t="shared" si="992"/>
        <v>-1.07204787842941</v>
      </c>
      <c r="Z421" s="61">
        <f t="shared" si="992"/>
        <v>-1.07204787842941</v>
      </c>
      <c r="AA421" s="61">
        <f t="shared" si="992"/>
        <v>-1.07204787842941</v>
      </c>
      <c r="AB421" s="61">
        <f t="shared" si="992"/>
        <v>-1.07204787842941</v>
      </c>
      <c r="AC421" s="61">
        <f t="shared" si="992"/>
        <v>-1.07204787842941</v>
      </c>
      <c r="AD421" s="61">
        <f t="shared" si="992"/>
        <v>-1.07204787842941</v>
      </c>
      <c r="AE421" s="61">
        <f t="shared" si="992"/>
        <v>-1.07204787842941</v>
      </c>
      <c r="AF421" s="61">
        <f t="shared" si="992"/>
        <v>-0.715347378021932</v>
      </c>
      <c r="AG421" s="61">
        <f t="shared" si="992"/>
        <v>-1.7488997826377</v>
      </c>
      <c r="AH421" s="82">
        <f>T421-S421</f>
        <v>-0.433284146625246</v>
      </c>
      <c r="AI421" s="82">
        <f>AF421-S421</f>
        <v>-0.905491547997045</v>
      </c>
      <c r="AJ421" s="14"/>
      <c r="AK421" s="14"/>
      <c r="AL421" s="14"/>
      <c r="AM421" s="14"/>
      <c r="AN421" s="14"/>
      <c r="AO421" s="61" t="e">
        <f t="shared" ref="AO421:AZ421" si="993">AO420/AO412</f>
        <v>#DIV/0!</v>
      </c>
      <c r="AP421" s="61" t="e">
        <f t="shared" si="993"/>
        <v>#DIV/0!</v>
      </c>
      <c r="AQ421" s="61" t="e">
        <f t="shared" si="993"/>
        <v>#DIV/0!</v>
      </c>
      <c r="AR421" s="61" t="e">
        <f t="shared" si="993"/>
        <v>#DIV/0!</v>
      </c>
      <c r="AS421" s="61" t="e">
        <f t="shared" si="993"/>
        <v>#DIV/0!</v>
      </c>
      <c r="AT421" s="61" t="e">
        <f t="shared" si="993"/>
        <v>#DIV/0!</v>
      </c>
      <c r="AU421" s="61" t="e">
        <f t="shared" si="993"/>
        <v>#DIV/0!</v>
      </c>
      <c r="AV421" s="61" t="e">
        <f t="shared" si="993"/>
        <v>#DIV/0!</v>
      </c>
      <c r="AW421" s="61" t="e">
        <f t="shared" si="993"/>
        <v>#DIV/0!</v>
      </c>
      <c r="AX421" s="61">
        <f t="shared" si="993"/>
        <v>-1.75093124093544</v>
      </c>
      <c r="AY421" s="61">
        <f t="shared" si="993"/>
        <v>0.428936515672611</v>
      </c>
      <c r="AZ421" s="61">
        <f t="shared" si="993"/>
        <v>-1.7488997826377</v>
      </c>
      <c r="BA421" s="418">
        <v>1.00366012345567</v>
      </c>
      <c r="BB421" s="403"/>
      <c r="BC421" s="423"/>
      <c r="BD421" s="259"/>
    </row>
    <row r="422" ht="16.5" customHeight="1" spans="1:56">
      <c r="A422" s="300" t="s">
        <v>2298</v>
      </c>
      <c r="B422" s="301" t="s">
        <v>3616</v>
      </c>
      <c r="C422" s="302">
        <v>46023</v>
      </c>
      <c r="D422" s="302">
        <v>46387</v>
      </c>
      <c r="E422" s="304"/>
      <c r="F422" s="233" t="s">
        <v>3561</v>
      </c>
      <c r="G422" s="12">
        <v>0</v>
      </c>
      <c r="H422" s="12"/>
      <c r="I422" s="12"/>
      <c r="J422" s="12"/>
      <c r="K422" s="12"/>
      <c r="L422" s="12"/>
      <c r="M422" s="12"/>
      <c r="N422" s="12"/>
      <c r="O422" s="12"/>
      <c r="P422" s="304"/>
      <c r="Q422" s="12"/>
      <c r="R422" s="318" t="s">
        <v>3486</v>
      </c>
      <c r="S422" s="58">
        <v>66037.74</v>
      </c>
      <c r="T422" s="58">
        <f t="shared" ref="T422:T426" si="994">SUM(AO422:BC422)</f>
        <v>15985.38</v>
      </c>
      <c r="U422" s="319">
        <f t="shared" ref="U422:U426" si="995">SUM(BA422:BC422)</f>
        <v>-297.88</v>
      </c>
      <c r="V422" s="58">
        <f t="shared" ref="V422:V426" si="996">SUM(AO422:AZ422)</f>
        <v>16283.26</v>
      </c>
      <c r="W422" s="58">
        <f t="shared" ref="W422:W426" si="997">SUM(AP422:AZ422)</f>
        <v>16283.26</v>
      </c>
      <c r="X422" s="58">
        <f t="shared" ref="X422:X426" si="998">SUM(AQ422:AZ422)</f>
        <v>16283.26</v>
      </c>
      <c r="Y422" s="58">
        <f t="shared" ref="Y422:Y426" si="999">SUM(AR422:AZ422)</f>
        <v>16283.26</v>
      </c>
      <c r="Z422" s="58">
        <f t="shared" ref="Z422:Z426" si="1000">SUM(AS422:AZ422)</f>
        <v>16283.26</v>
      </c>
      <c r="AA422" s="58">
        <f t="shared" ref="AA422:AA426" si="1001">SUM(AT422:AZ422)</f>
        <v>16283.26</v>
      </c>
      <c r="AB422" s="58">
        <f t="shared" ref="AB422:AB426" si="1002">SUM(AU422:AZ422)</f>
        <v>16283.26</v>
      </c>
      <c r="AC422" s="58">
        <f t="shared" ref="AC422:AC426" si="1003">SUM(AV422:AZ422)</f>
        <v>16283.26</v>
      </c>
      <c r="AD422" s="58">
        <f t="shared" ref="AD422:AD426" si="1004">SUM(AW422:AZ422)</f>
        <v>16283.26</v>
      </c>
      <c r="AE422" s="58">
        <f t="shared" ref="AE422:AE426" si="1005">SUM(AX422:AZ422)</f>
        <v>16283.26</v>
      </c>
      <c r="AF422" s="58">
        <f t="shared" ref="AF422:AF426" si="1006">SUM(AY422:AZ422)</f>
        <v>10674.61</v>
      </c>
      <c r="AG422" s="58">
        <f t="shared" ref="AG422:AG426" si="1007">SUM(AZ422:AZ422)</f>
        <v>5608.72</v>
      </c>
      <c r="AH422" s="328"/>
      <c r="AI422" s="328"/>
      <c r="AJ422" s="301"/>
      <c r="AK422" s="93"/>
      <c r="AL422" s="93"/>
      <c r="AM422" s="93"/>
      <c r="AN422" s="233"/>
      <c r="AO422" s="58"/>
      <c r="AP422" s="58"/>
      <c r="AQ422" s="58"/>
      <c r="AR422" s="58"/>
      <c r="AS422" s="58"/>
      <c r="AT422" s="58"/>
      <c r="AU422" s="58"/>
      <c r="AV422" s="58"/>
      <c r="AW422" s="58"/>
      <c r="AX422" s="58">
        <v>5608.65</v>
      </c>
      <c r="AY422" s="58">
        <v>5065.89</v>
      </c>
      <c r="AZ422" s="58">
        <v>5608.72</v>
      </c>
      <c r="BA422" s="413">
        <v>-297.88</v>
      </c>
      <c r="BB422" s="319"/>
      <c r="BC422" s="423"/>
      <c r="BD422" s="259"/>
    </row>
    <row r="423" ht="16.5" customHeight="1" spans="1:56">
      <c r="A423" s="13"/>
      <c r="B423" s="13"/>
      <c r="C423" s="13"/>
      <c r="D423" s="13"/>
      <c r="E423" s="13"/>
      <c r="F423" s="13"/>
      <c r="G423" s="13"/>
      <c r="H423" s="13"/>
      <c r="I423" s="13"/>
      <c r="J423" s="13"/>
      <c r="K423" s="13"/>
      <c r="L423" s="13"/>
      <c r="M423" s="13"/>
      <c r="N423" s="13"/>
      <c r="O423" s="13"/>
      <c r="P423" s="13"/>
      <c r="Q423" s="13"/>
      <c r="R423" s="213" t="s">
        <v>3490</v>
      </c>
      <c r="S423" s="58">
        <v>47233.8</v>
      </c>
      <c r="T423" s="58">
        <f t="shared" si="994"/>
        <v>4659.54</v>
      </c>
      <c r="U423" s="319">
        <f t="shared" si="995"/>
        <v>0</v>
      </c>
      <c r="V423" s="58">
        <f t="shared" si="996"/>
        <v>4659.54</v>
      </c>
      <c r="W423" s="58">
        <f t="shared" si="997"/>
        <v>4659.54</v>
      </c>
      <c r="X423" s="58">
        <f t="shared" si="998"/>
        <v>4659.54</v>
      </c>
      <c r="Y423" s="58">
        <f t="shared" si="999"/>
        <v>4659.54</v>
      </c>
      <c r="Z423" s="58">
        <f t="shared" si="1000"/>
        <v>4659.54</v>
      </c>
      <c r="AA423" s="58">
        <f t="shared" si="1001"/>
        <v>4659.54</v>
      </c>
      <c r="AB423" s="58">
        <f t="shared" si="1002"/>
        <v>4659.54</v>
      </c>
      <c r="AC423" s="58">
        <f t="shared" si="1003"/>
        <v>4659.54</v>
      </c>
      <c r="AD423" s="58">
        <f t="shared" si="1004"/>
        <v>4659.54</v>
      </c>
      <c r="AE423" s="58">
        <f t="shared" si="1005"/>
        <v>4659.54</v>
      </c>
      <c r="AF423" s="58">
        <f t="shared" si="1006"/>
        <v>4659.54</v>
      </c>
      <c r="AG423" s="58">
        <f t="shared" si="1007"/>
        <v>4659.53</v>
      </c>
      <c r="AH423" s="328"/>
      <c r="AI423" s="328"/>
      <c r="AJ423" s="13"/>
      <c r="AK423" s="13"/>
      <c r="AL423" s="13"/>
      <c r="AM423" s="13"/>
      <c r="AN423" s="13"/>
      <c r="AO423" s="58"/>
      <c r="AP423" s="58"/>
      <c r="AQ423" s="58"/>
      <c r="AR423" s="58"/>
      <c r="AS423" s="58"/>
      <c r="AT423" s="58"/>
      <c r="AU423" s="58"/>
      <c r="AV423" s="58"/>
      <c r="AW423" s="58"/>
      <c r="AX423" s="58">
        <v>0</v>
      </c>
      <c r="AY423" s="58">
        <v>0.01</v>
      </c>
      <c r="AZ423" s="58">
        <v>4659.53</v>
      </c>
      <c r="BA423" s="413">
        <v>0</v>
      </c>
      <c r="BB423" s="319"/>
      <c r="BC423" s="423"/>
      <c r="BD423" s="259"/>
    </row>
    <row r="424" ht="16.5" customHeight="1" spans="1:56">
      <c r="A424" s="13"/>
      <c r="B424" s="13"/>
      <c r="C424" s="13"/>
      <c r="D424" s="13"/>
      <c r="E424" s="13"/>
      <c r="F424" s="13"/>
      <c r="G424" s="13"/>
      <c r="H424" s="13"/>
      <c r="I424" s="13"/>
      <c r="J424" s="13"/>
      <c r="K424" s="13"/>
      <c r="L424" s="13"/>
      <c r="M424" s="13"/>
      <c r="N424" s="13"/>
      <c r="O424" s="13"/>
      <c r="P424" s="13"/>
      <c r="Q424" s="13"/>
      <c r="R424" s="213" t="s">
        <v>3491</v>
      </c>
      <c r="S424" s="58"/>
      <c r="T424" s="58">
        <f t="shared" si="994"/>
        <v>0</v>
      </c>
      <c r="U424" s="319">
        <f t="shared" si="995"/>
        <v>0</v>
      </c>
      <c r="V424" s="58"/>
      <c r="W424" s="58"/>
      <c r="X424" s="58"/>
      <c r="Y424" s="58"/>
      <c r="Z424" s="58"/>
      <c r="AA424" s="58"/>
      <c r="AB424" s="58"/>
      <c r="AC424" s="58"/>
      <c r="AD424" s="58"/>
      <c r="AE424" s="58"/>
      <c r="AF424" s="58"/>
      <c r="AG424" s="58"/>
      <c r="AH424" s="328"/>
      <c r="AI424" s="328"/>
      <c r="AJ424" s="13"/>
      <c r="AK424" s="13"/>
      <c r="AL424" s="13"/>
      <c r="AM424" s="13"/>
      <c r="AN424" s="13"/>
      <c r="AO424" s="58"/>
      <c r="AP424" s="58"/>
      <c r="AQ424" s="58"/>
      <c r="AR424" s="58"/>
      <c r="AS424" s="58"/>
      <c r="AT424" s="58"/>
      <c r="AU424" s="58"/>
      <c r="AV424" s="58"/>
      <c r="AW424" s="58"/>
      <c r="AX424" s="58">
        <v>0</v>
      </c>
      <c r="AY424" s="58"/>
      <c r="AZ424" s="58"/>
      <c r="BA424" s="413"/>
      <c r="BB424" s="319"/>
      <c r="BC424" s="423"/>
      <c r="BD424" s="259"/>
    </row>
    <row r="425" ht="16.5" customHeight="1" spans="1:56">
      <c r="A425" s="13"/>
      <c r="B425" s="13"/>
      <c r="C425" s="13"/>
      <c r="D425" s="13"/>
      <c r="E425" s="13"/>
      <c r="F425" s="13"/>
      <c r="G425" s="13"/>
      <c r="H425" s="13"/>
      <c r="I425" s="13"/>
      <c r="J425" s="13"/>
      <c r="K425" s="13"/>
      <c r="L425" s="13"/>
      <c r="M425" s="13"/>
      <c r="N425" s="13"/>
      <c r="O425" s="13"/>
      <c r="P425" s="13"/>
      <c r="Q425" s="13"/>
      <c r="R425" s="213" t="s">
        <v>3492</v>
      </c>
      <c r="S425" s="58">
        <v>8000</v>
      </c>
      <c r="T425" s="58">
        <f t="shared" si="994"/>
        <v>0</v>
      </c>
      <c r="U425" s="319">
        <f t="shared" si="995"/>
        <v>0</v>
      </c>
      <c r="V425" s="58">
        <f t="shared" si="996"/>
        <v>0</v>
      </c>
      <c r="W425" s="58">
        <f t="shared" si="997"/>
        <v>0</v>
      </c>
      <c r="X425" s="58">
        <f t="shared" si="998"/>
        <v>0</v>
      </c>
      <c r="Y425" s="58">
        <f t="shared" si="999"/>
        <v>0</v>
      </c>
      <c r="Z425" s="58">
        <f t="shared" si="1000"/>
        <v>0</v>
      </c>
      <c r="AA425" s="58">
        <f t="shared" si="1001"/>
        <v>0</v>
      </c>
      <c r="AB425" s="58">
        <f t="shared" si="1002"/>
        <v>0</v>
      </c>
      <c r="AC425" s="58">
        <f t="shared" si="1003"/>
        <v>0</v>
      </c>
      <c r="AD425" s="58">
        <f t="shared" si="1004"/>
        <v>0</v>
      </c>
      <c r="AE425" s="58">
        <f t="shared" si="1005"/>
        <v>0</v>
      </c>
      <c r="AF425" s="58">
        <f t="shared" si="1006"/>
        <v>0</v>
      </c>
      <c r="AG425" s="58">
        <f t="shared" si="1007"/>
        <v>0</v>
      </c>
      <c r="AH425" s="328"/>
      <c r="AI425" s="328"/>
      <c r="AJ425" s="13"/>
      <c r="AK425" s="13"/>
      <c r="AL425" s="13"/>
      <c r="AM425" s="13"/>
      <c r="AN425" s="13"/>
      <c r="AO425" s="58"/>
      <c r="AP425" s="58"/>
      <c r="AQ425" s="58"/>
      <c r="AR425" s="58"/>
      <c r="AS425" s="58"/>
      <c r="AT425" s="58"/>
      <c r="AU425" s="58"/>
      <c r="AV425" s="58"/>
      <c r="AW425" s="58"/>
      <c r="AX425" s="58"/>
      <c r="AY425" s="58">
        <v>0</v>
      </c>
      <c r="AZ425" s="58">
        <v>0</v>
      </c>
      <c r="BA425" s="413">
        <v>0</v>
      </c>
      <c r="BB425" s="319"/>
      <c r="BC425" s="423"/>
      <c r="BD425" s="259"/>
    </row>
    <row r="426" ht="16.5" customHeight="1" spans="1:56">
      <c r="A426" s="13"/>
      <c r="B426" s="13"/>
      <c r="C426" s="13"/>
      <c r="D426" s="13"/>
      <c r="E426" s="13"/>
      <c r="F426" s="13"/>
      <c r="G426" s="13"/>
      <c r="H426" s="13"/>
      <c r="I426" s="13"/>
      <c r="J426" s="13"/>
      <c r="K426" s="13"/>
      <c r="L426" s="13"/>
      <c r="M426" s="13"/>
      <c r="N426" s="13"/>
      <c r="O426" s="13"/>
      <c r="P426" s="13"/>
      <c r="Q426" s="13"/>
      <c r="R426" s="213" t="s">
        <v>3493</v>
      </c>
      <c r="S426" s="58">
        <v>0</v>
      </c>
      <c r="T426" s="58">
        <f t="shared" si="994"/>
        <v>-125.92</v>
      </c>
      <c r="U426" s="319">
        <f t="shared" si="995"/>
        <v>-39.62</v>
      </c>
      <c r="V426" s="58">
        <f t="shared" si="996"/>
        <v>-86.3</v>
      </c>
      <c r="W426" s="58">
        <f t="shared" si="997"/>
        <v>-86.3</v>
      </c>
      <c r="X426" s="58">
        <f t="shared" si="998"/>
        <v>-86.3</v>
      </c>
      <c r="Y426" s="58">
        <f t="shared" si="999"/>
        <v>-86.3</v>
      </c>
      <c r="Z426" s="58">
        <f t="shared" si="1000"/>
        <v>-86.3</v>
      </c>
      <c r="AA426" s="58">
        <f t="shared" si="1001"/>
        <v>-86.3</v>
      </c>
      <c r="AB426" s="58">
        <f t="shared" si="1002"/>
        <v>-86.3</v>
      </c>
      <c r="AC426" s="58">
        <f t="shared" si="1003"/>
        <v>-86.3</v>
      </c>
      <c r="AD426" s="58">
        <f t="shared" si="1004"/>
        <v>-86.3</v>
      </c>
      <c r="AE426" s="58">
        <f t="shared" si="1005"/>
        <v>-86.3</v>
      </c>
      <c r="AF426" s="58">
        <f t="shared" si="1006"/>
        <v>-62.96</v>
      </c>
      <c r="AG426" s="58">
        <f t="shared" si="1007"/>
        <v>-34.01</v>
      </c>
      <c r="AH426" s="328"/>
      <c r="AI426" s="328"/>
      <c r="AJ426" s="13"/>
      <c r="AK426" s="13"/>
      <c r="AL426" s="13"/>
      <c r="AM426" s="13"/>
      <c r="AN426" s="13"/>
      <c r="AO426" s="58"/>
      <c r="AP426" s="58"/>
      <c r="AQ426" s="58"/>
      <c r="AR426" s="58"/>
      <c r="AS426" s="58"/>
      <c r="AT426" s="58"/>
      <c r="AU426" s="58"/>
      <c r="AV426" s="58"/>
      <c r="AW426" s="58"/>
      <c r="AX426" s="58">
        <v>-23.34</v>
      </c>
      <c r="AY426" s="58">
        <v>-28.95</v>
      </c>
      <c r="AZ426" s="58">
        <v>-34.01</v>
      </c>
      <c r="BA426" s="413">
        <v>-39.62</v>
      </c>
      <c r="BB426" s="319"/>
      <c r="BC426" s="423"/>
      <c r="BD426" s="259"/>
    </row>
    <row r="427" ht="16.5" customHeight="1" spans="1:56">
      <c r="A427" s="13"/>
      <c r="B427" s="13"/>
      <c r="C427" s="13"/>
      <c r="D427" s="13"/>
      <c r="E427" s="13"/>
      <c r="F427" s="13"/>
      <c r="G427" s="13"/>
      <c r="H427" s="13"/>
      <c r="I427" s="13"/>
      <c r="J427" s="13"/>
      <c r="K427" s="13"/>
      <c r="L427" s="13"/>
      <c r="M427" s="13"/>
      <c r="N427" s="13"/>
      <c r="O427" s="13"/>
      <c r="P427" s="13"/>
      <c r="Q427" s="13"/>
      <c r="R427" s="213" t="s">
        <v>3494</v>
      </c>
      <c r="S427" s="214">
        <f t="shared" ref="S427:AG427" si="1008">SUM(S423:S426)</f>
        <v>55233.8</v>
      </c>
      <c r="T427" s="214">
        <f t="shared" si="1008"/>
        <v>4533.62</v>
      </c>
      <c r="U427" s="320">
        <f t="shared" si="1008"/>
        <v>-39.62</v>
      </c>
      <c r="V427" s="214">
        <f t="shared" si="1008"/>
        <v>4573.24</v>
      </c>
      <c r="W427" s="214">
        <f t="shared" si="1008"/>
        <v>4573.24</v>
      </c>
      <c r="X427" s="214">
        <f t="shared" si="1008"/>
        <v>4573.24</v>
      </c>
      <c r="Y427" s="214">
        <f t="shared" si="1008"/>
        <v>4573.24</v>
      </c>
      <c r="Z427" s="214">
        <f t="shared" si="1008"/>
        <v>4573.24</v>
      </c>
      <c r="AA427" s="214">
        <f t="shared" si="1008"/>
        <v>4573.24</v>
      </c>
      <c r="AB427" s="214">
        <f t="shared" si="1008"/>
        <v>4573.24</v>
      </c>
      <c r="AC427" s="214">
        <f t="shared" si="1008"/>
        <v>4573.24</v>
      </c>
      <c r="AD427" s="214">
        <f t="shared" si="1008"/>
        <v>4573.24</v>
      </c>
      <c r="AE427" s="214">
        <f t="shared" si="1008"/>
        <v>4573.24</v>
      </c>
      <c r="AF427" s="214">
        <f t="shared" si="1008"/>
        <v>4596.58</v>
      </c>
      <c r="AG427" s="214">
        <f t="shared" si="1008"/>
        <v>4625.52</v>
      </c>
      <c r="AH427" s="214">
        <f>SUM(AH423:AH426)</f>
        <v>0</v>
      </c>
      <c r="AI427" s="214">
        <f>SUM(AI423:AI426)</f>
        <v>0</v>
      </c>
      <c r="AJ427" s="13"/>
      <c r="AK427" s="13"/>
      <c r="AL427" s="13"/>
      <c r="AM427" s="13"/>
      <c r="AN427" s="13"/>
      <c r="AO427" s="214">
        <f t="shared" ref="AO427:AX427" si="1009">SUM(AO423:AO426)</f>
        <v>0</v>
      </c>
      <c r="AP427" s="214">
        <f t="shared" si="1009"/>
        <v>0</v>
      </c>
      <c r="AQ427" s="214">
        <f t="shared" si="1009"/>
        <v>0</v>
      </c>
      <c r="AR427" s="214">
        <f t="shared" si="1009"/>
        <v>0</v>
      </c>
      <c r="AS427" s="214">
        <f t="shared" si="1009"/>
        <v>0</v>
      </c>
      <c r="AT427" s="214">
        <f t="shared" si="1009"/>
        <v>0</v>
      </c>
      <c r="AU427" s="214">
        <f t="shared" si="1009"/>
        <v>0</v>
      </c>
      <c r="AV427" s="214">
        <f t="shared" si="1009"/>
        <v>0</v>
      </c>
      <c r="AW427" s="214">
        <f t="shared" si="1009"/>
        <v>0</v>
      </c>
      <c r="AX427" s="214">
        <f t="shared" si="1009"/>
        <v>-23.34</v>
      </c>
      <c r="AY427" s="214">
        <v>-28.94</v>
      </c>
      <c r="AZ427" s="214">
        <f>SUM(AZ423:AZ426)</f>
        <v>4625.52</v>
      </c>
      <c r="BA427" s="415">
        <v>-56.65</v>
      </c>
      <c r="BB427" s="320">
        <f>SUM(BB423:BB426)</f>
        <v>0</v>
      </c>
      <c r="BC427" s="416">
        <f>SUM(BC423:BC426)</f>
        <v>0</v>
      </c>
      <c r="BD427" s="345"/>
    </row>
    <row r="428" ht="16.5" customHeight="1" spans="1:56">
      <c r="A428" s="13"/>
      <c r="B428" s="13"/>
      <c r="C428" s="13"/>
      <c r="D428" s="13"/>
      <c r="E428" s="13"/>
      <c r="F428" s="13"/>
      <c r="G428" s="13"/>
      <c r="H428" s="13"/>
      <c r="I428" s="13"/>
      <c r="J428" s="13"/>
      <c r="K428" s="13"/>
      <c r="L428" s="13"/>
      <c r="M428" s="13"/>
      <c r="N428" s="13"/>
      <c r="O428" s="13"/>
      <c r="P428" s="13"/>
      <c r="Q428" s="13"/>
      <c r="R428" s="213" t="s">
        <v>3495</v>
      </c>
      <c r="S428" s="58">
        <f t="shared" ref="S428:AG428" si="1010">S422-S423</f>
        <v>18803.94</v>
      </c>
      <c r="T428" s="58">
        <f t="shared" si="1010"/>
        <v>11325.84</v>
      </c>
      <c r="U428" s="319">
        <f t="shared" si="1010"/>
        <v>-297.88</v>
      </c>
      <c r="V428" s="58">
        <f t="shared" si="1010"/>
        <v>11623.72</v>
      </c>
      <c r="W428" s="58">
        <f t="shared" si="1010"/>
        <v>11623.72</v>
      </c>
      <c r="X428" s="58">
        <f t="shared" si="1010"/>
        <v>11623.72</v>
      </c>
      <c r="Y428" s="58">
        <f t="shared" si="1010"/>
        <v>11623.72</v>
      </c>
      <c r="Z428" s="58">
        <f t="shared" si="1010"/>
        <v>11623.72</v>
      </c>
      <c r="AA428" s="58">
        <f t="shared" si="1010"/>
        <v>11623.72</v>
      </c>
      <c r="AB428" s="58">
        <f t="shared" si="1010"/>
        <v>11623.72</v>
      </c>
      <c r="AC428" s="58">
        <f t="shared" si="1010"/>
        <v>11623.72</v>
      </c>
      <c r="AD428" s="58">
        <f t="shared" si="1010"/>
        <v>11623.72</v>
      </c>
      <c r="AE428" s="58">
        <f t="shared" si="1010"/>
        <v>11623.72</v>
      </c>
      <c r="AF428" s="58">
        <f t="shared" si="1010"/>
        <v>6015.07</v>
      </c>
      <c r="AG428" s="58">
        <f t="shared" si="1010"/>
        <v>949.190000000001</v>
      </c>
      <c r="AH428" s="332"/>
      <c r="AI428" s="332"/>
      <c r="AJ428" s="13"/>
      <c r="AK428" s="13"/>
      <c r="AL428" s="13"/>
      <c r="AM428" s="13"/>
      <c r="AN428" s="13"/>
      <c r="AO428" s="58">
        <f t="shared" ref="AO428:BA428" si="1011">AO422-AO423</f>
        <v>0</v>
      </c>
      <c r="AP428" s="58">
        <f t="shared" si="1011"/>
        <v>0</v>
      </c>
      <c r="AQ428" s="58">
        <f t="shared" si="1011"/>
        <v>0</v>
      </c>
      <c r="AR428" s="58">
        <f t="shared" si="1011"/>
        <v>0</v>
      </c>
      <c r="AS428" s="58">
        <f t="shared" si="1011"/>
        <v>0</v>
      </c>
      <c r="AT428" s="58">
        <f t="shared" si="1011"/>
        <v>0</v>
      </c>
      <c r="AU428" s="58">
        <f t="shared" si="1011"/>
        <v>0</v>
      </c>
      <c r="AV428" s="58">
        <f t="shared" si="1011"/>
        <v>0</v>
      </c>
      <c r="AW428" s="58">
        <f t="shared" si="1011"/>
        <v>0</v>
      </c>
      <c r="AX428" s="58">
        <f t="shared" si="1011"/>
        <v>5608.65</v>
      </c>
      <c r="AY428" s="58">
        <f t="shared" si="1011"/>
        <v>5065.88</v>
      </c>
      <c r="AZ428" s="58">
        <f t="shared" si="1011"/>
        <v>949.190000000001</v>
      </c>
      <c r="BA428" s="320">
        <f t="shared" si="1011"/>
        <v>-297.88</v>
      </c>
      <c r="BB428" s="320"/>
      <c r="BC428" s="423"/>
      <c r="BD428" s="259"/>
    </row>
    <row r="429" ht="16.5" customHeight="1" spans="1:56">
      <c r="A429" s="13"/>
      <c r="B429" s="13"/>
      <c r="C429" s="13"/>
      <c r="D429" s="13"/>
      <c r="E429" s="13"/>
      <c r="F429" s="13"/>
      <c r="G429" s="13"/>
      <c r="H429" s="13"/>
      <c r="I429" s="13"/>
      <c r="J429" s="13"/>
      <c r="K429" s="13"/>
      <c r="L429" s="13"/>
      <c r="M429" s="13"/>
      <c r="N429" s="13"/>
      <c r="O429" s="13"/>
      <c r="P429" s="13"/>
      <c r="Q429" s="13"/>
      <c r="R429" s="321" t="s">
        <v>3496</v>
      </c>
      <c r="S429" s="61">
        <f t="shared" ref="S429:AG429" si="1012">S428/S422</f>
        <v>0.284745359244577</v>
      </c>
      <c r="T429" s="61">
        <f t="shared" si="1012"/>
        <v>0.708512403208432</v>
      </c>
      <c r="U429" s="322">
        <f t="shared" si="1012"/>
        <v>1</v>
      </c>
      <c r="V429" s="61">
        <f t="shared" si="1012"/>
        <v>0.713844770641751</v>
      </c>
      <c r="W429" s="61">
        <f t="shared" si="1012"/>
        <v>0.713844770641751</v>
      </c>
      <c r="X429" s="61">
        <f t="shared" si="1012"/>
        <v>0.713844770641751</v>
      </c>
      <c r="Y429" s="61">
        <f t="shared" si="1012"/>
        <v>0.713844770641751</v>
      </c>
      <c r="Z429" s="61">
        <f t="shared" si="1012"/>
        <v>0.713844770641751</v>
      </c>
      <c r="AA429" s="61">
        <f t="shared" si="1012"/>
        <v>0.713844770641751</v>
      </c>
      <c r="AB429" s="61">
        <f t="shared" si="1012"/>
        <v>0.713844770641751</v>
      </c>
      <c r="AC429" s="61">
        <f t="shared" si="1012"/>
        <v>0.713844770641751</v>
      </c>
      <c r="AD429" s="61">
        <f t="shared" si="1012"/>
        <v>0.713844770641751</v>
      </c>
      <c r="AE429" s="61">
        <f t="shared" si="1012"/>
        <v>0.713844770641751</v>
      </c>
      <c r="AF429" s="61">
        <f t="shared" si="1012"/>
        <v>0.563493186167926</v>
      </c>
      <c r="AG429" s="61">
        <f t="shared" si="1012"/>
        <v>0.169234691694362</v>
      </c>
      <c r="AH429" s="82">
        <f>T429-S429</f>
        <v>0.423767043963854</v>
      </c>
      <c r="AI429" s="82">
        <f>AF429-S429</f>
        <v>0.278747826923348</v>
      </c>
      <c r="AJ429" s="13"/>
      <c r="AK429" s="13"/>
      <c r="AL429" s="13"/>
      <c r="AM429" s="13"/>
      <c r="AN429" s="13"/>
      <c r="AO429" s="61" t="e">
        <f t="shared" ref="AO429:BA429" si="1013">AO428/AO422</f>
        <v>#DIV/0!</v>
      </c>
      <c r="AP429" s="61" t="e">
        <f t="shared" si="1013"/>
        <v>#DIV/0!</v>
      </c>
      <c r="AQ429" s="61" t="e">
        <f t="shared" si="1013"/>
        <v>#DIV/0!</v>
      </c>
      <c r="AR429" s="61" t="e">
        <f t="shared" si="1013"/>
        <v>#DIV/0!</v>
      </c>
      <c r="AS429" s="61" t="e">
        <f t="shared" si="1013"/>
        <v>#DIV/0!</v>
      </c>
      <c r="AT429" s="61" t="e">
        <f t="shared" si="1013"/>
        <v>#DIV/0!</v>
      </c>
      <c r="AU429" s="61" t="e">
        <f t="shared" si="1013"/>
        <v>#DIV/0!</v>
      </c>
      <c r="AV429" s="61" t="e">
        <f t="shared" si="1013"/>
        <v>#DIV/0!</v>
      </c>
      <c r="AW429" s="61" t="e">
        <f t="shared" si="1013"/>
        <v>#DIV/0!</v>
      </c>
      <c r="AX429" s="61">
        <f t="shared" si="1013"/>
        <v>1</v>
      </c>
      <c r="AY429" s="61">
        <f t="shared" si="1013"/>
        <v>0.999998026013198</v>
      </c>
      <c r="AZ429" s="61">
        <f t="shared" si="1013"/>
        <v>0.169234691694362</v>
      </c>
      <c r="BA429" s="403">
        <f t="shared" si="1013"/>
        <v>1</v>
      </c>
      <c r="BB429" s="403"/>
      <c r="BC429" s="423"/>
      <c r="BD429" s="259"/>
    </row>
    <row r="430" ht="16.5" customHeight="1" spans="1:56">
      <c r="A430" s="13"/>
      <c r="B430" s="13"/>
      <c r="C430" s="13"/>
      <c r="D430" s="13"/>
      <c r="E430" s="13"/>
      <c r="F430" s="13"/>
      <c r="G430" s="13"/>
      <c r="H430" s="13"/>
      <c r="I430" s="13"/>
      <c r="J430" s="13"/>
      <c r="K430" s="13"/>
      <c r="L430" s="13"/>
      <c r="M430" s="13"/>
      <c r="N430" s="13"/>
      <c r="O430" s="13"/>
      <c r="P430" s="13"/>
      <c r="Q430" s="13"/>
      <c r="R430" s="213" t="s">
        <v>3497</v>
      </c>
      <c r="S430" s="58">
        <f t="shared" ref="S430:AG430" si="1014">S422-S427</f>
        <v>10803.94</v>
      </c>
      <c r="T430" s="58">
        <f t="shared" si="1014"/>
        <v>11451.76</v>
      </c>
      <c r="U430" s="58">
        <f t="shared" si="1014"/>
        <v>-258.26</v>
      </c>
      <c r="V430" s="58">
        <f t="shared" si="1014"/>
        <v>11710.02</v>
      </c>
      <c r="W430" s="58">
        <f t="shared" si="1014"/>
        <v>11710.02</v>
      </c>
      <c r="X430" s="58">
        <f t="shared" si="1014"/>
        <v>11710.02</v>
      </c>
      <c r="Y430" s="58">
        <f t="shared" si="1014"/>
        <v>11710.02</v>
      </c>
      <c r="Z430" s="58">
        <f t="shared" si="1014"/>
        <v>11710.02</v>
      </c>
      <c r="AA430" s="58">
        <f t="shared" si="1014"/>
        <v>11710.02</v>
      </c>
      <c r="AB430" s="58">
        <f t="shared" si="1014"/>
        <v>11710.02</v>
      </c>
      <c r="AC430" s="58">
        <f t="shared" si="1014"/>
        <v>11710.02</v>
      </c>
      <c r="AD430" s="58">
        <f t="shared" si="1014"/>
        <v>11710.02</v>
      </c>
      <c r="AE430" s="58">
        <f t="shared" si="1014"/>
        <v>11710.02</v>
      </c>
      <c r="AF430" s="58">
        <f t="shared" si="1014"/>
        <v>6078.03</v>
      </c>
      <c r="AG430" s="58">
        <f t="shared" si="1014"/>
        <v>983.200000000001</v>
      </c>
      <c r="AH430" s="82"/>
      <c r="AI430" s="82"/>
      <c r="AJ430" s="13"/>
      <c r="AK430" s="13"/>
      <c r="AL430" s="13"/>
      <c r="AM430" s="13"/>
      <c r="AN430" s="13"/>
      <c r="AO430" s="58">
        <f t="shared" ref="AO430:BC430" si="1015">AO422-AO427</f>
        <v>0</v>
      </c>
      <c r="AP430" s="58">
        <f t="shared" si="1015"/>
        <v>0</v>
      </c>
      <c r="AQ430" s="58">
        <f t="shared" si="1015"/>
        <v>0</v>
      </c>
      <c r="AR430" s="58">
        <f t="shared" si="1015"/>
        <v>0</v>
      </c>
      <c r="AS430" s="58">
        <f t="shared" si="1015"/>
        <v>0</v>
      </c>
      <c r="AT430" s="58">
        <f t="shared" si="1015"/>
        <v>0</v>
      </c>
      <c r="AU430" s="58">
        <f t="shared" si="1015"/>
        <v>0</v>
      </c>
      <c r="AV430" s="58">
        <f t="shared" si="1015"/>
        <v>0</v>
      </c>
      <c r="AW430" s="58">
        <f t="shared" si="1015"/>
        <v>0</v>
      </c>
      <c r="AX430" s="58">
        <f t="shared" si="1015"/>
        <v>5631.99</v>
      </c>
      <c r="AY430" s="58">
        <f t="shared" si="1015"/>
        <v>5094.83</v>
      </c>
      <c r="AZ430" s="58">
        <f t="shared" si="1015"/>
        <v>983.2</v>
      </c>
      <c r="BA430" s="58">
        <f t="shared" si="1015"/>
        <v>-241.23</v>
      </c>
      <c r="BB430" s="58">
        <f t="shared" si="1015"/>
        <v>0</v>
      </c>
      <c r="BC430" s="58">
        <f t="shared" si="1015"/>
        <v>0</v>
      </c>
      <c r="BD430" s="259"/>
    </row>
    <row r="431" ht="16.5" customHeight="1" spans="1:56">
      <c r="A431" s="14"/>
      <c r="B431" s="14"/>
      <c r="C431" s="14"/>
      <c r="D431" s="14"/>
      <c r="E431" s="14"/>
      <c r="F431" s="14"/>
      <c r="G431" s="14"/>
      <c r="H431" s="14"/>
      <c r="I431" s="14"/>
      <c r="J431" s="14"/>
      <c r="K431" s="14"/>
      <c r="L431" s="14"/>
      <c r="M431" s="14"/>
      <c r="N431" s="14"/>
      <c r="O431" s="14"/>
      <c r="P431" s="14"/>
      <c r="Q431" s="14"/>
      <c r="R431" s="321" t="s">
        <v>3498</v>
      </c>
      <c r="S431" s="61">
        <f t="shared" ref="S431:AG431" si="1016">S430/S422</f>
        <v>0.163602509716414</v>
      </c>
      <c r="T431" s="61">
        <f t="shared" si="1016"/>
        <v>0.716389600997912</v>
      </c>
      <c r="U431" s="322">
        <f t="shared" si="1016"/>
        <v>0.866993420169196</v>
      </c>
      <c r="V431" s="61">
        <f t="shared" si="1016"/>
        <v>0.719144692156239</v>
      </c>
      <c r="W431" s="61">
        <f t="shared" si="1016"/>
        <v>0.719144692156239</v>
      </c>
      <c r="X431" s="61">
        <f t="shared" si="1016"/>
        <v>0.719144692156239</v>
      </c>
      <c r="Y431" s="61">
        <f t="shared" si="1016"/>
        <v>0.719144692156239</v>
      </c>
      <c r="Z431" s="61">
        <f t="shared" si="1016"/>
        <v>0.719144692156239</v>
      </c>
      <c r="AA431" s="61">
        <f t="shared" si="1016"/>
        <v>0.719144692156239</v>
      </c>
      <c r="AB431" s="61">
        <f t="shared" si="1016"/>
        <v>0.719144692156239</v>
      </c>
      <c r="AC431" s="61">
        <f t="shared" si="1016"/>
        <v>0.719144692156239</v>
      </c>
      <c r="AD431" s="61">
        <f t="shared" si="1016"/>
        <v>0.719144692156239</v>
      </c>
      <c r="AE431" s="61">
        <f t="shared" si="1016"/>
        <v>0.719144692156239</v>
      </c>
      <c r="AF431" s="61">
        <f t="shared" si="1016"/>
        <v>0.569391293920808</v>
      </c>
      <c r="AG431" s="61">
        <f t="shared" si="1016"/>
        <v>0.175298463820622</v>
      </c>
      <c r="AH431" s="82">
        <f>T431-S431</f>
        <v>0.552787091281498</v>
      </c>
      <c r="AI431" s="82">
        <f>AF431-S431</f>
        <v>0.405788784204395</v>
      </c>
      <c r="AJ431" s="14"/>
      <c r="AK431" s="14"/>
      <c r="AL431" s="14"/>
      <c r="AM431" s="14"/>
      <c r="AN431" s="14"/>
      <c r="AO431" s="61" t="e">
        <f t="shared" ref="AO431:BA431" si="1017">AO430/AO422</f>
        <v>#DIV/0!</v>
      </c>
      <c r="AP431" s="61" t="e">
        <f t="shared" si="1017"/>
        <v>#DIV/0!</v>
      </c>
      <c r="AQ431" s="61" t="e">
        <f t="shared" si="1017"/>
        <v>#DIV/0!</v>
      </c>
      <c r="AR431" s="61" t="e">
        <f t="shared" si="1017"/>
        <v>#DIV/0!</v>
      </c>
      <c r="AS431" s="61" t="e">
        <f t="shared" si="1017"/>
        <v>#DIV/0!</v>
      </c>
      <c r="AT431" s="61" t="e">
        <f t="shared" si="1017"/>
        <v>#DIV/0!</v>
      </c>
      <c r="AU431" s="61" t="e">
        <f t="shared" si="1017"/>
        <v>#DIV/0!</v>
      </c>
      <c r="AV431" s="61" t="e">
        <f t="shared" si="1017"/>
        <v>#DIV/0!</v>
      </c>
      <c r="AW431" s="61" t="e">
        <f t="shared" si="1017"/>
        <v>#DIV/0!</v>
      </c>
      <c r="AX431" s="61">
        <f t="shared" si="1017"/>
        <v>1.00416142922094</v>
      </c>
      <c r="AY431" s="61">
        <f t="shared" si="1017"/>
        <v>1.00571271780477</v>
      </c>
      <c r="AZ431" s="61">
        <f t="shared" si="1017"/>
        <v>0.175298463820622</v>
      </c>
      <c r="BA431" s="403">
        <f t="shared" si="1017"/>
        <v>0.809822747415066</v>
      </c>
      <c r="BB431" s="403"/>
      <c r="BC431" s="423"/>
      <c r="BD431" s="259"/>
    </row>
    <row r="432" ht="16.5" customHeight="1" spans="1:56">
      <c r="A432" s="300" t="s">
        <v>2351</v>
      </c>
      <c r="B432" s="301" t="s">
        <v>3617</v>
      </c>
      <c r="C432" s="302">
        <v>46023</v>
      </c>
      <c r="D432" s="302">
        <v>46387</v>
      </c>
      <c r="E432" s="304"/>
      <c r="F432" s="233" t="s">
        <v>3561</v>
      </c>
      <c r="G432" s="12">
        <v>0</v>
      </c>
      <c r="H432" s="12"/>
      <c r="I432" s="12"/>
      <c r="J432" s="12"/>
      <c r="K432" s="12"/>
      <c r="L432" s="12"/>
      <c r="M432" s="12"/>
      <c r="N432" s="12"/>
      <c r="O432" s="12"/>
      <c r="P432" s="304"/>
      <c r="Q432" s="12"/>
      <c r="R432" s="318" t="s">
        <v>3486</v>
      </c>
      <c r="S432" s="58">
        <v>75471.7</v>
      </c>
      <c r="T432" s="58">
        <f t="shared" ref="T432:T436" si="1018">SUM(AO432:BC432)</f>
        <v>34087.06</v>
      </c>
      <c r="U432" s="319">
        <f t="shared" ref="U432:U436" si="1019">SUM(BA432:BC432)</f>
        <v>15477.62</v>
      </c>
      <c r="V432" s="58">
        <f t="shared" ref="V432:V436" si="1020">SUM(AO432:AZ432)</f>
        <v>18609.44</v>
      </c>
      <c r="W432" s="58">
        <f t="shared" ref="W432:W436" si="1021">SUM(AP432:AZ432)</f>
        <v>18609.44</v>
      </c>
      <c r="X432" s="58">
        <f t="shared" ref="X432:X436" si="1022">SUM(AQ432:AZ432)</f>
        <v>18609.44</v>
      </c>
      <c r="Y432" s="58">
        <f t="shared" ref="Y432:Y436" si="1023">SUM(AR432:AZ432)</f>
        <v>18609.44</v>
      </c>
      <c r="Z432" s="58">
        <f t="shared" ref="Z432:Z436" si="1024">SUM(AS432:AZ432)</f>
        <v>18609.44</v>
      </c>
      <c r="AA432" s="58">
        <f t="shared" ref="AA432:AA436" si="1025">SUM(AT432:AZ432)</f>
        <v>18609.44</v>
      </c>
      <c r="AB432" s="58">
        <f t="shared" ref="AB432:AB436" si="1026">SUM(AU432:AZ432)</f>
        <v>18609.44</v>
      </c>
      <c r="AC432" s="58">
        <f t="shared" ref="AC432:AC436" si="1027">SUM(AV432:AZ432)</f>
        <v>18609.44</v>
      </c>
      <c r="AD432" s="58">
        <f t="shared" ref="AD432:AD436" si="1028">SUM(AW432:AZ432)</f>
        <v>18609.44</v>
      </c>
      <c r="AE432" s="58">
        <f t="shared" ref="AE432:AE436" si="1029">SUM(AX432:AZ432)</f>
        <v>18609.44</v>
      </c>
      <c r="AF432" s="58">
        <f t="shared" ref="AF432:AF436" si="1030">SUM(AY432:AZ432)</f>
        <v>12199.55</v>
      </c>
      <c r="AG432" s="58">
        <f t="shared" ref="AG432:AG436" si="1031">SUM(AZ432:AZ432)</f>
        <v>6409.96</v>
      </c>
      <c r="AH432" s="328"/>
      <c r="AI432" s="328"/>
      <c r="AJ432" s="301"/>
      <c r="AK432" s="93" t="s">
        <v>3615</v>
      </c>
      <c r="AL432" s="93"/>
      <c r="AM432" s="93"/>
      <c r="AN432" s="233"/>
      <c r="AO432" s="58"/>
      <c r="AP432" s="58"/>
      <c r="AQ432" s="58"/>
      <c r="AR432" s="58"/>
      <c r="AS432" s="58"/>
      <c r="AT432" s="58"/>
      <c r="AU432" s="58"/>
      <c r="AV432" s="58"/>
      <c r="AW432" s="58"/>
      <c r="AX432" s="58">
        <v>6409.89</v>
      </c>
      <c r="AY432" s="58">
        <v>5789.59</v>
      </c>
      <c r="AZ432" s="58">
        <v>6409.96</v>
      </c>
      <c r="BA432" s="413">
        <v>15477.62</v>
      </c>
      <c r="BB432" s="319"/>
      <c r="BC432" s="423"/>
      <c r="BD432" s="259"/>
    </row>
    <row r="433" ht="16.5" customHeight="1" spans="1:56">
      <c r="A433" s="13"/>
      <c r="B433" s="13"/>
      <c r="C433" s="13"/>
      <c r="D433" s="13"/>
      <c r="E433" s="13"/>
      <c r="F433" s="13"/>
      <c r="G433" s="13"/>
      <c r="H433" s="13"/>
      <c r="I433" s="13"/>
      <c r="J433" s="13"/>
      <c r="K433" s="13"/>
      <c r="L433" s="13"/>
      <c r="M433" s="13"/>
      <c r="N433" s="13"/>
      <c r="O433" s="13"/>
      <c r="P433" s="13"/>
      <c r="Q433" s="13"/>
      <c r="R433" s="213" t="s">
        <v>3490</v>
      </c>
      <c r="S433" s="58">
        <v>34151.4</v>
      </c>
      <c r="T433" s="58">
        <f t="shared" si="1018"/>
        <v>19659.83</v>
      </c>
      <c r="U433" s="319">
        <f t="shared" si="1019"/>
        <v>0</v>
      </c>
      <c r="V433" s="58">
        <f t="shared" si="1020"/>
        <v>19659.83</v>
      </c>
      <c r="W433" s="58">
        <f t="shared" si="1021"/>
        <v>19659.83</v>
      </c>
      <c r="X433" s="58">
        <f t="shared" si="1022"/>
        <v>19659.83</v>
      </c>
      <c r="Y433" s="58">
        <f t="shared" si="1023"/>
        <v>19659.83</v>
      </c>
      <c r="Z433" s="58">
        <f t="shared" si="1024"/>
        <v>19659.83</v>
      </c>
      <c r="AA433" s="58">
        <f t="shared" si="1025"/>
        <v>19659.83</v>
      </c>
      <c r="AB433" s="58">
        <f t="shared" si="1026"/>
        <v>19659.83</v>
      </c>
      <c r="AC433" s="58">
        <f t="shared" si="1027"/>
        <v>19659.83</v>
      </c>
      <c r="AD433" s="58">
        <f t="shared" si="1028"/>
        <v>19659.83</v>
      </c>
      <c r="AE433" s="58">
        <f t="shared" si="1029"/>
        <v>19659.83</v>
      </c>
      <c r="AF433" s="58">
        <f t="shared" si="1030"/>
        <v>19659.83</v>
      </c>
      <c r="AG433" s="58">
        <f t="shared" si="1031"/>
        <v>19659.83</v>
      </c>
      <c r="AH433" s="328"/>
      <c r="AI433" s="328"/>
      <c r="AJ433" s="13"/>
      <c r="AK433" s="13"/>
      <c r="AL433" s="13"/>
      <c r="AM433" s="13"/>
      <c r="AN433" s="13"/>
      <c r="AO433" s="58"/>
      <c r="AP433" s="58"/>
      <c r="AQ433" s="58"/>
      <c r="AR433" s="58"/>
      <c r="AS433" s="58"/>
      <c r="AT433" s="58"/>
      <c r="AU433" s="58"/>
      <c r="AV433" s="58"/>
      <c r="AW433" s="58"/>
      <c r="AX433" s="58">
        <v>0</v>
      </c>
      <c r="AY433" s="58">
        <v>0</v>
      </c>
      <c r="AZ433" s="58">
        <v>19659.83</v>
      </c>
      <c r="BA433" s="413">
        <v>0</v>
      </c>
      <c r="BB433" s="319"/>
      <c r="BC433" s="423"/>
      <c r="BD433" s="259"/>
    </row>
    <row r="434" ht="16.5" customHeight="1" spans="1:56">
      <c r="A434" s="13"/>
      <c r="B434" s="13"/>
      <c r="C434" s="13"/>
      <c r="D434" s="13"/>
      <c r="E434" s="13"/>
      <c r="F434" s="13"/>
      <c r="G434" s="13"/>
      <c r="H434" s="13"/>
      <c r="I434" s="13"/>
      <c r="J434" s="13"/>
      <c r="K434" s="13"/>
      <c r="L434" s="13"/>
      <c r="M434" s="13"/>
      <c r="N434" s="13"/>
      <c r="O434" s="13"/>
      <c r="P434" s="13"/>
      <c r="Q434" s="13"/>
      <c r="R434" s="213" t="s">
        <v>3491</v>
      </c>
      <c r="S434" s="58"/>
      <c r="T434" s="58">
        <f t="shared" si="1018"/>
        <v>0</v>
      </c>
      <c r="U434" s="319">
        <f t="shared" si="1019"/>
        <v>0</v>
      </c>
      <c r="V434" s="58"/>
      <c r="W434" s="58"/>
      <c r="X434" s="58"/>
      <c r="Y434" s="58"/>
      <c r="Z434" s="58"/>
      <c r="AA434" s="58"/>
      <c r="AB434" s="58"/>
      <c r="AC434" s="58"/>
      <c r="AD434" s="58"/>
      <c r="AE434" s="58"/>
      <c r="AF434" s="58"/>
      <c r="AG434" s="58"/>
      <c r="AH434" s="328"/>
      <c r="AI434" s="328"/>
      <c r="AJ434" s="13"/>
      <c r="AK434" s="13"/>
      <c r="AL434" s="13"/>
      <c r="AM434" s="13"/>
      <c r="AN434" s="13"/>
      <c r="AO434" s="58"/>
      <c r="AP434" s="58"/>
      <c r="AQ434" s="58"/>
      <c r="AR434" s="58"/>
      <c r="AS434" s="58"/>
      <c r="AT434" s="58"/>
      <c r="AU434" s="58"/>
      <c r="AV434" s="58"/>
      <c r="AW434" s="58"/>
      <c r="AX434" s="58">
        <v>0</v>
      </c>
      <c r="AY434" s="58"/>
      <c r="AZ434" s="58"/>
      <c r="BA434" s="413"/>
      <c r="BB434" s="319"/>
      <c r="BC434" s="423"/>
      <c r="BD434" s="259"/>
    </row>
    <row r="435" ht="16.5" customHeight="1" spans="1:56">
      <c r="A435" s="13"/>
      <c r="B435" s="13"/>
      <c r="C435" s="13"/>
      <c r="D435" s="13"/>
      <c r="E435" s="13"/>
      <c r="F435" s="13"/>
      <c r="G435" s="13"/>
      <c r="H435" s="13"/>
      <c r="I435" s="13"/>
      <c r="J435" s="13"/>
      <c r="K435" s="13"/>
      <c r="L435" s="13"/>
      <c r="M435" s="13"/>
      <c r="N435" s="13"/>
      <c r="O435" s="13"/>
      <c r="P435" s="13"/>
      <c r="Q435" s="13"/>
      <c r="R435" s="213" t="s">
        <v>3492</v>
      </c>
      <c r="S435" s="58">
        <v>0</v>
      </c>
      <c r="T435" s="58">
        <f t="shared" si="1018"/>
        <v>0</v>
      </c>
      <c r="U435" s="319">
        <f t="shared" si="1019"/>
        <v>0</v>
      </c>
      <c r="V435" s="58">
        <f t="shared" si="1020"/>
        <v>0</v>
      </c>
      <c r="W435" s="58">
        <f t="shared" si="1021"/>
        <v>0</v>
      </c>
      <c r="X435" s="58">
        <f t="shared" si="1022"/>
        <v>0</v>
      </c>
      <c r="Y435" s="58">
        <f t="shared" si="1023"/>
        <v>0</v>
      </c>
      <c r="Z435" s="58">
        <f t="shared" si="1024"/>
        <v>0</v>
      </c>
      <c r="AA435" s="58">
        <f t="shared" si="1025"/>
        <v>0</v>
      </c>
      <c r="AB435" s="58">
        <f t="shared" si="1026"/>
        <v>0</v>
      </c>
      <c r="AC435" s="58">
        <f t="shared" si="1027"/>
        <v>0</v>
      </c>
      <c r="AD435" s="58">
        <f t="shared" si="1028"/>
        <v>0</v>
      </c>
      <c r="AE435" s="58">
        <f t="shared" si="1029"/>
        <v>0</v>
      </c>
      <c r="AF435" s="58">
        <f t="shared" si="1030"/>
        <v>0</v>
      </c>
      <c r="AG435" s="58">
        <f t="shared" si="1031"/>
        <v>0</v>
      </c>
      <c r="AH435" s="328"/>
      <c r="AI435" s="328"/>
      <c r="AJ435" s="13"/>
      <c r="AK435" s="13"/>
      <c r="AL435" s="13"/>
      <c r="AM435" s="13"/>
      <c r="AN435" s="13"/>
      <c r="AO435" s="58"/>
      <c r="AP435" s="58"/>
      <c r="AQ435" s="58"/>
      <c r="AR435" s="58"/>
      <c r="AS435" s="58"/>
      <c r="AT435" s="58"/>
      <c r="AU435" s="58"/>
      <c r="AV435" s="58"/>
      <c r="AW435" s="58"/>
      <c r="AX435" s="58"/>
      <c r="AY435" s="58">
        <v>0</v>
      </c>
      <c r="AZ435" s="58">
        <v>0</v>
      </c>
      <c r="BA435" s="413">
        <v>0</v>
      </c>
      <c r="BB435" s="319"/>
      <c r="BC435" s="423"/>
      <c r="BD435" s="259"/>
    </row>
    <row r="436" ht="16.5" customHeight="1" spans="1:56">
      <c r="A436" s="13"/>
      <c r="B436" s="13"/>
      <c r="C436" s="13"/>
      <c r="D436" s="13"/>
      <c r="E436" s="13"/>
      <c r="F436" s="13"/>
      <c r="G436" s="13"/>
      <c r="H436" s="13"/>
      <c r="I436" s="13"/>
      <c r="J436" s="13"/>
      <c r="K436" s="13"/>
      <c r="L436" s="13"/>
      <c r="M436" s="13"/>
      <c r="N436" s="13"/>
      <c r="O436" s="13"/>
      <c r="P436" s="13"/>
      <c r="Q436" s="13"/>
      <c r="R436" s="213" t="s">
        <v>3493</v>
      </c>
      <c r="S436" s="58">
        <v>29037</v>
      </c>
      <c r="T436" s="58">
        <f t="shared" si="1018"/>
        <v>4849.73</v>
      </c>
      <c r="U436" s="319">
        <f t="shared" si="1019"/>
        <v>-56.65</v>
      </c>
      <c r="V436" s="58">
        <f t="shared" si="1020"/>
        <v>4906.38</v>
      </c>
      <c r="W436" s="58">
        <f t="shared" si="1021"/>
        <v>4906.38</v>
      </c>
      <c r="X436" s="58">
        <f t="shared" si="1022"/>
        <v>4906.38</v>
      </c>
      <c r="Y436" s="58">
        <f t="shared" si="1023"/>
        <v>4906.38</v>
      </c>
      <c r="Z436" s="58">
        <f t="shared" si="1024"/>
        <v>4906.38</v>
      </c>
      <c r="AA436" s="58">
        <f t="shared" si="1025"/>
        <v>4906.38</v>
      </c>
      <c r="AB436" s="58">
        <f t="shared" si="1026"/>
        <v>4906.38</v>
      </c>
      <c r="AC436" s="58">
        <f t="shared" si="1027"/>
        <v>4906.38</v>
      </c>
      <c r="AD436" s="58">
        <f t="shared" si="1028"/>
        <v>4906.38</v>
      </c>
      <c r="AE436" s="58">
        <f t="shared" si="1029"/>
        <v>4906.38</v>
      </c>
      <c r="AF436" s="58">
        <f t="shared" si="1030"/>
        <v>4963.24</v>
      </c>
      <c r="AG436" s="58">
        <f t="shared" si="1031"/>
        <v>-69.06</v>
      </c>
      <c r="AH436" s="328"/>
      <c r="AI436" s="328"/>
      <c r="AJ436" s="13"/>
      <c r="AK436" s="13"/>
      <c r="AL436" s="13"/>
      <c r="AM436" s="13"/>
      <c r="AN436" s="13"/>
      <c r="AO436" s="58"/>
      <c r="AP436" s="58"/>
      <c r="AQ436" s="58"/>
      <c r="AR436" s="58"/>
      <c r="AS436" s="58"/>
      <c r="AT436" s="58"/>
      <c r="AU436" s="58"/>
      <c r="AV436" s="58"/>
      <c r="AW436" s="58"/>
      <c r="AX436" s="58">
        <v>-56.86</v>
      </c>
      <c r="AY436" s="58">
        <v>5032.3</v>
      </c>
      <c r="AZ436" s="58">
        <v>-69.06</v>
      </c>
      <c r="BA436" s="413">
        <v>-56.65</v>
      </c>
      <c r="BB436" s="319"/>
      <c r="BC436" s="423"/>
      <c r="BD436" s="259"/>
    </row>
    <row r="437" ht="16.5" customHeight="1" spans="1:56">
      <c r="A437" s="13"/>
      <c r="B437" s="13"/>
      <c r="C437" s="13"/>
      <c r="D437" s="13"/>
      <c r="E437" s="13"/>
      <c r="F437" s="13"/>
      <c r="G437" s="13"/>
      <c r="H437" s="13"/>
      <c r="I437" s="13"/>
      <c r="J437" s="13"/>
      <c r="K437" s="13"/>
      <c r="L437" s="13"/>
      <c r="M437" s="13"/>
      <c r="N437" s="13"/>
      <c r="O437" s="13"/>
      <c r="P437" s="13"/>
      <c r="Q437" s="13"/>
      <c r="R437" s="213" t="s">
        <v>3494</v>
      </c>
      <c r="S437" s="214">
        <f t="shared" ref="S437:AG437" si="1032">SUM(S433:S436)</f>
        <v>63188.4</v>
      </c>
      <c r="T437" s="214">
        <f t="shared" si="1032"/>
        <v>24509.56</v>
      </c>
      <c r="U437" s="320">
        <f t="shared" si="1032"/>
        <v>-56.65</v>
      </c>
      <c r="V437" s="214">
        <f t="shared" si="1032"/>
        <v>24566.21</v>
      </c>
      <c r="W437" s="214">
        <f t="shared" si="1032"/>
        <v>24566.21</v>
      </c>
      <c r="X437" s="214">
        <f t="shared" si="1032"/>
        <v>24566.21</v>
      </c>
      <c r="Y437" s="214">
        <f t="shared" si="1032"/>
        <v>24566.21</v>
      </c>
      <c r="Z437" s="214">
        <f t="shared" si="1032"/>
        <v>24566.21</v>
      </c>
      <c r="AA437" s="214">
        <f t="shared" si="1032"/>
        <v>24566.21</v>
      </c>
      <c r="AB437" s="214">
        <f t="shared" si="1032"/>
        <v>24566.21</v>
      </c>
      <c r="AC437" s="214">
        <f t="shared" si="1032"/>
        <v>24566.21</v>
      </c>
      <c r="AD437" s="214">
        <f t="shared" si="1032"/>
        <v>24566.21</v>
      </c>
      <c r="AE437" s="214">
        <f t="shared" si="1032"/>
        <v>24566.21</v>
      </c>
      <c r="AF437" s="214">
        <f t="shared" si="1032"/>
        <v>24623.07</v>
      </c>
      <c r="AG437" s="214">
        <f t="shared" si="1032"/>
        <v>19590.77</v>
      </c>
      <c r="AH437" s="214">
        <f>SUM(AH433:AH436)</f>
        <v>0</v>
      </c>
      <c r="AI437" s="214">
        <f>SUM(AI433:AI436)</f>
        <v>0</v>
      </c>
      <c r="AJ437" s="13"/>
      <c r="AK437" s="13"/>
      <c r="AL437" s="13"/>
      <c r="AM437" s="13"/>
      <c r="AN437" s="13"/>
      <c r="AO437" s="214">
        <f t="shared" ref="AO437:AX437" si="1033">SUM(AO433:AO436)</f>
        <v>0</v>
      </c>
      <c r="AP437" s="214">
        <f t="shared" si="1033"/>
        <v>0</v>
      </c>
      <c r="AQ437" s="214">
        <f t="shared" si="1033"/>
        <v>0</v>
      </c>
      <c r="AR437" s="214">
        <f t="shared" si="1033"/>
        <v>0</v>
      </c>
      <c r="AS437" s="214">
        <f t="shared" si="1033"/>
        <v>0</v>
      </c>
      <c r="AT437" s="214">
        <f t="shared" si="1033"/>
        <v>0</v>
      </c>
      <c r="AU437" s="214">
        <f t="shared" si="1033"/>
        <v>0</v>
      </c>
      <c r="AV437" s="214">
        <f t="shared" si="1033"/>
        <v>0</v>
      </c>
      <c r="AW437" s="214">
        <f t="shared" si="1033"/>
        <v>0</v>
      </c>
      <c r="AX437" s="214">
        <f t="shared" si="1033"/>
        <v>-56.86</v>
      </c>
      <c r="AY437" s="214">
        <v>-63.27</v>
      </c>
      <c r="AZ437" s="214">
        <f>SUM(AZ433:AZ436)</f>
        <v>19590.77</v>
      </c>
      <c r="BA437" s="415">
        <v>-56.65</v>
      </c>
      <c r="BB437" s="320">
        <f>SUM(BB433:BB436)</f>
        <v>0</v>
      </c>
      <c r="BC437" s="416">
        <f>SUM(BC433:BC436)</f>
        <v>0</v>
      </c>
      <c r="BD437" s="345"/>
    </row>
    <row r="438" ht="16.5" customHeight="1" spans="1:56">
      <c r="A438" s="13"/>
      <c r="B438" s="13"/>
      <c r="C438" s="13"/>
      <c r="D438" s="13"/>
      <c r="E438" s="13"/>
      <c r="F438" s="13"/>
      <c r="G438" s="13"/>
      <c r="H438" s="13"/>
      <c r="I438" s="13"/>
      <c r="J438" s="13"/>
      <c r="K438" s="13"/>
      <c r="L438" s="13"/>
      <c r="M438" s="13"/>
      <c r="N438" s="13"/>
      <c r="O438" s="13"/>
      <c r="P438" s="13"/>
      <c r="Q438" s="13"/>
      <c r="R438" s="213" t="s">
        <v>3495</v>
      </c>
      <c r="S438" s="58">
        <f t="shared" ref="S438:AG438" si="1034">S432-S433</f>
        <v>41320.3</v>
      </c>
      <c r="T438" s="58">
        <f t="shared" si="1034"/>
        <v>14427.23</v>
      </c>
      <c r="U438" s="319">
        <f t="shared" si="1034"/>
        <v>15477.62</v>
      </c>
      <c r="V438" s="58">
        <f t="shared" si="1034"/>
        <v>-1050.39</v>
      </c>
      <c r="W438" s="58">
        <f t="shared" si="1034"/>
        <v>-1050.39</v>
      </c>
      <c r="X438" s="58">
        <f t="shared" si="1034"/>
        <v>-1050.39</v>
      </c>
      <c r="Y438" s="58">
        <f t="shared" si="1034"/>
        <v>-1050.39</v>
      </c>
      <c r="Z438" s="58">
        <f t="shared" si="1034"/>
        <v>-1050.39</v>
      </c>
      <c r="AA438" s="58">
        <f t="shared" si="1034"/>
        <v>-1050.39</v>
      </c>
      <c r="AB438" s="58">
        <f t="shared" si="1034"/>
        <v>-1050.39</v>
      </c>
      <c r="AC438" s="58">
        <f t="shared" si="1034"/>
        <v>-1050.39</v>
      </c>
      <c r="AD438" s="58">
        <f t="shared" si="1034"/>
        <v>-1050.39</v>
      </c>
      <c r="AE438" s="58">
        <f t="shared" si="1034"/>
        <v>-1050.39</v>
      </c>
      <c r="AF438" s="58">
        <f t="shared" si="1034"/>
        <v>-7460.28</v>
      </c>
      <c r="AG438" s="58">
        <f t="shared" si="1034"/>
        <v>-13249.87</v>
      </c>
      <c r="AH438" s="332"/>
      <c r="AI438" s="332"/>
      <c r="AJ438" s="13"/>
      <c r="AK438" s="13"/>
      <c r="AL438" s="13"/>
      <c r="AM438" s="13"/>
      <c r="AN438" s="13"/>
      <c r="AO438" s="58">
        <f t="shared" ref="AO438:AZ438" si="1035">AO432-AO433</f>
        <v>0</v>
      </c>
      <c r="AP438" s="58">
        <f t="shared" si="1035"/>
        <v>0</v>
      </c>
      <c r="AQ438" s="58">
        <f t="shared" si="1035"/>
        <v>0</v>
      </c>
      <c r="AR438" s="58">
        <f t="shared" si="1035"/>
        <v>0</v>
      </c>
      <c r="AS438" s="58">
        <f t="shared" si="1035"/>
        <v>0</v>
      </c>
      <c r="AT438" s="58">
        <f t="shared" si="1035"/>
        <v>0</v>
      </c>
      <c r="AU438" s="58">
        <f t="shared" si="1035"/>
        <v>0</v>
      </c>
      <c r="AV438" s="58">
        <f t="shared" si="1035"/>
        <v>0</v>
      </c>
      <c r="AW438" s="58">
        <f t="shared" si="1035"/>
        <v>0</v>
      </c>
      <c r="AX438" s="58">
        <f t="shared" si="1035"/>
        <v>6409.89</v>
      </c>
      <c r="AY438" s="58">
        <f t="shared" si="1035"/>
        <v>5789.59</v>
      </c>
      <c r="AZ438" s="58">
        <f t="shared" si="1035"/>
        <v>-13249.87</v>
      </c>
      <c r="BA438" s="417">
        <v>15477.62</v>
      </c>
      <c r="BB438" s="320"/>
      <c r="BC438" s="423"/>
      <c r="BD438" s="259"/>
    </row>
    <row r="439" ht="16.5" customHeight="1" spans="1:56">
      <c r="A439" s="13"/>
      <c r="B439" s="13"/>
      <c r="C439" s="13"/>
      <c r="D439" s="13"/>
      <c r="E439" s="13"/>
      <c r="F439" s="13"/>
      <c r="G439" s="13"/>
      <c r="H439" s="13"/>
      <c r="I439" s="13"/>
      <c r="J439" s="13"/>
      <c r="K439" s="13"/>
      <c r="L439" s="13"/>
      <c r="M439" s="13"/>
      <c r="N439" s="13"/>
      <c r="O439" s="13"/>
      <c r="P439" s="13"/>
      <c r="Q439" s="13"/>
      <c r="R439" s="321" t="s">
        <v>3496</v>
      </c>
      <c r="S439" s="61">
        <f t="shared" ref="S439:AG439" si="1036">S438/S432</f>
        <v>0.547493961312651</v>
      </c>
      <c r="T439" s="61">
        <f t="shared" si="1036"/>
        <v>0.423246534022001</v>
      </c>
      <c r="U439" s="322">
        <f t="shared" si="1036"/>
        <v>1</v>
      </c>
      <c r="V439" s="61">
        <f t="shared" si="1036"/>
        <v>-0.056443933831432</v>
      </c>
      <c r="W439" s="61">
        <f t="shared" si="1036"/>
        <v>-0.056443933831432</v>
      </c>
      <c r="X439" s="61">
        <f t="shared" si="1036"/>
        <v>-0.056443933831432</v>
      </c>
      <c r="Y439" s="61">
        <f t="shared" si="1036"/>
        <v>-0.056443933831432</v>
      </c>
      <c r="Z439" s="61">
        <f t="shared" si="1036"/>
        <v>-0.056443933831432</v>
      </c>
      <c r="AA439" s="61">
        <f t="shared" si="1036"/>
        <v>-0.056443933831432</v>
      </c>
      <c r="AB439" s="61">
        <f t="shared" si="1036"/>
        <v>-0.056443933831432</v>
      </c>
      <c r="AC439" s="61">
        <f t="shared" si="1036"/>
        <v>-0.056443933831432</v>
      </c>
      <c r="AD439" s="61">
        <f t="shared" si="1036"/>
        <v>-0.056443933831432</v>
      </c>
      <c r="AE439" s="61">
        <f t="shared" si="1036"/>
        <v>-0.056443933831432</v>
      </c>
      <c r="AF439" s="61">
        <f t="shared" si="1036"/>
        <v>-0.611520916755126</v>
      </c>
      <c r="AG439" s="61">
        <f t="shared" si="1036"/>
        <v>-2.06707530156194</v>
      </c>
      <c r="AH439" s="82">
        <f>T439-S439</f>
        <v>-0.12424742729065</v>
      </c>
      <c r="AI439" s="82">
        <f>AF439-S439</f>
        <v>-1.15901487806778</v>
      </c>
      <c r="AJ439" s="13"/>
      <c r="AK439" s="13"/>
      <c r="AL439" s="13"/>
      <c r="AM439" s="13"/>
      <c r="AN439" s="13"/>
      <c r="AO439" s="61" t="e">
        <f t="shared" ref="AO439:AZ439" si="1037">AO438/AO432</f>
        <v>#DIV/0!</v>
      </c>
      <c r="AP439" s="61" t="e">
        <f t="shared" si="1037"/>
        <v>#DIV/0!</v>
      </c>
      <c r="AQ439" s="61" t="e">
        <f t="shared" si="1037"/>
        <v>#DIV/0!</v>
      </c>
      <c r="AR439" s="61" t="e">
        <f t="shared" si="1037"/>
        <v>#DIV/0!</v>
      </c>
      <c r="AS439" s="61" t="e">
        <f t="shared" si="1037"/>
        <v>#DIV/0!</v>
      </c>
      <c r="AT439" s="61" t="e">
        <f t="shared" si="1037"/>
        <v>#DIV/0!</v>
      </c>
      <c r="AU439" s="61" t="e">
        <f t="shared" si="1037"/>
        <v>#DIV/0!</v>
      </c>
      <c r="AV439" s="61" t="e">
        <f t="shared" si="1037"/>
        <v>#DIV/0!</v>
      </c>
      <c r="AW439" s="61" t="e">
        <f t="shared" si="1037"/>
        <v>#DIV/0!</v>
      </c>
      <c r="AX439" s="61">
        <f t="shared" si="1037"/>
        <v>1</v>
      </c>
      <c r="AY439" s="61">
        <f t="shared" si="1037"/>
        <v>1</v>
      </c>
      <c r="AZ439" s="61">
        <f t="shared" si="1037"/>
        <v>-2.06707530156194</v>
      </c>
      <c r="BA439" s="418">
        <v>1</v>
      </c>
      <c r="BB439" s="403"/>
      <c r="BC439" s="423"/>
      <c r="BD439" s="259"/>
    </row>
    <row r="440" ht="16.5" customHeight="1" spans="1:56">
      <c r="A440" s="13"/>
      <c r="B440" s="13"/>
      <c r="C440" s="13"/>
      <c r="D440" s="13"/>
      <c r="E440" s="13"/>
      <c r="F440" s="13"/>
      <c r="G440" s="13"/>
      <c r="H440" s="13"/>
      <c r="I440" s="13"/>
      <c r="J440" s="13"/>
      <c r="K440" s="13"/>
      <c r="L440" s="13"/>
      <c r="M440" s="13"/>
      <c r="N440" s="13"/>
      <c r="O440" s="13"/>
      <c r="P440" s="13"/>
      <c r="Q440" s="13"/>
      <c r="R440" s="213" t="s">
        <v>3497</v>
      </c>
      <c r="S440" s="58">
        <f t="shared" ref="S440:AG440" si="1038">S432-S437</f>
        <v>12283.3</v>
      </c>
      <c r="T440" s="58">
        <f t="shared" si="1038"/>
        <v>9577.5</v>
      </c>
      <c r="U440" s="58">
        <f t="shared" si="1038"/>
        <v>15534.27</v>
      </c>
      <c r="V440" s="58">
        <f t="shared" si="1038"/>
        <v>-5956.77</v>
      </c>
      <c r="W440" s="58">
        <f t="shared" si="1038"/>
        <v>-5956.77</v>
      </c>
      <c r="X440" s="58">
        <f t="shared" si="1038"/>
        <v>-5956.77</v>
      </c>
      <c r="Y440" s="58">
        <f t="shared" si="1038"/>
        <v>-5956.77</v>
      </c>
      <c r="Z440" s="58">
        <f t="shared" si="1038"/>
        <v>-5956.77</v>
      </c>
      <c r="AA440" s="58">
        <f t="shared" si="1038"/>
        <v>-5956.77</v>
      </c>
      <c r="AB440" s="58">
        <f t="shared" si="1038"/>
        <v>-5956.77</v>
      </c>
      <c r="AC440" s="58">
        <f t="shared" si="1038"/>
        <v>-5956.77</v>
      </c>
      <c r="AD440" s="58">
        <f t="shared" si="1038"/>
        <v>-5956.77</v>
      </c>
      <c r="AE440" s="58">
        <f t="shared" si="1038"/>
        <v>-5956.77</v>
      </c>
      <c r="AF440" s="58">
        <f t="shared" si="1038"/>
        <v>-12423.52</v>
      </c>
      <c r="AG440" s="58">
        <f t="shared" si="1038"/>
        <v>-13180.81</v>
      </c>
      <c r="AH440" s="82"/>
      <c r="AI440" s="82"/>
      <c r="AJ440" s="13"/>
      <c r="AK440" s="13"/>
      <c r="AL440" s="13"/>
      <c r="AM440" s="13"/>
      <c r="AN440" s="13"/>
      <c r="AO440" s="58">
        <f t="shared" ref="AO440:BC440" si="1039">AO432-AO437</f>
        <v>0</v>
      </c>
      <c r="AP440" s="58">
        <f t="shared" si="1039"/>
        <v>0</v>
      </c>
      <c r="AQ440" s="58">
        <f t="shared" si="1039"/>
        <v>0</v>
      </c>
      <c r="AR440" s="58">
        <f t="shared" si="1039"/>
        <v>0</v>
      </c>
      <c r="AS440" s="58">
        <f t="shared" si="1039"/>
        <v>0</v>
      </c>
      <c r="AT440" s="58">
        <f t="shared" si="1039"/>
        <v>0</v>
      </c>
      <c r="AU440" s="58">
        <f t="shared" si="1039"/>
        <v>0</v>
      </c>
      <c r="AV440" s="58">
        <f t="shared" si="1039"/>
        <v>0</v>
      </c>
      <c r="AW440" s="58">
        <f t="shared" si="1039"/>
        <v>0</v>
      </c>
      <c r="AX440" s="58">
        <f t="shared" si="1039"/>
        <v>6466.75</v>
      </c>
      <c r="AY440" s="58">
        <f t="shared" si="1039"/>
        <v>5852.86</v>
      </c>
      <c r="AZ440" s="58">
        <f t="shared" si="1039"/>
        <v>-13180.81</v>
      </c>
      <c r="BA440" s="58">
        <f t="shared" si="1039"/>
        <v>15534.27</v>
      </c>
      <c r="BB440" s="58">
        <f t="shared" si="1039"/>
        <v>0</v>
      </c>
      <c r="BC440" s="58">
        <f t="shared" si="1039"/>
        <v>0</v>
      </c>
      <c r="BD440" s="259"/>
    </row>
    <row r="441" ht="16.5" customHeight="1" spans="1:56">
      <c r="A441" s="14"/>
      <c r="B441" s="14"/>
      <c r="C441" s="14"/>
      <c r="D441" s="14"/>
      <c r="E441" s="14"/>
      <c r="F441" s="14"/>
      <c r="G441" s="14"/>
      <c r="H441" s="14"/>
      <c r="I441" s="14"/>
      <c r="J441" s="14"/>
      <c r="K441" s="14"/>
      <c r="L441" s="14"/>
      <c r="M441" s="14"/>
      <c r="N441" s="14"/>
      <c r="O441" s="14"/>
      <c r="P441" s="14"/>
      <c r="Q441" s="14"/>
      <c r="R441" s="321" t="s">
        <v>3498</v>
      </c>
      <c r="S441" s="61">
        <f t="shared" ref="S441:AG441" si="1040">S440/S432</f>
        <v>0.162753720931157</v>
      </c>
      <c r="T441" s="61">
        <f t="shared" si="1040"/>
        <v>0.280971723580737</v>
      </c>
      <c r="U441" s="322">
        <f t="shared" si="1040"/>
        <v>1.00366012345567</v>
      </c>
      <c r="V441" s="61">
        <f t="shared" si="1040"/>
        <v>-0.320093995305609</v>
      </c>
      <c r="W441" s="61">
        <f t="shared" si="1040"/>
        <v>-0.320093995305609</v>
      </c>
      <c r="X441" s="61">
        <f t="shared" si="1040"/>
        <v>-0.320093995305609</v>
      </c>
      <c r="Y441" s="61">
        <f t="shared" si="1040"/>
        <v>-0.320093995305609</v>
      </c>
      <c r="Z441" s="61">
        <f t="shared" si="1040"/>
        <v>-0.320093995305609</v>
      </c>
      <c r="AA441" s="61">
        <f t="shared" si="1040"/>
        <v>-0.320093995305609</v>
      </c>
      <c r="AB441" s="61">
        <f t="shared" si="1040"/>
        <v>-0.320093995305609</v>
      </c>
      <c r="AC441" s="61">
        <f t="shared" si="1040"/>
        <v>-0.320093995305609</v>
      </c>
      <c r="AD441" s="61">
        <f t="shared" si="1040"/>
        <v>-0.320093995305609</v>
      </c>
      <c r="AE441" s="61">
        <f t="shared" si="1040"/>
        <v>-0.320093995305609</v>
      </c>
      <c r="AF441" s="61">
        <f t="shared" si="1040"/>
        <v>-1.01835887389289</v>
      </c>
      <c r="AG441" s="61">
        <f t="shared" si="1040"/>
        <v>-2.05630144337874</v>
      </c>
      <c r="AH441" s="82">
        <f>T441-S441</f>
        <v>0.11821800264958</v>
      </c>
      <c r="AI441" s="82">
        <f>AF441-S441</f>
        <v>-1.18111259482405</v>
      </c>
      <c r="AJ441" s="14"/>
      <c r="AK441" s="14"/>
      <c r="AL441" s="14"/>
      <c r="AM441" s="14"/>
      <c r="AN441" s="14"/>
      <c r="AO441" s="61" t="e">
        <f t="shared" ref="AO441:AZ441" si="1041">AO440/AO432</f>
        <v>#DIV/0!</v>
      </c>
      <c r="AP441" s="61" t="e">
        <f t="shared" si="1041"/>
        <v>#DIV/0!</v>
      </c>
      <c r="AQ441" s="61" t="e">
        <f t="shared" si="1041"/>
        <v>#DIV/0!</v>
      </c>
      <c r="AR441" s="61" t="e">
        <f t="shared" si="1041"/>
        <v>#DIV/0!</v>
      </c>
      <c r="AS441" s="61" t="e">
        <f t="shared" si="1041"/>
        <v>#DIV/0!</v>
      </c>
      <c r="AT441" s="61" t="e">
        <f t="shared" si="1041"/>
        <v>#DIV/0!</v>
      </c>
      <c r="AU441" s="61" t="e">
        <f t="shared" si="1041"/>
        <v>#DIV/0!</v>
      </c>
      <c r="AV441" s="61" t="e">
        <f t="shared" si="1041"/>
        <v>#DIV/0!</v>
      </c>
      <c r="AW441" s="61" t="e">
        <f t="shared" si="1041"/>
        <v>#DIV/0!</v>
      </c>
      <c r="AX441" s="61">
        <f t="shared" si="1041"/>
        <v>1.00887066704733</v>
      </c>
      <c r="AY441" s="61">
        <f t="shared" si="1041"/>
        <v>1.01092823498728</v>
      </c>
      <c r="AZ441" s="61">
        <f t="shared" si="1041"/>
        <v>-2.05630144337874</v>
      </c>
      <c r="BA441" s="418">
        <v>1.00366012345567</v>
      </c>
      <c r="BB441" s="403"/>
      <c r="BC441" s="423"/>
      <c r="BD441" s="259"/>
    </row>
    <row r="442" ht="16.5" customHeight="1" spans="1:56">
      <c r="A442" s="300" t="s">
        <v>2119</v>
      </c>
      <c r="B442" s="301" t="s">
        <v>3618</v>
      </c>
      <c r="C442" s="302">
        <v>46023</v>
      </c>
      <c r="D442" s="302">
        <v>46387</v>
      </c>
      <c r="E442" s="304"/>
      <c r="F442" s="233">
        <v>2</v>
      </c>
      <c r="G442" s="12">
        <v>2</v>
      </c>
      <c r="H442" s="12"/>
      <c r="I442" s="12"/>
      <c r="J442" s="12"/>
      <c r="K442" s="12"/>
      <c r="L442" s="12"/>
      <c r="M442" s="12"/>
      <c r="N442" s="12"/>
      <c r="O442" s="12"/>
      <c r="P442" s="304"/>
      <c r="Q442" s="12"/>
      <c r="R442" s="318" t="s">
        <v>3486</v>
      </c>
      <c r="S442" s="58">
        <v>75471.7</v>
      </c>
      <c r="T442" s="58">
        <f t="shared" ref="T442:T446" si="1042">SUM(AO442:BC442)</f>
        <v>191452.59</v>
      </c>
      <c r="U442" s="319">
        <f t="shared" ref="U442:U446" si="1043">SUM(BA442:BC442)</f>
        <v>0</v>
      </c>
      <c r="V442" s="58">
        <f t="shared" ref="V442:V446" si="1044">SUM(AO442:AZ442)</f>
        <v>191452.59</v>
      </c>
      <c r="W442" s="58">
        <f t="shared" ref="W442:W446" si="1045">SUM(AP442:AZ442)</f>
        <v>191452.59</v>
      </c>
      <c r="X442" s="58">
        <f t="shared" ref="X442:X446" si="1046">SUM(AQ442:AZ442)</f>
        <v>191452.59</v>
      </c>
      <c r="Y442" s="58">
        <f t="shared" ref="Y442:Y446" si="1047">SUM(AR442:AZ442)</f>
        <v>191452.59</v>
      </c>
      <c r="Z442" s="58">
        <f t="shared" ref="Z442:Z446" si="1048">SUM(AS442:AZ442)</f>
        <v>191452.59</v>
      </c>
      <c r="AA442" s="58">
        <f t="shared" ref="AA442:AA446" si="1049">SUM(AT442:AZ442)</f>
        <v>191452.59</v>
      </c>
      <c r="AB442" s="58">
        <f t="shared" ref="AB442:AB446" si="1050">SUM(AU442:AZ442)</f>
        <v>191452.59</v>
      </c>
      <c r="AC442" s="58">
        <f t="shared" ref="AC442:AC446" si="1051">SUM(AV442:AZ442)</f>
        <v>191452.59</v>
      </c>
      <c r="AD442" s="58">
        <f t="shared" ref="AD442:AD446" si="1052">SUM(AW442:AZ442)</f>
        <v>191452.59</v>
      </c>
      <c r="AE442" s="58">
        <f t="shared" ref="AE442:AE446" si="1053">SUM(AX442:AZ442)</f>
        <v>191452.59</v>
      </c>
      <c r="AF442" s="58">
        <f t="shared" ref="AF442:AF446" si="1054">SUM(AY442:AZ442)</f>
        <v>125937.54</v>
      </c>
      <c r="AG442" s="58">
        <f t="shared" ref="AG442:AG446" si="1055">SUM(AZ442:AZ442)</f>
        <v>62991.71</v>
      </c>
      <c r="AH442" s="328"/>
      <c r="AI442" s="328"/>
      <c r="AJ442" s="301"/>
      <c r="AK442" s="93"/>
      <c r="AL442" s="93"/>
      <c r="AM442" s="93"/>
      <c r="AN442" s="233"/>
      <c r="AO442" s="58"/>
      <c r="AP442" s="58"/>
      <c r="AQ442" s="58"/>
      <c r="AR442" s="58"/>
      <c r="AS442" s="58"/>
      <c r="AT442" s="58"/>
      <c r="AU442" s="58"/>
      <c r="AV442" s="58"/>
      <c r="AW442" s="58"/>
      <c r="AX442" s="58">
        <v>65515.05</v>
      </c>
      <c r="AY442" s="58">
        <v>62945.83</v>
      </c>
      <c r="AZ442" s="58">
        <v>62991.71</v>
      </c>
      <c r="BA442" s="413">
        <v>0</v>
      </c>
      <c r="BB442" s="319"/>
      <c r="BC442" s="423"/>
      <c r="BD442" s="259"/>
    </row>
    <row r="443" ht="16.5" customHeight="1" spans="1:56">
      <c r="A443" s="13"/>
      <c r="B443" s="13"/>
      <c r="C443" s="13"/>
      <c r="D443" s="13"/>
      <c r="E443" s="13"/>
      <c r="F443" s="13"/>
      <c r="G443" s="13"/>
      <c r="H443" s="13"/>
      <c r="I443" s="13"/>
      <c r="J443" s="13"/>
      <c r="K443" s="13"/>
      <c r="L443" s="13"/>
      <c r="M443" s="13"/>
      <c r="N443" s="13"/>
      <c r="O443" s="13"/>
      <c r="P443" s="13"/>
      <c r="Q443" s="13"/>
      <c r="R443" s="213" t="s">
        <v>3490</v>
      </c>
      <c r="S443" s="58">
        <v>34151.4</v>
      </c>
      <c r="T443" s="58">
        <f t="shared" si="1042"/>
        <v>185576.49</v>
      </c>
      <c r="U443" s="319">
        <f t="shared" si="1043"/>
        <v>0</v>
      </c>
      <c r="V443" s="58">
        <f t="shared" si="1044"/>
        <v>185576.49</v>
      </c>
      <c r="W443" s="58">
        <f t="shared" si="1045"/>
        <v>185576.49</v>
      </c>
      <c r="X443" s="58">
        <f t="shared" si="1046"/>
        <v>185576.49</v>
      </c>
      <c r="Y443" s="58">
        <f t="shared" si="1047"/>
        <v>185576.49</v>
      </c>
      <c r="Z443" s="58">
        <f t="shared" si="1048"/>
        <v>185576.49</v>
      </c>
      <c r="AA443" s="58">
        <f t="shared" si="1049"/>
        <v>185576.49</v>
      </c>
      <c r="AB443" s="58">
        <f t="shared" si="1050"/>
        <v>185576.49</v>
      </c>
      <c r="AC443" s="58">
        <f t="shared" si="1051"/>
        <v>185576.49</v>
      </c>
      <c r="AD443" s="58">
        <f t="shared" si="1052"/>
        <v>185576.49</v>
      </c>
      <c r="AE443" s="58">
        <f t="shared" si="1053"/>
        <v>185576.49</v>
      </c>
      <c r="AF443" s="58">
        <f t="shared" si="1054"/>
        <v>123717.66</v>
      </c>
      <c r="AG443" s="58">
        <f t="shared" si="1055"/>
        <v>61858.83</v>
      </c>
      <c r="AH443" s="328"/>
      <c r="AI443" s="328"/>
      <c r="AJ443" s="13"/>
      <c r="AK443" s="13"/>
      <c r="AL443" s="13"/>
      <c r="AM443" s="13"/>
      <c r="AN443" s="13"/>
      <c r="AO443" s="58"/>
      <c r="AP443" s="58"/>
      <c r="AQ443" s="58"/>
      <c r="AR443" s="58"/>
      <c r="AS443" s="58"/>
      <c r="AT443" s="58"/>
      <c r="AU443" s="58"/>
      <c r="AV443" s="58"/>
      <c r="AW443" s="58"/>
      <c r="AX443" s="58">
        <v>61858.83</v>
      </c>
      <c r="AY443" s="58">
        <v>61858.83</v>
      </c>
      <c r="AZ443" s="58">
        <v>61858.83</v>
      </c>
      <c r="BA443" s="413">
        <v>0</v>
      </c>
      <c r="BB443" s="319"/>
      <c r="BC443" s="423"/>
      <c r="BD443" s="259"/>
    </row>
    <row r="444" ht="16.5" customHeight="1" spans="1:56">
      <c r="A444" s="13"/>
      <c r="B444" s="13"/>
      <c r="C444" s="13"/>
      <c r="D444" s="13"/>
      <c r="E444" s="13"/>
      <c r="F444" s="13"/>
      <c r="G444" s="13"/>
      <c r="H444" s="13"/>
      <c r="I444" s="13"/>
      <c r="J444" s="13"/>
      <c r="K444" s="13"/>
      <c r="L444" s="13"/>
      <c r="M444" s="13"/>
      <c r="N444" s="13"/>
      <c r="O444" s="13"/>
      <c r="P444" s="13"/>
      <c r="Q444" s="13"/>
      <c r="R444" s="213" t="s">
        <v>3491</v>
      </c>
      <c r="S444" s="58"/>
      <c r="T444" s="58">
        <f t="shared" si="1042"/>
        <v>0</v>
      </c>
      <c r="U444" s="319">
        <f t="shared" si="1043"/>
        <v>0</v>
      </c>
      <c r="V444" s="58"/>
      <c r="W444" s="58"/>
      <c r="X444" s="58"/>
      <c r="Y444" s="58"/>
      <c r="Z444" s="58"/>
      <c r="AA444" s="58"/>
      <c r="AB444" s="58"/>
      <c r="AC444" s="58"/>
      <c r="AD444" s="58"/>
      <c r="AE444" s="58"/>
      <c r="AF444" s="58"/>
      <c r="AG444" s="58"/>
      <c r="AH444" s="328"/>
      <c r="AI444" s="328"/>
      <c r="AJ444" s="13"/>
      <c r="AK444" s="13"/>
      <c r="AL444" s="13"/>
      <c r="AM444" s="13"/>
      <c r="AN444" s="13"/>
      <c r="AO444" s="58"/>
      <c r="AP444" s="58"/>
      <c r="AQ444" s="58"/>
      <c r="AR444" s="58"/>
      <c r="AS444" s="58"/>
      <c r="AT444" s="58"/>
      <c r="AU444" s="58"/>
      <c r="AV444" s="58"/>
      <c r="AW444" s="58"/>
      <c r="AX444" s="58">
        <v>0</v>
      </c>
      <c r="AY444" s="58"/>
      <c r="AZ444" s="58"/>
      <c r="BA444" s="413"/>
      <c r="BB444" s="319"/>
      <c r="BC444" s="423"/>
      <c r="BD444" s="259"/>
    </row>
    <row r="445" ht="16.5" customHeight="1" spans="1:56">
      <c r="A445" s="13"/>
      <c r="B445" s="13"/>
      <c r="C445" s="13"/>
      <c r="D445" s="13"/>
      <c r="E445" s="13"/>
      <c r="F445" s="13"/>
      <c r="G445" s="13"/>
      <c r="H445" s="13"/>
      <c r="I445" s="13"/>
      <c r="J445" s="13"/>
      <c r="K445" s="13"/>
      <c r="L445" s="13"/>
      <c r="M445" s="13"/>
      <c r="N445" s="13"/>
      <c r="O445" s="13"/>
      <c r="P445" s="13"/>
      <c r="Q445" s="13"/>
      <c r="R445" s="213" t="s">
        <v>3492</v>
      </c>
      <c r="S445" s="58">
        <v>0</v>
      </c>
      <c r="T445" s="58">
        <f t="shared" si="1042"/>
        <v>0</v>
      </c>
      <c r="U445" s="319">
        <f t="shared" si="1043"/>
        <v>0</v>
      </c>
      <c r="V445" s="58">
        <f t="shared" si="1044"/>
        <v>0</v>
      </c>
      <c r="W445" s="58">
        <f t="shared" si="1045"/>
        <v>0</v>
      </c>
      <c r="X445" s="58">
        <f t="shared" si="1046"/>
        <v>0</v>
      </c>
      <c r="Y445" s="58">
        <f t="shared" si="1047"/>
        <v>0</v>
      </c>
      <c r="Z445" s="58">
        <f t="shared" si="1048"/>
        <v>0</v>
      </c>
      <c r="AA445" s="58">
        <f t="shared" si="1049"/>
        <v>0</v>
      </c>
      <c r="AB445" s="58">
        <f t="shared" si="1050"/>
        <v>0</v>
      </c>
      <c r="AC445" s="58">
        <f t="shared" si="1051"/>
        <v>0</v>
      </c>
      <c r="AD445" s="58">
        <f t="shared" si="1052"/>
        <v>0</v>
      </c>
      <c r="AE445" s="58">
        <f t="shared" si="1053"/>
        <v>0</v>
      </c>
      <c r="AF445" s="58">
        <f t="shared" si="1054"/>
        <v>0</v>
      </c>
      <c r="AG445" s="58">
        <f t="shared" si="1055"/>
        <v>0</v>
      </c>
      <c r="AH445" s="328"/>
      <c r="AI445" s="328"/>
      <c r="AJ445" s="13"/>
      <c r="AK445" s="13"/>
      <c r="AL445" s="13"/>
      <c r="AM445" s="13"/>
      <c r="AN445" s="13"/>
      <c r="AO445" s="58"/>
      <c r="AP445" s="58"/>
      <c r="AQ445" s="58"/>
      <c r="AR445" s="58"/>
      <c r="AS445" s="58"/>
      <c r="AT445" s="58"/>
      <c r="AU445" s="58"/>
      <c r="AV445" s="58"/>
      <c r="AW445" s="58"/>
      <c r="AX445" s="58"/>
      <c r="AY445" s="58">
        <v>0</v>
      </c>
      <c r="AZ445" s="58">
        <v>0</v>
      </c>
      <c r="BA445" s="413">
        <v>0</v>
      </c>
      <c r="BB445" s="319"/>
      <c r="BC445" s="423"/>
      <c r="BD445" s="259"/>
    </row>
    <row r="446" ht="16.5" customHeight="1" spans="1:56">
      <c r="A446" s="13"/>
      <c r="B446" s="13"/>
      <c r="C446" s="13"/>
      <c r="D446" s="13"/>
      <c r="E446" s="13"/>
      <c r="F446" s="13"/>
      <c r="G446" s="13"/>
      <c r="H446" s="13"/>
      <c r="I446" s="13"/>
      <c r="J446" s="13"/>
      <c r="K446" s="13"/>
      <c r="L446" s="13"/>
      <c r="M446" s="13"/>
      <c r="N446" s="13"/>
      <c r="O446" s="13"/>
      <c r="P446" s="13"/>
      <c r="Q446" s="13"/>
      <c r="R446" s="213" t="s">
        <v>3493</v>
      </c>
      <c r="S446" s="58">
        <v>29037</v>
      </c>
      <c r="T446" s="58">
        <f t="shared" si="1042"/>
        <v>406.27</v>
      </c>
      <c r="U446" s="319">
        <f t="shared" si="1043"/>
        <v>0</v>
      </c>
      <c r="V446" s="58">
        <f t="shared" si="1044"/>
        <v>406.27</v>
      </c>
      <c r="W446" s="58">
        <f t="shared" si="1045"/>
        <v>406.27</v>
      </c>
      <c r="X446" s="58">
        <f t="shared" si="1046"/>
        <v>406.27</v>
      </c>
      <c r="Y446" s="58">
        <f t="shared" si="1047"/>
        <v>406.27</v>
      </c>
      <c r="Z446" s="58">
        <f t="shared" si="1048"/>
        <v>406.27</v>
      </c>
      <c r="AA446" s="58">
        <f t="shared" si="1049"/>
        <v>406.27</v>
      </c>
      <c r="AB446" s="58">
        <f t="shared" si="1050"/>
        <v>406.27</v>
      </c>
      <c r="AC446" s="58">
        <f t="shared" si="1051"/>
        <v>406.27</v>
      </c>
      <c r="AD446" s="58">
        <f t="shared" si="1052"/>
        <v>406.27</v>
      </c>
      <c r="AE446" s="58">
        <f t="shared" si="1053"/>
        <v>406.27</v>
      </c>
      <c r="AF446" s="58">
        <f t="shared" si="1054"/>
        <v>201.79</v>
      </c>
      <c r="AG446" s="58">
        <f t="shared" si="1055"/>
        <v>67.28</v>
      </c>
      <c r="AH446" s="328"/>
      <c r="AI446" s="328"/>
      <c r="AJ446" s="13"/>
      <c r="AK446" s="13"/>
      <c r="AL446" s="13"/>
      <c r="AM446" s="13"/>
      <c r="AN446" s="13"/>
      <c r="AO446" s="58"/>
      <c r="AP446" s="58"/>
      <c r="AQ446" s="58"/>
      <c r="AR446" s="58"/>
      <c r="AS446" s="58"/>
      <c r="AT446" s="58"/>
      <c r="AU446" s="58"/>
      <c r="AV446" s="58"/>
      <c r="AW446" s="58"/>
      <c r="AX446" s="58">
        <v>204.48</v>
      </c>
      <c r="AY446" s="58">
        <v>134.51</v>
      </c>
      <c r="AZ446" s="58">
        <v>67.28</v>
      </c>
      <c r="BA446" s="413">
        <v>0</v>
      </c>
      <c r="BB446" s="319"/>
      <c r="BC446" s="423"/>
      <c r="BD446" s="259"/>
    </row>
    <row r="447" ht="16.5" customHeight="1" spans="1:56">
      <c r="A447" s="13"/>
      <c r="B447" s="13"/>
      <c r="C447" s="13"/>
      <c r="D447" s="13"/>
      <c r="E447" s="13"/>
      <c r="F447" s="13"/>
      <c r="G447" s="13"/>
      <c r="H447" s="13"/>
      <c r="I447" s="13"/>
      <c r="J447" s="13"/>
      <c r="K447" s="13"/>
      <c r="L447" s="13"/>
      <c r="M447" s="13"/>
      <c r="N447" s="13"/>
      <c r="O447" s="13"/>
      <c r="P447" s="13"/>
      <c r="Q447" s="13"/>
      <c r="R447" s="213" t="s">
        <v>3494</v>
      </c>
      <c r="S447" s="214">
        <f t="shared" ref="S447:AG447" si="1056">SUM(S443:S446)</f>
        <v>63188.4</v>
      </c>
      <c r="T447" s="214">
        <f t="shared" si="1056"/>
        <v>185982.76</v>
      </c>
      <c r="U447" s="320">
        <f t="shared" si="1056"/>
        <v>0</v>
      </c>
      <c r="V447" s="214">
        <f t="shared" si="1056"/>
        <v>185982.76</v>
      </c>
      <c r="W447" s="214">
        <f t="shared" si="1056"/>
        <v>185982.76</v>
      </c>
      <c r="X447" s="214">
        <f t="shared" si="1056"/>
        <v>185982.76</v>
      </c>
      <c r="Y447" s="214">
        <f t="shared" si="1056"/>
        <v>185982.76</v>
      </c>
      <c r="Z447" s="214">
        <f t="shared" si="1056"/>
        <v>185982.76</v>
      </c>
      <c r="AA447" s="214">
        <f t="shared" si="1056"/>
        <v>185982.76</v>
      </c>
      <c r="AB447" s="214">
        <f t="shared" si="1056"/>
        <v>185982.76</v>
      </c>
      <c r="AC447" s="214">
        <f t="shared" si="1056"/>
        <v>185982.76</v>
      </c>
      <c r="AD447" s="214">
        <f t="shared" si="1056"/>
        <v>185982.76</v>
      </c>
      <c r="AE447" s="214">
        <f t="shared" si="1056"/>
        <v>185982.76</v>
      </c>
      <c r="AF447" s="214">
        <f t="shared" si="1056"/>
        <v>123919.45</v>
      </c>
      <c r="AG447" s="214">
        <f t="shared" si="1056"/>
        <v>61926.11</v>
      </c>
      <c r="AH447" s="214">
        <v>0</v>
      </c>
      <c r="AI447" s="214">
        <f>SUM(AI443:AI446)</f>
        <v>0</v>
      </c>
      <c r="AJ447" s="13"/>
      <c r="AK447" s="13"/>
      <c r="AL447" s="13"/>
      <c r="AM447" s="13"/>
      <c r="AN447" s="13"/>
      <c r="AO447" s="214">
        <f t="shared" ref="AO447:AX447" si="1057">SUM(AO443:AO446)</f>
        <v>0</v>
      </c>
      <c r="AP447" s="214">
        <f t="shared" si="1057"/>
        <v>0</v>
      </c>
      <c r="AQ447" s="214">
        <f t="shared" si="1057"/>
        <v>0</v>
      </c>
      <c r="AR447" s="214">
        <f t="shared" si="1057"/>
        <v>0</v>
      </c>
      <c r="AS447" s="214">
        <f t="shared" si="1057"/>
        <v>0</v>
      </c>
      <c r="AT447" s="214">
        <f t="shared" si="1057"/>
        <v>0</v>
      </c>
      <c r="AU447" s="214">
        <f t="shared" si="1057"/>
        <v>0</v>
      </c>
      <c r="AV447" s="214">
        <f t="shared" si="1057"/>
        <v>0</v>
      </c>
      <c r="AW447" s="214">
        <f t="shared" si="1057"/>
        <v>0</v>
      </c>
      <c r="AX447" s="214">
        <f t="shared" si="1057"/>
        <v>62063.31</v>
      </c>
      <c r="AY447" s="214">
        <v>61993.34</v>
      </c>
      <c r="AZ447" s="214">
        <f>SUM(AZ443:AZ446)</f>
        <v>61926.11</v>
      </c>
      <c r="BA447" s="415">
        <v>0</v>
      </c>
      <c r="BB447" s="320">
        <f>SUM(BB443:BB446)</f>
        <v>0</v>
      </c>
      <c r="BC447" s="416">
        <f>SUM(BC443:BC446)</f>
        <v>0</v>
      </c>
      <c r="BD447" s="345"/>
    </row>
    <row r="448" ht="16.5" customHeight="1" spans="1:56">
      <c r="A448" s="13"/>
      <c r="B448" s="13"/>
      <c r="C448" s="13"/>
      <c r="D448" s="13"/>
      <c r="E448" s="13"/>
      <c r="F448" s="13"/>
      <c r="G448" s="13"/>
      <c r="H448" s="13"/>
      <c r="I448" s="13"/>
      <c r="J448" s="13"/>
      <c r="K448" s="13"/>
      <c r="L448" s="13"/>
      <c r="M448" s="13"/>
      <c r="N448" s="13"/>
      <c r="O448" s="13"/>
      <c r="P448" s="13"/>
      <c r="Q448" s="13"/>
      <c r="R448" s="213" t="s">
        <v>3495</v>
      </c>
      <c r="S448" s="58">
        <f t="shared" ref="S448:AG448" si="1058">S442-S443</f>
        <v>41320.3</v>
      </c>
      <c r="T448" s="58">
        <f t="shared" si="1058"/>
        <v>5876.10000000001</v>
      </c>
      <c r="U448" s="319">
        <f t="shared" si="1058"/>
        <v>0</v>
      </c>
      <c r="V448" s="58">
        <f t="shared" si="1058"/>
        <v>5876.10000000001</v>
      </c>
      <c r="W448" s="58">
        <f t="shared" si="1058"/>
        <v>5876.10000000001</v>
      </c>
      <c r="X448" s="58">
        <f t="shared" si="1058"/>
        <v>5876.10000000001</v>
      </c>
      <c r="Y448" s="58">
        <f t="shared" si="1058"/>
        <v>5876.10000000001</v>
      </c>
      <c r="Z448" s="58">
        <f t="shared" si="1058"/>
        <v>5876.10000000001</v>
      </c>
      <c r="AA448" s="58">
        <f t="shared" si="1058"/>
        <v>5876.10000000001</v>
      </c>
      <c r="AB448" s="58">
        <f t="shared" si="1058"/>
        <v>5876.10000000001</v>
      </c>
      <c r="AC448" s="58">
        <f t="shared" si="1058"/>
        <v>5876.10000000001</v>
      </c>
      <c r="AD448" s="58">
        <f t="shared" si="1058"/>
        <v>5876.10000000001</v>
      </c>
      <c r="AE448" s="58">
        <f t="shared" si="1058"/>
        <v>5876.10000000001</v>
      </c>
      <c r="AF448" s="58">
        <f t="shared" si="1058"/>
        <v>2219.88</v>
      </c>
      <c r="AG448" s="58">
        <f t="shared" si="1058"/>
        <v>1132.88</v>
      </c>
      <c r="AH448" s="332"/>
      <c r="AI448" s="332"/>
      <c r="AJ448" s="13"/>
      <c r="AK448" s="13"/>
      <c r="AL448" s="13"/>
      <c r="AM448" s="13"/>
      <c r="AN448" s="13"/>
      <c r="AO448" s="58">
        <f t="shared" ref="AO448:AZ448" si="1059">AO442-AO443</f>
        <v>0</v>
      </c>
      <c r="AP448" s="58">
        <f t="shared" si="1059"/>
        <v>0</v>
      </c>
      <c r="AQ448" s="58">
        <f t="shared" si="1059"/>
        <v>0</v>
      </c>
      <c r="AR448" s="58">
        <f t="shared" si="1059"/>
        <v>0</v>
      </c>
      <c r="AS448" s="58">
        <f t="shared" si="1059"/>
        <v>0</v>
      </c>
      <c r="AT448" s="58">
        <f t="shared" si="1059"/>
        <v>0</v>
      </c>
      <c r="AU448" s="58">
        <f t="shared" si="1059"/>
        <v>0</v>
      </c>
      <c r="AV448" s="58">
        <f t="shared" si="1059"/>
        <v>0</v>
      </c>
      <c r="AW448" s="58">
        <f t="shared" si="1059"/>
        <v>0</v>
      </c>
      <c r="AX448" s="58">
        <f t="shared" si="1059"/>
        <v>3656.22</v>
      </c>
      <c r="AY448" s="58">
        <f t="shared" si="1059"/>
        <v>1087</v>
      </c>
      <c r="AZ448" s="58">
        <f t="shared" si="1059"/>
        <v>1132.88</v>
      </c>
      <c r="BA448" s="417"/>
      <c r="BB448" s="320"/>
      <c r="BC448" s="423"/>
      <c r="BD448" s="259"/>
    </row>
    <row r="449" ht="16.5" customHeight="1" spans="1:56">
      <c r="A449" s="13"/>
      <c r="B449" s="13"/>
      <c r="C449" s="13"/>
      <c r="D449" s="13"/>
      <c r="E449" s="13"/>
      <c r="F449" s="13"/>
      <c r="G449" s="13"/>
      <c r="H449" s="13"/>
      <c r="I449" s="13"/>
      <c r="J449" s="13"/>
      <c r="K449" s="13"/>
      <c r="L449" s="13"/>
      <c r="M449" s="13"/>
      <c r="N449" s="13"/>
      <c r="O449" s="13"/>
      <c r="P449" s="13"/>
      <c r="Q449" s="13"/>
      <c r="R449" s="321" t="s">
        <v>3496</v>
      </c>
      <c r="S449" s="61">
        <f t="shared" ref="S449:AG449" si="1060">S448/S442</f>
        <v>0.547493961312651</v>
      </c>
      <c r="T449" s="61">
        <f t="shared" si="1060"/>
        <v>0.0306921938219797</v>
      </c>
      <c r="U449" s="322" t="e">
        <f t="shared" si="1060"/>
        <v>#DIV/0!</v>
      </c>
      <c r="V449" s="61">
        <f t="shared" si="1060"/>
        <v>0.0306921938219797</v>
      </c>
      <c r="W449" s="61">
        <f t="shared" si="1060"/>
        <v>0.0306921938219797</v>
      </c>
      <c r="X449" s="61">
        <f t="shared" si="1060"/>
        <v>0.0306921938219797</v>
      </c>
      <c r="Y449" s="61">
        <f t="shared" si="1060"/>
        <v>0.0306921938219797</v>
      </c>
      <c r="Z449" s="61">
        <f t="shared" si="1060"/>
        <v>0.0306921938219797</v>
      </c>
      <c r="AA449" s="61">
        <f t="shared" si="1060"/>
        <v>0.0306921938219797</v>
      </c>
      <c r="AB449" s="61">
        <f t="shared" si="1060"/>
        <v>0.0306921938219797</v>
      </c>
      <c r="AC449" s="61">
        <f t="shared" si="1060"/>
        <v>0.0306921938219797</v>
      </c>
      <c r="AD449" s="61">
        <f t="shared" si="1060"/>
        <v>0.0306921938219797</v>
      </c>
      <c r="AE449" s="61">
        <f t="shared" si="1060"/>
        <v>0.0306921938219797</v>
      </c>
      <c r="AF449" s="61">
        <f t="shared" si="1060"/>
        <v>0.0176268331110803</v>
      </c>
      <c r="AG449" s="61">
        <f t="shared" si="1060"/>
        <v>0.017984588765728</v>
      </c>
      <c r="AH449" s="82">
        <v>-0.547493961312651</v>
      </c>
      <c r="AI449" s="82">
        <f>AF449-S449</f>
        <v>-0.529867128201571</v>
      </c>
      <c r="AJ449" s="13"/>
      <c r="AK449" s="13"/>
      <c r="AL449" s="13"/>
      <c r="AM449" s="13"/>
      <c r="AN449" s="13"/>
      <c r="AO449" s="61" t="e">
        <f t="shared" ref="AO449:AZ449" si="1061">AO448/AO442</f>
        <v>#DIV/0!</v>
      </c>
      <c r="AP449" s="61" t="e">
        <f t="shared" si="1061"/>
        <v>#DIV/0!</v>
      </c>
      <c r="AQ449" s="61" t="e">
        <f t="shared" si="1061"/>
        <v>#DIV/0!</v>
      </c>
      <c r="AR449" s="61" t="e">
        <f t="shared" si="1061"/>
        <v>#DIV/0!</v>
      </c>
      <c r="AS449" s="61" t="e">
        <f t="shared" si="1061"/>
        <v>#DIV/0!</v>
      </c>
      <c r="AT449" s="61" t="e">
        <f t="shared" si="1061"/>
        <v>#DIV/0!</v>
      </c>
      <c r="AU449" s="61" t="e">
        <f t="shared" si="1061"/>
        <v>#DIV/0!</v>
      </c>
      <c r="AV449" s="61" t="e">
        <f t="shared" si="1061"/>
        <v>#DIV/0!</v>
      </c>
      <c r="AW449" s="61" t="e">
        <f t="shared" si="1061"/>
        <v>#DIV/0!</v>
      </c>
      <c r="AX449" s="61">
        <f t="shared" si="1061"/>
        <v>0.055807329766214</v>
      </c>
      <c r="AY449" s="61">
        <f t="shared" si="1061"/>
        <v>0.0172688166952441</v>
      </c>
      <c r="AZ449" s="61">
        <f t="shared" si="1061"/>
        <v>0.017984588765728</v>
      </c>
      <c r="BA449" s="418"/>
      <c r="BB449" s="403"/>
      <c r="BC449" s="423"/>
      <c r="BD449" s="259"/>
    </row>
    <row r="450" ht="16.5" customHeight="1" spans="1:56">
      <c r="A450" s="13"/>
      <c r="B450" s="13"/>
      <c r="C450" s="13"/>
      <c r="D450" s="13"/>
      <c r="E450" s="13"/>
      <c r="F450" s="13"/>
      <c r="G450" s="13"/>
      <c r="H450" s="13"/>
      <c r="I450" s="13"/>
      <c r="J450" s="13"/>
      <c r="K450" s="13"/>
      <c r="L450" s="13"/>
      <c r="M450" s="13"/>
      <c r="N450" s="13"/>
      <c r="O450" s="13"/>
      <c r="P450" s="13"/>
      <c r="Q450" s="13"/>
      <c r="R450" s="213" t="s">
        <v>3497</v>
      </c>
      <c r="S450" s="58">
        <f t="shared" ref="S450:AG450" si="1062">S442-S447</f>
        <v>12283.3</v>
      </c>
      <c r="T450" s="58">
        <f t="shared" si="1062"/>
        <v>5469.83000000002</v>
      </c>
      <c r="U450" s="58">
        <f t="shared" si="1062"/>
        <v>0</v>
      </c>
      <c r="V450" s="58">
        <f t="shared" si="1062"/>
        <v>5469.83000000002</v>
      </c>
      <c r="W450" s="58">
        <f t="shared" si="1062"/>
        <v>5469.83000000002</v>
      </c>
      <c r="X450" s="58">
        <f t="shared" si="1062"/>
        <v>5469.83000000002</v>
      </c>
      <c r="Y450" s="58">
        <f t="shared" si="1062"/>
        <v>5469.83000000002</v>
      </c>
      <c r="Z450" s="58">
        <f t="shared" si="1062"/>
        <v>5469.83000000002</v>
      </c>
      <c r="AA450" s="58">
        <f t="shared" si="1062"/>
        <v>5469.83000000002</v>
      </c>
      <c r="AB450" s="58">
        <f t="shared" si="1062"/>
        <v>5469.83000000002</v>
      </c>
      <c r="AC450" s="58">
        <f t="shared" si="1062"/>
        <v>5469.83000000002</v>
      </c>
      <c r="AD450" s="58">
        <f t="shared" si="1062"/>
        <v>5469.83000000002</v>
      </c>
      <c r="AE450" s="58">
        <f t="shared" si="1062"/>
        <v>5469.83000000002</v>
      </c>
      <c r="AF450" s="58">
        <f t="shared" si="1062"/>
        <v>2018.09000000001</v>
      </c>
      <c r="AG450" s="58">
        <f t="shared" si="1062"/>
        <v>1065.6</v>
      </c>
      <c r="AH450" s="82"/>
      <c r="AI450" s="82"/>
      <c r="AJ450" s="13"/>
      <c r="AK450" s="13"/>
      <c r="AL450" s="13"/>
      <c r="AM450" s="13"/>
      <c r="AN450" s="13"/>
      <c r="AO450" s="58">
        <f t="shared" ref="AO450:BC450" si="1063">AO442-AO447</f>
        <v>0</v>
      </c>
      <c r="AP450" s="58">
        <f t="shared" si="1063"/>
        <v>0</v>
      </c>
      <c r="AQ450" s="58">
        <f t="shared" si="1063"/>
        <v>0</v>
      </c>
      <c r="AR450" s="58">
        <f t="shared" si="1063"/>
        <v>0</v>
      </c>
      <c r="AS450" s="58">
        <f t="shared" si="1063"/>
        <v>0</v>
      </c>
      <c r="AT450" s="58">
        <f t="shared" si="1063"/>
        <v>0</v>
      </c>
      <c r="AU450" s="58">
        <f t="shared" si="1063"/>
        <v>0</v>
      </c>
      <c r="AV450" s="58">
        <f t="shared" si="1063"/>
        <v>0</v>
      </c>
      <c r="AW450" s="58">
        <f t="shared" si="1063"/>
        <v>0</v>
      </c>
      <c r="AX450" s="58">
        <f t="shared" si="1063"/>
        <v>3451.74000000001</v>
      </c>
      <c r="AY450" s="58">
        <f t="shared" si="1063"/>
        <v>952.490000000005</v>
      </c>
      <c r="AZ450" s="58">
        <f t="shared" si="1063"/>
        <v>1065.6</v>
      </c>
      <c r="BA450" s="58">
        <f t="shared" si="1063"/>
        <v>0</v>
      </c>
      <c r="BB450" s="58">
        <f t="shared" si="1063"/>
        <v>0</v>
      </c>
      <c r="BC450" s="58">
        <f t="shared" si="1063"/>
        <v>0</v>
      </c>
      <c r="BD450" s="259"/>
    </row>
    <row r="451" ht="16.5" customHeight="1" spans="1:56">
      <c r="A451" s="14"/>
      <c r="B451" s="14"/>
      <c r="C451" s="14"/>
      <c r="D451" s="14"/>
      <c r="E451" s="14"/>
      <c r="F451" s="14"/>
      <c r="G451" s="14"/>
      <c r="H451" s="14"/>
      <c r="I451" s="14"/>
      <c r="J451" s="14"/>
      <c r="K451" s="14"/>
      <c r="L451" s="14"/>
      <c r="M451" s="14"/>
      <c r="N451" s="14"/>
      <c r="O451" s="14"/>
      <c r="P451" s="14"/>
      <c r="Q451" s="14"/>
      <c r="R451" s="321" t="s">
        <v>3498</v>
      </c>
      <c r="S451" s="61">
        <f t="shared" ref="S451:AG451" si="1064">S450/S442</f>
        <v>0.162753720931157</v>
      </c>
      <c r="T451" s="61">
        <f t="shared" si="1064"/>
        <v>0.0285701541044705</v>
      </c>
      <c r="U451" s="322" t="e">
        <f t="shared" si="1064"/>
        <v>#DIV/0!</v>
      </c>
      <c r="V451" s="61">
        <f t="shared" si="1064"/>
        <v>0.0285701541044705</v>
      </c>
      <c r="W451" s="61">
        <f t="shared" si="1064"/>
        <v>0.0285701541044705</v>
      </c>
      <c r="X451" s="61">
        <f t="shared" si="1064"/>
        <v>0.0285701541044705</v>
      </c>
      <c r="Y451" s="61">
        <f t="shared" si="1064"/>
        <v>0.0285701541044705</v>
      </c>
      <c r="Z451" s="61">
        <f t="shared" si="1064"/>
        <v>0.0285701541044705</v>
      </c>
      <c r="AA451" s="61">
        <f t="shared" si="1064"/>
        <v>0.0285701541044705</v>
      </c>
      <c r="AB451" s="61">
        <f t="shared" si="1064"/>
        <v>0.0285701541044705</v>
      </c>
      <c r="AC451" s="61">
        <f t="shared" si="1064"/>
        <v>0.0285701541044705</v>
      </c>
      <c r="AD451" s="61">
        <f t="shared" si="1064"/>
        <v>0.0285701541044705</v>
      </c>
      <c r="AE451" s="61">
        <f t="shared" si="1064"/>
        <v>0.0285701541044705</v>
      </c>
      <c r="AF451" s="61">
        <f t="shared" si="1064"/>
        <v>0.0160245308904717</v>
      </c>
      <c r="AG451" s="61">
        <f t="shared" si="1064"/>
        <v>0.0169165117124142</v>
      </c>
      <c r="AH451" s="82">
        <v>-0.162753720931157</v>
      </c>
      <c r="AI451" s="82">
        <f>AF451-S451</f>
        <v>-0.146729190040685</v>
      </c>
      <c r="AJ451" s="14"/>
      <c r="AK451" s="14"/>
      <c r="AL451" s="14"/>
      <c r="AM451" s="14"/>
      <c r="AN451" s="14"/>
      <c r="AO451" s="61" t="e">
        <f t="shared" ref="AO451:AZ451" si="1065">AO450/AO442</f>
        <v>#DIV/0!</v>
      </c>
      <c r="AP451" s="61" t="e">
        <f t="shared" si="1065"/>
        <v>#DIV/0!</v>
      </c>
      <c r="AQ451" s="61" t="e">
        <f t="shared" si="1065"/>
        <v>#DIV/0!</v>
      </c>
      <c r="AR451" s="61" t="e">
        <f t="shared" si="1065"/>
        <v>#DIV/0!</v>
      </c>
      <c r="AS451" s="61" t="e">
        <f t="shared" si="1065"/>
        <v>#DIV/0!</v>
      </c>
      <c r="AT451" s="61" t="e">
        <f t="shared" si="1065"/>
        <v>#DIV/0!</v>
      </c>
      <c r="AU451" s="61" t="e">
        <f t="shared" si="1065"/>
        <v>#DIV/0!</v>
      </c>
      <c r="AV451" s="61" t="e">
        <f t="shared" si="1065"/>
        <v>#DIV/0!</v>
      </c>
      <c r="AW451" s="61" t="e">
        <f t="shared" si="1065"/>
        <v>#DIV/0!</v>
      </c>
      <c r="AX451" s="61">
        <f t="shared" si="1065"/>
        <v>0.0526862148468177</v>
      </c>
      <c r="AY451" s="61">
        <f t="shared" si="1065"/>
        <v>0.0151318999209321</v>
      </c>
      <c r="AZ451" s="61">
        <f t="shared" si="1065"/>
        <v>0.0169165117124142</v>
      </c>
      <c r="BA451" s="418"/>
      <c r="BB451" s="403"/>
      <c r="BC451" s="423"/>
      <c r="BD451" s="259"/>
    </row>
    <row r="452" ht="16.5" customHeight="1" spans="1:56">
      <c r="A452" s="300" t="s">
        <v>3619</v>
      </c>
      <c r="B452" s="301" t="s">
        <v>3620</v>
      </c>
      <c r="C452" s="302">
        <v>46082</v>
      </c>
      <c r="D452" s="302">
        <v>46477</v>
      </c>
      <c r="E452" s="304"/>
      <c r="F452" s="233"/>
      <c r="G452" s="12">
        <v>0</v>
      </c>
      <c r="H452" s="12"/>
      <c r="I452" s="12"/>
      <c r="J452" s="12"/>
      <c r="K452" s="12"/>
      <c r="L452" s="12"/>
      <c r="M452" s="12"/>
      <c r="N452" s="12"/>
      <c r="O452" s="12"/>
      <c r="P452" s="304"/>
      <c r="Q452" s="12"/>
      <c r="R452" s="318" t="s">
        <v>3486</v>
      </c>
      <c r="S452" s="58">
        <v>150943.4</v>
      </c>
      <c r="T452" s="58">
        <f t="shared" ref="T452:T456" si="1066">SUM(AO452:BC452)</f>
        <v>10681.51</v>
      </c>
      <c r="U452" s="319">
        <f t="shared" ref="U452:U456" si="1067">SUM(BA452:BC452)</f>
        <v>0</v>
      </c>
      <c r="V452" s="58">
        <f t="shared" ref="V452:V456" si="1068">SUM(AO452:AZ452)</f>
        <v>10681.51</v>
      </c>
      <c r="W452" s="58">
        <f t="shared" ref="W452:W456" si="1069">SUM(AP452:AZ452)</f>
        <v>10681.51</v>
      </c>
      <c r="X452" s="58">
        <f t="shared" ref="X452:X456" si="1070">SUM(AQ452:AZ452)</f>
        <v>10681.51</v>
      </c>
      <c r="Y452" s="58">
        <f t="shared" ref="Y452:Y456" si="1071">SUM(AR452:AZ452)</f>
        <v>10681.51</v>
      </c>
      <c r="Z452" s="58">
        <f t="shared" ref="Z452:Z456" si="1072">SUM(AS452:AZ452)</f>
        <v>10681.51</v>
      </c>
      <c r="AA452" s="58">
        <f t="shared" ref="AA452:AA456" si="1073">SUM(AT452:AZ452)</f>
        <v>10681.51</v>
      </c>
      <c r="AB452" s="58">
        <f t="shared" ref="AB452:AB456" si="1074">SUM(AU452:AZ452)</f>
        <v>10681.51</v>
      </c>
      <c r="AC452" s="58">
        <f t="shared" ref="AC452:AC456" si="1075">SUM(AV452:AZ452)</f>
        <v>10681.51</v>
      </c>
      <c r="AD452" s="58">
        <f t="shared" ref="AD452:AD456" si="1076">SUM(AW452:AZ452)</f>
        <v>10681.51</v>
      </c>
      <c r="AE452" s="58">
        <f t="shared" ref="AE452:AE456" si="1077">SUM(AX452:AZ452)</f>
        <v>10681.51</v>
      </c>
      <c r="AF452" s="58">
        <f t="shared" ref="AF452:AF456" si="1078">SUM(AY452:AZ452)</f>
        <v>0</v>
      </c>
      <c r="AG452" s="58">
        <f t="shared" ref="AG452:AG456" si="1079">SUM(AZ452:AZ452)</f>
        <v>0</v>
      </c>
      <c r="AH452" s="328"/>
      <c r="AI452" s="328"/>
      <c r="AJ452" s="301"/>
      <c r="AK452" s="93"/>
      <c r="AL452" s="93"/>
      <c r="AM452" s="93"/>
      <c r="AN452" s="233"/>
      <c r="AO452" s="58"/>
      <c r="AP452" s="58"/>
      <c r="AQ452" s="58"/>
      <c r="AR452" s="58"/>
      <c r="AS452" s="58"/>
      <c r="AT452" s="58"/>
      <c r="AU452" s="58"/>
      <c r="AV452" s="58"/>
      <c r="AW452" s="58"/>
      <c r="AX452" s="58">
        <v>10681.51</v>
      </c>
      <c r="AY452" s="58">
        <v>0</v>
      </c>
      <c r="AZ452" s="58">
        <v>0</v>
      </c>
      <c r="BA452" s="413">
        <v>0</v>
      </c>
      <c r="BB452" s="319"/>
      <c r="BC452" s="423"/>
      <c r="BD452" s="259"/>
    </row>
    <row r="453" ht="16.5" customHeight="1" spans="1:56">
      <c r="A453" s="13"/>
      <c r="B453" s="13"/>
      <c r="C453" s="13"/>
      <c r="D453" s="13"/>
      <c r="E453" s="13"/>
      <c r="F453" s="13"/>
      <c r="G453" s="13"/>
      <c r="H453" s="13"/>
      <c r="I453" s="13"/>
      <c r="J453" s="13"/>
      <c r="K453" s="13"/>
      <c r="L453" s="13"/>
      <c r="M453" s="13"/>
      <c r="N453" s="13"/>
      <c r="O453" s="13"/>
      <c r="P453" s="13"/>
      <c r="Q453" s="13"/>
      <c r="R453" s="213" t="s">
        <v>3490</v>
      </c>
      <c r="S453" s="58">
        <v>123705</v>
      </c>
      <c r="T453" s="58">
        <f t="shared" si="1066"/>
        <v>0</v>
      </c>
      <c r="U453" s="319">
        <f t="shared" si="1067"/>
        <v>0</v>
      </c>
      <c r="V453" s="58">
        <f t="shared" si="1068"/>
        <v>0</v>
      </c>
      <c r="W453" s="58">
        <f t="shared" si="1069"/>
        <v>0</v>
      </c>
      <c r="X453" s="58">
        <f t="shared" si="1070"/>
        <v>0</v>
      </c>
      <c r="Y453" s="58">
        <f t="shared" si="1071"/>
        <v>0</v>
      </c>
      <c r="Z453" s="58">
        <f t="shared" si="1072"/>
        <v>0</v>
      </c>
      <c r="AA453" s="58">
        <f t="shared" si="1073"/>
        <v>0</v>
      </c>
      <c r="AB453" s="58">
        <f t="shared" si="1074"/>
        <v>0</v>
      </c>
      <c r="AC453" s="58">
        <f t="shared" si="1075"/>
        <v>0</v>
      </c>
      <c r="AD453" s="58">
        <f t="shared" si="1076"/>
        <v>0</v>
      </c>
      <c r="AE453" s="58">
        <f t="shared" si="1077"/>
        <v>0</v>
      </c>
      <c r="AF453" s="58">
        <f t="shared" si="1078"/>
        <v>0</v>
      </c>
      <c r="AG453" s="58">
        <f t="shared" si="1079"/>
        <v>0</v>
      </c>
      <c r="AH453" s="328"/>
      <c r="AI453" s="328"/>
      <c r="AJ453" s="13"/>
      <c r="AK453" s="13"/>
      <c r="AL453" s="13"/>
      <c r="AM453" s="13"/>
      <c r="AN453" s="13"/>
      <c r="AO453" s="58"/>
      <c r="AP453" s="58"/>
      <c r="AQ453" s="58"/>
      <c r="AR453" s="58"/>
      <c r="AS453" s="58"/>
      <c r="AT453" s="58"/>
      <c r="AU453" s="58"/>
      <c r="AV453" s="58"/>
      <c r="AW453" s="58"/>
      <c r="AX453" s="58">
        <v>0</v>
      </c>
      <c r="AY453" s="58">
        <v>0</v>
      </c>
      <c r="AZ453" s="58">
        <v>0</v>
      </c>
      <c r="BA453" s="413">
        <v>0</v>
      </c>
      <c r="BB453" s="319"/>
      <c r="BC453" s="423"/>
      <c r="BD453" s="259"/>
    </row>
    <row r="454" ht="16.5" customHeight="1" spans="1:56">
      <c r="A454" s="13"/>
      <c r="B454" s="13"/>
      <c r="C454" s="13"/>
      <c r="D454" s="13"/>
      <c r="E454" s="13"/>
      <c r="F454" s="13"/>
      <c r="G454" s="13"/>
      <c r="H454" s="13"/>
      <c r="I454" s="13"/>
      <c r="J454" s="13"/>
      <c r="K454" s="13"/>
      <c r="L454" s="13"/>
      <c r="M454" s="13"/>
      <c r="N454" s="13"/>
      <c r="O454" s="13"/>
      <c r="P454" s="13"/>
      <c r="Q454" s="13"/>
      <c r="R454" s="213" t="s">
        <v>3491</v>
      </c>
      <c r="S454" s="58"/>
      <c r="T454" s="58">
        <f t="shared" si="1066"/>
        <v>0</v>
      </c>
      <c r="U454" s="319">
        <f t="shared" si="1067"/>
        <v>0</v>
      </c>
      <c r="V454" s="58"/>
      <c r="W454" s="58"/>
      <c r="X454" s="58"/>
      <c r="Y454" s="58"/>
      <c r="Z454" s="58"/>
      <c r="AA454" s="58"/>
      <c r="AB454" s="58"/>
      <c r="AC454" s="58"/>
      <c r="AD454" s="58"/>
      <c r="AE454" s="58"/>
      <c r="AF454" s="58"/>
      <c r="AG454" s="58"/>
      <c r="AH454" s="328"/>
      <c r="AI454" s="328"/>
      <c r="AJ454" s="13"/>
      <c r="AK454" s="13"/>
      <c r="AL454" s="13"/>
      <c r="AM454" s="13"/>
      <c r="AN454" s="13"/>
      <c r="AO454" s="58"/>
      <c r="AP454" s="58"/>
      <c r="AQ454" s="58"/>
      <c r="AR454" s="58"/>
      <c r="AS454" s="58"/>
      <c r="AT454" s="58"/>
      <c r="AU454" s="58"/>
      <c r="AV454" s="58"/>
      <c r="AW454" s="58"/>
      <c r="AX454" s="58">
        <v>0</v>
      </c>
      <c r="AY454" s="58"/>
      <c r="AZ454" s="58"/>
      <c r="BA454" s="413"/>
      <c r="BB454" s="319"/>
      <c r="BC454" s="423"/>
      <c r="BD454" s="259"/>
    </row>
    <row r="455" ht="16.5" customHeight="1" spans="1:56">
      <c r="A455" s="13"/>
      <c r="B455" s="13"/>
      <c r="C455" s="13"/>
      <c r="D455" s="13"/>
      <c r="E455" s="13"/>
      <c r="F455" s="13"/>
      <c r="G455" s="13"/>
      <c r="H455" s="13"/>
      <c r="I455" s="13"/>
      <c r="J455" s="13"/>
      <c r="K455" s="13"/>
      <c r="L455" s="13"/>
      <c r="M455" s="13"/>
      <c r="N455" s="13"/>
      <c r="O455" s="13"/>
      <c r="P455" s="13"/>
      <c r="Q455" s="13"/>
      <c r="R455" s="213" t="s">
        <v>3492</v>
      </c>
      <c r="S455" s="58">
        <v>0</v>
      </c>
      <c r="T455" s="58">
        <f t="shared" si="1066"/>
        <v>0</v>
      </c>
      <c r="U455" s="319">
        <f t="shared" si="1067"/>
        <v>0</v>
      </c>
      <c r="V455" s="58">
        <f t="shared" si="1068"/>
        <v>0</v>
      </c>
      <c r="W455" s="58">
        <f t="shared" si="1069"/>
        <v>0</v>
      </c>
      <c r="X455" s="58">
        <f t="shared" si="1070"/>
        <v>0</v>
      </c>
      <c r="Y455" s="58">
        <f t="shared" si="1071"/>
        <v>0</v>
      </c>
      <c r="Z455" s="58">
        <f t="shared" si="1072"/>
        <v>0</v>
      </c>
      <c r="AA455" s="58">
        <f t="shared" si="1073"/>
        <v>0</v>
      </c>
      <c r="AB455" s="58">
        <f t="shared" si="1074"/>
        <v>0</v>
      </c>
      <c r="AC455" s="58">
        <f t="shared" si="1075"/>
        <v>0</v>
      </c>
      <c r="AD455" s="58">
        <f t="shared" si="1076"/>
        <v>0</v>
      </c>
      <c r="AE455" s="58">
        <f t="shared" si="1077"/>
        <v>0</v>
      </c>
      <c r="AF455" s="58">
        <f t="shared" si="1078"/>
        <v>0</v>
      </c>
      <c r="AG455" s="58">
        <f t="shared" si="1079"/>
        <v>0</v>
      </c>
      <c r="AH455" s="328"/>
      <c r="AI455" s="328"/>
      <c r="AJ455" s="13"/>
      <c r="AK455" s="13"/>
      <c r="AL455" s="13"/>
      <c r="AM455" s="13"/>
      <c r="AN455" s="13"/>
      <c r="AO455" s="58"/>
      <c r="AP455" s="58"/>
      <c r="AQ455" s="58"/>
      <c r="AR455" s="58"/>
      <c r="AS455" s="58"/>
      <c r="AT455" s="58"/>
      <c r="AU455" s="58"/>
      <c r="AV455" s="58"/>
      <c r="AW455" s="58"/>
      <c r="AX455" s="58">
        <v>0</v>
      </c>
      <c r="AY455" s="58">
        <v>0</v>
      </c>
      <c r="AZ455" s="58">
        <v>0</v>
      </c>
      <c r="BA455" s="413">
        <v>0</v>
      </c>
      <c r="BB455" s="319"/>
      <c r="BC455" s="423"/>
      <c r="BD455" s="259"/>
    </row>
    <row r="456" ht="16.5" customHeight="1" spans="1:56">
      <c r="A456" s="13"/>
      <c r="B456" s="13"/>
      <c r="C456" s="13"/>
      <c r="D456" s="13"/>
      <c r="E456" s="13"/>
      <c r="F456" s="13"/>
      <c r="G456" s="13"/>
      <c r="H456" s="13"/>
      <c r="I456" s="13"/>
      <c r="J456" s="13"/>
      <c r="K456" s="13"/>
      <c r="L456" s="13"/>
      <c r="M456" s="13"/>
      <c r="N456" s="13"/>
      <c r="O456" s="13"/>
      <c r="P456" s="13"/>
      <c r="Q456" s="13"/>
      <c r="R456" s="213" t="s">
        <v>3493</v>
      </c>
      <c r="S456" s="58">
        <v>0</v>
      </c>
      <c r="T456" s="58">
        <f t="shared" si="1066"/>
        <v>20.87</v>
      </c>
      <c r="U456" s="319">
        <f t="shared" si="1067"/>
        <v>0</v>
      </c>
      <c r="V456" s="58">
        <f t="shared" si="1068"/>
        <v>20.87</v>
      </c>
      <c r="W456" s="58">
        <f t="shared" si="1069"/>
        <v>20.87</v>
      </c>
      <c r="X456" s="58">
        <f t="shared" si="1070"/>
        <v>20.87</v>
      </c>
      <c r="Y456" s="58">
        <f t="shared" si="1071"/>
        <v>20.87</v>
      </c>
      <c r="Z456" s="58">
        <f t="shared" si="1072"/>
        <v>20.87</v>
      </c>
      <c r="AA456" s="58">
        <f t="shared" si="1073"/>
        <v>20.87</v>
      </c>
      <c r="AB456" s="58">
        <f t="shared" si="1074"/>
        <v>20.87</v>
      </c>
      <c r="AC456" s="58">
        <f t="shared" si="1075"/>
        <v>20.87</v>
      </c>
      <c r="AD456" s="58">
        <f t="shared" si="1076"/>
        <v>20.87</v>
      </c>
      <c r="AE456" s="58">
        <f t="shared" si="1077"/>
        <v>20.87</v>
      </c>
      <c r="AF456" s="58">
        <f t="shared" si="1078"/>
        <v>0</v>
      </c>
      <c r="AG456" s="58">
        <f t="shared" si="1079"/>
        <v>0</v>
      </c>
      <c r="AH456" s="328"/>
      <c r="AI456" s="328"/>
      <c r="AJ456" s="13"/>
      <c r="AK456" s="13"/>
      <c r="AL456" s="13"/>
      <c r="AM456" s="13"/>
      <c r="AN456" s="13"/>
      <c r="AO456" s="58"/>
      <c r="AP456" s="58"/>
      <c r="AQ456" s="58"/>
      <c r="AR456" s="58"/>
      <c r="AS456" s="58"/>
      <c r="AT456" s="58"/>
      <c r="AU456" s="58"/>
      <c r="AV456" s="58"/>
      <c r="AW456" s="58"/>
      <c r="AX456" s="58">
        <v>20.87</v>
      </c>
      <c r="AY456" s="58">
        <v>0</v>
      </c>
      <c r="AZ456" s="58">
        <v>0</v>
      </c>
      <c r="BA456" s="413">
        <v>0</v>
      </c>
      <c r="BB456" s="319"/>
      <c r="BC456" s="423"/>
      <c r="BD456" s="259"/>
    </row>
    <row r="457" ht="16.5" customHeight="1" spans="1:56">
      <c r="A457" s="13"/>
      <c r="B457" s="13"/>
      <c r="C457" s="13"/>
      <c r="D457" s="13"/>
      <c r="E457" s="13"/>
      <c r="F457" s="13"/>
      <c r="G457" s="13"/>
      <c r="H457" s="13"/>
      <c r="I457" s="13"/>
      <c r="J457" s="13"/>
      <c r="K457" s="13"/>
      <c r="L457" s="13"/>
      <c r="M457" s="13"/>
      <c r="N457" s="13"/>
      <c r="O457" s="13"/>
      <c r="P457" s="13"/>
      <c r="Q457" s="13"/>
      <c r="R457" s="213" t="s">
        <v>3494</v>
      </c>
      <c r="S457" s="214">
        <f t="shared" ref="S457:AG457" si="1080">SUM(S453:S456)</f>
        <v>123705</v>
      </c>
      <c r="T457" s="214">
        <f t="shared" si="1080"/>
        <v>20.87</v>
      </c>
      <c r="U457" s="320">
        <f t="shared" si="1080"/>
        <v>0</v>
      </c>
      <c r="V457" s="214">
        <f t="shared" si="1080"/>
        <v>20.87</v>
      </c>
      <c r="W457" s="214">
        <f t="shared" si="1080"/>
        <v>20.87</v>
      </c>
      <c r="X457" s="214">
        <f t="shared" si="1080"/>
        <v>20.87</v>
      </c>
      <c r="Y457" s="214">
        <f t="shared" si="1080"/>
        <v>20.87</v>
      </c>
      <c r="Z457" s="214">
        <f t="shared" si="1080"/>
        <v>20.87</v>
      </c>
      <c r="AA457" s="214">
        <f t="shared" si="1080"/>
        <v>20.87</v>
      </c>
      <c r="AB457" s="214">
        <f t="shared" si="1080"/>
        <v>20.87</v>
      </c>
      <c r="AC457" s="214">
        <f t="shared" si="1080"/>
        <v>20.87</v>
      </c>
      <c r="AD457" s="214">
        <f t="shared" si="1080"/>
        <v>20.87</v>
      </c>
      <c r="AE457" s="214">
        <f t="shared" si="1080"/>
        <v>20.87</v>
      </c>
      <c r="AF457" s="214">
        <f t="shared" si="1080"/>
        <v>0</v>
      </c>
      <c r="AG457" s="214">
        <f t="shared" si="1080"/>
        <v>0</v>
      </c>
      <c r="AH457" s="214">
        <v>0</v>
      </c>
      <c r="AI457" s="214">
        <f>SUM(AI453:AI456)</f>
        <v>0</v>
      </c>
      <c r="AJ457" s="13"/>
      <c r="AK457" s="13"/>
      <c r="AL457" s="13"/>
      <c r="AM457" s="13"/>
      <c r="AN457" s="13"/>
      <c r="AO457" s="214">
        <f t="shared" ref="AO457:AX457" si="1081">SUM(AO453:AO456)</f>
        <v>0</v>
      </c>
      <c r="AP457" s="214">
        <f t="shared" si="1081"/>
        <v>0</v>
      </c>
      <c r="AQ457" s="214">
        <f t="shared" si="1081"/>
        <v>0</v>
      </c>
      <c r="AR457" s="214">
        <f t="shared" si="1081"/>
        <v>0</v>
      </c>
      <c r="AS457" s="214">
        <f t="shared" si="1081"/>
        <v>0</v>
      </c>
      <c r="AT457" s="214">
        <f t="shared" si="1081"/>
        <v>0</v>
      </c>
      <c r="AU457" s="214">
        <f t="shared" si="1081"/>
        <v>0</v>
      </c>
      <c r="AV457" s="214">
        <f t="shared" si="1081"/>
        <v>0</v>
      </c>
      <c r="AW457" s="214">
        <f t="shared" si="1081"/>
        <v>0</v>
      </c>
      <c r="AX457" s="214">
        <f t="shared" si="1081"/>
        <v>20.87</v>
      </c>
      <c r="AY457" s="214">
        <v>0</v>
      </c>
      <c r="AZ457" s="214">
        <f>SUM(AZ453:AZ456)</f>
        <v>0</v>
      </c>
      <c r="BA457" s="415">
        <v>0</v>
      </c>
      <c r="BB457" s="320">
        <f>SUM(BB453:BB456)</f>
        <v>0</v>
      </c>
      <c r="BC457" s="416">
        <f>SUM(BC453:BC456)</f>
        <v>0</v>
      </c>
      <c r="BD457" s="345"/>
    </row>
    <row r="458" ht="16.5" customHeight="1" spans="1:56">
      <c r="A458" s="13"/>
      <c r="B458" s="13"/>
      <c r="C458" s="13"/>
      <c r="D458" s="13"/>
      <c r="E458" s="13"/>
      <c r="F458" s="13"/>
      <c r="G458" s="13"/>
      <c r="H458" s="13"/>
      <c r="I458" s="13"/>
      <c r="J458" s="13"/>
      <c r="K458" s="13"/>
      <c r="L458" s="13"/>
      <c r="M458" s="13"/>
      <c r="N458" s="13"/>
      <c r="O458" s="13"/>
      <c r="P458" s="13"/>
      <c r="Q458" s="13"/>
      <c r="R458" s="213" t="s">
        <v>3495</v>
      </c>
      <c r="S458" s="58">
        <f t="shared" ref="S458:AG458" si="1082">S452-S453</f>
        <v>27238.4</v>
      </c>
      <c r="T458" s="58">
        <f t="shared" si="1082"/>
        <v>10681.51</v>
      </c>
      <c r="U458" s="319">
        <f t="shared" si="1082"/>
        <v>0</v>
      </c>
      <c r="V458" s="58">
        <f t="shared" si="1082"/>
        <v>10681.51</v>
      </c>
      <c r="W458" s="58">
        <f t="shared" si="1082"/>
        <v>10681.51</v>
      </c>
      <c r="X458" s="58">
        <f t="shared" si="1082"/>
        <v>10681.51</v>
      </c>
      <c r="Y458" s="58">
        <f t="shared" si="1082"/>
        <v>10681.51</v>
      </c>
      <c r="Z458" s="58">
        <f t="shared" si="1082"/>
        <v>10681.51</v>
      </c>
      <c r="AA458" s="58">
        <f t="shared" si="1082"/>
        <v>10681.51</v>
      </c>
      <c r="AB458" s="58">
        <f t="shared" si="1082"/>
        <v>10681.51</v>
      </c>
      <c r="AC458" s="58">
        <f t="shared" si="1082"/>
        <v>10681.51</v>
      </c>
      <c r="AD458" s="58">
        <f t="shared" si="1082"/>
        <v>10681.51</v>
      </c>
      <c r="AE458" s="58">
        <f t="shared" si="1082"/>
        <v>10681.51</v>
      </c>
      <c r="AF458" s="58">
        <f t="shared" si="1082"/>
        <v>0</v>
      </c>
      <c r="AG458" s="58">
        <f t="shared" si="1082"/>
        <v>0</v>
      </c>
      <c r="AH458" s="332"/>
      <c r="AI458" s="332"/>
      <c r="AJ458" s="13"/>
      <c r="AK458" s="13"/>
      <c r="AL458" s="13"/>
      <c r="AM458" s="13"/>
      <c r="AN458" s="13"/>
      <c r="AO458" s="58">
        <f t="shared" ref="AO458:AZ458" si="1083">AO452-AO453</f>
        <v>0</v>
      </c>
      <c r="AP458" s="58">
        <f t="shared" si="1083"/>
        <v>0</v>
      </c>
      <c r="AQ458" s="58">
        <f t="shared" si="1083"/>
        <v>0</v>
      </c>
      <c r="AR458" s="58">
        <f t="shared" si="1083"/>
        <v>0</v>
      </c>
      <c r="AS458" s="58">
        <f t="shared" si="1083"/>
        <v>0</v>
      </c>
      <c r="AT458" s="58">
        <f t="shared" si="1083"/>
        <v>0</v>
      </c>
      <c r="AU458" s="58">
        <f t="shared" si="1083"/>
        <v>0</v>
      </c>
      <c r="AV458" s="58">
        <f t="shared" si="1083"/>
        <v>0</v>
      </c>
      <c r="AW458" s="58">
        <f t="shared" si="1083"/>
        <v>0</v>
      </c>
      <c r="AX458" s="58">
        <f t="shared" si="1083"/>
        <v>10681.51</v>
      </c>
      <c r="AY458" s="58">
        <f t="shared" si="1083"/>
        <v>0</v>
      </c>
      <c r="AZ458" s="58">
        <f t="shared" si="1083"/>
        <v>0</v>
      </c>
      <c r="BA458" s="417"/>
      <c r="BB458" s="320"/>
      <c r="BC458" s="423"/>
      <c r="BD458" s="259"/>
    </row>
    <row r="459" ht="16.5" customHeight="1" spans="1:56">
      <c r="A459" s="13"/>
      <c r="B459" s="13"/>
      <c r="C459" s="13"/>
      <c r="D459" s="13"/>
      <c r="E459" s="13"/>
      <c r="F459" s="13"/>
      <c r="G459" s="13"/>
      <c r="H459" s="13"/>
      <c r="I459" s="13"/>
      <c r="J459" s="13"/>
      <c r="K459" s="13"/>
      <c r="L459" s="13"/>
      <c r="M459" s="13"/>
      <c r="N459" s="13"/>
      <c r="O459" s="13"/>
      <c r="P459" s="13"/>
      <c r="Q459" s="13"/>
      <c r="R459" s="321" t="s">
        <v>3496</v>
      </c>
      <c r="S459" s="61">
        <f t="shared" ref="S459:AG459" si="1084">S458/S452</f>
        <v>0.18045439548864</v>
      </c>
      <c r="T459" s="61">
        <f t="shared" si="1084"/>
        <v>1</v>
      </c>
      <c r="U459" s="322" t="e">
        <f t="shared" si="1084"/>
        <v>#DIV/0!</v>
      </c>
      <c r="V459" s="61">
        <f t="shared" si="1084"/>
        <v>1</v>
      </c>
      <c r="W459" s="61">
        <f t="shared" si="1084"/>
        <v>1</v>
      </c>
      <c r="X459" s="61">
        <f t="shared" si="1084"/>
        <v>1</v>
      </c>
      <c r="Y459" s="61">
        <f t="shared" si="1084"/>
        <v>1</v>
      </c>
      <c r="Z459" s="61">
        <f t="shared" si="1084"/>
        <v>1</v>
      </c>
      <c r="AA459" s="61">
        <f t="shared" si="1084"/>
        <v>1</v>
      </c>
      <c r="AB459" s="61">
        <f t="shared" si="1084"/>
        <v>1</v>
      </c>
      <c r="AC459" s="61">
        <f t="shared" si="1084"/>
        <v>1</v>
      </c>
      <c r="AD459" s="61">
        <f t="shared" si="1084"/>
        <v>1</v>
      </c>
      <c r="AE459" s="61">
        <f t="shared" si="1084"/>
        <v>1</v>
      </c>
      <c r="AF459" s="61" t="e">
        <f t="shared" si="1084"/>
        <v>#DIV/0!</v>
      </c>
      <c r="AG459" s="61" t="e">
        <f t="shared" si="1084"/>
        <v>#DIV/0!</v>
      </c>
      <c r="AH459" s="82">
        <v>-0.547493961312651</v>
      </c>
      <c r="AI459" s="82" t="e">
        <f>AF459-S459</f>
        <v>#DIV/0!</v>
      </c>
      <c r="AJ459" s="13"/>
      <c r="AK459" s="13"/>
      <c r="AL459" s="13"/>
      <c r="AM459" s="13"/>
      <c r="AN459" s="13"/>
      <c r="AO459" s="61" t="e">
        <f t="shared" ref="AO459:AZ459" si="1085">AO458/AO452</f>
        <v>#DIV/0!</v>
      </c>
      <c r="AP459" s="61" t="e">
        <f t="shared" si="1085"/>
        <v>#DIV/0!</v>
      </c>
      <c r="AQ459" s="61" t="e">
        <f t="shared" si="1085"/>
        <v>#DIV/0!</v>
      </c>
      <c r="AR459" s="61" t="e">
        <f t="shared" si="1085"/>
        <v>#DIV/0!</v>
      </c>
      <c r="AS459" s="61" t="e">
        <f t="shared" si="1085"/>
        <v>#DIV/0!</v>
      </c>
      <c r="AT459" s="61" t="e">
        <f t="shared" si="1085"/>
        <v>#DIV/0!</v>
      </c>
      <c r="AU459" s="61" t="e">
        <f t="shared" si="1085"/>
        <v>#DIV/0!</v>
      </c>
      <c r="AV459" s="61" t="e">
        <f t="shared" si="1085"/>
        <v>#DIV/0!</v>
      </c>
      <c r="AW459" s="61" t="e">
        <f t="shared" si="1085"/>
        <v>#DIV/0!</v>
      </c>
      <c r="AX459" s="61">
        <f t="shared" si="1085"/>
        <v>1</v>
      </c>
      <c r="AY459" s="61" t="e">
        <f t="shared" si="1085"/>
        <v>#DIV/0!</v>
      </c>
      <c r="AZ459" s="61" t="e">
        <f t="shared" si="1085"/>
        <v>#DIV/0!</v>
      </c>
      <c r="BA459" s="418"/>
      <c r="BB459" s="403"/>
      <c r="BC459" s="423"/>
      <c r="BD459" s="259"/>
    </row>
    <row r="460" ht="16.5" customHeight="1" spans="1:56">
      <c r="A460" s="13"/>
      <c r="B460" s="13"/>
      <c r="C460" s="13"/>
      <c r="D460" s="13"/>
      <c r="E460" s="13"/>
      <c r="F460" s="13"/>
      <c r="G460" s="13"/>
      <c r="H460" s="13"/>
      <c r="I460" s="13"/>
      <c r="J460" s="13"/>
      <c r="K460" s="13"/>
      <c r="L460" s="13"/>
      <c r="M460" s="13"/>
      <c r="N460" s="13"/>
      <c r="O460" s="13"/>
      <c r="P460" s="13"/>
      <c r="Q460" s="13"/>
      <c r="R460" s="213" t="s">
        <v>3497</v>
      </c>
      <c r="S460" s="58">
        <f t="shared" ref="S460:AG460" si="1086">S452-S457</f>
        <v>27238.4</v>
      </c>
      <c r="T460" s="58">
        <f t="shared" si="1086"/>
        <v>10660.64</v>
      </c>
      <c r="U460" s="58">
        <f t="shared" si="1086"/>
        <v>0</v>
      </c>
      <c r="V460" s="58">
        <f t="shared" si="1086"/>
        <v>10660.64</v>
      </c>
      <c r="W460" s="58">
        <f t="shared" si="1086"/>
        <v>10660.64</v>
      </c>
      <c r="X460" s="58">
        <f t="shared" si="1086"/>
        <v>10660.64</v>
      </c>
      <c r="Y460" s="58">
        <f t="shared" si="1086"/>
        <v>10660.64</v>
      </c>
      <c r="Z460" s="58">
        <f t="shared" si="1086"/>
        <v>10660.64</v>
      </c>
      <c r="AA460" s="58">
        <f t="shared" si="1086"/>
        <v>10660.64</v>
      </c>
      <c r="AB460" s="58">
        <f t="shared" si="1086"/>
        <v>10660.64</v>
      </c>
      <c r="AC460" s="58">
        <f t="shared" si="1086"/>
        <v>10660.64</v>
      </c>
      <c r="AD460" s="58">
        <f t="shared" si="1086"/>
        <v>10660.64</v>
      </c>
      <c r="AE460" s="58">
        <f t="shared" si="1086"/>
        <v>10660.64</v>
      </c>
      <c r="AF460" s="58">
        <f t="shared" si="1086"/>
        <v>0</v>
      </c>
      <c r="AG460" s="58">
        <f t="shared" si="1086"/>
        <v>0</v>
      </c>
      <c r="AH460" s="82"/>
      <c r="AI460" s="82"/>
      <c r="AJ460" s="13"/>
      <c r="AK460" s="13"/>
      <c r="AL460" s="13"/>
      <c r="AM460" s="13"/>
      <c r="AN460" s="13"/>
      <c r="AO460" s="58">
        <f t="shared" ref="AO460:BC460" si="1087">AO452-AO457</f>
        <v>0</v>
      </c>
      <c r="AP460" s="58">
        <f t="shared" si="1087"/>
        <v>0</v>
      </c>
      <c r="AQ460" s="58">
        <f t="shared" si="1087"/>
        <v>0</v>
      </c>
      <c r="AR460" s="58">
        <f t="shared" si="1087"/>
        <v>0</v>
      </c>
      <c r="AS460" s="58">
        <f t="shared" si="1087"/>
        <v>0</v>
      </c>
      <c r="AT460" s="58">
        <f t="shared" si="1087"/>
        <v>0</v>
      </c>
      <c r="AU460" s="58">
        <f t="shared" si="1087"/>
        <v>0</v>
      </c>
      <c r="AV460" s="58">
        <f t="shared" si="1087"/>
        <v>0</v>
      </c>
      <c r="AW460" s="58">
        <f t="shared" si="1087"/>
        <v>0</v>
      </c>
      <c r="AX460" s="58">
        <f t="shared" si="1087"/>
        <v>10660.64</v>
      </c>
      <c r="AY460" s="58">
        <f t="shared" si="1087"/>
        <v>0</v>
      </c>
      <c r="AZ460" s="58">
        <f t="shared" si="1087"/>
        <v>0</v>
      </c>
      <c r="BA460" s="58">
        <f t="shared" si="1087"/>
        <v>0</v>
      </c>
      <c r="BB460" s="58">
        <f t="shared" si="1087"/>
        <v>0</v>
      </c>
      <c r="BC460" s="58">
        <f t="shared" si="1087"/>
        <v>0</v>
      </c>
      <c r="BD460" s="259"/>
    </row>
    <row r="461" ht="16.5" customHeight="1" spans="1:56">
      <c r="A461" s="14"/>
      <c r="B461" s="14"/>
      <c r="C461" s="14"/>
      <c r="D461" s="14"/>
      <c r="E461" s="14"/>
      <c r="F461" s="14"/>
      <c r="G461" s="14"/>
      <c r="H461" s="14"/>
      <c r="I461" s="14"/>
      <c r="J461" s="14"/>
      <c r="K461" s="14"/>
      <c r="L461" s="14"/>
      <c r="M461" s="14"/>
      <c r="N461" s="14"/>
      <c r="O461" s="14"/>
      <c r="P461" s="14"/>
      <c r="Q461" s="14"/>
      <c r="R461" s="321" t="s">
        <v>3498</v>
      </c>
      <c r="S461" s="61">
        <f t="shared" ref="S461:AG461" si="1088">S460/S452</f>
        <v>0.18045439548864</v>
      </c>
      <c r="T461" s="61">
        <f t="shared" si="1088"/>
        <v>0.998046156395491</v>
      </c>
      <c r="U461" s="322" t="e">
        <f t="shared" si="1088"/>
        <v>#DIV/0!</v>
      </c>
      <c r="V461" s="61">
        <f t="shared" si="1088"/>
        <v>0.998046156395491</v>
      </c>
      <c r="W461" s="61">
        <f t="shared" si="1088"/>
        <v>0.998046156395491</v>
      </c>
      <c r="X461" s="61">
        <f t="shared" si="1088"/>
        <v>0.998046156395491</v>
      </c>
      <c r="Y461" s="61">
        <f t="shared" si="1088"/>
        <v>0.998046156395491</v>
      </c>
      <c r="Z461" s="61">
        <f t="shared" si="1088"/>
        <v>0.998046156395491</v>
      </c>
      <c r="AA461" s="61">
        <f t="shared" si="1088"/>
        <v>0.998046156395491</v>
      </c>
      <c r="AB461" s="61">
        <f t="shared" si="1088"/>
        <v>0.998046156395491</v>
      </c>
      <c r="AC461" s="61">
        <f t="shared" si="1088"/>
        <v>0.998046156395491</v>
      </c>
      <c r="AD461" s="61">
        <f t="shared" si="1088"/>
        <v>0.998046156395491</v>
      </c>
      <c r="AE461" s="61">
        <f t="shared" si="1088"/>
        <v>0.998046156395491</v>
      </c>
      <c r="AF461" s="61" t="e">
        <f t="shared" si="1088"/>
        <v>#DIV/0!</v>
      </c>
      <c r="AG461" s="61" t="e">
        <f t="shared" si="1088"/>
        <v>#DIV/0!</v>
      </c>
      <c r="AH461" s="82">
        <v>-0.162753720931157</v>
      </c>
      <c r="AI461" s="82" t="e">
        <f>AF461-S461</f>
        <v>#DIV/0!</v>
      </c>
      <c r="AJ461" s="14"/>
      <c r="AK461" s="14"/>
      <c r="AL461" s="14"/>
      <c r="AM461" s="14"/>
      <c r="AN461" s="14"/>
      <c r="AO461" s="61" t="e">
        <f t="shared" ref="AO461:AZ461" si="1089">AO460/AO452</f>
        <v>#DIV/0!</v>
      </c>
      <c r="AP461" s="61" t="e">
        <f t="shared" si="1089"/>
        <v>#DIV/0!</v>
      </c>
      <c r="AQ461" s="61" t="e">
        <f t="shared" si="1089"/>
        <v>#DIV/0!</v>
      </c>
      <c r="AR461" s="61" t="e">
        <f t="shared" si="1089"/>
        <v>#DIV/0!</v>
      </c>
      <c r="AS461" s="61" t="e">
        <f t="shared" si="1089"/>
        <v>#DIV/0!</v>
      </c>
      <c r="AT461" s="61" t="e">
        <f t="shared" si="1089"/>
        <v>#DIV/0!</v>
      </c>
      <c r="AU461" s="61" t="e">
        <f t="shared" si="1089"/>
        <v>#DIV/0!</v>
      </c>
      <c r="AV461" s="61" t="e">
        <f t="shared" si="1089"/>
        <v>#DIV/0!</v>
      </c>
      <c r="AW461" s="61" t="e">
        <f t="shared" si="1089"/>
        <v>#DIV/0!</v>
      </c>
      <c r="AX461" s="61">
        <f t="shared" si="1089"/>
        <v>0.998046156395491</v>
      </c>
      <c r="AY461" s="61" t="e">
        <f t="shared" si="1089"/>
        <v>#DIV/0!</v>
      </c>
      <c r="AZ461" s="61" t="e">
        <f t="shared" si="1089"/>
        <v>#DIV/0!</v>
      </c>
      <c r="BA461" s="418"/>
      <c r="BB461" s="403"/>
      <c r="BC461" s="423"/>
      <c r="BD461" s="259"/>
    </row>
    <row r="462" ht="16.5" customHeight="1" spans="1:56">
      <c r="A462" s="300" t="s">
        <v>377</v>
      </c>
      <c r="B462" s="300" t="s">
        <v>3438</v>
      </c>
      <c r="C462" s="425">
        <v>46023</v>
      </c>
      <c r="D462" s="425">
        <v>46387</v>
      </c>
      <c r="E462" s="304"/>
      <c r="F462" s="304"/>
      <c r="G462" s="12"/>
      <c r="H462" s="12"/>
      <c r="I462" s="12"/>
      <c r="J462" s="12"/>
      <c r="K462" s="12"/>
      <c r="L462" s="12"/>
      <c r="M462" s="12"/>
      <c r="N462" s="12"/>
      <c r="O462" s="12"/>
      <c r="P462" s="304"/>
      <c r="Q462" s="12"/>
      <c r="R462" s="318" t="s">
        <v>3486</v>
      </c>
      <c r="S462" s="58"/>
      <c r="T462" s="58">
        <f t="shared" ref="T462:T466" si="1090">SUM(AO462:BC462)</f>
        <v>0</v>
      </c>
      <c r="U462" s="319">
        <f t="shared" ref="U462:U466" si="1091">SUM(BA462:BC462)</f>
        <v>0</v>
      </c>
      <c r="V462" s="58">
        <f t="shared" ref="V462:V466" si="1092">SUM(AO462:AZ462)</f>
        <v>0</v>
      </c>
      <c r="W462" s="58">
        <f t="shared" ref="W462:W466" si="1093">SUM(AP462:AZ462)</f>
        <v>0</v>
      </c>
      <c r="X462" s="58">
        <f t="shared" ref="X462:X466" si="1094">SUM(AQ462:AZ462)</f>
        <v>0</v>
      </c>
      <c r="Y462" s="58">
        <f t="shared" ref="Y462:Y466" si="1095">SUM(AR462:AZ462)</f>
        <v>0</v>
      </c>
      <c r="Z462" s="58">
        <f t="shared" ref="Z462:Z466" si="1096">SUM(AS462:AZ462)</f>
        <v>0</v>
      </c>
      <c r="AA462" s="58">
        <f t="shared" ref="AA462:AA466" si="1097">SUM(AT462:AZ462)</f>
        <v>0</v>
      </c>
      <c r="AB462" s="58">
        <f t="shared" ref="AB462:AB466" si="1098">SUM(AU462:AZ462)</f>
        <v>0</v>
      </c>
      <c r="AC462" s="58">
        <f t="shared" ref="AC462:AC466" si="1099">SUM(AV462:AZ462)</f>
        <v>0</v>
      </c>
      <c r="AD462" s="58">
        <f t="shared" ref="AD462:AD466" si="1100">SUM(AW462:AZ462)</f>
        <v>0</v>
      </c>
      <c r="AE462" s="58">
        <f t="shared" ref="AE462:AE466" si="1101">SUM(AX462:AZ462)</f>
        <v>0</v>
      </c>
      <c r="AF462" s="58">
        <f t="shared" ref="AF462:AF466" si="1102">SUM(AY462:AZ462)</f>
        <v>0</v>
      </c>
      <c r="AG462" s="58">
        <f t="shared" ref="AG462:AG466" si="1103">SUM(AZ462:AZ462)</f>
        <v>0</v>
      </c>
      <c r="AH462" s="328"/>
      <c r="AI462" s="328"/>
      <c r="AJ462" s="301"/>
      <c r="AK462" s="93"/>
      <c r="AL462" s="93"/>
      <c r="AM462" s="93"/>
      <c r="AN462" s="233"/>
      <c r="AO462" s="58"/>
      <c r="AP462" s="58"/>
      <c r="AQ462" s="58"/>
      <c r="AR462" s="58"/>
      <c r="AS462" s="58"/>
      <c r="AT462" s="58"/>
      <c r="AU462" s="58"/>
      <c r="AV462" s="58"/>
      <c r="AW462" s="58"/>
      <c r="AX462" s="58"/>
      <c r="AY462" s="426"/>
      <c r="AZ462" s="58"/>
      <c r="BA462" s="413">
        <v>0</v>
      </c>
      <c r="BB462" s="319"/>
      <c r="BC462" s="423"/>
      <c r="BD462" s="259"/>
    </row>
    <row r="463" ht="16.5" customHeight="1" spans="1:56">
      <c r="A463" s="13"/>
      <c r="B463" s="13"/>
      <c r="C463" s="13"/>
      <c r="D463" s="13"/>
      <c r="E463" s="13"/>
      <c r="F463" s="13"/>
      <c r="G463" s="13"/>
      <c r="H463" s="13"/>
      <c r="I463" s="13"/>
      <c r="J463" s="13"/>
      <c r="K463" s="13"/>
      <c r="L463" s="13"/>
      <c r="M463" s="13"/>
      <c r="N463" s="13"/>
      <c r="O463" s="13"/>
      <c r="P463" s="13"/>
      <c r="Q463" s="13"/>
      <c r="R463" s="213" t="s">
        <v>3490</v>
      </c>
      <c r="S463" s="58"/>
      <c r="T463" s="58">
        <f t="shared" si="1090"/>
        <v>0</v>
      </c>
      <c r="U463" s="319">
        <f t="shared" si="1091"/>
        <v>0</v>
      </c>
      <c r="V463" s="58">
        <f t="shared" si="1092"/>
        <v>0</v>
      </c>
      <c r="W463" s="58">
        <f t="shared" si="1093"/>
        <v>0</v>
      </c>
      <c r="X463" s="58">
        <f t="shared" si="1094"/>
        <v>0</v>
      </c>
      <c r="Y463" s="58">
        <f t="shared" si="1095"/>
        <v>0</v>
      </c>
      <c r="Z463" s="58">
        <f t="shared" si="1096"/>
        <v>0</v>
      </c>
      <c r="AA463" s="58">
        <f t="shared" si="1097"/>
        <v>0</v>
      </c>
      <c r="AB463" s="58">
        <f t="shared" si="1098"/>
        <v>0</v>
      </c>
      <c r="AC463" s="58">
        <f t="shared" si="1099"/>
        <v>0</v>
      </c>
      <c r="AD463" s="58">
        <f t="shared" si="1100"/>
        <v>0</v>
      </c>
      <c r="AE463" s="58">
        <f t="shared" si="1101"/>
        <v>0</v>
      </c>
      <c r="AF463" s="58">
        <f t="shared" si="1102"/>
        <v>0</v>
      </c>
      <c r="AG463" s="58">
        <f t="shared" si="1103"/>
        <v>0</v>
      </c>
      <c r="AH463" s="328"/>
      <c r="AI463" s="328"/>
      <c r="AJ463" s="13"/>
      <c r="AK463" s="13"/>
      <c r="AL463" s="13"/>
      <c r="AM463" s="13"/>
      <c r="AN463" s="13"/>
      <c r="AO463" s="58"/>
      <c r="AP463" s="58"/>
      <c r="AQ463" s="58"/>
      <c r="AR463" s="58"/>
      <c r="AS463" s="58"/>
      <c r="AT463" s="58"/>
      <c r="AU463" s="58"/>
      <c r="AV463" s="58"/>
      <c r="AW463" s="58"/>
      <c r="AX463" s="58"/>
      <c r="AY463" s="426"/>
      <c r="AZ463" s="58"/>
      <c r="BA463" s="413">
        <v>0</v>
      </c>
      <c r="BB463" s="319"/>
      <c r="BC463" s="423"/>
      <c r="BD463" s="259"/>
    </row>
    <row r="464" ht="16.5" customHeight="1" spans="1:56">
      <c r="A464" s="13"/>
      <c r="B464" s="13"/>
      <c r="C464" s="13"/>
      <c r="D464" s="13"/>
      <c r="E464" s="13"/>
      <c r="F464" s="13"/>
      <c r="G464" s="13"/>
      <c r="H464" s="13"/>
      <c r="I464" s="13"/>
      <c r="J464" s="13"/>
      <c r="K464" s="13"/>
      <c r="L464" s="13"/>
      <c r="M464" s="13"/>
      <c r="N464" s="13"/>
      <c r="O464" s="13"/>
      <c r="P464" s="13"/>
      <c r="Q464" s="13"/>
      <c r="R464" s="213" t="s">
        <v>3491</v>
      </c>
      <c r="S464" s="58"/>
      <c r="T464" s="58">
        <f t="shared" si="1090"/>
        <v>0</v>
      </c>
      <c r="U464" s="319">
        <f t="shared" si="1091"/>
        <v>0</v>
      </c>
      <c r="V464" s="58"/>
      <c r="W464" s="58"/>
      <c r="X464" s="58"/>
      <c r="Y464" s="58"/>
      <c r="Z464" s="58"/>
      <c r="AA464" s="58"/>
      <c r="AB464" s="58"/>
      <c r="AC464" s="58"/>
      <c r="AD464" s="58"/>
      <c r="AE464" s="58"/>
      <c r="AF464" s="58"/>
      <c r="AG464" s="58"/>
      <c r="AH464" s="328"/>
      <c r="AI464" s="328"/>
      <c r="AJ464" s="13"/>
      <c r="AK464" s="13"/>
      <c r="AL464" s="13"/>
      <c r="AM464" s="13"/>
      <c r="AN464" s="13"/>
      <c r="AO464" s="58"/>
      <c r="AP464" s="58"/>
      <c r="AQ464" s="58"/>
      <c r="AR464" s="58"/>
      <c r="AS464" s="58"/>
      <c r="AT464" s="58"/>
      <c r="AU464" s="58"/>
      <c r="AV464" s="58"/>
      <c r="AW464" s="58"/>
      <c r="AX464" s="58">
        <v>0</v>
      </c>
      <c r="AY464" s="426"/>
      <c r="AZ464" s="58"/>
      <c r="BA464" s="413"/>
      <c r="BB464" s="319"/>
      <c r="BC464" s="423"/>
      <c r="BD464" s="259"/>
    </row>
    <row r="465" ht="16.5" customHeight="1" spans="1:56">
      <c r="A465" s="13"/>
      <c r="B465" s="13"/>
      <c r="C465" s="13"/>
      <c r="D465" s="13"/>
      <c r="E465" s="13"/>
      <c r="F465" s="13"/>
      <c r="G465" s="13"/>
      <c r="H465" s="13"/>
      <c r="I465" s="13"/>
      <c r="J465" s="13"/>
      <c r="K465" s="13"/>
      <c r="L465" s="13"/>
      <c r="M465" s="13"/>
      <c r="N465" s="13"/>
      <c r="O465" s="13"/>
      <c r="P465" s="13"/>
      <c r="Q465" s="13"/>
      <c r="R465" s="213" t="s">
        <v>3492</v>
      </c>
      <c r="S465" s="58"/>
      <c r="T465" s="58">
        <f t="shared" si="1090"/>
        <v>0</v>
      </c>
      <c r="U465" s="319">
        <f t="shared" si="1091"/>
        <v>0</v>
      </c>
      <c r="V465" s="58">
        <f t="shared" si="1092"/>
        <v>0</v>
      </c>
      <c r="W465" s="58">
        <f t="shared" si="1093"/>
        <v>0</v>
      </c>
      <c r="X465" s="58">
        <f t="shared" si="1094"/>
        <v>0</v>
      </c>
      <c r="Y465" s="58">
        <f t="shared" si="1095"/>
        <v>0</v>
      </c>
      <c r="Z465" s="58">
        <f t="shared" si="1096"/>
        <v>0</v>
      </c>
      <c r="AA465" s="58">
        <f t="shared" si="1097"/>
        <v>0</v>
      </c>
      <c r="AB465" s="58">
        <f t="shared" si="1098"/>
        <v>0</v>
      </c>
      <c r="AC465" s="58">
        <f t="shared" si="1099"/>
        <v>0</v>
      </c>
      <c r="AD465" s="58">
        <f t="shared" si="1100"/>
        <v>0</v>
      </c>
      <c r="AE465" s="58">
        <f t="shared" si="1101"/>
        <v>0</v>
      </c>
      <c r="AF465" s="58">
        <f t="shared" si="1102"/>
        <v>0</v>
      </c>
      <c r="AG465" s="58">
        <f t="shared" si="1103"/>
        <v>0</v>
      </c>
      <c r="AH465" s="328"/>
      <c r="AI465" s="328"/>
      <c r="AJ465" s="13"/>
      <c r="AK465" s="13"/>
      <c r="AL465" s="13"/>
      <c r="AM465" s="13"/>
      <c r="AN465" s="13"/>
      <c r="AO465" s="58"/>
      <c r="AP465" s="58"/>
      <c r="AQ465" s="58"/>
      <c r="AR465" s="58"/>
      <c r="AS465" s="58"/>
      <c r="AT465" s="58"/>
      <c r="AU465" s="58"/>
      <c r="AV465" s="58"/>
      <c r="AW465" s="58"/>
      <c r="AX465" s="58"/>
      <c r="AY465" s="426"/>
      <c r="AZ465" s="58"/>
      <c r="BA465" s="413">
        <v>0</v>
      </c>
      <c r="BB465" s="319"/>
      <c r="BC465" s="423"/>
      <c r="BD465" s="259"/>
    </row>
    <row r="466" ht="16.5" customHeight="1" spans="1:56">
      <c r="A466" s="13"/>
      <c r="B466" s="13"/>
      <c r="C466" s="13"/>
      <c r="D466" s="13"/>
      <c r="E466" s="13"/>
      <c r="F466" s="13"/>
      <c r="G466" s="13"/>
      <c r="H466" s="13"/>
      <c r="I466" s="13"/>
      <c r="J466" s="13"/>
      <c r="K466" s="13"/>
      <c r="L466" s="13"/>
      <c r="M466" s="13"/>
      <c r="N466" s="13"/>
      <c r="O466" s="13"/>
      <c r="P466" s="13"/>
      <c r="Q466" s="13"/>
      <c r="R466" s="213" t="s">
        <v>3493</v>
      </c>
      <c r="S466" s="58"/>
      <c r="T466" s="58">
        <f t="shared" si="1090"/>
        <v>0</v>
      </c>
      <c r="U466" s="319">
        <f t="shared" si="1091"/>
        <v>0</v>
      </c>
      <c r="V466" s="58">
        <f t="shared" si="1092"/>
        <v>0</v>
      </c>
      <c r="W466" s="58">
        <f t="shared" si="1093"/>
        <v>0</v>
      </c>
      <c r="X466" s="58">
        <f t="shared" si="1094"/>
        <v>0</v>
      </c>
      <c r="Y466" s="58">
        <f t="shared" si="1095"/>
        <v>0</v>
      </c>
      <c r="Z466" s="58">
        <f t="shared" si="1096"/>
        <v>0</v>
      </c>
      <c r="AA466" s="58">
        <f t="shared" si="1097"/>
        <v>0</v>
      </c>
      <c r="AB466" s="58">
        <f t="shared" si="1098"/>
        <v>0</v>
      </c>
      <c r="AC466" s="58">
        <f t="shared" si="1099"/>
        <v>0</v>
      </c>
      <c r="AD466" s="58">
        <f t="shared" si="1100"/>
        <v>0</v>
      </c>
      <c r="AE466" s="58">
        <f t="shared" si="1101"/>
        <v>0</v>
      </c>
      <c r="AF466" s="58">
        <f t="shared" si="1102"/>
        <v>0</v>
      </c>
      <c r="AG466" s="58">
        <f t="shared" si="1103"/>
        <v>0</v>
      </c>
      <c r="AH466" s="328"/>
      <c r="AI466" s="328"/>
      <c r="AJ466" s="13"/>
      <c r="AK466" s="13"/>
      <c r="AL466" s="13"/>
      <c r="AM466" s="13"/>
      <c r="AN466" s="13"/>
      <c r="AO466" s="58"/>
      <c r="AP466" s="58"/>
      <c r="AQ466" s="58"/>
      <c r="AR466" s="58"/>
      <c r="AS466" s="58"/>
      <c r="AT466" s="58"/>
      <c r="AU466" s="58"/>
      <c r="AV466" s="58"/>
      <c r="AW466" s="58"/>
      <c r="AX466" s="58"/>
      <c r="AY466" s="426"/>
      <c r="AZ466" s="58"/>
      <c r="BA466" s="413">
        <v>0</v>
      </c>
      <c r="BB466" s="319"/>
      <c r="BC466" s="423"/>
      <c r="BD466" s="259"/>
    </row>
    <row r="467" ht="16.5" customHeight="1" spans="1:56">
      <c r="A467" s="13"/>
      <c r="B467" s="13"/>
      <c r="C467" s="13"/>
      <c r="D467" s="13"/>
      <c r="E467" s="13"/>
      <c r="F467" s="13"/>
      <c r="G467" s="13"/>
      <c r="H467" s="13"/>
      <c r="I467" s="13"/>
      <c r="J467" s="13"/>
      <c r="K467" s="13"/>
      <c r="L467" s="13"/>
      <c r="M467" s="13"/>
      <c r="N467" s="13"/>
      <c r="O467" s="13"/>
      <c r="P467" s="13"/>
      <c r="Q467" s="13"/>
      <c r="R467" s="213" t="s">
        <v>3494</v>
      </c>
      <c r="S467" s="214">
        <f t="shared" ref="S467:AG467" si="1104">SUM(S463:S466)</f>
        <v>0</v>
      </c>
      <c r="T467" s="214">
        <f t="shared" si="1104"/>
        <v>0</v>
      </c>
      <c r="U467" s="320">
        <f t="shared" si="1104"/>
        <v>0</v>
      </c>
      <c r="V467" s="214">
        <f t="shared" si="1104"/>
        <v>0</v>
      </c>
      <c r="W467" s="214">
        <f t="shared" si="1104"/>
        <v>0</v>
      </c>
      <c r="X467" s="214">
        <f t="shared" si="1104"/>
        <v>0</v>
      </c>
      <c r="Y467" s="214">
        <f t="shared" si="1104"/>
        <v>0</v>
      </c>
      <c r="Z467" s="214">
        <f t="shared" si="1104"/>
        <v>0</v>
      </c>
      <c r="AA467" s="214">
        <f t="shared" si="1104"/>
        <v>0</v>
      </c>
      <c r="AB467" s="214">
        <f t="shared" si="1104"/>
        <v>0</v>
      </c>
      <c r="AC467" s="214">
        <f t="shared" si="1104"/>
        <v>0</v>
      </c>
      <c r="AD467" s="214">
        <f t="shared" si="1104"/>
        <v>0</v>
      </c>
      <c r="AE467" s="214">
        <f t="shared" si="1104"/>
        <v>0</v>
      </c>
      <c r="AF467" s="214">
        <f t="shared" si="1104"/>
        <v>0</v>
      </c>
      <c r="AG467" s="214">
        <f t="shared" si="1104"/>
        <v>0</v>
      </c>
      <c r="AH467" s="214"/>
      <c r="AI467" s="214"/>
      <c r="AJ467" s="13"/>
      <c r="AK467" s="13"/>
      <c r="AL467" s="13"/>
      <c r="AM467" s="13"/>
      <c r="AN467" s="13"/>
      <c r="AO467" s="214">
        <f t="shared" ref="AO467:AX467" si="1105">SUM(AO463:AO466)</f>
        <v>0</v>
      </c>
      <c r="AP467" s="214">
        <f t="shared" si="1105"/>
        <v>0</v>
      </c>
      <c r="AQ467" s="214">
        <f t="shared" si="1105"/>
        <v>0</v>
      </c>
      <c r="AR467" s="214">
        <f t="shared" si="1105"/>
        <v>0</v>
      </c>
      <c r="AS467" s="214">
        <f t="shared" si="1105"/>
        <v>0</v>
      </c>
      <c r="AT467" s="214">
        <f t="shared" si="1105"/>
        <v>0</v>
      </c>
      <c r="AU467" s="214">
        <f t="shared" si="1105"/>
        <v>0</v>
      </c>
      <c r="AV467" s="214">
        <f t="shared" si="1105"/>
        <v>0</v>
      </c>
      <c r="AW467" s="214">
        <f t="shared" si="1105"/>
        <v>0</v>
      </c>
      <c r="AX467" s="214">
        <f t="shared" si="1105"/>
        <v>0</v>
      </c>
      <c r="AY467" s="426"/>
      <c r="AZ467" s="214"/>
      <c r="BA467" s="415">
        <v>0</v>
      </c>
      <c r="BB467" s="320">
        <f>SUM(BB463:BB466)</f>
        <v>0</v>
      </c>
      <c r="BC467" s="416">
        <f>SUM(BC463:BC466)</f>
        <v>0</v>
      </c>
      <c r="BD467" s="345"/>
    </row>
    <row r="468" ht="16.5" customHeight="1" spans="1:56">
      <c r="A468" s="13"/>
      <c r="B468" s="13"/>
      <c r="C468" s="13"/>
      <c r="D468" s="13"/>
      <c r="E468" s="13"/>
      <c r="F468" s="13"/>
      <c r="G468" s="13"/>
      <c r="H468" s="13"/>
      <c r="I468" s="13"/>
      <c r="J468" s="13"/>
      <c r="K468" s="13"/>
      <c r="L468" s="13"/>
      <c r="M468" s="13"/>
      <c r="N468" s="13"/>
      <c r="O468" s="13"/>
      <c r="P468" s="13"/>
      <c r="Q468" s="13"/>
      <c r="R468" s="213" t="s">
        <v>3495</v>
      </c>
      <c r="S468" s="58">
        <f t="shared" ref="S468:AG468" si="1106">S462-S463</f>
        <v>0</v>
      </c>
      <c r="T468" s="58">
        <f t="shared" si="1106"/>
        <v>0</v>
      </c>
      <c r="U468" s="319">
        <f t="shared" si="1106"/>
        <v>0</v>
      </c>
      <c r="V468" s="58">
        <f t="shared" si="1106"/>
        <v>0</v>
      </c>
      <c r="W468" s="58">
        <f t="shared" si="1106"/>
        <v>0</v>
      </c>
      <c r="X468" s="58">
        <f t="shared" si="1106"/>
        <v>0</v>
      </c>
      <c r="Y468" s="58">
        <f t="shared" si="1106"/>
        <v>0</v>
      </c>
      <c r="Z468" s="58">
        <f t="shared" si="1106"/>
        <v>0</v>
      </c>
      <c r="AA468" s="58">
        <f t="shared" si="1106"/>
        <v>0</v>
      </c>
      <c r="AB468" s="58">
        <f t="shared" si="1106"/>
        <v>0</v>
      </c>
      <c r="AC468" s="58">
        <f t="shared" si="1106"/>
        <v>0</v>
      </c>
      <c r="AD468" s="58">
        <f t="shared" si="1106"/>
        <v>0</v>
      </c>
      <c r="AE468" s="58">
        <f t="shared" si="1106"/>
        <v>0</v>
      </c>
      <c r="AF468" s="58">
        <f t="shared" si="1106"/>
        <v>0</v>
      </c>
      <c r="AG468" s="58">
        <f t="shared" si="1106"/>
        <v>0</v>
      </c>
      <c r="AH468" s="332"/>
      <c r="AI468" s="332"/>
      <c r="AJ468" s="13"/>
      <c r="AK468" s="13"/>
      <c r="AL468" s="13"/>
      <c r="AM468" s="13"/>
      <c r="AN468" s="13"/>
      <c r="AO468" s="58">
        <f t="shared" ref="AO468:AZ468" si="1107">AO462-AO463</f>
        <v>0</v>
      </c>
      <c r="AP468" s="58">
        <f t="shared" si="1107"/>
        <v>0</v>
      </c>
      <c r="AQ468" s="58">
        <f t="shared" si="1107"/>
        <v>0</v>
      </c>
      <c r="AR468" s="58">
        <f t="shared" si="1107"/>
        <v>0</v>
      </c>
      <c r="AS468" s="58">
        <f t="shared" si="1107"/>
        <v>0</v>
      </c>
      <c r="AT468" s="58">
        <f t="shared" si="1107"/>
        <v>0</v>
      </c>
      <c r="AU468" s="58">
        <f t="shared" si="1107"/>
        <v>0</v>
      </c>
      <c r="AV468" s="58">
        <f t="shared" si="1107"/>
        <v>0</v>
      </c>
      <c r="AW468" s="58">
        <f t="shared" si="1107"/>
        <v>0</v>
      </c>
      <c r="AX468" s="58">
        <f t="shared" si="1107"/>
        <v>0</v>
      </c>
      <c r="AY468" s="426">
        <f t="shared" si="1107"/>
        <v>0</v>
      </c>
      <c r="AZ468" s="58">
        <f t="shared" si="1107"/>
        <v>0</v>
      </c>
      <c r="BA468" s="417"/>
      <c r="BB468" s="320"/>
      <c r="BC468" s="423"/>
      <c r="BD468" s="259"/>
    </row>
    <row r="469" ht="16.5" customHeight="1" spans="1:56">
      <c r="A469" s="13"/>
      <c r="B469" s="13"/>
      <c r="C469" s="13"/>
      <c r="D469" s="13"/>
      <c r="E469" s="13"/>
      <c r="F469" s="13"/>
      <c r="G469" s="13"/>
      <c r="H469" s="13"/>
      <c r="I469" s="13"/>
      <c r="J469" s="13"/>
      <c r="K469" s="13"/>
      <c r="L469" s="13"/>
      <c r="M469" s="13"/>
      <c r="N469" s="13"/>
      <c r="O469" s="13"/>
      <c r="P469" s="13"/>
      <c r="Q469" s="13"/>
      <c r="R469" s="321" t="s">
        <v>3496</v>
      </c>
      <c r="S469" s="61" t="e">
        <f t="shared" ref="S469:AG469" si="1108">S468/S462</f>
        <v>#DIV/0!</v>
      </c>
      <c r="T469" s="61" t="e">
        <f t="shared" si="1108"/>
        <v>#DIV/0!</v>
      </c>
      <c r="U469" s="322" t="e">
        <f t="shared" si="1108"/>
        <v>#DIV/0!</v>
      </c>
      <c r="V469" s="61" t="e">
        <f t="shared" si="1108"/>
        <v>#DIV/0!</v>
      </c>
      <c r="W469" s="61" t="e">
        <f t="shared" si="1108"/>
        <v>#DIV/0!</v>
      </c>
      <c r="X469" s="61" t="e">
        <f t="shared" si="1108"/>
        <v>#DIV/0!</v>
      </c>
      <c r="Y469" s="61" t="e">
        <f t="shared" si="1108"/>
        <v>#DIV/0!</v>
      </c>
      <c r="Z469" s="61" t="e">
        <f t="shared" si="1108"/>
        <v>#DIV/0!</v>
      </c>
      <c r="AA469" s="61" t="e">
        <f t="shared" si="1108"/>
        <v>#DIV/0!</v>
      </c>
      <c r="AB469" s="61" t="e">
        <f t="shared" si="1108"/>
        <v>#DIV/0!</v>
      </c>
      <c r="AC469" s="61" t="e">
        <f t="shared" si="1108"/>
        <v>#DIV/0!</v>
      </c>
      <c r="AD469" s="61" t="e">
        <f t="shared" si="1108"/>
        <v>#DIV/0!</v>
      </c>
      <c r="AE469" s="61" t="e">
        <f t="shared" si="1108"/>
        <v>#DIV/0!</v>
      </c>
      <c r="AF469" s="61" t="e">
        <f t="shared" si="1108"/>
        <v>#DIV/0!</v>
      </c>
      <c r="AG469" s="61" t="e">
        <f t="shared" si="1108"/>
        <v>#DIV/0!</v>
      </c>
      <c r="AH469" s="82">
        <v>-0.547493961312651</v>
      </c>
      <c r="AI469" s="82" t="e">
        <f>AF469-S469</f>
        <v>#DIV/0!</v>
      </c>
      <c r="AJ469" s="13"/>
      <c r="AK469" s="13"/>
      <c r="AL469" s="13"/>
      <c r="AM469" s="13"/>
      <c r="AN469" s="13"/>
      <c r="AO469" s="61" t="e">
        <f t="shared" ref="AO469:AZ469" si="1109">AO468/AO462</f>
        <v>#DIV/0!</v>
      </c>
      <c r="AP469" s="61" t="e">
        <f t="shared" si="1109"/>
        <v>#DIV/0!</v>
      </c>
      <c r="AQ469" s="61" t="e">
        <f t="shared" si="1109"/>
        <v>#DIV/0!</v>
      </c>
      <c r="AR469" s="61" t="e">
        <f t="shared" si="1109"/>
        <v>#DIV/0!</v>
      </c>
      <c r="AS469" s="61" t="e">
        <f t="shared" si="1109"/>
        <v>#DIV/0!</v>
      </c>
      <c r="AT469" s="61" t="e">
        <f t="shared" si="1109"/>
        <v>#DIV/0!</v>
      </c>
      <c r="AU469" s="61" t="e">
        <f t="shared" si="1109"/>
        <v>#DIV/0!</v>
      </c>
      <c r="AV469" s="61" t="e">
        <f t="shared" si="1109"/>
        <v>#DIV/0!</v>
      </c>
      <c r="AW469" s="61" t="e">
        <f t="shared" si="1109"/>
        <v>#DIV/0!</v>
      </c>
      <c r="AX469" s="61" t="e">
        <f t="shared" si="1109"/>
        <v>#DIV/0!</v>
      </c>
      <c r="AY469" s="426" t="e">
        <f t="shared" si="1109"/>
        <v>#DIV/0!</v>
      </c>
      <c r="AZ469" s="61" t="e">
        <f t="shared" si="1109"/>
        <v>#DIV/0!</v>
      </c>
      <c r="BA469" s="418"/>
      <c r="BB469" s="403"/>
      <c r="BC469" s="423"/>
      <c r="BD469" s="259"/>
    </row>
    <row r="470" ht="16.5" customHeight="1" spans="1:56">
      <c r="A470" s="13"/>
      <c r="B470" s="13"/>
      <c r="C470" s="13"/>
      <c r="D470" s="13"/>
      <c r="E470" s="13"/>
      <c r="F470" s="13"/>
      <c r="G470" s="13"/>
      <c r="H470" s="13"/>
      <c r="I470" s="13"/>
      <c r="J470" s="13"/>
      <c r="K470" s="13"/>
      <c r="L470" s="13"/>
      <c r="M470" s="13"/>
      <c r="N470" s="13"/>
      <c r="O470" s="13"/>
      <c r="P470" s="13"/>
      <c r="Q470" s="13"/>
      <c r="R470" s="213" t="s">
        <v>3497</v>
      </c>
      <c r="S470" s="58">
        <f t="shared" ref="S470:AG470" si="1110">S462-S467</f>
        <v>0</v>
      </c>
      <c r="T470" s="58">
        <f t="shared" si="1110"/>
        <v>0</v>
      </c>
      <c r="U470" s="58">
        <f t="shared" si="1110"/>
        <v>0</v>
      </c>
      <c r="V470" s="58">
        <f t="shared" si="1110"/>
        <v>0</v>
      </c>
      <c r="W470" s="58">
        <f t="shared" si="1110"/>
        <v>0</v>
      </c>
      <c r="X470" s="58">
        <f t="shared" si="1110"/>
        <v>0</v>
      </c>
      <c r="Y470" s="58">
        <f t="shared" si="1110"/>
        <v>0</v>
      </c>
      <c r="Z470" s="58">
        <f t="shared" si="1110"/>
        <v>0</v>
      </c>
      <c r="AA470" s="58">
        <f t="shared" si="1110"/>
        <v>0</v>
      </c>
      <c r="AB470" s="58">
        <f t="shared" si="1110"/>
        <v>0</v>
      </c>
      <c r="AC470" s="58">
        <f t="shared" si="1110"/>
        <v>0</v>
      </c>
      <c r="AD470" s="58">
        <f t="shared" si="1110"/>
        <v>0</v>
      </c>
      <c r="AE470" s="58">
        <f t="shared" si="1110"/>
        <v>0</v>
      </c>
      <c r="AF470" s="58">
        <f t="shared" si="1110"/>
        <v>0</v>
      </c>
      <c r="AG470" s="58">
        <f t="shared" si="1110"/>
        <v>0</v>
      </c>
      <c r="AH470" s="82"/>
      <c r="AI470" s="82"/>
      <c r="AJ470" s="13"/>
      <c r="AK470" s="13"/>
      <c r="AL470" s="13"/>
      <c r="AM470" s="13"/>
      <c r="AN470" s="13"/>
      <c r="AO470" s="58">
        <f t="shared" ref="AO470:BC470" si="1111">AO462-AO467</f>
        <v>0</v>
      </c>
      <c r="AP470" s="58">
        <f t="shared" si="1111"/>
        <v>0</v>
      </c>
      <c r="AQ470" s="58">
        <f t="shared" si="1111"/>
        <v>0</v>
      </c>
      <c r="AR470" s="58">
        <f t="shared" si="1111"/>
        <v>0</v>
      </c>
      <c r="AS470" s="58">
        <f t="shared" si="1111"/>
        <v>0</v>
      </c>
      <c r="AT470" s="58">
        <f t="shared" si="1111"/>
        <v>0</v>
      </c>
      <c r="AU470" s="58">
        <f t="shared" si="1111"/>
        <v>0</v>
      </c>
      <c r="AV470" s="58">
        <f t="shared" si="1111"/>
        <v>0</v>
      </c>
      <c r="AW470" s="58">
        <f t="shared" si="1111"/>
        <v>0</v>
      </c>
      <c r="AX470" s="58">
        <f t="shared" si="1111"/>
        <v>0</v>
      </c>
      <c r="AY470" s="58">
        <f t="shared" si="1111"/>
        <v>0</v>
      </c>
      <c r="AZ470" s="58">
        <f t="shared" si="1111"/>
        <v>0</v>
      </c>
      <c r="BA470" s="58">
        <f t="shared" si="1111"/>
        <v>0</v>
      </c>
      <c r="BB470" s="58">
        <f t="shared" si="1111"/>
        <v>0</v>
      </c>
      <c r="BC470" s="58">
        <f t="shared" si="1111"/>
        <v>0</v>
      </c>
      <c r="BD470" s="259"/>
    </row>
    <row r="471" ht="16.5" customHeight="1" spans="1:56">
      <c r="A471" s="14"/>
      <c r="B471" s="14"/>
      <c r="C471" s="14"/>
      <c r="D471" s="14"/>
      <c r="E471" s="14"/>
      <c r="F471" s="14"/>
      <c r="G471" s="14"/>
      <c r="H471" s="14"/>
      <c r="I471" s="14"/>
      <c r="J471" s="14"/>
      <c r="K471" s="14"/>
      <c r="L471" s="14"/>
      <c r="M471" s="14"/>
      <c r="N471" s="14"/>
      <c r="O471" s="14"/>
      <c r="P471" s="14"/>
      <c r="Q471" s="14"/>
      <c r="R471" s="321" t="s">
        <v>3498</v>
      </c>
      <c r="S471" s="61" t="e">
        <f t="shared" ref="S471:AG471" si="1112">S470/S462</f>
        <v>#DIV/0!</v>
      </c>
      <c r="T471" s="61" t="e">
        <f t="shared" si="1112"/>
        <v>#DIV/0!</v>
      </c>
      <c r="U471" s="322" t="e">
        <f t="shared" si="1112"/>
        <v>#DIV/0!</v>
      </c>
      <c r="V471" s="61" t="e">
        <f t="shared" si="1112"/>
        <v>#DIV/0!</v>
      </c>
      <c r="W471" s="61" t="e">
        <f t="shared" si="1112"/>
        <v>#DIV/0!</v>
      </c>
      <c r="X471" s="61" t="e">
        <f t="shared" si="1112"/>
        <v>#DIV/0!</v>
      </c>
      <c r="Y471" s="61" t="e">
        <f t="shared" si="1112"/>
        <v>#DIV/0!</v>
      </c>
      <c r="Z471" s="61" t="e">
        <f t="shared" si="1112"/>
        <v>#DIV/0!</v>
      </c>
      <c r="AA471" s="61" t="e">
        <f t="shared" si="1112"/>
        <v>#DIV/0!</v>
      </c>
      <c r="AB471" s="61" t="e">
        <f t="shared" si="1112"/>
        <v>#DIV/0!</v>
      </c>
      <c r="AC471" s="61" t="e">
        <f t="shared" si="1112"/>
        <v>#DIV/0!</v>
      </c>
      <c r="AD471" s="61" t="e">
        <f t="shared" si="1112"/>
        <v>#DIV/0!</v>
      </c>
      <c r="AE471" s="61" t="e">
        <f t="shared" si="1112"/>
        <v>#DIV/0!</v>
      </c>
      <c r="AF471" s="61" t="e">
        <f t="shared" si="1112"/>
        <v>#DIV/0!</v>
      </c>
      <c r="AG471" s="61" t="e">
        <f t="shared" si="1112"/>
        <v>#DIV/0!</v>
      </c>
      <c r="AH471" s="82">
        <v>-0.162753720931157</v>
      </c>
      <c r="AI471" s="82" t="e">
        <f>AF471-S471</f>
        <v>#DIV/0!</v>
      </c>
      <c r="AJ471" s="14"/>
      <c r="AK471" s="14"/>
      <c r="AL471" s="14"/>
      <c r="AM471" s="14"/>
      <c r="AN471" s="14"/>
      <c r="AO471" s="61" t="e">
        <f t="shared" ref="AO471:AZ471" si="1113">AO470/AO462</f>
        <v>#DIV/0!</v>
      </c>
      <c r="AP471" s="61" t="e">
        <f t="shared" si="1113"/>
        <v>#DIV/0!</v>
      </c>
      <c r="AQ471" s="61" t="e">
        <f t="shared" si="1113"/>
        <v>#DIV/0!</v>
      </c>
      <c r="AR471" s="61" t="e">
        <f t="shared" si="1113"/>
        <v>#DIV/0!</v>
      </c>
      <c r="AS471" s="61" t="e">
        <f t="shared" si="1113"/>
        <v>#DIV/0!</v>
      </c>
      <c r="AT471" s="61" t="e">
        <f t="shared" si="1113"/>
        <v>#DIV/0!</v>
      </c>
      <c r="AU471" s="61" t="e">
        <f t="shared" si="1113"/>
        <v>#DIV/0!</v>
      </c>
      <c r="AV471" s="61" t="e">
        <f t="shared" si="1113"/>
        <v>#DIV/0!</v>
      </c>
      <c r="AW471" s="61" t="e">
        <f t="shared" si="1113"/>
        <v>#DIV/0!</v>
      </c>
      <c r="AX471" s="61" t="e">
        <f t="shared" si="1113"/>
        <v>#DIV/0!</v>
      </c>
      <c r="AY471" s="426" t="e">
        <f t="shared" si="1113"/>
        <v>#DIV/0!</v>
      </c>
      <c r="AZ471" s="61" t="e">
        <f t="shared" si="1113"/>
        <v>#DIV/0!</v>
      </c>
      <c r="BA471" s="418"/>
      <c r="BB471" s="403"/>
      <c r="BC471" s="423"/>
      <c r="BD471" s="259"/>
    </row>
  </sheetData>
  <autoFilter xmlns:etc="http://www.wps.cn/officeDocument/2017/etCustomData" ref="A1:BR471" etc:filterBottomFollowUsedRange="0">
    <extLst/>
  </autoFilter>
  <mergeCells count="1033">
    <mergeCell ref="A2:A11"/>
    <mergeCell ref="A12:A21"/>
    <mergeCell ref="A22:A31"/>
    <mergeCell ref="A32:A41"/>
    <mergeCell ref="A42:A51"/>
    <mergeCell ref="A52:A61"/>
    <mergeCell ref="A62:A71"/>
    <mergeCell ref="A72:A81"/>
    <mergeCell ref="A82:A91"/>
    <mergeCell ref="A92:A101"/>
    <mergeCell ref="A102:A111"/>
    <mergeCell ref="A112:A121"/>
    <mergeCell ref="A122:A131"/>
    <mergeCell ref="A132:A141"/>
    <mergeCell ref="A142:A151"/>
    <mergeCell ref="A152:A161"/>
    <mergeCell ref="A162:A171"/>
    <mergeCell ref="A172:A181"/>
    <mergeCell ref="A182:A191"/>
    <mergeCell ref="A192:A201"/>
    <mergeCell ref="A202:A211"/>
    <mergeCell ref="A212:A221"/>
    <mergeCell ref="A222:A231"/>
    <mergeCell ref="A232:A241"/>
    <mergeCell ref="A242:A251"/>
    <mergeCell ref="A252:A261"/>
    <mergeCell ref="A262:A271"/>
    <mergeCell ref="A272:A281"/>
    <mergeCell ref="A282:A291"/>
    <mergeCell ref="A292:A301"/>
    <mergeCell ref="A302:A311"/>
    <mergeCell ref="A312:A321"/>
    <mergeCell ref="A322:A331"/>
    <mergeCell ref="A332:A341"/>
    <mergeCell ref="A342:A351"/>
    <mergeCell ref="A352:A361"/>
    <mergeCell ref="A362:A371"/>
    <mergeCell ref="A372:A381"/>
    <mergeCell ref="A382:A391"/>
    <mergeCell ref="A392:A401"/>
    <mergeCell ref="A402:A411"/>
    <mergeCell ref="A412:A421"/>
    <mergeCell ref="A422:A431"/>
    <mergeCell ref="A432:A441"/>
    <mergeCell ref="A442:A451"/>
    <mergeCell ref="A452:A461"/>
    <mergeCell ref="A462:A471"/>
    <mergeCell ref="B2:B11"/>
    <mergeCell ref="B12:B21"/>
    <mergeCell ref="B22:B31"/>
    <mergeCell ref="B32:B41"/>
    <mergeCell ref="B42:B51"/>
    <mergeCell ref="B52:B61"/>
    <mergeCell ref="B62:B71"/>
    <mergeCell ref="B72:B81"/>
    <mergeCell ref="B82:B91"/>
    <mergeCell ref="B92:B101"/>
    <mergeCell ref="B102:B111"/>
    <mergeCell ref="B112:B121"/>
    <mergeCell ref="B122:B131"/>
    <mergeCell ref="B132:B141"/>
    <mergeCell ref="B142:B151"/>
    <mergeCell ref="B152:B161"/>
    <mergeCell ref="B162:B171"/>
    <mergeCell ref="B172:B181"/>
    <mergeCell ref="B182:B191"/>
    <mergeCell ref="B192:B201"/>
    <mergeCell ref="B202:B211"/>
    <mergeCell ref="B212:B221"/>
    <mergeCell ref="B222:B231"/>
    <mergeCell ref="B232:B241"/>
    <mergeCell ref="B242:B251"/>
    <mergeCell ref="B252:B261"/>
    <mergeCell ref="B262:B271"/>
    <mergeCell ref="B272:B281"/>
    <mergeCell ref="B282:B291"/>
    <mergeCell ref="B292:B301"/>
    <mergeCell ref="B302:B311"/>
    <mergeCell ref="B312:B321"/>
    <mergeCell ref="B322:B331"/>
    <mergeCell ref="B332:B341"/>
    <mergeCell ref="B342:B351"/>
    <mergeCell ref="B352:B361"/>
    <mergeCell ref="B362:B371"/>
    <mergeCell ref="B372:B381"/>
    <mergeCell ref="B382:B391"/>
    <mergeCell ref="B392:B401"/>
    <mergeCell ref="B402:B411"/>
    <mergeCell ref="B412:B421"/>
    <mergeCell ref="B422:B431"/>
    <mergeCell ref="B432:B441"/>
    <mergeCell ref="B442:B451"/>
    <mergeCell ref="B452:B461"/>
    <mergeCell ref="B462:B471"/>
    <mergeCell ref="C2:C11"/>
    <mergeCell ref="C12:C21"/>
    <mergeCell ref="C22:C31"/>
    <mergeCell ref="C32:C41"/>
    <mergeCell ref="C42:C51"/>
    <mergeCell ref="C52:C61"/>
    <mergeCell ref="C62:C71"/>
    <mergeCell ref="C72:C81"/>
    <mergeCell ref="C82:C91"/>
    <mergeCell ref="C92:C101"/>
    <mergeCell ref="C102:C111"/>
    <mergeCell ref="C112:C121"/>
    <mergeCell ref="C122:C131"/>
    <mergeCell ref="C132:C141"/>
    <mergeCell ref="C142:C151"/>
    <mergeCell ref="C152:C161"/>
    <mergeCell ref="C162:C171"/>
    <mergeCell ref="C172:C181"/>
    <mergeCell ref="C182:C191"/>
    <mergeCell ref="C192:C201"/>
    <mergeCell ref="C202:C211"/>
    <mergeCell ref="C212:C221"/>
    <mergeCell ref="C222:C231"/>
    <mergeCell ref="C232:C241"/>
    <mergeCell ref="C242:C251"/>
    <mergeCell ref="C252:C261"/>
    <mergeCell ref="C262:C271"/>
    <mergeCell ref="C272:C281"/>
    <mergeCell ref="C282:C291"/>
    <mergeCell ref="C292:C301"/>
    <mergeCell ref="C302:C311"/>
    <mergeCell ref="C312:C321"/>
    <mergeCell ref="C322:C331"/>
    <mergeCell ref="C332:C341"/>
    <mergeCell ref="C342:C351"/>
    <mergeCell ref="C352:C361"/>
    <mergeCell ref="C362:C371"/>
    <mergeCell ref="C372:C381"/>
    <mergeCell ref="C382:C391"/>
    <mergeCell ref="C392:C401"/>
    <mergeCell ref="C402:C411"/>
    <mergeCell ref="C412:C421"/>
    <mergeCell ref="C422:C431"/>
    <mergeCell ref="C432:C441"/>
    <mergeCell ref="C442:C451"/>
    <mergeCell ref="C452:C461"/>
    <mergeCell ref="C462:C471"/>
    <mergeCell ref="D2:D11"/>
    <mergeCell ref="D12:D21"/>
    <mergeCell ref="D22:D31"/>
    <mergeCell ref="D32:D41"/>
    <mergeCell ref="D42:D51"/>
    <mergeCell ref="D52:D61"/>
    <mergeCell ref="D62:D71"/>
    <mergeCell ref="D72:D81"/>
    <mergeCell ref="D82:D91"/>
    <mergeCell ref="D92:D101"/>
    <mergeCell ref="D102:D111"/>
    <mergeCell ref="D112:D121"/>
    <mergeCell ref="D122:D131"/>
    <mergeCell ref="D132:D141"/>
    <mergeCell ref="D142:D151"/>
    <mergeCell ref="D152:D161"/>
    <mergeCell ref="D162:D171"/>
    <mergeCell ref="D172:D181"/>
    <mergeCell ref="D182:D191"/>
    <mergeCell ref="D192:D201"/>
    <mergeCell ref="D202:D211"/>
    <mergeCell ref="D212:D221"/>
    <mergeCell ref="D222:D231"/>
    <mergeCell ref="D232:D241"/>
    <mergeCell ref="D242:D251"/>
    <mergeCell ref="D252:D261"/>
    <mergeCell ref="D262:D271"/>
    <mergeCell ref="D272:D281"/>
    <mergeCell ref="D282:D291"/>
    <mergeCell ref="D292:D301"/>
    <mergeCell ref="D302:D311"/>
    <mergeCell ref="D312:D321"/>
    <mergeCell ref="D322:D331"/>
    <mergeCell ref="D332:D341"/>
    <mergeCell ref="D342:D351"/>
    <mergeCell ref="D352:D361"/>
    <mergeCell ref="D362:D371"/>
    <mergeCell ref="D372:D381"/>
    <mergeCell ref="D382:D391"/>
    <mergeCell ref="D392:D401"/>
    <mergeCell ref="D402:D411"/>
    <mergeCell ref="D412:D421"/>
    <mergeCell ref="D422:D431"/>
    <mergeCell ref="D432:D441"/>
    <mergeCell ref="D442:D451"/>
    <mergeCell ref="D452:D461"/>
    <mergeCell ref="D462:D471"/>
    <mergeCell ref="E2:E11"/>
    <mergeCell ref="E12:E21"/>
    <mergeCell ref="E22:E31"/>
    <mergeCell ref="E32:E41"/>
    <mergeCell ref="E42:E51"/>
    <mergeCell ref="E52:E61"/>
    <mergeCell ref="E62:E71"/>
    <mergeCell ref="E72:E81"/>
    <mergeCell ref="E82:E91"/>
    <mergeCell ref="E92:E101"/>
    <mergeCell ref="E102:E111"/>
    <mergeCell ref="E112:E121"/>
    <mergeCell ref="E122:E131"/>
    <mergeCell ref="E132:E141"/>
    <mergeCell ref="E142:E151"/>
    <mergeCell ref="E152:E161"/>
    <mergeCell ref="E162:E171"/>
    <mergeCell ref="E172:E181"/>
    <mergeCell ref="E182:E191"/>
    <mergeCell ref="E192:E201"/>
    <mergeCell ref="E202:E211"/>
    <mergeCell ref="E212:E221"/>
    <mergeCell ref="E222:E231"/>
    <mergeCell ref="E232:E241"/>
    <mergeCell ref="E242:E251"/>
    <mergeCell ref="E252:E261"/>
    <mergeCell ref="E262:E271"/>
    <mergeCell ref="E272:E281"/>
    <mergeCell ref="E282:E291"/>
    <mergeCell ref="E292:E301"/>
    <mergeCell ref="E302:E311"/>
    <mergeCell ref="E312:E321"/>
    <mergeCell ref="E322:E331"/>
    <mergeCell ref="E332:E341"/>
    <mergeCell ref="E342:E351"/>
    <mergeCell ref="E352:E361"/>
    <mergeCell ref="E362:E371"/>
    <mergeCell ref="E372:E381"/>
    <mergeCell ref="E382:E391"/>
    <mergeCell ref="E392:E401"/>
    <mergeCell ref="E402:E411"/>
    <mergeCell ref="E412:E421"/>
    <mergeCell ref="E422:E431"/>
    <mergeCell ref="E432:E441"/>
    <mergeCell ref="E442:E451"/>
    <mergeCell ref="E452:E461"/>
    <mergeCell ref="E462:E471"/>
    <mergeCell ref="F2:F11"/>
    <mergeCell ref="F12:F21"/>
    <mergeCell ref="F22:F31"/>
    <mergeCell ref="F32:F41"/>
    <mergeCell ref="F42:F51"/>
    <mergeCell ref="F52:F61"/>
    <mergeCell ref="F62:F71"/>
    <mergeCell ref="F72:F81"/>
    <mergeCell ref="F82:F91"/>
    <mergeCell ref="F92:F101"/>
    <mergeCell ref="F102:F111"/>
    <mergeCell ref="F112:F121"/>
    <mergeCell ref="F122:F131"/>
    <mergeCell ref="F132:F141"/>
    <mergeCell ref="F142:F151"/>
    <mergeCell ref="F152:F161"/>
    <mergeCell ref="F162:F171"/>
    <mergeCell ref="F172:F181"/>
    <mergeCell ref="F182:F191"/>
    <mergeCell ref="F192:F201"/>
    <mergeCell ref="F202:F211"/>
    <mergeCell ref="F212:F221"/>
    <mergeCell ref="F222:F231"/>
    <mergeCell ref="F232:F241"/>
    <mergeCell ref="F242:F251"/>
    <mergeCell ref="F252:F261"/>
    <mergeCell ref="F262:F271"/>
    <mergeCell ref="F272:F281"/>
    <mergeCell ref="F282:F291"/>
    <mergeCell ref="F292:F301"/>
    <mergeCell ref="F302:F311"/>
    <mergeCell ref="F312:F321"/>
    <mergeCell ref="F322:F331"/>
    <mergeCell ref="F332:F341"/>
    <mergeCell ref="F342:F351"/>
    <mergeCell ref="F352:F361"/>
    <mergeCell ref="F362:F371"/>
    <mergeCell ref="F372:F381"/>
    <mergeCell ref="F382:F391"/>
    <mergeCell ref="F392:F401"/>
    <mergeCell ref="F402:F411"/>
    <mergeCell ref="F412:F421"/>
    <mergeCell ref="F422:F431"/>
    <mergeCell ref="F432:F441"/>
    <mergeCell ref="F442:F451"/>
    <mergeCell ref="F452:F461"/>
    <mergeCell ref="F462:F471"/>
    <mergeCell ref="G2:G11"/>
    <mergeCell ref="G12:G21"/>
    <mergeCell ref="G22:G31"/>
    <mergeCell ref="G32:G41"/>
    <mergeCell ref="G42:G51"/>
    <mergeCell ref="G52:G61"/>
    <mergeCell ref="G62:G71"/>
    <mergeCell ref="G72:G81"/>
    <mergeCell ref="G82:G91"/>
    <mergeCell ref="G92:G101"/>
    <mergeCell ref="G102:G111"/>
    <mergeCell ref="G112:G121"/>
    <mergeCell ref="G122:G131"/>
    <mergeCell ref="G132:G141"/>
    <mergeCell ref="G142:G151"/>
    <mergeCell ref="G152:G161"/>
    <mergeCell ref="G162:G171"/>
    <mergeCell ref="G172:G181"/>
    <mergeCell ref="G182:G191"/>
    <mergeCell ref="G192:G201"/>
    <mergeCell ref="G202:G211"/>
    <mergeCell ref="G212:G221"/>
    <mergeCell ref="G222:G231"/>
    <mergeCell ref="G232:G241"/>
    <mergeCell ref="G242:G251"/>
    <mergeCell ref="G252:G261"/>
    <mergeCell ref="G262:G271"/>
    <mergeCell ref="G272:G281"/>
    <mergeCell ref="G282:G291"/>
    <mergeCell ref="G292:G301"/>
    <mergeCell ref="G302:G311"/>
    <mergeCell ref="G312:G321"/>
    <mergeCell ref="G322:G331"/>
    <mergeCell ref="G332:G341"/>
    <mergeCell ref="G342:G351"/>
    <mergeCell ref="G352:G361"/>
    <mergeCell ref="G362:G371"/>
    <mergeCell ref="G372:G381"/>
    <mergeCell ref="G382:G391"/>
    <mergeCell ref="G392:G401"/>
    <mergeCell ref="G402:G411"/>
    <mergeCell ref="G412:G421"/>
    <mergeCell ref="G422:G431"/>
    <mergeCell ref="G432:G441"/>
    <mergeCell ref="G442:G451"/>
    <mergeCell ref="G452:G461"/>
    <mergeCell ref="G462:G471"/>
    <mergeCell ref="H2:H11"/>
    <mergeCell ref="H12:H21"/>
    <mergeCell ref="H22:H31"/>
    <mergeCell ref="H32:H41"/>
    <mergeCell ref="H42:H51"/>
    <mergeCell ref="H52:H61"/>
    <mergeCell ref="H62:H71"/>
    <mergeCell ref="H72:H81"/>
    <mergeCell ref="H82:H91"/>
    <mergeCell ref="H92:H101"/>
    <mergeCell ref="H102:H111"/>
    <mergeCell ref="H112:H121"/>
    <mergeCell ref="H122:H131"/>
    <mergeCell ref="H132:H141"/>
    <mergeCell ref="H142:H151"/>
    <mergeCell ref="H152:H161"/>
    <mergeCell ref="H162:H171"/>
    <mergeCell ref="H172:H181"/>
    <mergeCell ref="H182:H191"/>
    <mergeCell ref="H192:H201"/>
    <mergeCell ref="H202:H211"/>
    <mergeCell ref="H212:H221"/>
    <mergeCell ref="H222:H231"/>
    <mergeCell ref="H232:H241"/>
    <mergeCell ref="H242:H251"/>
    <mergeCell ref="H252:H261"/>
    <mergeCell ref="H262:H271"/>
    <mergeCell ref="H272:H281"/>
    <mergeCell ref="H282:H291"/>
    <mergeCell ref="H292:H301"/>
    <mergeCell ref="H302:H311"/>
    <mergeCell ref="H312:H321"/>
    <mergeCell ref="H322:H331"/>
    <mergeCell ref="H332:H341"/>
    <mergeCell ref="H342:H351"/>
    <mergeCell ref="H352:H361"/>
    <mergeCell ref="H362:H371"/>
    <mergeCell ref="H372:H381"/>
    <mergeCell ref="H382:H391"/>
    <mergeCell ref="H392:H401"/>
    <mergeCell ref="H402:H411"/>
    <mergeCell ref="H412:H421"/>
    <mergeCell ref="H422:H431"/>
    <mergeCell ref="H432:H441"/>
    <mergeCell ref="H442:H451"/>
    <mergeCell ref="H452:H461"/>
    <mergeCell ref="H462:H471"/>
    <mergeCell ref="I2:I11"/>
    <mergeCell ref="I12:I21"/>
    <mergeCell ref="I22:I31"/>
    <mergeCell ref="I32:I41"/>
    <mergeCell ref="I42:I51"/>
    <mergeCell ref="I52:I61"/>
    <mergeCell ref="I62:I71"/>
    <mergeCell ref="I72:I81"/>
    <mergeCell ref="I82:I91"/>
    <mergeCell ref="I92:I101"/>
    <mergeCell ref="I102:I111"/>
    <mergeCell ref="I112:I121"/>
    <mergeCell ref="I122:I131"/>
    <mergeCell ref="I132:I141"/>
    <mergeCell ref="I142:I151"/>
    <mergeCell ref="I152:I161"/>
    <mergeCell ref="I162:I171"/>
    <mergeCell ref="I172:I181"/>
    <mergeCell ref="I182:I191"/>
    <mergeCell ref="I192:I201"/>
    <mergeCell ref="I202:I211"/>
    <mergeCell ref="I212:I221"/>
    <mergeCell ref="I222:I231"/>
    <mergeCell ref="I232:I241"/>
    <mergeCell ref="I242:I251"/>
    <mergeCell ref="I252:I261"/>
    <mergeCell ref="I262:I271"/>
    <mergeCell ref="I272:I281"/>
    <mergeCell ref="I282:I291"/>
    <mergeCell ref="I292:I301"/>
    <mergeCell ref="I302:I311"/>
    <mergeCell ref="I312:I321"/>
    <mergeCell ref="I322:I331"/>
    <mergeCell ref="I332:I341"/>
    <mergeCell ref="I342:I351"/>
    <mergeCell ref="I352:I361"/>
    <mergeCell ref="I362:I371"/>
    <mergeCell ref="I372:I381"/>
    <mergeCell ref="I382:I391"/>
    <mergeCell ref="I392:I401"/>
    <mergeCell ref="I402:I411"/>
    <mergeCell ref="I412:I421"/>
    <mergeCell ref="I422:I431"/>
    <mergeCell ref="I432:I441"/>
    <mergeCell ref="I442:I451"/>
    <mergeCell ref="I452:I461"/>
    <mergeCell ref="I462:I471"/>
    <mergeCell ref="J2:J11"/>
    <mergeCell ref="J12:J21"/>
    <mergeCell ref="J22:J31"/>
    <mergeCell ref="J32:J41"/>
    <mergeCell ref="J42:J51"/>
    <mergeCell ref="J52:J61"/>
    <mergeCell ref="J62:J71"/>
    <mergeCell ref="J72:J81"/>
    <mergeCell ref="J82:J91"/>
    <mergeCell ref="J92:J101"/>
    <mergeCell ref="J102:J111"/>
    <mergeCell ref="J112:J121"/>
    <mergeCell ref="J122:J131"/>
    <mergeCell ref="J132:J141"/>
    <mergeCell ref="J142:J151"/>
    <mergeCell ref="J152:J161"/>
    <mergeCell ref="J162:J171"/>
    <mergeCell ref="J172:J181"/>
    <mergeCell ref="J182:J191"/>
    <mergeCell ref="J192:J201"/>
    <mergeCell ref="J202:J211"/>
    <mergeCell ref="J212:J221"/>
    <mergeCell ref="J222:J231"/>
    <mergeCell ref="J232:J241"/>
    <mergeCell ref="J242:J251"/>
    <mergeCell ref="J252:J261"/>
    <mergeCell ref="J262:J271"/>
    <mergeCell ref="J272:J281"/>
    <mergeCell ref="J282:J291"/>
    <mergeCell ref="J292:J301"/>
    <mergeCell ref="J302:J311"/>
    <mergeCell ref="J312:J321"/>
    <mergeCell ref="J322:J331"/>
    <mergeCell ref="J332:J341"/>
    <mergeCell ref="J342:J351"/>
    <mergeCell ref="J352:J361"/>
    <mergeCell ref="J362:J371"/>
    <mergeCell ref="J372:J381"/>
    <mergeCell ref="J382:J391"/>
    <mergeCell ref="J392:J401"/>
    <mergeCell ref="J402:J411"/>
    <mergeCell ref="J412:J421"/>
    <mergeCell ref="J422:J431"/>
    <mergeCell ref="J432:J441"/>
    <mergeCell ref="J442:J451"/>
    <mergeCell ref="J452:J461"/>
    <mergeCell ref="J462:J471"/>
    <mergeCell ref="K2:K11"/>
    <mergeCell ref="K12:K21"/>
    <mergeCell ref="K22:K31"/>
    <mergeCell ref="K32:K41"/>
    <mergeCell ref="K42:K51"/>
    <mergeCell ref="K52:K61"/>
    <mergeCell ref="K62:K71"/>
    <mergeCell ref="K72:K81"/>
    <mergeCell ref="K82:K91"/>
    <mergeCell ref="K92:K101"/>
    <mergeCell ref="K102:K111"/>
    <mergeCell ref="K112:K121"/>
    <mergeCell ref="K122:K131"/>
    <mergeCell ref="K132:K141"/>
    <mergeCell ref="K142:K151"/>
    <mergeCell ref="K152:K161"/>
    <mergeCell ref="K162:K171"/>
    <mergeCell ref="K172:K181"/>
    <mergeCell ref="K182:K191"/>
    <mergeCell ref="K192:K201"/>
    <mergeCell ref="K202:K211"/>
    <mergeCell ref="K212:K221"/>
    <mergeCell ref="K222:K231"/>
    <mergeCell ref="K232:K241"/>
    <mergeCell ref="K242:K251"/>
    <mergeCell ref="K252:K261"/>
    <mergeCell ref="K262:K271"/>
    <mergeCell ref="K272:K281"/>
    <mergeCell ref="K282:K291"/>
    <mergeCell ref="K292:K301"/>
    <mergeCell ref="K302:K311"/>
    <mergeCell ref="K312:K321"/>
    <mergeCell ref="K322:K331"/>
    <mergeCell ref="K332:K341"/>
    <mergeCell ref="K342:K351"/>
    <mergeCell ref="K352:K361"/>
    <mergeCell ref="K362:K371"/>
    <mergeCell ref="K372:K381"/>
    <mergeCell ref="K382:K391"/>
    <mergeCell ref="K392:K401"/>
    <mergeCell ref="K402:K411"/>
    <mergeCell ref="K412:K421"/>
    <mergeCell ref="K422:K431"/>
    <mergeCell ref="K432:K441"/>
    <mergeCell ref="K442:K451"/>
    <mergeCell ref="K452:K461"/>
    <mergeCell ref="K462:K471"/>
    <mergeCell ref="L2:L11"/>
    <mergeCell ref="L12:L21"/>
    <mergeCell ref="L22:L31"/>
    <mergeCell ref="L32:L41"/>
    <mergeCell ref="L42:L51"/>
    <mergeCell ref="L52:L61"/>
    <mergeCell ref="L62:L71"/>
    <mergeCell ref="L72:L81"/>
    <mergeCell ref="L82:L91"/>
    <mergeCell ref="L92:L101"/>
    <mergeCell ref="L102:L111"/>
    <mergeCell ref="L112:L121"/>
    <mergeCell ref="L122:L131"/>
    <mergeCell ref="L132:L141"/>
    <mergeCell ref="L142:L151"/>
    <mergeCell ref="L152:L161"/>
    <mergeCell ref="L162:L171"/>
    <mergeCell ref="L172:L181"/>
    <mergeCell ref="L182:L191"/>
    <mergeCell ref="L192:L201"/>
    <mergeCell ref="L202:L211"/>
    <mergeCell ref="L212:L221"/>
    <mergeCell ref="L222:L231"/>
    <mergeCell ref="L232:L241"/>
    <mergeCell ref="L242:L251"/>
    <mergeCell ref="L252:L261"/>
    <mergeCell ref="L262:L271"/>
    <mergeCell ref="L272:L281"/>
    <mergeCell ref="L282:L291"/>
    <mergeCell ref="L292:L301"/>
    <mergeCell ref="L302:L311"/>
    <mergeCell ref="L312:L321"/>
    <mergeCell ref="L322:L331"/>
    <mergeCell ref="L332:L341"/>
    <mergeCell ref="L342:L351"/>
    <mergeCell ref="L352:L361"/>
    <mergeCell ref="L362:L371"/>
    <mergeCell ref="L372:L381"/>
    <mergeCell ref="L382:L391"/>
    <mergeCell ref="L392:L401"/>
    <mergeCell ref="L402:L411"/>
    <mergeCell ref="L412:L421"/>
    <mergeCell ref="L422:L431"/>
    <mergeCell ref="L432:L441"/>
    <mergeCell ref="L442:L451"/>
    <mergeCell ref="L452:L461"/>
    <mergeCell ref="L462:L471"/>
    <mergeCell ref="M2:M11"/>
    <mergeCell ref="M12:M21"/>
    <mergeCell ref="M22:M31"/>
    <mergeCell ref="M32:M41"/>
    <mergeCell ref="M42:M51"/>
    <mergeCell ref="M52:M61"/>
    <mergeCell ref="M62:M71"/>
    <mergeCell ref="M72:M81"/>
    <mergeCell ref="M82:M91"/>
    <mergeCell ref="M92:M101"/>
    <mergeCell ref="M102:M111"/>
    <mergeCell ref="M112:M121"/>
    <mergeCell ref="M122:M131"/>
    <mergeCell ref="M132:M141"/>
    <mergeCell ref="M142:M151"/>
    <mergeCell ref="M152:M161"/>
    <mergeCell ref="M162:M171"/>
    <mergeCell ref="M172:M181"/>
    <mergeCell ref="M182:M191"/>
    <mergeCell ref="M192:M201"/>
    <mergeCell ref="M202:M211"/>
    <mergeCell ref="M212:M221"/>
    <mergeCell ref="M222:M231"/>
    <mergeCell ref="M232:M241"/>
    <mergeCell ref="M242:M251"/>
    <mergeCell ref="M252:M261"/>
    <mergeCell ref="M262:M271"/>
    <mergeCell ref="M272:M281"/>
    <mergeCell ref="M282:M291"/>
    <mergeCell ref="M292:M301"/>
    <mergeCell ref="M302:M311"/>
    <mergeCell ref="M312:M321"/>
    <mergeCell ref="M322:M331"/>
    <mergeCell ref="M332:M341"/>
    <mergeCell ref="M342:M351"/>
    <mergeCell ref="M352:M361"/>
    <mergeCell ref="M362:M371"/>
    <mergeCell ref="M372:M381"/>
    <mergeCell ref="M382:M391"/>
    <mergeCell ref="M392:M401"/>
    <mergeCell ref="M402:M411"/>
    <mergeCell ref="M412:M421"/>
    <mergeCell ref="M422:M431"/>
    <mergeCell ref="M432:M441"/>
    <mergeCell ref="M442:M451"/>
    <mergeCell ref="M452:M461"/>
    <mergeCell ref="M462:M471"/>
    <mergeCell ref="N2:N11"/>
    <mergeCell ref="N12:N21"/>
    <mergeCell ref="N22:N31"/>
    <mergeCell ref="N32:N41"/>
    <mergeCell ref="N42:N51"/>
    <mergeCell ref="N52:N61"/>
    <mergeCell ref="N62:N71"/>
    <mergeCell ref="N72:N81"/>
    <mergeCell ref="N82:N91"/>
    <mergeCell ref="N92:N101"/>
    <mergeCell ref="N102:N111"/>
    <mergeCell ref="N112:N121"/>
    <mergeCell ref="N122:N131"/>
    <mergeCell ref="N132:N141"/>
    <mergeCell ref="N142:N151"/>
    <mergeCell ref="N152:N161"/>
    <mergeCell ref="N162:N171"/>
    <mergeCell ref="N172:N181"/>
    <mergeCell ref="N182:N191"/>
    <mergeCell ref="N192:N201"/>
    <mergeCell ref="N202:N211"/>
    <mergeCell ref="N212:N221"/>
    <mergeCell ref="N222:N231"/>
    <mergeCell ref="N232:N241"/>
    <mergeCell ref="N242:N251"/>
    <mergeCell ref="N252:N261"/>
    <mergeCell ref="N262:N271"/>
    <mergeCell ref="N272:N281"/>
    <mergeCell ref="N282:N291"/>
    <mergeCell ref="N292:N301"/>
    <mergeCell ref="N302:N311"/>
    <mergeCell ref="N312:N321"/>
    <mergeCell ref="N322:N331"/>
    <mergeCell ref="N332:N341"/>
    <mergeCell ref="N342:N351"/>
    <mergeCell ref="N352:N361"/>
    <mergeCell ref="N362:N371"/>
    <mergeCell ref="N372:N381"/>
    <mergeCell ref="N382:N391"/>
    <mergeCell ref="N392:N401"/>
    <mergeCell ref="N402:N411"/>
    <mergeCell ref="N412:N421"/>
    <mergeCell ref="N422:N431"/>
    <mergeCell ref="N432:N441"/>
    <mergeCell ref="N442:N451"/>
    <mergeCell ref="N452:N461"/>
    <mergeCell ref="N462:N471"/>
    <mergeCell ref="O2:O11"/>
    <mergeCell ref="O12:O21"/>
    <mergeCell ref="O22:O31"/>
    <mergeCell ref="O32:O41"/>
    <mergeCell ref="O42:O51"/>
    <mergeCell ref="O52:O61"/>
    <mergeCell ref="O62:O71"/>
    <mergeCell ref="O72:O81"/>
    <mergeCell ref="O82:O91"/>
    <mergeCell ref="O92:O101"/>
    <mergeCell ref="O102:O111"/>
    <mergeCell ref="O112:O121"/>
    <mergeCell ref="O122:O131"/>
    <mergeCell ref="O132:O141"/>
    <mergeCell ref="O142:O151"/>
    <mergeCell ref="O152:O161"/>
    <mergeCell ref="O162:O171"/>
    <mergeCell ref="O172:O181"/>
    <mergeCell ref="O182:O191"/>
    <mergeCell ref="O192:O201"/>
    <mergeCell ref="O202:O211"/>
    <mergeCell ref="O212:O221"/>
    <mergeCell ref="O222:O231"/>
    <mergeCell ref="O232:O241"/>
    <mergeCell ref="O242:O251"/>
    <mergeCell ref="O252:O261"/>
    <mergeCell ref="O262:O271"/>
    <mergeCell ref="O272:O281"/>
    <mergeCell ref="O282:O291"/>
    <mergeCell ref="O292:O301"/>
    <mergeCell ref="O302:O311"/>
    <mergeCell ref="O312:O321"/>
    <mergeCell ref="O322:O331"/>
    <mergeCell ref="O332:O341"/>
    <mergeCell ref="O342:O351"/>
    <mergeCell ref="O352:O361"/>
    <mergeCell ref="O362:O371"/>
    <mergeCell ref="O372:O381"/>
    <mergeCell ref="O382:O391"/>
    <mergeCell ref="O392:O401"/>
    <mergeCell ref="O402:O411"/>
    <mergeCell ref="O412:O421"/>
    <mergeCell ref="O422:O431"/>
    <mergeCell ref="O432:O441"/>
    <mergeCell ref="O442:O451"/>
    <mergeCell ref="O452:O461"/>
    <mergeCell ref="O462:O471"/>
    <mergeCell ref="P2:P11"/>
    <mergeCell ref="P12:P21"/>
    <mergeCell ref="P22:P31"/>
    <mergeCell ref="P32:P41"/>
    <mergeCell ref="P42:P51"/>
    <mergeCell ref="P62:P71"/>
    <mergeCell ref="P72:P81"/>
    <mergeCell ref="P92:P101"/>
    <mergeCell ref="P132:P141"/>
    <mergeCell ref="P142:P151"/>
    <mergeCell ref="P162:P171"/>
    <mergeCell ref="P172:P181"/>
    <mergeCell ref="P182:P191"/>
    <mergeCell ref="P192:P201"/>
    <mergeCell ref="P202:P211"/>
    <mergeCell ref="P212:P221"/>
    <mergeCell ref="P222:P231"/>
    <mergeCell ref="P232:P241"/>
    <mergeCell ref="P242:P251"/>
    <mergeCell ref="P252:P261"/>
    <mergeCell ref="P262:P271"/>
    <mergeCell ref="P272:P281"/>
    <mergeCell ref="P282:P291"/>
    <mergeCell ref="P342:P351"/>
    <mergeCell ref="P352:P361"/>
    <mergeCell ref="P362:P371"/>
    <mergeCell ref="P372:P381"/>
    <mergeCell ref="P382:P391"/>
    <mergeCell ref="P392:P401"/>
    <mergeCell ref="P402:P411"/>
    <mergeCell ref="P412:P421"/>
    <mergeCell ref="P422:P431"/>
    <mergeCell ref="P432:P441"/>
    <mergeCell ref="P442:P451"/>
    <mergeCell ref="P452:P461"/>
    <mergeCell ref="P462:P471"/>
    <mergeCell ref="Q2:Q11"/>
    <mergeCell ref="Q12:Q21"/>
    <mergeCell ref="Q22:Q31"/>
    <mergeCell ref="Q32:Q41"/>
    <mergeCell ref="Q42:Q51"/>
    <mergeCell ref="Q52:Q61"/>
    <mergeCell ref="Q62:Q71"/>
    <mergeCell ref="Q72:Q81"/>
    <mergeCell ref="Q82:Q91"/>
    <mergeCell ref="Q92:Q101"/>
    <mergeCell ref="Q102:Q111"/>
    <mergeCell ref="Q112:Q121"/>
    <mergeCell ref="Q122:Q131"/>
    <mergeCell ref="Q132:Q141"/>
    <mergeCell ref="Q142:Q151"/>
    <mergeCell ref="Q152:Q161"/>
    <mergeCell ref="Q162:Q171"/>
    <mergeCell ref="Q172:Q181"/>
    <mergeCell ref="Q182:Q191"/>
    <mergeCell ref="Q192:Q201"/>
    <mergeCell ref="Q202:Q211"/>
    <mergeCell ref="Q212:Q221"/>
    <mergeCell ref="Q222:Q231"/>
    <mergeCell ref="Q232:Q241"/>
    <mergeCell ref="Q242:Q251"/>
    <mergeCell ref="Q252:Q261"/>
    <mergeCell ref="Q262:Q271"/>
    <mergeCell ref="Q272:Q281"/>
    <mergeCell ref="Q282:Q291"/>
    <mergeCell ref="Q292:Q301"/>
    <mergeCell ref="Q302:Q311"/>
    <mergeCell ref="Q312:Q321"/>
    <mergeCell ref="Q322:Q331"/>
    <mergeCell ref="Q332:Q341"/>
    <mergeCell ref="Q342:Q351"/>
    <mergeCell ref="Q352:Q361"/>
    <mergeCell ref="Q362:Q371"/>
    <mergeCell ref="Q372:Q381"/>
    <mergeCell ref="Q382:Q391"/>
    <mergeCell ref="Q392:Q401"/>
    <mergeCell ref="Q402:Q411"/>
    <mergeCell ref="Q412:Q421"/>
    <mergeCell ref="Q422:Q431"/>
    <mergeCell ref="Q432:Q441"/>
    <mergeCell ref="Q442:Q451"/>
    <mergeCell ref="Q452:Q461"/>
    <mergeCell ref="Q462:Q471"/>
    <mergeCell ref="AJ2:AJ11"/>
    <mergeCell ref="AJ12:AJ21"/>
    <mergeCell ref="AJ22:AJ31"/>
    <mergeCell ref="AJ32:AJ41"/>
    <mergeCell ref="AJ42:AJ51"/>
    <mergeCell ref="AJ52:AJ61"/>
    <mergeCell ref="AJ62:AJ71"/>
    <mergeCell ref="AJ72:AJ81"/>
    <mergeCell ref="AJ82:AJ91"/>
    <mergeCell ref="AJ92:AJ101"/>
    <mergeCell ref="AJ102:AJ111"/>
    <mergeCell ref="AJ112:AJ121"/>
    <mergeCell ref="AJ122:AJ131"/>
    <mergeCell ref="AJ132:AJ141"/>
    <mergeCell ref="AJ142:AJ151"/>
    <mergeCell ref="AJ152:AJ161"/>
    <mergeCell ref="AJ172:AJ181"/>
    <mergeCell ref="AJ182:AJ191"/>
    <mergeCell ref="AJ192:AJ201"/>
    <mergeCell ref="AJ202:AJ211"/>
    <mergeCell ref="AJ212:AJ221"/>
    <mergeCell ref="AJ222:AJ231"/>
    <mergeCell ref="AJ232:AJ241"/>
    <mergeCell ref="AJ242:AJ251"/>
    <mergeCell ref="AJ252:AJ261"/>
    <mergeCell ref="AJ262:AJ271"/>
    <mergeCell ref="AJ272:AJ281"/>
    <mergeCell ref="AJ282:AJ291"/>
    <mergeCell ref="AJ292:AJ301"/>
    <mergeCell ref="AJ302:AJ311"/>
    <mergeCell ref="AJ322:AJ331"/>
    <mergeCell ref="AJ332:AJ341"/>
    <mergeCell ref="AJ342:AJ351"/>
    <mergeCell ref="AJ352:AJ361"/>
    <mergeCell ref="AJ362:AJ371"/>
    <mergeCell ref="AJ372:AJ381"/>
    <mergeCell ref="AJ382:AJ391"/>
    <mergeCell ref="AJ392:AJ401"/>
    <mergeCell ref="AJ402:AJ411"/>
    <mergeCell ref="AJ412:AJ421"/>
    <mergeCell ref="AJ422:AJ431"/>
    <mergeCell ref="AJ432:AJ441"/>
    <mergeCell ref="AJ442:AJ451"/>
    <mergeCell ref="AJ452:AJ461"/>
    <mergeCell ref="AJ462:AJ471"/>
    <mergeCell ref="AK2:AK11"/>
    <mergeCell ref="AK12:AK21"/>
    <mergeCell ref="AK22:AK31"/>
    <mergeCell ref="AK32:AK41"/>
    <mergeCell ref="AK42:AK51"/>
    <mergeCell ref="AK52:AK61"/>
    <mergeCell ref="AK62:AK71"/>
    <mergeCell ref="AK72:AK81"/>
    <mergeCell ref="AK82:AK91"/>
    <mergeCell ref="AK92:AK101"/>
    <mergeCell ref="AK102:AK111"/>
    <mergeCell ref="AK112:AK121"/>
    <mergeCell ref="AK122:AK131"/>
    <mergeCell ref="AK132:AK141"/>
    <mergeCell ref="AK142:AK151"/>
    <mergeCell ref="AK152:AK161"/>
    <mergeCell ref="AK162:AK171"/>
    <mergeCell ref="AK172:AK181"/>
    <mergeCell ref="AK182:AK191"/>
    <mergeCell ref="AK192:AK201"/>
    <mergeCell ref="AK202:AK211"/>
    <mergeCell ref="AK212:AK221"/>
    <mergeCell ref="AK222:AK231"/>
    <mergeCell ref="AK232:AK241"/>
    <mergeCell ref="AK242:AK251"/>
    <mergeCell ref="AK252:AK261"/>
    <mergeCell ref="AK262:AK271"/>
    <mergeCell ref="AK272:AK281"/>
    <mergeCell ref="AK282:AK291"/>
    <mergeCell ref="AK292:AK301"/>
    <mergeCell ref="AK302:AK311"/>
    <mergeCell ref="AK322:AK331"/>
    <mergeCell ref="AK332:AK341"/>
    <mergeCell ref="AK342:AK351"/>
    <mergeCell ref="AK352:AK361"/>
    <mergeCell ref="AK362:AK371"/>
    <mergeCell ref="AK372:AK381"/>
    <mergeCell ref="AK382:AK391"/>
    <mergeCell ref="AK392:AK401"/>
    <mergeCell ref="AK402:AK411"/>
    <mergeCell ref="AK412:AK421"/>
    <mergeCell ref="AK422:AK431"/>
    <mergeCell ref="AK432:AK441"/>
    <mergeCell ref="AK442:AK451"/>
    <mergeCell ref="AK452:AK461"/>
    <mergeCell ref="AK462:AK471"/>
    <mergeCell ref="AL2:AL11"/>
    <mergeCell ref="AL12:AL21"/>
    <mergeCell ref="AL22:AL31"/>
    <mergeCell ref="AL32:AL41"/>
    <mergeCell ref="AL42:AL51"/>
    <mergeCell ref="AL52:AL61"/>
    <mergeCell ref="AL62:AL71"/>
    <mergeCell ref="AL72:AL81"/>
    <mergeCell ref="AL82:AL91"/>
    <mergeCell ref="AL92:AL101"/>
    <mergeCell ref="AL102:AL111"/>
    <mergeCell ref="AL112:AL121"/>
    <mergeCell ref="AL122:AL131"/>
    <mergeCell ref="AL132:AL141"/>
    <mergeCell ref="AL142:AL151"/>
    <mergeCell ref="AL152:AL161"/>
    <mergeCell ref="AL162:AL171"/>
    <mergeCell ref="AL172:AL181"/>
    <mergeCell ref="AL182:AL191"/>
    <mergeCell ref="AL192:AL201"/>
    <mergeCell ref="AL202:AL211"/>
    <mergeCell ref="AL212:AL221"/>
    <mergeCell ref="AL222:AL231"/>
    <mergeCell ref="AL232:AL241"/>
    <mergeCell ref="AL242:AL251"/>
    <mergeCell ref="AL252:AL261"/>
    <mergeCell ref="AL262:AL271"/>
    <mergeCell ref="AL272:AL281"/>
    <mergeCell ref="AL282:AL291"/>
    <mergeCell ref="AL292:AL301"/>
    <mergeCell ref="AL302:AL311"/>
    <mergeCell ref="AL322:AL331"/>
    <mergeCell ref="AL332:AL341"/>
    <mergeCell ref="AL342:AL351"/>
    <mergeCell ref="AL352:AL361"/>
    <mergeCell ref="AL362:AL371"/>
    <mergeCell ref="AL372:AL381"/>
    <mergeCell ref="AL382:AL391"/>
    <mergeCell ref="AL392:AL401"/>
    <mergeCell ref="AL402:AL411"/>
    <mergeCell ref="AL412:AL421"/>
    <mergeCell ref="AL422:AL431"/>
    <mergeCell ref="AL432:AL441"/>
    <mergeCell ref="AL442:AL451"/>
    <mergeCell ref="AL452:AL461"/>
    <mergeCell ref="AL462:AL471"/>
    <mergeCell ref="AM2:AM11"/>
    <mergeCell ref="AM12:AM21"/>
    <mergeCell ref="AM22:AM31"/>
    <mergeCell ref="AM32:AM41"/>
    <mergeCell ref="AM42:AM51"/>
    <mergeCell ref="AM52:AM61"/>
    <mergeCell ref="AM62:AM71"/>
    <mergeCell ref="AM72:AM81"/>
    <mergeCell ref="AM82:AM91"/>
    <mergeCell ref="AM92:AM101"/>
    <mergeCell ref="AM102:AM111"/>
    <mergeCell ref="AM112:AM121"/>
    <mergeCell ref="AM122:AM131"/>
    <mergeCell ref="AM132:AM141"/>
    <mergeCell ref="AM142:AM151"/>
    <mergeCell ref="AM152:AM161"/>
    <mergeCell ref="AM162:AM171"/>
    <mergeCell ref="AM172:AM181"/>
    <mergeCell ref="AM182:AM191"/>
    <mergeCell ref="AM192:AM201"/>
    <mergeCell ref="AM202:AM211"/>
    <mergeCell ref="AM212:AM221"/>
    <mergeCell ref="AM222:AM231"/>
    <mergeCell ref="AM232:AM241"/>
    <mergeCell ref="AM242:AM251"/>
    <mergeCell ref="AM252:AM261"/>
    <mergeCell ref="AM262:AM271"/>
    <mergeCell ref="AM272:AM281"/>
    <mergeCell ref="AM282:AM291"/>
    <mergeCell ref="AM292:AM301"/>
    <mergeCell ref="AM302:AM311"/>
    <mergeCell ref="AM322:AM331"/>
    <mergeCell ref="AM332:AM341"/>
    <mergeCell ref="AM342:AM351"/>
    <mergeCell ref="AM352:AM361"/>
    <mergeCell ref="AM362:AM371"/>
    <mergeCell ref="AM372:AM381"/>
    <mergeCell ref="AM382:AM391"/>
    <mergeCell ref="AM392:AM401"/>
    <mergeCell ref="AM402:AM411"/>
    <mergeCell ref="AM412:AM421"/>
    <mergeCell ref="AM422:AM431"/>
    <mergeCell ref="AM432:AM441"/>
    <mergeCell ref="AM442:AM451"/>
    <mergeCell ref="AM452:AM461"/>
    <mergeCell ref="AM462:AM471"/>
    <mergeCell ref="AN2:AN11"/>
    <mergeCell ref="AN12:AN21"/>
    <mergeCell ref="AN22:AN31"/>
    <mergeCell ref="AN32:AN41"/>
    <mergeCell ref="AN42:AN51"/>
    <mergeCell ref="AN52:AN61"/>
    <mergeCell ref="AN62:AN71"/>
    <mergeCell ref="AN72:AN81"/>
    <mergeCell ref="AN82:AN91"/>
    <mergeCell ref="AN92:AN101"/>
    <mergeCell ref="AN102:AN111"/>
    <mergeCell ref="AN112:AN121"/>
    <mergeCell ref="AN122:AN131"/>
    <mergeCell ref="AN132:AN141"/>
    <mergeCell ref="AN142:AN151"/>
    <mergeCell ref="AN152:AN161"/>
    <mergeCell ref="AN162:AN171"/>
    <mergeCell ref="AN172:AN181"/>
    <mergeCell ref="AN182:AN191"/>
    <mergeCell ref="AN192:AN201"/>
    <mergeCell ref="AN202:AN211"/>
    <mergeCell ref="AN212:AN221"/>
    <mergeCell ref="AN222:AN231"/>
    <mergeCell ref="AN232:AN241"/>
    <mergeCell ref="AN242:AN251"/>
    <mergeCell ref="AN252:AN261"/>
    <mergeCell ref="AN262:AN271"/>
    <mergeCell ref="AN282:AN291"/>
    <mergeCell ref="AN292:AN301"/>
    <mergeCell ref="AN302:AN311"/>
    <mergeCell ref="AN322:AN331"/>
    <mergeCell ref="AN332:AN341"/>
    <mergeCell ref="AN342:AN351"/>
    <mergeCell ref="AN352:AN361"/>
    <mergeCell ref="AN362:AN371"/>
    <mergeCell ref="AN372:AN381"/>
    <mergeCell ref="AN382:AN391"/>
    <mergeCell ref="AN392:AN401"/>
    <mergeCell ref="AN402:AN411"/>
    <mergeCell ref="AN412:AN421"/>
    <mergeCell ref="AN422:AN431"/>
    <mergeCell ref="AN432:AN441"/>
    <mergeCell ref="AN442:AN451"/>
    <mergeCell ref="AN452:AN461"/>
    <mergeCell ref="AN462:AN471"/>
    <mergeCell ref="BD2:BD11"/>
    <mergeCell ref="BD12:BD21"/>
    <mergeCell ref="BD22:BD31"/>
    <mergeCell ref="BD52:BD61"/>
    <mergeCell ref="BD62:BD71"/>
    <mergeCell ref="BD82:BD91"/>
    <mergeCell ref="BD102:BD111"/>
    <mergeCell ref="BD112:BD121"/>
    <mergeCell ref="BD122:BD131"/>
    <mergeCell ref="BD152:BD161"/>
    <mergeCell ref="BD292:BD301"/>
    <mergeCell ref="BD302:BD311"/>
    <mergeCell ref="BD312:BD321"/>
    <mergeCell ref="BD322:BD331"/>
    <mergeCell ref="BD332:BD341"/>
    <mergeCell ref="BD352:BD361"/>
    <mergeCell ref="BD362:BD371"/>
  </mergeCells>
  <conditionalFormatting sqref="S7:AE7">
    <cfRule type="cellIs" dxfId="5" priority="491" operator="lessThan">
      <formula>0</formula>
    </cfRule>
    <cfRule type="cellIs" dxfId="4" priority="490" operator="lessThan">
      <formula>0</formula>
    </cfRule>
  </conditionalFormatting>
  <conditionalFormatting sqref="AN7">
    <cfRule type="cellIs" dxfId="4" priority="1380" operator="lessThan">
      <formula>0</formula>
    </cfRule>
    <cfRule type="cellIs" dxfId="5" priority="1381" operator="lessThan">
      <formula>0</formula>
    </cfRule>
  </conditionalFormatting>
  <conditionalFormatting sqref="AX7:AZ7">
    <cfRule type="cellIs" dxfId="5" priority="495" operator="lessThan">
      <formula>0</formula>
    </cfRule>
    <cfRule type="cellIs" dxfId="4" priority="494" operator="lessThan">
      <formula>0</formula>
    </cfRule>
  </conditionalFormatting>
  <conditionalFormatting sqref="BA7">
    <cfRule type="cellIs" dxfId="4" priority="1042" operator="lessThan">
      <formula>0</formula>
    </cfRule>
    <cfRule type="cellIs" dxfId="5" priority="1043" operator="lessThan">
      <formula>0</formula>
    </cfRule>
  </conditionalFormatting>
  <conditionalFormatting sqref="BB7">
    <cfRule type="cellIs" dxfId="4" priority="1534" operator="lessThan">
      <formula>0</formula>
    </cfRule>
    <cfRule type="cellIs" dxfId="5" priority="1535" operator="lessThan">
      <formula>0</formula>
    </cfRule>
  </conditionalFormatting>
  <conditionalFormatting sqref="S17">
    <cfRule type="cellIs" dxfId="5" priority="487" operator="lessThan">
      <formula>0</formula>
    </cfRule>
    <cfRule type="cellIs" dxfId="4" priority="486" operator="lessThan">
      <formula>0</formula>
    </cfRule>
  </conditionalFormatting>
  <conditionalFormatting sqref="T17:AE17">
    <cfRule type="cellIs" dxfId="5" priority="317" operator="lessThan">
      <formula>0</formula>
    </cfRule>
    <cfRule type="cellIs" dxfId="4" priority="316" operator="lessThan">
      <formula>0</formula>
    </cfRule>
  </conditionalFormatting>
  <conditionalFormatting sqref="AF17:AG17">
    <cfRule type="cellIs" dxfId="5" priority="321" operator="lessThan">
      <formula>0</formula>
    </cfRule>
    <cfRule type="cellIs" dxfId="4" priority="320" operator="lessThan">
      <formula>0</formula>
    </cfRule>
  </conditionalFormatting>
  <conditionalFormatting sqref="AN17">
    <cfRule type="cellIs" dxfId="4" priority="1053" operator="lessThan">
      <formula>0</formula>
    </cfRule>
    <cfRule type="cellIs" dxfId="5" priority="1054" operator="lessThan">
      <formula>0</formula>
    </cfRule>
  </conditionalFormatting>
  <conditionalFormatting sqref="AO17">
    <cfRule type="cellIs" dxfId="4" priority="1066" operator="lessThan">
      <formula>0</formula>
    </cfRule>
    <cfRule type="cellIs" dxfId="5" priority="1076" operator="lessThan">
      <formula>0</formula>
    </cfRule>
  </conditionalFormatting>
  <conditionalFormatting sqref="AP17">
    <cfRule type="cellIs" dxfId="4" priority="1065" operator="lessThan">
      <formula>0</formula>
    </cfRule>
    <cfRule type="cellIs" dxfId="5" priority="1075" operator="lessThan">
      <formula>0</formula>
    </cfRule>
  </conditionalFormatting>
  <conditionalFormatting sqref="AQ17">
    <cfRule type="cellIs" dxfId="4" priority="1064" operator="lessThan">
      <formula>0</formula>
    </cfRule>
    <cfRule type="cellIs" dxfId="5" priority="1074" operator="lessThan">
      <formula>0</formula>
    </cfRule>
  </conditionalFormatting>
  <conditionalFormatting sqref="AR17">
    <cfRule type="cellIs" dxfId="4" priority="1063" operator="lessThan">
      <formula>0</formula>
    </cfRule>
    <cfRule type="cellIs" dxfId="5" priority="1073" operator="lessThan">
      <formula>0</formula>
    </cfRule>
  </conditionalFormatting>
  <conditionalFormatting sqref="AS17">
    <cfRule type="cellIs" dxfId="4" priority="1062" operator="lessThan">
      <formula>0</formula>
    </cfRule>
    <cfRule type="cellIs" dxfId="5" priority="1072" operator="lessThan">
      <formula>0</formula>
    </cfRule>
  </conditionalFormatting>
  <conditionalFormatting sqref="AT17">
    <cfRule type="cellIs" dxfId="4" priority="1061" operator="lessThan">
      <formula>0</formula>
    </cfRule>
    <cfRule type="cellIs" dxfId="5" priority="1071" operator="lessThan">
      <formula>0</formula>
    </cfRule>
  </conditionalFormatting>
  <conditionalFormatting sqref="AU17">
    <cfRule type="cellIs" dxfId="4" priority="1060" operator="lessThan">
      <formula>0</formula>
    </cfRule>
    <cfRule type="cellIs" dxfId="5" priority="1070" operator="lessThan">
      <formula>0</formula>
    </cfRule>
  </conditionalFormatting>
  <conditionalFormatting sqref="AV17">
    <cfRule type="cellIs" dxfId="4" priority="1059" operator="lessThan">
      <formula>0</formula>
    </cfRule>
    <cfRule type="cellIs" dxfId="5" priority="1069" operator="lessThan">
      <formula>0</formula>
    </cfRule>
  </conditionalFormatting>
  <conditionalFormatting sqref="AW17">
    <cfRule type="cellIs" dxfId="4" priority="1058" operator="lessThan">
      <formula>0</formula>
    </cfRule>
    <cfRule type="cellIs" dxfId="5" priority="1068" operator="lessThan">
      <formula>0</formula>
    </cfRule>
  </conditionalFormatting>
  <conditionalFormatting sqref="AX17">
    <cfRule type="cellIs" dxfId="4" priority="1057" operator="lessThan">
      <formula>0</formula>
    </cfRule>
    <cfRule type="cellIs" dxfId="5" priority="1067" operator="lessThan">
      <formula>0</formula>
    </cfRule>
  </conditionalFormatting>
  <conditionalFormatting sqref="AY17">
    <cfRule type="cellIs" dxfId="4" priority="1034" operator="lessThan">
      <formula>0</formula>
    </cfRule>
    <cfRule type="cellIs" dxfId="5" priority="1035" operator="lessThan">
      <formula>0</formula>
    </cfRule>
  </conditionalFormatting>
  <conditionalFormatting sqref="AZ17">
    <cfRule type="cellIs" dxfId="4" priority="1037" operator="lessThan">
      <formula>0</formula>
    </cfRule>
    <cfRule type="cellIs" dxfId="5" priority="1038" operator="lessThan">
      <formula>0</formula>
    </cfRule>
  </conditionalFormatting>
  <conditionalFormatting sqref="BA17">
    <cfRule type="cellIs" dxfId="4" priority="1040" operator="lessThan">
      <formula>0</formula>
    </cfRule>
    <cfRule type="cellIs" dxfId="5" priority="1041" operator="lessThan">
      <formula>0</formula>
    </cfRule>
  </conditionalFormatting>
  <conditionalFormatting sqref="BB17">
    <cfRule type="cellIs" dxfId="4" priority="1087" operator="lessThan">
      <formula>0</formula>
    </cfRule>
    <cfRule type="cellIs" dxfId="5" priority="1088" operator="lessThan">
      <formula>0</formula>
    </cfRule>
  </conditionalFormatting>
  <conditionalFormatting sqref="S20">
    <cfRule type="cellIs" dxfId="4" priority="465" operator="lessThan">
      <formula>0</formula>
    </cfRule>
  </conditionalFormatting>
  <conditionalFormatting sqref="S27">
    <cfRule type="cellIs" dxfId="5" priority="483" operator="lessThan">
      <formula>0</formula>
    </cfRule>
    <cfRule type="cellIs" dxfId="4" priority="482" operator="lessThan">
      <formula>0</formula>
    </cfRule>
  </conditionalFormatting>
  <conditionalFormatting sqref="T27:AE27">
    <cfRule type="cellIs" dxfId="5" priority="310" operator="lessThan">
      <formula>0</formula>
    </cfRule>
    <cfRule type="cellIs" dxfId="4" priority="309" operator="lessThan">
      <formula>0</formula>
    </cfRule>
  </conditionalFormatting>
  <conditionalFormatting sqref="AF27:AG27">
    <cfRule type="cellIs" dxfId="5" priority="314" operator="lessThan">
      <formula>0</formula>
    </cfRule>
    <cfRule type="cellIs" dxfId="4" priority="313" operator="lessThan">
      <formula>0</formula>
    </cfRule>
  </conditionalFormatting>
  <conditionalFormatting sqref="AN27">
    <cfRule type="cellIs" dxfId="4" priority="1099" operator="lessThan">
      <formula>0</formula>
    </cfRule>
    <cfRule type="cellIs" dxfId="5" priority="1100" operator="lessThan">
      <formula>0</formula>
    </cfRule>
  </conditionalFormatting>
  <conditionalFormatting sqref="AO27">
    <cfRule type="cellIs" dxfId="4" priority="1112" operator="lessThan">
      <formula>0</formula>
    </cfRule>
    <cfRule type="cellIs" dxfId="5" priority="1122" operator="lessThan">
      <formula>0</formula>
    </cfRule>
  </conditionalFormatting>
  <conditionalFormatting sqref="AP27">
    <cfRule type="cellIs" dxfId="4" priority="1111" operator="lessThan">
      <formula>0</formula>
    </cfRule>
    <cfRule type="cellIs" dxfId="5" priority="1121" operator="lessThan">
      <formula>0</formula>
    </cfRule>
  </conditionalFormatting>
  <conditionalFormatting sqref="AQ27">
    <cfRule type="cellIs" dxfId="4" priority="1110" operator="lessThan">
      <formula>0</formula>
    </cfRule>
    <cfRule type="cellIs" dxfId="5" priority="1120" operator="lessThan">
      <formula>0</formula>
    </cfRule>
  </conditionalFormatting>
  <conditionalFormatting sqref="AR27">
    <cfRule type="cellIs" dxfId="4" priority="1109" operator="lessThan">
      <formula>0</formula>
    </cfRule>
    <cfRule type="cellIs" dxfId="5" priority="1119" operator="lessThan">
      <formula>0</formula>
    </cfRule>
  </conditionalFormatting>
  <conditionalFormatting sqref="AS27">
    <cfRule type="cellIs" dxfId="4" priority="1108" operator="lessThan">
      <formula>0</formula>
    </cfRule>
    <cfRule type="cellIs" dxfId="5" priority="1118" operator="lessThan">
      <formula>0</formula>
    </cfRule>
  </conditionalFormatting>
  <conditionalFormatting sqref="AT27">
    <cfRule type="cellIs" dxfId="4" priority="1107" operator="lessThan">
      <formula>0</formula>
    </cfRule>
    <cfRule type="cellIs" dxfId="5" priority="1117" operator="lessThan">
      <formula>0</formula>
    </cfRule>
  </conditionalFormatting>
  <conditionalFormatting sqref="AU27">
    <cfRule type="cellIs" dxfId="4" priority="1106" operator="lessThan">
      <formula>0</formula>
    </cfRule>
    <cfRule type="cellIs" dxfId="5" priority="1116" operator="lessThan">
      <formula>0</formula>
    </cfRule>
  </conditionalFormatting>
  <conditionalFormatting sqref="AV27">
    <cfRule type="cellIs" dxfId="4" priority="1105" operator="lessThan">
      <formula>0</formula>
    </cfRule>
    <cfRule type="cellIs" dxfId="5" priority="1115" operator="lessThan">
      <formula>0</formula>
    </cfRule>
  </conditionalFormatting>
  <conditionalFormatting sqref="AW27">
    <cfRule type="cellIs" dxfId="4" priority="1104" operator="lessThan">
      <formula>0</formula>
    </cfRule>
    <cfRule type="cellIs" dxfId="5" priority="1114" operator="lessThan">
      <formula>0</formula>
    </cfRule>
  </conditionalFormatting>
  <conditionalFormatting sqref="AX27">
    <cfRule type="cellIs" dxfId="4" priority="1103" operator="lessThan">
      <formula>0</formula>
    </cfRule>
    <cfRule type="cellIs" dxfId="5" priority="1113" operator="lessThan">
      <formula>0</formula>
    </cfRule>
  </conditionalFormatting>
  <conditionalFormatting sqref="AY27">
    <cfRule type="cellIs" dxfId="4" priority="1096" operator="lessThan">
      <formula>0</formula>
    </cfRule>
    <cfRule type="cellIs" dxfId="5" priority="1097" operator="lessThan">
      <formula>0</formula>
    </cfRule>
  </conditionalFormatting>
  <conditionalFormatting sqref="BB27">
    <cfRule type="cellIs" dxfId="4" priority="1133" operator="lessThan">
      <formula>0</formula>
    </cfRule>
    <cfRule type="cellIs" dxfId="5" priority="1134" operator="lessThan">
      <formula>0</formula>
    </cfRule>
  </conditionalFormatting>
  <conditionalFormatting sqref="S30">
    <cfRule type="cellIs" dxfId="4" priority="464" operator="lessThan">
      <formula>0</formula>
    </cfRule>
  </conditionalFormatting>
  <conditionalFormatting sqref="S37">
    <cfRule type="cellIs" dxfId="5" priority="479" operator="lessThan">
      <formula>0</formula>
    </cfRule>
    <cfRule type="cellIs" dxfId="4" priority="478" operator="lessThan">
      <formula>0</formula>
    </cfRule>
  </conditionalFormatting>
  <conditionalFormatting sqref="T37:AE37">
    <cfRule type="cellIs" dxfId="5" priority="303" operator="lessThan">
      <formula>0</formula>
    </cfRule>
    <cfRule type="cellIs" dxfId="4" priority="302" operator="lessThan">
      <formula>0</formula>
    </cfRule>
  </conditionalFormatting>
  <conditionalFormatting sqref="AF37:AG37">
    <cfRule type="cellIs" dxfId="5" priority="307" operator="lessThan">
      <formula>0</formula>
    </cfRule>
    <cfRule type="cellIs" dxfId="4" priority="306" operator="lessThan">
      <formula>0</formula>
    </cfRule>
  </conditionalFormatting>
  <conditionalFormatting sqref="BB37">
    <cfRule type="cellIs" dxfId="4" priority="1532" operator="lessThan">
      <formula>0</formula>
    </cfRule>
    <cfRule type="cellIs" dxfId="5" priority="1533" operator="lessThan">
      <formula>0</formula>
    </cfRule>
  </conditionalFormatting>
  <conditionalFormatting sqref="S40">
    <cfRule type="cellIs" dxfId="4" priority="463" operator="lessThan">
      <formula>0</formula>
    </cfRule>
  </conditionalFormatting>
  <conditionalFormatting sqref="S47">
    <cfRule type="cellIs" dxfId="5" priority="475" operator="lessThan">
      <formula>0</formula>
    </cfRule>
    <cfRule type="cellIs" dxfId="4" priority="474" operator="lessThan">
      <formula>0</formula>
    </cfRule>
  </conditionalFormatting>
  <conditionalFormatting sqref="T47:AE47">
    <cfRule type="cellIs" dxfId="5" priority="296" operator="lessThan">
      <formula>0</formula>
    </cfRule>
    <cfRule type="cellIs" dxfId="4" priority="295" operator="lessThan">
      <formula>0</formula>
    </cfRule>
  </conditionalFormatting>
  <conditionalFormatting sqref="AF47:AG47">
    <cfRule type="cellIs" dxfId="5" priority="300" operator="lessThan">
      <formula>0</formula>
    </cfRule>
    <cfRule type="cellIs" dxfId="4" priority="299" operator="lessThan">
      <formula>0</formula>
    </cfRule>
  </conditionalFormatting>
  <conditionalFormatting sqref="BA47">
    <cfRule type="cellIs" dxfId="4" priority="1377" operator="lessThan">
      <formula>0</formula>
    </cfRule>
    <cfRule type="cellIs" dxfId="5" priority="1378" operator="lessThan">
      <formula>0</formula>
    </cfRule>
  </conditionalFormatting>
  <conditionalFormatting sqref="BB47">
    <cfRule type="cellIs" dxfId="4" priority="1530" operator="lessThan">
      <formula>0</formula>
    </cfRule>
    <cfRule type="cellIs" dxfId="5" priority="1531" operator="lessThan">
      <formula>0</formula>
    </cfRule>
  </conditionalFormatting>
  <conditionalFormatting sqref="S50">
    <cfRule type="cellIs" dxfId="4" priority="462" operator="lessThan">
      <formula>0</formula>
    </cfRule>
  </conditionalFormatting>
  <conditionalFormatting sqref="T57:AE57">
    <cfRule type="cellIs" dxfId="5" priority="289" operator="lessThan">
      <formula>0</formula>
    </cfRule>
    <cfRule type="cellIs" dxfId="4" priority="288" operator="lessThan">
      <formula>0</formula>
    </cfRule>
  </conditionalFormatting>
  <conditionalFormatting sqref="AF57:AG57">
    <cfRule type="cellIs" dxfId="5" priority="293" operator="lessThan">
      <formula>0</formula>
    </cfRule>
    <cfRule type="cellIs" dxfId="4" priority="292" operator="lessThan">
      <formula>0</formula>
    </cfRule>
  </conditionalFormatting>
  <conditionalFormatting sqref="BA57">
    <cfRule type="cellIs" dxfId="4" priority="1374" operator="lessThan">
      <formula>0</formula>
    </cfRule>
    <cfRule type="cellIs" dxfId="5" priority="1375" operator="lessThan">
      <formula>0</formula>
    </cfRule>
  </conditionalFormatting>
  <conditionalFormatting sqref="BB57">
    <cfRule type="cellIs" dxfId="4" priority="1528" operator="lessThan">
      <formula>0</formula>
    </cfRule>
    <cfRule type="cellIs" dxfId="5" priority="1529" operator="lessThan">
      <formula>0</formula>
    </cfRule>
  </conditionalFormatting>
  <conditionalFormatting sqref="S60">
    <cfRule type="cellIs" dxfId="4" priority="461" operator="lessThan">
      <formula>0</formula>
    </cfRule>
  </conditionalFormatting>
  <conditionalFormatting sqref="S67">
    <cfRule type="cellIs" dxfId="5" priority="471" operator="lessThan">
      <formula>0</formula>
    </cfRule>
    <cfRule type="cellIs" dxfId="4" priority="470" operator="lessThan">
      <formula>0</formula>
    </cfRule>
  </conditionalFormatting>
  <conditionalFormatting sqref="T67:AE67">
    <cfRule type="cellIs" dxfId="5" priority="282" operator="lessThan">
      <formula>0</formula>
    </cfRule>
    <cfRule type="cellIs" dxfId="4" priority="281" operator="lessThan">
      <formula>0</formula>
    </cfRule>
  </conditionalFormatting>
  <conditionalFormatting sqref="AF67:AG67">
    <cfRule type="cellIs" dxfId="5" priority="286" operator="lessThan">
      <formula>0</formula>
    </cfRule>
    <cfRule type="cellIs" dxfId="4" priority="285" operator="lessThan">
      <formula>0</formula>
    </cfRule>
  </conditionalFormatting>
  <conditionalFormatting sqref="BA67">
    <cfRule type="cellIs" dxfId="4" priority="1371" operator="lessThan">
      <formula>0</formula>
    </cfRule>
    <cfRule type="cellIs" dxfId="5" priority="1372" operator="lessThan">
      <formula>0</formula>
    </cfRule>
  </conditionalFormatting>
  <conditionalFormatting sqref="BB67">
    <cfRule type="cellIs" dxfId="4" priority="1526" operator="lessThan">
      <formula>0</formula>
    </cfRule>
    <cfRule type="cellIs" dxfId="5" priority="1527" operator="lessThan">
      <formula>0</formula>
    </cfRule>
  </conditionalFormatting>
  <conditionalFormatting sqref="S70">
    <cfRule type="cellIs" dxfId="4" priority="460" operator="lessThan">
      <formula>0</formula>
    </cfRule>
  </conditionalFormatting>
  <conditionalFormatting sqref="S77">
    <cfRule type="cellIs" dxfId="5" priority="467" operator="lessThan">
      <formula>0</formula>
    </cfRule>
    <cfRule type="cellIs" dxfId="4" priority="466" operator="lessThan">
      <formula>0</formula>
    </cfRule>
  </conditionalFormatting>
  <conditionalFormatting sqref="T77:AE77">
    <cfRule type="cellIs" dxfId="5" priority="275" operator="lessThan">
      <formula>0</formula>
    </cfRule>
    <cfRule type="cellIs" dxfId="4" priority="274" operator="lessThan">
      <formula>0</formula>
    </cfRule>
  </conditionalFormatting>
  <conditionalFormatting sqref="AF77:AG77">
    <cfRule type="cellIs" dxfId="5" priority="279" operator="lessThan">
      <formula>0</formula>
    </cfRule>
    <cfRule type="cellIs" dxfId="4" priority="278" operator="lessThan">
      <formula>0</formula>
    </cfRule>
  </conditionalFormatting>
  <conditionalFormatting sqref="BA77">
    <cfRule type="cellIs" dxfId="4" priority="1368" operator="lessThan">
      <formula>0</formula>
    </cfRule>
    <cfRule type="cellIs" dxfId="5" priority="1369" operator="lessThan">
      <formula>0</formula>
    </cfRule>
  </conditionalFormatting>
  <conditionalFormatting sqref="BB77">
    <cfRule type="cellIs" dxfId="4" priority="1524" operator="lessThan">
      <formula>0</formula>
    </cfRule>
    <cfRule type="cellIs" dxfId="5" priority="1525" operator="lessThan">
      <formula>0</formula>
    </cfRule>
  </conditionalFormatting>
  <conditionalFormatting sqref="S80">
    <cfRule type="cellIs" dxfId="4" priority="459" operator="lessThan">
      <formula>0</formula>
    </cfRule>
  </conditionalFormatting>
  <conditionalFormatting sqref="T87:AE87">
    <cfRule type="cellIs" dxfId="5" priority="268" operator="lessThan">
      <formula>0</formula>
    </cfRule>
    <cfRule type="cellIs" dxfId="4" priority="267" operator="lessThan">
      <formula>0</formula>
    </cfRule>
  </conditionalFormatting>
  <conditionalFormatting sqref="AF87:AG87">
    <cfRule type="cellIs" dxfId="5" priority="272" operator="lessThan">
      <formula>0</formula>
    </cfRule>
    <cfRule type="cellIs" dxfId="4" priority="271" operator="lessThan">
      <formula>0</formula>
    </cfRule>
  </conditionalFormatting>
  <conditionalFormatting sqref="BA87">
    <cfRule type="cellIs" dxfId="4" priority="1365" operator="lessThan">
      <formula>0</formula>
    </cfRule>
    <cfRule type="cellIs" dxfId="5" priority="1366" operator="lessThan">
      <formula>0</formula>
    </cfRule>
  </conditionalFormatting>
  <conditionalFormatting sqref="BB87">
    <cfRule type="cellIs" dxfId="4" priority="1522" operator="lessThan">
      <formula>0</formula>
    </cfRule>
    <cfRule type="cellIs" dxfId="5" priority="1523" operator="lessThan">
      <formula>0</formula>
    </cfRule>
  </conditionalFormatting>
  <conditionalFormatting sqref="S90">
    <cfRule type="cellIs" dxfId="4" priority="458" operator="lessThan">
      <formula>0</formula>
    </cfRule>
  </conditionalFormatting>
  <conditionalFormatting sqref="T97:AE97">
    <cfRule type="cellIs" dxfId="5" priority="261" operator="lessThan">
      <formula>0</formula>
    </cfRule>
    <cfRule type="cellIs" dxfId="4" priority="260" operator="lessThan">
      <formula>0</formula>
    </cfRule>
  </conditionalFormatting>
  <conditionalFormatting sqref="AF97:AG97">
    <cfRule type="cellIs" dxfId="5" priority="265" operator="lessThan">
      <formula>0</formula>
    </cfRule>
    <cfRule type="cellIs" dxfId="4" priority="264" operator="lessThan">
      <formula>0</formula>
    </cfRule>
  </conditionalFormatting>
  <conditionalFormatting sqref="BA97">
    <cfRule type="cellIs" dxfId="4" priority="1362" operator="lessThan">
      <formula>0</formula>
    </cfRule>
    <cfRule type="cellIs" dxfId="5" priority="1363" operator="lessThan">
      <formula>0</formula>
    </cfRule>
  </conditionalFormatting>
  <conditionalFormatting sqref="BB97">
    <cfRule type="cellIs" dxfId="4" priority="1520" operator="lessThan">
      <formula>0</formula>
    </cfRule>
    <cfRule type="cellIs" dxfId="5" priority="1521" operator="lessThan">
      <formula>0</formula>
    </cfRule>
  </conditionalFormatting>
  <conditionalFormatting sqref="S100">
    <cfRule type="cellIs" dxfId="4" priority="457" operator="lessThan">
      <formula>0</formula>
    </cfRule>
  </conditionalFormatting>
  <conditionalFormatting sqref="T107:AE107">
    <cfRule type="cellIs" dxfId="5" priority="254" operator="lessThan">
      <formula>0</formula>
    </cfRule>
    <cfRule type="cellIs" dxfId="4" priority="253" operator="lessThan">
      <formula>0</formula>
    </cfRule>
  </conditionalFormatting>
  <conditionalFormatting sqref="AF107:AG107">
    <cfRule type="cellIs" dxfId="5" priority="258" operator="lessThan">
      <formula>0</formula>
    </cfRule>
    <cfRule type="cellIs" dxfId="4" priority="257" operator="lessThan">
      <formula>0</formula>
    </cfRule>
  </conditionalFormatting>
  <conditionalFormatting sqref="BA107">
    <cfRule type="cellIs" dxfId="4" priority="1359" operator="lessThan">
      <formula>0</formula>
    </cfRule>
    <cfRule type="cellIs" dxfId="5" priority="1360" operator="lessThan">
      <formula>0</formula>
    </cfRule>
  </conditionalFormatting>
  <conditionalFormatting sqref="BB107">
    <cfRule type="cellIs" dxfId="4" priority="1518" operator="lessThan">
      <formula>0</formula>
    </cfRule>
    <cfRule type="cellIs" dxfId="5" priority="1519" operator="lessThan">
      <formula>0</formula>
    </cfRule>
  </conditionalFormatting>
  <conditionalFormatting sqref="S110">
    <cfRule type="cellIs" dxfId="4" priority="456" operator="lessThan">
      <formula>0</formula>
    </cfRule>
  </conditionalFormatting>
  <conditionalFormatting sqref="T117:AE117">
    <cfRule type="cellIs" dxfId="5" priority="247" operator="lessThan">
      <formula>0</formula>
    </cfRule>
    <cfRule type="cellIs" dxfId="4" priority="246" operator="lessThan">
      <formula>0</formula>
    </cfRule>
  </conditionalFormatting>
  <conditionalFormatting sqref="AF117:AG117">
    <cfRule type="cellIs" dxfId="5" priority="251" operator="lessThan">
      <formula>0</formula>
    </cfRule>
    <cfRule type="cellIs" dxfId="4" priority="250" operator="lessThan">
      <formula>0</formula>
    </cfRule>
  </conditionalFormatting>
  <conditionalFormatting sqref="BA117">
    <cfRule type="cellIs" dxfId="4" priority="1356" operator="lessThan">
      <formula>0</formula>
    </cfRule>
    <cfRule type="cellIs" dxfId="5" priority="1357" operator="lessThan">
      <formula>0</formula>
    </cfRule>
  </conditionalFormatting>
  <conditionalFormatting sqref="BB117">
    <cfRule type="cellIs" dxfId="4" priority="1516" operator="lessThan">
      <formula>0</formula>
    </cfRule>
    <cfRule type="cellIs" dxfId="5" priority="1517" operator="lessThan">
      <formula>0</formula>
    </cfRule>
  </conditionalFormatting>
  <conditionalFormatting sqref="S120">
    <cfRule type="cellIs" dxfId="4" priority="455" operator="lessThan">
      <formula>0</formula>
    </cfRule>
  </conditionalFormatting>
  <conditionalFormatting sqref="T127:AE127">
    <cfRule type="cellIs" dxfId="5" priority="240" operator="lessThan">
      <formula>0</formula>
    </cfRule>
    <cfRule type="cellIs" dxfId="4" priority="239" operator="lessThan">
      <formula>0</formula>
    </cfRule>
  </conditionalFormatting>
  <conditionalFormatting sqref="AF127:AG127">
    <cfRule type="cellIs" dxfId="5" priority="244" operator="lessThan">
      <formula>0</formula>
    </cfRule>
    <cfRule type="cellIs" dxfId="4" priority="243" operator="lessThan">
      <formula>0</formula>
    </cfRule>
  </conditionalFormatting>
  <conditionalFormatting sqref="BA127">
    <cfRule type="cellIs" dxfId="4" priority="1353" operator="lessThan">
      <formula>0</formula>
    </cfRule>
    <cfRule type="cellIs" dxfId="5" priority="1354" operator="lessThan">
      <formula>0</formula>
    </cfRule>
  </conditionalFormatting>
  <conditionalFormatting sqref="BB127">
    <cfRule type="cellIs" dxfId="4" priority="1514" operator="lessThan">
      <formula>0</formula>
    </cfRule>
    <cfRule type="cellIs" dxfId="5" priority="1515" operator="lessThan">
      <formula>0</formula>
    </cfRule>
  </conditionalFormatting>
  <conditionalFormatting sqref="S130">
    <cfRule type="cellIs" dxfId="4" priority="454" operator="lessThan">
      <formula>0</formula>
    </cfRule>
  </conditionalFormatting>
  <conditionalFormatting sqref="T137:AE137">
    <cfRule type="cellIs" dxfId="5" priority="233" operator="lessThan">
      <formula>0</formula>
    </cfRule>
    <cfRule type="cellIs" dxfId="4" priority="232" operator="lessThan">
      <formula>0</formula>
    </cfRule>
  </conditionalFormatting>
  <conditionalFormatting sqref="AF137:AG137">
    <cfRule type="cellIs" dxfId="5" priority="237" operator="lessThan">
      <formula>0</formula>
    </cfRule>
    <cfRule type="cellIs" dxfId="4" priority="236" operator="lessThan">
      <formula>0</formula>
    </cfRule>
  </conditionalFormatting>
  <conditionalFormatting sqref="BA137">
    <cfRule type="cellIs" dxfId="4" priority="1350" operator="lessThan">
      <formula>0</formula>
    </cfRule>
    <cfRule type="cellIs" dxfId="5" priority="1351" operator="lessThan">
      <formula>0</formula>
    </cfRule>
  </conditionalFormatting>
  <conditionalFormatting sqref="BB137">
    <cfRule type="cellIs" dxfId="4" priority="1512" operator="lessThan">
      <formula>0</formula>
    </cfRule>
    <cfRule type="cellIs" dxfId="5" priority="1513" operator="lessThan">
      <formula>0</formula>
    </cfRule>
  </conditionalFormatting>
  <conditionalFormatting sqref="S140">
    <cfRule type="cellIs" dxfId="4" priority="453" operator="lessThan">
      <formula>0</formula>
    </cfRule>
  </conditionalFormatting>
  <conditionalFormatting sqref="T147:AE147">
    <cfRule type="cellIs" dxfId="5" priority="226" operator="lessThan">
      <formula>0</formula>
    </cfRule>
    <cfRule type="cellIs" dxfId="4" priority="225" operator="lessThan">
      <formula>0</formula>
    </cfRule>
  </conditionalFormatting>
  <conditionalFormatting sqref="AF147:AG147">
    <cfRule type="cellIs" dxfId="5" priority="230" operator="lessThan">
      <formula>0</formula>
    </cfRule>
    <cfRule type="cellIs" dxfId="4" priority="229" operator="lessThan">
      <formula>0</formula>
    </cfRule>
  </conditionalFormatting>
  <conditionalFormatting sqref="AY147:AZ147">
    <cfRule type="cellIs" dxfId="4" priority="568" operator="lessThan">
      <formula>0</formula>
    </cfRule>
    <cfRule type="cellIs" dxfId="5" priority="569" operator="lessThan">
      <formula>0</formula>
    </cfRule>
  </conditionalFormatting>
  <conditionalFormatting sqref="BA147">
    <cfRule type="cellIs" dxfId="4" priority="1347" operator="lessThan">
      <formula>0</formula>
    </cfRule>
    <cfRule type="cellIs" dxfId="5" priority="1348" operator="lessThan">
      <formula>0</formula>
    </cfRule>
  </conditionalFormatting>
  <conditionalFormatting sqref="BB147">
    <cfRule type="cellIs" dxfId="4" priority="1510" operator="lessThan">
      <formula>0</formula>
    </cfRule>
    <cfRule type="cellIs" dxfId="5" priority="1511" operator="lessThan">
      <formula>0</formula>
    </cfRule>
  </conditionalFormatting>
  <conditionalFormatting sqref="S150">
    <cfRule type="cellIs" dxfId="4" priority="452" operator="lessThan">
      <formula>0</formula>
    </cfRule>
  </conditionalFormatting>
  <conditionalFormatting sqref="T157:AE157">
    <cfRule type="cellIs" dxfId="5" priority="219" operator="lessThan">
      <formula>0</formula>
    </cfRule>
    <cfRule type="cellIs" dxfId="4" priority="218" operator="lessThan">
      <formula>0</formula>
    </cfRule>
  </conditionalFormatting>
  <conditionalFormatting sqref="AF157:AG157">
    <cfRule type="cellIs" dxfId="5" priority="223" operator="lessThan">
      <formula>0</formula>
    </cfRule>
    <cfRule type="cellIs" dxfId="4" priority="222" operator="lessThan">
      <formula>0</formula>
    </cfRule>
  </conditionalFormatting>
  <conditionalFormatting sqref="BA157">
    <cfRule type="cellIs" dxfId="4" priority="1344" operator="lessThan">
      <formula>0</formula>
    </cfRule>
    <cfRule type="cellIs" dxfId="5" priority="1345" operator="lessThan">
      <formula>0</formula>
    </cfRule>
  </conditionalFormatting>
  <conditionalFormatting sqref="BB157">
    <cfRule type="cellIs" dxfId="4" priority="1508" operator="lessThan">
      <formula>0</formula>
    </cfRule>
    <cfRule type="cellIs" dxfId="5" priority="1509" operator="lessThan">
      <formula>0</formula>
    </cfRule>
  </conditionalFormatting>
  <conditionalFormatting sqref="S160">
    <cfRule type="cellIs" dxfId="4" priority="451" operator="lessThan">
      <formula>0</formula>
    </cfRule>
  </conditionalFormatting>
  <conditionalFormatting sqref="T167:AE167">
    <cfRule type="cellIs" dxfId="5" priority="212" operator="lessThan">
      <formula>0</formula>
    </cfRule>
    <cfRule type="cellIs" dxfId="4" priority="211" operator="lessThan">
      <formula>0</formula>
    </cfRule>
  </conditionalFormatting>
  <conditionalFormatting sqref="AF167:AG167">
    <cfRule type="cellIs" dxfId="5" priority="216" operator="lessThan">
      <formula>0</formula>
    </cfRule>
    <cfRule type="cellIs" dxfId="4" priority="215" operator="lessThan">
      <formula>0</formula>
    </cfRule>
  </conditionalFormatting>
  <conditionalFormatting sqref="BA167">
    <cfRule type="cellIs" dxfId="4" priority="1341" operator="lessThan">
      <formula>0</formula>
    </cfRule>
    <cfRule type="cellIs" dxfId="5" priority="1342" operator="lessThan">
      <formula>0</formula>
    </cfRule>
  </conditionalFormatting>
  <conditionalFormatting sqref="BB167">
    <cfRule type="cellIs" dxfId="4" priority="1506" operator="lessThan">
      <formula>0</formula>
    </cfRule>
    <cfRule type="cellIs" dxfId="5" priority="1507" operator="lessThan">
      <formula>0</formula>
    </cfRule>
  </conditionalFormatting>
  <conditionalFormatting sqref="S170">
    <cfRule type="cellIs" dxfId="4" priority="450" operator="lessThan">
      <formula>0</formula>
    </cfRule>
  </conditionalFormatting>
  <conditionalFormatting sqref="T177:AE177">
    <cfRule type="cellIs" dxfId="5" priority="205" operator="lessThan">
      <formula>0</formula>
    </cfRule>
    <cfRule type="cellIs" dxfId="4" priority="204" operator="lessThan">
      <formula>0</formula>
    </cfRule>
  </conditionalFormatting>
  <conditionalFormatting sqref="AF177:AG177">
    <cfRule type="cellIs" dxfId="5" priority="209" operator="lessThan">
      <formula>0</formula>
    </cfRule>
    <cfRule type="cellIs" dxfId="4" priority="208" operator="lessThan">
      <formula>0</formula>
    </cfRule>
  </conditionalFormatting>
  <conditionalFormatting sqref="BA177">
    <cfRule type="cellIs" dxfId="4" priority="1338" operator="lessThan">
      <formula>0</formula>
    </cfRule>
    <cfRule type="cellIs" dxfId="5" priority="1339" operator="lessThan">
      <formula>0</formula>
    </cfRule>
  </conditionalFormatting>
  <conditionalFormatting sqref="BB177">
    <cfRule type="cellIs" dxfId="4" priority="1504" operator="lessThan">
      <formula>0</formula>
    </cfRule>
    <cfRule type="cellIs" dxfId="5" priority="1505" operator="lessThan">
      <formula>0</formula>
    </cfRule>
  </conditionalFormatting>
  <conditionalFormatting sqref="S180">
    <cfRule type="cellIs" dxfId="4" priority="449" operator="lessThan">
      <formula>0</formula>
    </cfRule>
  </conditionalFormatting>
  <conditionalFormatting sqref="T187:AE187">
    <cfRule type="cellIs" dxfId="5" priority="198" operator="lessThan">
      <formula>0</formula>
    </cfRule>
    <cfRule type="cellIs" dxfId="4" priority="197" operator="lessThan">
      <formula>0</formula>
    </cfRule>
  </conditionalFormatting>
  <conditionalFormatting sqref="AF187:AG187">
    <cfRule type="cellIs" dxfId="5" priority="202" operator="lessThan">
      <formula>0</formula>
    </cfRule>
    <cfRule type="cellIs" dxfId="4" priority="201" operator="lessThan">
      <formula>0</formula>
    </cfRule>
  </conditionalFormatting>
  <conditionalFormatting sqref="AH187:AI187">
    <cfRule type="cellIs" dxfId="4" priority="711" operator="lessThan">
      <formula>0</formula>
    </cfRule>
    <cfRule type="cellIs" dxfId="5" priority="712" operator="lessThan">
      <formula>0</formula>
    </cfRule>
  </conditionalFormatting>
  <conditionalFormatting sqref="AO187">
    <cfRule type="cellIs" dxfId="4" priority="686" operator="lessThan">
      <formula>0</formula>
    </cfRule>
    <cfRule type="cellIs" dxfId="5" priority="696" operator="lessThan">
      <formula>0</formula>
    </cfRule>
  </conditionalFormatting>
  <conditionalFormatting sqref="AP187">
    <cfRule type="cellIs" dxfId="4" priority="685" operator="lessThan">
      <formula>0</formula>
    </cfRule>
    <cfRule type="cellIs" dxfId="5" priority="695" operator="lessThan">
      <formula>0</formula>
    </cfRule>
  </conditionalFormatting>
  <conditionalFormatting sqref="AQ187">
    <cfRule type="cellIs" dxfId="4" priority="684" operator="lessThan">
      <formula>0</formula>
    </cfRule>
    <cfRule type="cellIs" dxfId="5" priority="694" operator="lessThan">
      <formula>0</formula>
    </cfRule>
  </conditionalFormatting>
  <conditionalFormatting sqref="AR187">
    <cfRule type="cellIs" dxfId="4" priority="683" operator="lessThan">
      <formula>0</formula>
    </cfRule>
    <cfRule type="cellIs" dxfId="5" priority="693" operator="lessThan">
      <formula>0</formula>
    </cfRule>
  </conditionalFormatting>
  <conditionalFormatting sqref="AS187">
    <cfRule type="cellIs" dxfId="4" priority="682" operator="lessThan">
      <formula>0</formula>
    </cfRule>
    <cfRule type="cellIs" dxfId="5" priority="692" operator="lessThan">
      <formula>0</formula>
    </cfRule>
  </conditionalFormatting>
  <conditionalFormatting sqref="AT187">
    <cfRule type="cellIs" dxfId="4" priority="681" operator="lessThan">
      <formula>0</formula>
    </cfRule>
    <cfRule type="cellIs" dxfId="5" priority="691" operator="lessThan">
      <formula>0</formula>
    </cfRule>
  </conditionalFormatting>
  <conditionalFormatting sqref="AU187">
    <cfRule type="cellIs" dxfId="4" priority="680" operator="lessThan">
      <formula>0</formula>
    </cfRule>
    <cfRule type="cellIs" dxfId="5" priority="690" operator="lessThan">
      <formula>0</formula>
    </cfRule>
  </conditionalFormatting>
  <conditionalFormatting sqref="AV187">
    <cfRule type="cellIs" dxfId="4" priority="679" operator="lessThan">
      <formula>0</formula>
    </cfRule>
    <cfRule type="cellIs" dxfId="5" priority="689" operator="lessThan">
      <formula>0</formula>
    </cfRule>
  </conditionalFormatting>
  <conditionalFormatting sqref="AW187">
    <cfRule type="cellIs" dxfId="4" priority="678" operator="lessThan">
      <formula>0</formula>
    </cfRule>
    <cfRule type="cellIs" dxfId="5" priority="688" operator="lessThan">
      <formula>0</formula>
    </cfRule>
  </conditionalFormatting>
  <conditionalFormatting sqref="AX187">
    <cfRule type="cellIs" dxfId="4" priority="677" operator="lessThan">
      <formula>0</formula>
    </cfRule>
    <cfRule type="cellIs" dxfId="5" priority="687" operator="lessThan">
      <formula>0</formula>
    </cfRule>
  </conditionalFormatting>
  <conditionalFormatting sqref="AY187:AZ187">
    <cfRule type="cellIs" dxfId="4" priority="566" operator="lessThan">
      <formula>0</formula>
    </cfRule>
    <cfRule type="cellIs" dxfId="5" priority="567" operator="lessThan">
      <formula>0</formula>
    </cfRule>
  </conditionalFormatting>
  <conditionalFormatting sqref="BA187:BB187">
    <cfRule type="cellIs" dxfId="4" priority="570" operator="lessThan">
      <formula>0</formula>
    </cfRule>
    <cfRule type="cellIs" dxfId="5" priority="571" operator="lessThan">
      <formula>0</formula>
    </cfRule>
  </conditionalFormatting>
  <conditionalFormatting sqref="S190">
    <cfRule type="cellIs" dxfId="4" priority="448" operator="lessThan">
      <formula>0</formula>
    </cfRule>
  </conditionalFormatting>
  <conditionalFormatting sqref="T197:AE197">
    <cfRule type="cellIs" dxfId="5" priority="191" operator="lessThan">
      <formula>0</formula>
    </cfRule>
    <cfRule type="cellIs" dxfId="4" priority="190" operator="lessThan">
      <formula>0</formula>
    </cfRule>
  </conditionalFormatting>
  <conditionalFormatting sqref="AF197:AG197">
    <cfRule type="cellIs" dxfId="5" priority="195" operator="lessThan">
      <formula>0</formula>
    </cfRule>
    <cfRule type="cellIs" dxfId="4" priority="194" operator="lessThan">
      <formula>0</formula>
    </cfRule>
  </conditionalFormatting>
  <conditionalFormatting sqref="AH197:AI197">
    <cfRule type="cellIs" dxfId="4" priority="759" operator="lessThan">
      <formula>0</formula>
    </cfRule>
    <cfRule type="cellIs" dxfId="5" priority="760" operator="lessThan">
      <formula>0</formula>
    </cfRule>
  </conditionalFormatting>
  <conditionalFormatting sqref="AO197">
    <cfRule type="cellIs" dxfId="4" priority="734" operator="lessThan">
      <formula>0</formula>
    </cfRule>
    <cfRule type="cellIs" dxfId="5" priority="744" operator="lessThan">
      <formula>0</formula>
    </cfRule>
  </conditionalFormatting>
  <conditionalFormatting sqref="AP197">
    <cfRule type="cellIs" dxfId="4" priority="733" operator="lessThan">
      <formula>0</formula>
    </cfRule>
    <cfRule type="cellIs" dxfId="5" priority="743" operator="lessThan">
      <formula>0</formula>
    </cfRule>
  </conditionalFormatting>
  <conditionalFormatting sqref="AQ197">
    <cfRule type="cellIs" dxfId="4" priority="732" operator="lessThan">
      <formula>0</formula>
    </cfRule>
    <cfRule type="cellIs" dxfId="5" priority="742" operator="lessThan">
      <formula>0</formula>
    </cfRule>
  </conditionalFormatting>
  <conditionalFormatting sqref="AR197">
    <cfRule type="cellIs" dxfId="4" priority="731" operator="lessThan">
      <formula>0</formula>
    </cfRule>
    <cfRule type="cellIs" dxfId="5" priority="741" operator="lessThan">
      <formula>0</formula>
    </cfRule>
  </conditionalFormatting>
  <conditionalFormatting sqref="AS197">
    <cfRule type="cellIs" dxfId="4" priority="730" operator="lessThan">
      <formula>0</formula>
    </cfRule>
    <cfRule type="cellIs" dxfId="5" priority="740" operator="lessThan">
      <formula>0</formula>
    </cfRule>
  </conditionalFormatting>
  <conditionalFormatting sqref="AT197">
    <cfRule type="cellIs" dxfId="4" priority="729" operator="lessThan">
      <formula>0</formula>
    </cfRule>
    <cfRule type="cellIs" dxfId="5" priority="739" operator="lessThan">
      <formula>0</formula>
    </cfRule>
  </conditionalFormatting>
  <conditionalFormatting sqref="AU197">
    <cfRule type="cellIs" dxfId="4" priority="728" operator="lessThan">
      <formula>0</formula>
    </cfRule>
    <cfRule type="cellIs" dxfId="5" priority="738" operator="lessThan">
      <formula>0</formula>
    </cfRule>
  </conditionalFormatting>
  <conditionalFormatting sqref="AV197">
    <cfRule type="cellIs" dxfId="4" priority="727" operator="lessThan">
      <formula>0</formula>
    </cfRule>
    <cfRule type="cellIs" dxfId="5" priority="737" operator="lessThan">
      <formula>0</formula>
    </cfRule>
  </conditionalFormatting>
  <conditionalFormatting sqref="AW197">
    <cfRule type="cellIs" dxfId="4" priority="726" operator="lessThan">
      <formula>0</formula>
    </cfRule>
    <cfRule type="cellIs" dxfId="5" priority="736" operator="lessThan">
      <formula>0</formula>
    </cfRule>
  </conditionalFormatting>
  <conditionalFormatting sqref="AX197">
    <cfRule type="cellIs" dxfId="4" priority="725" operator="lessThan">
      <formula>0</formula>
    </cfRule>
    <cfRule type="cellIs" dxfId="5" priority="735" operator="lessThan">
      <formula>0</formula>
    </cfRule>
  </conditionalFormatting>
  <conditionalFormatting sqref="AY197:BA197">
    <cfRule type="cellIs" dxfId="4" priority="564" operator="lessThan">
      <formula>0</formula>
    </cfRule>
    <cfRule type="cellIs" dxfId="5" priority="565" operator="lessThan">
      <formula>0</formula>
    </cfRule>
  </conditionalFormatting>
  <conditionalFormatting sqref="BB197">
    <cfRule type="cellIs" dxfId="4" priority="755" operator="lessThan">
      <formula>0</formula>
    </cfRule>
    <cfRule type="cellIs" dxfId="5" priority="756" operator="lessThan">
      <formula>0</formula>
    </cfRule>
  </conditionalFormatting>
  <conditionalFormatting sqref="S200">
    <cfRule type="cellIs" dxfId="4" priority="447" operator="lessThan">
      <formula>0</formula>
    </cfRule>
  </conditionalFormatting>
  <conditionalFormatting sqref="T207:AE207">
    <cfRule type="cellIs" dxfId="5" priority="184" operator="lessThan">
      <formula>0</formula>
    </cfRule>
    <cfRule type="cellIs" dxfId="4" priority="183" operator="lessThan">
      <formula>0</formula>
    </cfRule>
  </conditionalFormatting>
  <conditionalFormatting sqref="AF207:AG207">
    <cfRule type="cellIs" dxfId="5" priority="188" operator="lessThan">
      <formula>0</formula>
    </cfRule>
    <cfRule type="cellIs" dxfId="4" priority="187" operator="lessThan">
      <formula>0</formula>
    </cfRule>
  </conditionalFormatting>
  <conditionalFormatting sqref="AH207:AI207">
    <cfRule type="cellIs" dxfId="4" priority="546" operator="lessThan">
      <formula>0</formula>
    </cfRule>
    <cfRule type="cellIs" dxfId="5" priority="547" operator="lessThan">
      <formula>0</formula>
    </cfRule>
  </conditionalFormatting>
  <conditionalFormatting sqref="AO207">
    <cfRule type="cellIs" dxfId="4" priority="521" operator="lessThan">
      <formula>0</formula>
    </cfRule>
    <cfRule type="cellIs" dxfId="5" priority="531" operator="lessThan">
      <formula>0</formula>
    </cfRule>
  </conditionalFormatting>
  <conditionalFormatting sqref="AP207">
    <cfRule type="cellIs" dxfId="4" priority="520" operator="lessThan">
      <formula>0</formula>
    </cfRule>
    <cfRule type="cellIs" dxfId="5" priority="530" operator="lessThan">
      <formula>0</formula>
    </cfRule>
  </conditionalFormatting>
  <conditionalFormatting sqref="AQ207">
    <cfRule type="cellIs" dxfId="4" priority="519" operator="lessThan">
      <formula>0</formula>
    </cfRule>
    <cfRule type="cellIs" dxfId="5" priority="529" operator="lessThan">
      <formula>0</formula>
    </cfRule>
  </conditionalFormatting>
  <conditionalFormatting sqref="AR207">
    <cfRule type="cellIs" dxfId="4" priority="518" operator="lessThan">
      <formula>0</formula>
    </cfRule>
    <cfRule type="cellIs" dxfId="5" priority="528" operator="lessThan">
      <formula>0</formula>
    </cfRule>
  </conditionalFormatting>
  <conditionalFormatting sqref="AS207">
    <cfRule type="cellIs" dxfId="4" priority="517" operator="lessThan">
      <formula>0</formula>
    </cfRule>
    <cfRule type="cellIs" dxfId="5" priority="527" operator="lessThan">
      <formula>0</formula>
    </cfRule>
  </conditionalFormatting>
  <conditionalFormatting sqref="AT207">
    <cfRule type="cellIs" dxfId="4" priority="516" operator="lessThan">
      <formula>0</formula>
    </cfRule>
    <cfRule type="cellIs" dxfId="5" priority="526" operator="lessThan">
      <formula>0</formula>
    </cfRule>
  </conditionalFormatting>
  <conditionalFormatting sqref="AU207">
    <cfRule type="cellIs" dxfId="4" priority="515" operator="lessThan">
      <formula>0</formula>
    </cfRule>
    <cfRule type="cellIs" dxfId="5" priority="525" operator="lessThan">
      <formula>0</formula>
    </cfRule>
  </conditionalFormatting>
  <conditionalFormatting sqref="AV207">
    <cfRule type="cellIs" dxfId="4" priority="514" operator="lessThan">
      <formula>0</formula>
    </cfRule>
    <cfRule type="cellIs" dxfId="5" priority="524" operator="lessThan">
      <formula>0</formula>
    </cfRule>
  </conditionalFormatting>
  <conditionalFormatting sqref="AW207">
    <cfRule type="cellIs" dxfId="4" priority="513" operator="lessThan">
      <formula>0</formula>
    </cfRule>
    <cfRule type="cellIs" dxfId="5" priority="523" operator="lessThan">
      <formula>0</formula>
    </cfRule>
  </conditionalFormatting>
  <conditionalFormatting sqref="AX207">
    <cfRule type="cellIs" dxfId="4" priority="512" operator="lessThan">
      <formula>0</formula>
    </cfRule>
    <cfRule type="cellIs" dxfId="5" priority="522" operator="lessThan">
      <formula>0</formula>
    </cfRule>
  </conditionalFormatting>
  <conditionalFormatting sqref="AY207:AZ207">
    <cfRule type="cellIs" dxfId="4" priority="503" operator="lessThan">
      <formula>0</formula>
    </cfRule>
    <cfRule type="cellIs" dxfId="5" priority="504" operator="lessThan">
      <formula>0</formula>
    </cfRule>
  </conditionalFormatting>
  <conditionalFormatting sqref="BA207">
    <cfRule type="cellIs" dxfId="4" priority="500" operator="lessThan">
      <formula>0</formula>
    </cfRule>
    <cfRule type="cellIs" dxfId="5" priority="501" operator="lessThan">
      <formula>0</formula>
    </cfRule>
  </conditionalFormatting>
  <conditionalFormatting sqref="BB207">
    <cfRule type="cellIs" dxfId="4" priority="542" operator="lessThan">
      <formula>0</formula>
    </cfRule>
    <cfRule type="cellIs" dxfId="5" priority="543" operator="lessThan">
      <formula>0</formula>
    </cfRule>
  </conditionalFormatting>
  <conditionalFormatting sqref="S210">
    <cfRule type="cellIs" dxfId="4" priority="446" operator="lessThan">
      <formula>0</formula>
    </cfRule>
  </conditionalFormatting>
  <conditionalFormatting sqref="T217:AE217">
    <cfRule type="cellIs" dxfId="5" priority="177" operator="lessThan">
      <formula>0</formula>
    </cfRule>
    <cfRule type="cellIs" dxfId="4" priority="176" operator="lessThan">
      <formula>0</formula>
    </cfRule>
  </conditionalFormatting>
  <conditionalFormatting sqref="AF217:AG217">
    <cfRule type="cellIs" dxfId="5" priority="181" operator="lessThan">
      <formula>0</formula>
    </cfRule>
    <cfRule type="cellIs" dxfId="4" priority="180" operator="lessThan">
      <formula>0</formula>
    </cfRule>
  </conditionalFormatting>
  <conditionalFormatting sqref="AH217:AI217">
    <cfRule type="cellIs" dxfId="4" priority="663" operator="lessThan">
      <formula>0</formula>
    </cfRule>
    <cfRule type="cellIs" dxfId="5" priority="664" operator="lessThan">
      <formula>0</formula>
    </cfRule>
  </conditionalFormatting>
  <conditionalFormatting sqref="AO217">
    <cfRule type="cellIs" dxfId="4" priority="638" operator="lessThan">
      <formula>0</formula>
    </cfRule>
    <cfRule type="cellIs" dxfId="5" priority="648" operator="lessThan">
      <formula>0</formula>
    </cfRule>
  </conditionalFormatting>
  <conditionalFormatting sqref="AP217">
    <cfRule type="cellIs" dxfId="4" priority="637" operator="lessThan">
      <formula>0</formula>
    </cfRule>
    <cfRule type="cellIs" dxfId="5" priority="647" operator="lessThan">
      <formula>0</formula>
    </cfRule>
  </conditionalFormatting>
  <conditionalFormatting sqref="AQ217">
    <cfRule type="cellIs" dxfId="4" priority="636" operator="lessThan">
      <formula>0</formula>
    </cfRule>
    <cfRule type="cellIs" dxfId="5" priority="646" operator="lessThan">
      <formula>0</formula>
    </cfRule>
  </conditionalFormatting>
  <conditionalFormatting sqref="AR217">
    <cfRule type="cellIs" dxfId="4" priority="635" operator="lessThan">
      <formula>0</formula>
    </cfRule>
    <cfRule type="cellIs" dxfId="5" priority="645" operator="lessThan">
      <formula>0</formula>
    </cfRule>
  </conditionalFormatting>
  <conditionalFormatting sqref="AS217">
    <cfRule type="cellIs" dxfId="4" priority="634" operator="lessThan">
      <formula>0</formula>
    </cfRule>
    <cfRule type="cellIs" dxfId="5" priority="644" operator="lessThan">
      <formula>0</formula>
    </cfRule>
  </conditionalFormatting>
  <conditionalFormatting sqref="AT217">
    <cfRule type="cellIs" dxfId="4" priority="633" operator="lessThan">
      <formula>0</formula>
    </cfRule>
    <cfRule type="cellIs" dxfId="5" priority="643" operator="lessThan">
      <formula>0</formula>
    </cfRule>
  </conditionalFormatting>
  <conditionalFormatting sqref="AU217">
    <cfRule type="cellIs" dxfId="4" priority="632" operator="lessThan">
      <formula>0</formula>
    </cfRule>
    <cfRule type="cellIs" dxfId="5" priority="642" operator="lessThan">
      <formula>0</formula>
    </cfRule>
  </conditionalFormatting>
  <conditionalFormatting sqref="AV217">
    <cfRule type="cellIs" dxfId="4" priority="631" operator="lessThan">
      <formula>0</formula>
    </cfRule>
    <cfRule type="cellIs" dxfId="5" priority="641" operator="lessThan">
      <formula>0</formula>
    </cfRule>
  </conditionalFormatting>
  <conditionalFormatting sqref="AW217">
    <cfRule type="cellIs" dxfId="4" priority="630" operator="lessThan">
      <formula>0</formula>
    </cfRule>
    <cfRule type="cellIs" dxfId="5" priority="640" operator="lessThan">
      <formula>0</formula>
    </cfRule>
  </conditionalFormatting>
  <conditionalFormatting sqref="AX217">
    <cfRule type="cellIs" dxfId="4" priority="629" operator="lessThan">
      <formula>0</formula>
    </cfRule>
    <cfRule type="cellIs" dxfId="5" priority="639" operator="lessThan">
      <formula>0</formula>
    </cfRule>
  </conditionalFormatting>
  <conditionalFormatting sqref="AY217:AZ217">
    <cfRule type="cellIs" dxfId="4" priority="562" operator="lessThan">
      <formula>0</formula>
    </cfRule>
    <cfRule type="cellIs" dxfId="5" priority="563" operator="lessThan">
      <formula>0</formula>
    </cfRule>
  </conditionalFormatting>
  <conditionalFormatting sqref="BA217">
    <cfRule type="cellIs" dxfId="4" priority="624" operator="lessThan">
      <formula>0</formula>
    </cfRule>
    <cfRule type="cellIs" dxfId="5" priority="625" operator="lessThan">
      <formula>0</formula>
    </cfRule>
  </conditionalFormatting>
  <conditionalFormatting sqref="BB217">
    <cfRule type="cellIs" dxfId="4" priority="659" operator="lessThan">
      <formula>0</formula>
    </cfRule>
    <cfRule type="cellIs" dxfId="5" priority="660" operator="lessThan">
      <formula>0</formula>
    </cfRule>
  </conditionalFormatting>
  <conditionalFormatting sqref="S220">
    <cfRule type="cellIs" dxfId="4" priority="445" operator="lessThan">
      <formula>0</formula>
    </cfRule>
  </conditionalFormatting>
  <conditionalFormatting sqref="T227:AE227">
    <cfRule type="cellIs" dxfId="5" priority="170" operator="lessThan">
      <formula>0</formula>
    </cfRule>
    <cfRule type="cellIs" dxfId="4" priority="169" operator="lessThan">
      <formula>0</formula>
    </cfRule>
  </conditionalFormatting>
  <conditionalFormatting sqref="AF227:AG227">
    <cfRule type="cellIs" dxfId="5" priority="174" operator="lessThan">
      <formula>0</formula>
    </cfRule>
    <cfRule type="cellIs" dxfId="4" priority="173" operator="lessThan">
      <formula>0</formula>
    </cfRule>
  </conditionalFormatting>
  <conditionalFormatting sqref="AH227:AI227">
    <cfRule type="cellIs" dxfId="4" priority="807" operator="lessThan">
      <formula>0</formula>
    </cfRule>
    <cfRule type="cellIs" dxfId="5" priority="808" operator="lessThan">
      <formula>0</formula>
    </cfRule>
  </conditionalFormatting>
  <conditionalFormatting sqref="AO227">
    <cfRule type="cellIs" dxfId="4" priority="782" operator="lessThan">
      <formula>0</formula>
    </cfRule>
    <cfRule type="cellIs" dxfId="5" priority="792" operator="lessThan">
      <formula>0</formula>
    </cfRule>
  </conditionalFormatting>
  <conditionalFormatting sqref="AP227">
    <cfRule type="cellIs" dxfId="4" priority="781" operator="lessThan">
      <formula>0</formula>
    </cfRule>
    <cfRule type="cellIs" dxfId="5" priority="791" operator="lessThan">
      <formula>0</formula>
    </cfRule>
  </conditionalFormatting>
  <conditionalFormatting sqref="AQ227">
    <cfRule type="cellIs" dxfId="4" priority="780" operator="lessThan">
      <formula>0</formula>
    </cfRule>
    <cfRule type="cellIs" dxfId="5" priority="790" operator="lessThan">
      <formula>0</formula>
    </cfRule>
  </conditionalFormatting>
  <conditionalFormatting sqref="AR227">
    <cfRule type="cellIs" dxfId="4" priority="779" operator="lessThan">
      <formula>0</formula>
    </cfRule>
    <cfRule type="cellIs" dxfId="5" priority="789" operator="lessThan">
      <formula>0</formula>
    </cfRule>
  </conditionalFormatting>
  <conditionalFormatting sqref="AS227">
    <cfRule type="cellIs" dxfId="4" priority="778" operator="lessThan">
      <formula>0</formula>
    </cfRule>
    <cfRule type="cellIs" dxfId="5" priority="788" operator="lessThan">
      <formula>0</formula>
    </cfRule>
  </conditionalFormatting>
  <conditionalFormatting sqref="AT227">
    <cfRule type="cellIs" dxfId="4" priority="777" operator="lessThan">
      <formula>0</formula>
    </cfRule>
    <cfRule type="cellIs" dxfId="5" priority="787" operator="lessThan">
      <formula>0</formula>
    </cfRule>
  </conditionalFormatting>
  <conditionalFormatting sqref="AU227">
    <cfRule type="cellIs" dxfId="4" priority="776" operator="lessThan">
      <formula>0</formula>
    </cfRule>
    <cfRule type="cellIs" dxfId="5" priority="786" operator="lessThan">
      <formula>0</formula>
    </cfRule>
  </conditionalFormatting>
  <conditionalFormatting sqref="AV227">
    <cfRule type="cellIs" dxfId="4" priority="775" operator="lessThan">
      <formula>0</formula>
    </cfRule>
    <cfRule type="cellIs" dxfId="5" priority="785" operator="lessThan">
      <formula>0</formula>
    </cfRule>
  </conditionalFormatting>
  <conditionalFormatting sqref="AW227">
    <cfRule type="cellIs" dxfId="4" priority="774" operator="lessThan">
      <formula>0</formula>
    </cfRule>
    <cfRule type="cellIs" dxfId="5" priority="784" operator="lessThan">
      <formula>0</formula>
    </cfRule>
  </conditionalFormatting>
  <conditionalFormatting sqref="AX227">
    <cfRule type="cellIs" dxfId="4" priority="773" operator="lessThan">
      <formula>0</formula>
    </cfRule>
    <cfRule type="cellIs" dxfId="5" priority="783" operator="lessThan">
      <formula>0</formula>
    </cfRule>
  </conditionalFormatting>
  <conditionalFormatting sqref="AY227:BA227">
    <cfRule type="cellIs" dxfId="4" priority="560" operator="lessThan">
      <formula>0</formula>
    </cfRule>
    <cfRule type="cellIs" dxfId="5" priority="561" operator="lessThan">
      <formula>0</formula>
    </cfRule>
  </conditionalFormatting>
  <conditionalFormatting sqref="BB227">
    <cfRule type="cellIs" dxfId="4" priority="803" operator="lessThan">
      <formula>0</formula>
    </cfRule>
    <cfRule type="cellIs" dxfId="5" priority="804" operator="lessThan">
      <formula>0</formula>
    </cfRule>
  </conditionalFormatting>
  <conditionalFormatting sqref="S230">
    <cfRule type="cellIs" dxfId="4" priority="444" operator="lessThan">
      <formula>0</formula>
    </cfRule>
  </conditionalFormatting>
  <conditionalFormatting sqref="T237:AE237">
    <cfRule type="cellIs" dxfId="5" priority="163" operator="lessThan">
      <formula>0</formula>
    </cfRule>
    <cfRule type="cellIs" dxfId="4" priority="162" operator="lessThan">
      <formula>0</formula>
    </cfRule>
  </conditionalFormatting>
  <conditionalFormatting sqref="AF237:AG237">
    <cfRule type="cellIs" dxfId="5" priority="167" operator="lessThan">
      <formula>0</formula>
    </cfRule>
    <cfRule type="cellIs" dxfId="4" priority="166" operator="lessThan">
      <formula>0</formula>
    </cfRule>
  </conditionalFormatting>
  <conditionalFormatting sqref="AH237:AI237">
    <cfRule type="cellIs" dxfId="4" priority="855" operator="lessThan">
      <formula>0</formula>
    </cfRule>
    <cfRule type="cellIs" dxfId="5" priority="856" operator="lessThan">
      <formula>0</formula>
    </cfRule>
  </conditionalFormatting>
  <conditionalFormatting sqref="AO237">
    <cfRule type="cellIs" dxfId="4" priority="830" operator="lessThan">
      <formula>0</formula>
    </cfRule>
    <cfRule type="cellIs" dxfId="5" priority="840" operator="lessThan">
      <formula>0</formula>
    </cfRule>
  </conditionalFormatting>
  <conditionalFormatting sqref="AP237">
    <cfRule type="cellIs" dxfId="4" priority="829" operator="lessThan">
      <formula>0</formula>
    </cfRule>
    <cfRule type="cellIs" dxfId="5" priority="839" operator="lessThan">
      <formula>0</formula>
    </cfRule>
  </conditionalFormatting>
  <conditionalFormatting sqref="AQ237">
    <cfRule type="cellIs" dxfId="4" priority="828" operator="lessThan">
      <formula>0</formula>
    </cfRule>
    <cfRule type="cellIs" dxfId="5" priority="838" operator="lessThan">
      <formula>0</formula>
    </cfRule>
  </conditionalFormatting>
  <conditionalFormatting sqref="AR237">
    <cfRule type="cellIs" dxfId="4" priority="827" operator="lessThan">
      <formula>0</formula>
    </cfRule>
    <cfRule type="cellIs" dxfId="5" priority="837" operator="lessThan">
      <formula>0</formula>
    </cfRule>
  </conditionalFormatting>
  <conditionalFormatting sqref="AS237">
    <cfRule type="cellIs" dxfId="4" priority="826" operator="lessThan">
      <formula>0</formula>
    </cfRule>
    <cfRule type="cellIs" dxfId="5" priority="836" operator="lessThan">
      <formula>0</formula>
    </cfRule>
  </conditionalFormatting>
  <conditionalFormatting sqref="AT237">
    <cfRule type="cellIs" dxfId="4" priority="825" operator="lessThan">
      <formula>0</formula>
    </cfRule>
    <cfRule type="cellIs" dxfId="5" priority="835" operator="lessThan">
      <formula>0</formula>
    </cfRule>
  </conditionalFormatting>
  <conditionalFormatting sqref="AU237">
    <cfRule type="cellIs" dxfId="4" priority="824" operator="lessThan">
      <formula>0</formula>
    </cfRule>
    <cfRule type="cellIs" dxfId="5" priority="834" operator="lessThan">
      <formula>0</formula>
    </cfRule>
  </conditionalFormatting>
  <conditionalFormatting sqref="AV237">
    <cfRule type="cellIs" dxfId="4" priority="823" operator="lessThan">
      <formula>0</formula>
    </cfRule>
    <cfRule type="cellIs" dxfId="5" priority="833" operator="lessThan">
      <formula>0</formula>
    </cfRule>
  </conditionalFormatting>
  <conditionalFormatting sqref="AW237">
    <cfRule type="cellIs" dxfId="4" priority="822" operator="lessThan">
      <formula>0</formula>
    </cfRule>
    <cfRule type="cellIs" dxfId="5" priority="832" operator="lessThan">
      <formula>0</formula>
    </cfRule>
  </conditionalFormatting>
  <conditionalFormatting sqref="AX237">
    <cfRule type="cellIs" dxfId="4" priority="821" operator="lessThan">
      <formula>0</formula>
    </cfRule>
    <cfRule type="cellIs" dxfId="5" priority="831" operator="lessThan">
      <formula>0</formula>
    </cfRule>
  </conditionalFormatting>
  <conditionalFormatting sqref="AY237:AZ237">
    <cfRule type="cellIs" dxfId="4" priority="558" operator="lessThan">
      <formula>0</formula>
    </cfRule>
    <cfRule type="cellIs" dxfId="5" priority="559" operator="lessThan">
      <formula>0</formula>
    </cfRule>
  </conditionalFormatting>
  <conditionalFormatting sqref="BA237">
    <cfRule type="cellIs" dxfId="4" priority="816" operator="lessThan">
      <formula>0</formula>
    </cfRule>
    <cfRule type="cellIs" dxfId="5" priority="817" operator="lessThan">
      <formula>0</formula>
    </cfRule>
  </conditionalFormatting>
  <conditionalFormatting sqref="BB237">
    <cfRule type="cellIs" dxfId="4" priority="851" operator="lessThan">
      <formula>0</formula>
    </cfRule>
    <cfRule type="cellIs" dxfId="5" priority="852" operator="lessThan">
      <formula>0</formula>
    </cfRule>
  </conditionalFormatting>
  <conditionalFormatting sqref="S240">
    <cfRule type="cellIs" dxfId="4" priority="443" operator="lessThan">
      <formula>0</formula>
    </cfRule>
  </conditionalFormatting>
  <conditionalFormatting sqref="T247:AE247">
    <cfRule type="cellIs" dxfId="5" priority="156" operator="lessThan">
      <formula>0</formula>
    </cfRule>
    <cfRule type="cellIs" dxfId="4" priority="155" operator="lessThan">
      <formula>0</formula>
    </cfRule>
  </conditionalFormatting>
  <conditionalFormatting sqref="AF247:AG247">
    <cfRule type="cellIs" dxfId="5" priority="160" operator="lessThan">
      <formula>0</formula>
    </cfRule>
    <cfRule type="cellIs" dxfId="4" priority="159" operator="lessThan">
      <formula>0</formula>
    </cfRule>
  </conditionalFormatting>
  <conditionalFormatting sqref="AH247:AI247">
    <cfRule type="cellIs" dxfId="4" priority="903" operator="lessThan">
      <formula>0</formula>
    </cfRule>
    <cfRule type="cellIs" dxfId="5" priority="904" operator="lessThan">
      <formula>0</formula>
    </cfRule>
  </conditionalFormatting>
  <conditionalFormatting sqref="AO247">
    <cfRule type="cellIs" dxfId="4" priority="878" operator="lessThan">
      <formula>0</formula>
    </cfRule>
    <cfRule type="cellIs" dxfId="5" priority="888" operator="lessThan">
      <formula>0</formula>
    </cfRule>
  </conditionalFormatting>
  <conditionalFormatting sqref="AP247">
    <cfRule type="cellIs" dxfId="4" priority="877" operator="lessThan">
      <formula>0</formula>
    </cfRule>
    <cfRule type="cellIs" dxfId="5" priority="887" operator="lessThan">
      <formula>0</formula>
    </cfRule>
  </conditionalFormatting>
  <conditionalFormatting sqref="AQ247">
    <cfRule type="cellIs" dxfId="4" priority="876" operator="lessThan">
      <formula>0</formula>
    </cfRule>
    <cfRule type="cellIs" dxfId="5" priority="886" operator="lessThan">
      <formula>0</formula>
    </cfRule>
  </conditionalFormatting>
  <conditionalFormatting sqref="AR247">
    <cfRule type="cellIs" dxfId="4" priority="875" operator="lessThan">
      <formula>0</formula>
    </cfRule>
    <cfRule type="cellIs" dxfId="5" priority="885" operator="lessThan">
      <formula>0</formula>
    </cfRule>
  </conditionalFormatting>
  <conditionalFormatting sqref="AS247">
    <cfRule type="cellIs" dxfId="4" priority="874" operator="lessThan">
      <formula>0</formula>
    </cfRule>
    <cfRule type="cellIs" dxfId="5" priority="884" operator="lessThan">
      <formula>0</formula>
    </cfRule>
  </conditionalFormatting>
  <conditionalFormatting sqref="AT247">
    <cfRule type="cellIs" dxfId="4" priority="873" operator="lessThan">
      <formula>0</formula>
    </cfRule>
    <cfRule type="cellIs" dxfId="5" priority="883" operator="lessThan">
      <formula>0</formula>
    </cfRule>
  </conditionalFormatting>
  <conditionalFormatting sqref="AU247">
    <cfRule type="cellIs" dxfId="4" priority="872" operator="lessThan">
      <formula>0</formula>
    </cfRule>
    <cfRule type="cellIs" dxfId="5" priority="882" operator="lessThan">
      <formula>0</formula>
    </cfRule>
  </conditionalFormatting>
  <conditionalFormatting sqref="AV247">
    <cfRule type="cellIs" dxfId="4" priority="871" operator="lessThan">
      <formula>0</formula>
    </cfRule>
    <cfRule type="cellIs" dxfId="5" priority="881" operator="lessThan">
      <formula>0</formula>
    </cfRule>
  </conditionalFormatting>
  <conditionalFormatting sqref="AW247">
    <cfRule type="cellIs" dxfId="4" priority="870" operator="lessThan">
      <formula>0</formula>
    </cfRule>
    <cfRule type="cellIs" dxfId="5" priority="880" operator="lessThan">
      <formula>0</formula>
    </cfRule>
  </conditionalFormatting>
  <conditionalFormatting sqref="AX247">
    <cfRule type="cellIs" dxfId="4" priority="869" operator="lessThan">
      <formula>0</formula>
    </cfRule>
    <cfRule type="cellIs" dxfId="5" priority="879" operator="lessThan">
      <formula>0</formula>
    </cfRule>
  </conditionalFormatting>
  <conditionalFormatting sqref="AY247:BA247">
    <cfRule type="cellIs" dxfId="4" priority="556" operator="lessThan">
      <formula>0</formula>
    </cfRule>
    <cfRule type="cellIs" dxfId="5" priority="557" operator="lessThan">
      <formula>0</formula>
    </cfRule>
  </conditionalFormatting>
  <conditionalFormatting sqref="BB247">
    <cfRule type="cellIs" dxfId="4" priority="899" operator="lessThan">
      <formula>0</formula>
    </cfRule>
    <cfRule type="cellIs" dxfId="5" priority="900" operator="lessThan">
      <formula>0</formula>
    </cfRule>
  </conditionalFormatting>
  <conditionalFormatting sqref="S250">
    <cfRule type="cellIs" dxfId="4" priority="442" operator="lessThan">
      <formula>0</formula>
    </cfRule>
  </conditionalFormatting>
  <conditionalFormatting sqref="BA256">
    <cfRule type="cellIs" dxfId="4" priority="914" operator="lessThan">
      <formula>0</formula>
    </cfRule>
  </conditionalFormatting>
  <conditionalFormatting sqref="T257:AE257">
    <cfRule type="cellIs" dxfId="5" priority="149" operator="lessThan">
      <formula>0</formula>
    </cfRule>
    <cfRule type="cellIs" dxfId="4" priority="148" operator="lessThan">
      <formula>0</formula>
    </cfRule>
  </conditionalFormatting>
  <conditionalFormatting sqref="AF257:AG257">
    <cfRule type="cellIs" dxfId="5" priority="153" operator="lessThan">
      <formula>0</formula>
    </cfRule>
    <cfRule type="cellIs" dxfId="4" priority="152" operator="lessThan">
      <formula>0</formula>
    </cfRule>
  </conditionalFormatting>
  <conditionalFormatting sqref="AH257:AI257">
    <cfRule type="cellIs" dxfId="4" priority="951" operator="lessThan">
      <formula>0</formula>
    </cfRule>
    <cfRule type="cellIs" dxfId="5" priority="952" operator="lessThan">
      <formula>0</formula>
    </cfRule>
  </conditionalFormatting>
  <conditionalFormatting sqref="AO257">
    <cfRule type="cellIs" dxfId="4" priority="926" operator="lessThan">
      <formula>0</formula>
    </cfRule>
    <cfRule type="cellIs" dxfId="5" priority="936" operator="lessThan">
      <formula>0</formula>
    </cfRule>
  </conditionalFormatting>
  <conditionalFormatting sqref="AP257">
    <cfRule type="cellIs" dxfId="4" priority="925" operator="lessThan">
      <formula>0</formula>
    </cfRule>
    <cfRule type="cellIs" dxfId="5" priority="935" operator="lessThan">
      <formula>0</formula>
    </cfRule>
  </conditionalFormatting>
  <conditionalFormatting sqref="AQ257">
    <cfRule type="cellIs" dxfId="4" priority="924" operator="lessThan">
      <formula>0</formula>
    </cfRule>
    <cfRule type="cellIs" dxfId="5" priority="934" operator="lessThan">
      <formula>0</formula>
    </cfRule>
  </conditionalFormatting>
  <conditionalFormatting sqref="AR257">
    <cfRule type="cellIs" dxfId="4" priority="923" operator="lessThan">
      <formula>0</formula>
    </cfRule>
    <cfRule type="cellIs" dxfId="5" priority="933" operator="lessThan">
      <formula>0</formula>
    </cfRule>
  </conditionalFormatting>
  <conditionalFormatting sqref="AS257">
    <cfRule type="cellIs" dxfId="4" priority="922" operator="lessThan">
      <formula>0</formula>
    </cfRule>
    <cfRule type="cellIs" dxfId="5" priority="932" operator="lessThan">
      <formula>0</formula>
    </cfRule>
  </conditionalFormatting>
  <conditionalFormatting sqref="AT257">
    <cfRule type="cellIs" dxfId="4" priority="921" operator="lessThan">
      <formula>0</formula>
    </cfRule>
    <cfRule type="cellIs" dxfId="5" priority="931" operator="lessThan">
      <formula>0</formula>
    </cfRule>
  </conditionalFormatting>
  <conditionalFormatting sqref="AU257">
    <cfRule type="cellIs" dxfId="4" priority="920" operator="lessThan">
      <formula>0</formula>
    </cfRule>
    <cfRule type="cellIs" dxfId="5" priority="930" operator="lessThan">
      <formula>0</formula>
    </cfRule>
  </conditionalFormatting>
  <conditionalFormatting sqref="AV257">
    <cfRule type="cellIs" dxfId="4" priority="919" operator="lessThan">
      <formula>0</formula>
    </cfRule>
    <cfRule type="cellIs" dxfId="5" priority="929" operator="lessThan">
      <formula>0</formula>
    </cfRule>
  </conditionalFormatting>
  <conditionalFormatting sqref="AW257">
    <cfRule type="cellIs" dxfId="4" priority="918" operator="lessThan">
      <formula>0</formula>
    </cfRule>
    <cfRule type="cellIs" dxfId="5" priority="928" operator="lessThan">
      <formula>0</formula>
    </cfRule>
  </conditionalFormatting>
  <conditionalFormatting sqref="AX257">
    <cfRule type="cellIs" dxfId="4" priority="917" operator="lessThan">
      <formula>0</formula>
    </cfRule>
    <cfRule type="cellIs" dxfId="5" priority="927" operator="lessThan">
      <formula>0</formula>
    </cfRule>
  </conditionalFormatting>
  <conditionalFormatting sqref="AY257:BA257">
    <cfRule type="cellIs" dxfId="4" priority="497" operator="lessThan">
      <formula>0</formula>
    </cfRule>
    <cfRule type="cellIs" dxfId="5" priority="498" operator="lessThan">
      <formula>0</formula>
    </cfRule>
  </conditionalFormatting>
  <conditionalFormatting sqref="BB257">
    <cfRule type="cellIs" dxfId="4" priority="947" operator="lessThan">
      <formula>0</formula>
    </cfRule>
    <cfRule type="cellIs" dxfId="5" priority="948" operator="lessThan">
      <formula>0</formula>
    </cfRule>
  </conditionalFormatting>
  <conditionalFormatting sqref="S260">
    <cfRule type="cellIs" dxfId="4" priority="441" operator="lessThan">
      <formula>0</formula>
    </cfRule>
  </conditionalFormatting>
  <conditionalFormatting sqref="T267:AE267">
    <cfRule type="cellIs" dxfId="5" priority="142" operator="lessThan">
      <formula>0</formula>
    </cfRule>
    <cfRule type="cellIs" dxfId="4" priority="141" operator="lessThan">
      <formula>0</formula>
    </cfRule>
  </conditionalFormatting>
  <conditionalFormatting sqref="AF267:AG267">
    <cfRule type="cellIs" dxfId="5" priority="146" operator="lessThan">
      <formula>0</formula>
    </cfRule>
    <cfRule type="cellIs" dxfId="4" priority="145" operator="lessThan">
      <formula>0</formula>
    </cfRule>
  </conditionalFormatting>
  <conditionalFormatting sqref="AH267:AI267">
    <cfRule type="cellIs" dxfId="4" priority="615" operator="lessThan">
      <formula>0</formula>
    </cfRule>
    <cfRule type="cellIs" dxfId="5" priority="616" operator="lessThan">
      <formula>0</formula>
    </cfRule>
  </conditionalFormatting>
  <conditionalFormatting sqref="AO267">
    <cfRule type="cellIs" dxfId="4" priority="590" operator="lessThan">
      <formula>0</formula>
    </cfRule>
    <cfRule type="cellIs" dxfId="5" priority="600" operator="lessThan">
      <formula>0</formula>
    </cfRule>
  </conditionalFormatting>
  <conditionalFormatting sqref="AP267">
    <cfRule type="cellIs" dxfId="4" priority="589" operator="lessThan">
      <formula>0</formula>
    </cfRule>
    <cfRule type="cellIs" dxfId="5" priority="599" operator="lessThan">
      <formula>0</formula>
    </cfRule>
  </conditionalFormatting>
  <conditionalFormatting sqref="AQ267">
    <cfRule type="cellIs" dxfId="4" priority="588" operator="lessThan">
      <formula>0</formula>
    </cfRule>
    <cfRule type="cellIs" dxfId="5" priority="598" operator="lessThan">
      <formula>0</formula>
    </cfRule>
  </conditionalFormatting>
  <conditionalFormatting sqref="AR267">
    <cfRule type="cellIs" dxfId="4" priority="587" operator="lessThan">
      <formula>0</formula>
    </cfRule>
    <cfRule type="cellIs" dxfId="5" priority="597" operator="lessThan">
      <formula>0</formula>
    </cfRule>
  </conditionalFormatting>
  <conditionalFormatting sqref="AS267">
    <cfRule type="cellIs" dxfId="4" priority="586" operator="lessThan">
      <formula>0</formula>
    </cfRule>
    <cfRule type="cellIs" dxfId="5" priority="596" operator="lessThan">
      <formula>0</formula>
    </cfRule>
  </conditionalFormatting>
  <conditionalFormatting sqref="AT267">
    <cfRule type="cellIs" dxfId="4" priority="585" operator="lessThan">
      <formula>0</formula>
    </cfRule>
    <cfRule type="cellIs" dxfId="5" priority="595" operator="lessThan">
      <formula>0</formula>
    </cfRule>
  </conditionalFormatting>
  <conditionalFormatting sqref="AU267">
    <cfRule type="cellIs" dxfId="4" priority="584" operator="lessThan">
      <formula>0</formula>
    </cfRule>
    <cfRule type="cellIs" dxfId="5" priority="594" operator="lessThan">
      <formula>0</formula>
    </cfRule>
  </conditionalFormatting>
  <conditionalFormatting sqref="AV267">
    <cfRule type="cellIs" dxfId="4" priority="583" operator="lessThan">
      <formula>0</formula>
    </cfRule>
    <cfRule type="cellIs" dxfId="5" priority="593" operator="lessThan">
      <formula>0</formula>
    </cfRule>
  </conditionalFormatting>
  <conditionalFormatting sqref="AW267">
    <cfRule type="cellIs" dxfId="4" priority="582" operator="lessThan">
      <formula>0</formula>
    </cfRule>
    <cfRule type="cellIs" dxfId="5" priority="592" operator="lessThan">
      <formula>0</formula>
    </cfRule>
  </conditionalFormatting>
  <conditionalFormatting sqref="AX267">
    <cfRule type="cellIs" dxfId="4" priority="581" operator="lessThan">
      <formula>0</formula>
    </cfRule>
    <cfRule type="cellIs" dxfId="5" priority="591" operator="lessThan">
      <formula>0</formula>
    </cfRule>
  </conditionalFormatting>
  <conditionalFormatting sqref="AY267:AZ267">
    <cfRule type="cellIs" dxfId="4" priority="552" operator="lessThan">
      <formula>0</formula>
    </cfRule>
    <cfRule type="cellIs" dxfId="5" priority="553" operator="lessThan">
      <formula>0</formula>
    </cfRule>
  </conditionalFormatting>
  <conditionalFormatting sqref="BA267">
    <cfRule type="cellIs" dxfId="4" priority="576" operator="lessThan">
      <formula>0</formula>
    </cfRule>
    <cfRule type="cellIs" dxfId="5" priority="577" operator="lessThan">
      <formula>0</formula>
    </cfRule>
  </conditionalFormatting>
  <conditionalFormatting sqref="BB267">
    <cfRule type="cellIs" dxfId="4" priority="611" operator="lessThan">
      <formula>0</formula>
    </cfRule>
    <cfRule type="cellIs" dxfId="5" priority="612" operator="lessThan">
      <formula>0</formula>
    </cfRule>
  </conditionalFormatting>
  <conditionalFormatting sqref="S270">
    <cfRule type="cellIs" dxfId="4" priority="440" operator="lessThan">
      <formula>0</formula>
    </cfRule>
  </conditionalFormatting>
  <conditionalFormatting sqref="T277:AE277">
    <cfRule type="cellIs" dxfId="5" priority="135" operator="lessThan">
      <formula>0</formula>
    </cfRule>
    <cfRule type="cellIs" dxfId="4" priority="134" operator="lessThan">
      <formula>0</formula>
    </cfRule>
  </conditionalFormatting>
  <conditionalFormatting sqref="AF277:AG277">
    <cfRule type="cellIs" dxfId="5" priority="139" operator="lessThan">
      <formula>0</formula>
    </cfRule>
    <cfRule type="cellIs" dxfId="4" priority="138" operator="lessThan">
      <formula>0</formula>
    </cfRule>
  </conditionalFormatting>
  <conditionalFormatting sqref="BA277">
    <cfRule type="cellIs" dxfId="4" priority="1332" operator="lessThan">
      <formula>0</formula>
    </cfRule>
    <cfRule type="cellIs" dxfId="5" priority="1333" operator="lessThan">
      <formula>0</formula>
    </cfRule>
  </conditionalFormatting>
  <conditionalFormatting sqref="BB277">
    <cfRule type="cellIs" dxfId="4" priority="1335" operator="lessThan">
      <formula>0</formula>
    </cfRule>
    <cfRule type="cellIs" dxfId="5" priority="1336" operator="lessThan">
      <formula>0</formula>
    </cfRule>
  </conditionalFormatting>
  <conditionalFormatting sqref="S280">
    <cfRule type="cellIs" dxfId="4" priority="439" operator="lessThan">
      <formula>0</formula>
    </cfRule>
  </conditionalFormatting>
  <conditionalFormatting sqref="T287:AE287">
    <cfRule type="cellIs" dxfId="5" priority="128" operator="lessThan">
      <formula>0</formula>
    </cfRule>
    <cfRule type="cellIs" dxfId="4" priority="127" operator="lessThan">
      <formula>0</formula>
    </cfRule>
  </conditionalFormatting>
  <conditionalFormatting sqref="AF287:AG287">
    <cfRule type="cellIs" dxfId="5" priority="132" operator="lessThan">
      <formula>0</formula>
    </cfRule>
    <cfRule type="cellIs" dxfId="4" priority="131" operator="lessThan">
      <formula>0</formula>
    </cfRule>
  </conditionalFormatting>
  <conditionalFormatting sqref="BA287">
    <cfRule type="cellIs" dxfId="4" priority="1326" operator="lessThan">
      <formula>0</formula>
    </cfRule>
    <cfRule type="cellIs" dxfId="5" priority="1327" operator="lessThan">
      <formula>0</formula>
    </cfRule>
  </conditionalFormatting>
  <conditionalFormatting sqref="BB287">
    <cfRule type="cellIs" dxfId="4" priority="1500" operator="lessThan">
      <formula>0</formula>
    </cfRule>
    <cfRule type="cellIs" dxfId="5" priority="1501" operator="lessThan">
      <formula>0</formula>
    </cfRule>
  </conditionalFormatting>
  <conditionalFormatting sqref="BB288">
    <cfRule type="cellIs" dxfId="5" priority="1538" operator="lessThan">
      <formula>0</formula>
    </cfRule>
  </conditionalFormatting>
  <conditionalFormatting sqref="BC288">
    <cfRule type="cellIs" dxfId="5" priority="3240" operator="lessThan">
      <formula>0</formula>
    </cfRule>
  </conditionalFormatting>
  <conditionalFormatting sqref="S290">
    <cfRule type="cellIs" dxfId="4" priority="438" operator="lessThan">
      <formula>0</formula>
    </cfRule>
  </conditionalFormatting>
  <conditionalFormatting sqref="T297:AE297">
    <cfRule type="cellIs" dxfId="5" priority="121" operator="lessThan">
      <formula>0</formula>
    </cfRule>
    <cfRule type="cellIs" dxfId="4" priority="120" operator="lessThan">
      <formula>0</formula>
    </cfRule>
  </conditionalFormatting>
  <conditionalFormatting sqref="AF297:AG297">
    <cfRule type="cellIs" dxfId="5" priority="125" operator="lessThan">
      <formula>0</formula>
    </cfRule>
    <cfRule type="cellIs" dxfId="4" priority="124" operator="lessThan">
      <formula>0</formula>
    </cfRule>
  </conditionalFormatting>
  <conditionalFormatting sqref="BA297">
    <cfRule type="cellIs" dxfId="4" priority="1329" operator="lessThan">
      <formula>0</formula>
    </cfRule>
    <cfRule type="cellIs" dxfId="5" priority="1330" operator="lessThan">
      <formula>0</formula>
    </cfRule>
  </conditionalFormatting>
  <conditionalFormatting sqref="BB297">
    <cfRule type="cellIs" dxfId="4" priority="1466" operator="lessThan">
      <formula>0</formula>
    </cfRule>
    <cfRule type="cellIs" dxfId="5" priority="1467" operator="lessThan">
      <formula>0</formula>
    </cfRule>
  </conditionalFormatting>
  <conditionalFormatting sqref="BB298">
    <cfRule type="cellIs" dxfId="5" priority="1537" operator="lessThan">
      <formula>0</formula>
    </cfRule>
  </conditionalFormatting>
  <conditionalFormatting sqref="BC298">
    <cfRule type="cellIs" dxfId="5" priority="3239" operator="lessThan">
      <formula>0</formula>
    </cfRule>
  </conditionalFormatting>
  <conditionalFormatting sqref="S300">
    <cfRule type="cellIs" dxfId="4" priority="437" operator="lessThan">
      <formula>0</formula>
    </cfRule>
  </conditionalFormatting>
  <conditionalFormatting sqref="T307:AE307">
    <cfRule type="cellIs" dxfId="5" priority="114" operator="lessThan">
      <formula>0</formula>
    </cfRule>
    <cfRule type="cellIs" dxfId="4" priority="113" operator="lessThan">
      <formula>0</formula>
    </cfRule>
  </conditionalFormatting>
  <conditionalFormatting sqref="AF307:AG307">
    <cfRule type="cellIs" dxfId="5" priority="118" operator="lessThan">
      <formula>0</formula>
    </cfRule>
    <cfRule type="cellIs" dxfId="4" priority="117" operator="lessThan">
      <formula>0</formula>
    </cfRule>
  </conditionalFormatting>
  <conditionalFormatting sqref="BA307">
    <cfRule type="cellIs" dxfId="4" priority="1323" operator="lessThan">
      <formula>0</formula>
    </cfRule>
    <cfRule type="cellIs" dxfId="5" priority="1324" operator="lessThan">
      <formula>0</formula>
    </cfRule>
  </conditionalFormatting>
  <conditionalFormatting sqref="BB307">
    <cfRule type="cellIs" dxfId="4" priority="1435" operator="lessThan">
      <formula>0</formula>
    </cfRule>
    <cfRule type="cellIs" dxfId="5" priority="1449" operator="lessThan">
      <formula>0</formula>
    </cfRule>
  </conditionalFormatting>
  <conditionalFormatting sqref="BB308">
    <cfRule type="cellIs" dxfId="5" priority="1463" operator="lessThan">
      <formula>0</formula>
    </cfRule>
  </conditionalFormatting>
  <conditionalFormatting sqref="S310">
    <cfRule type="cellIs" dxfId="4" priority="436" operator="lessThan">
      <formula>0</formula>
    </cfRule>
  </conditionalFormatting>
  <conditionalFormatting sqref="T317:AE317">
    <cfRule type="cellIs" dxfId="5" priority="107" operator="lessThan">
      <formula>0</formula>
    </cfRule>
    <cfRule type="cellIs" dxfId="4" priority="106" operator="lessThan">
      <formula>0</formula>
    </cfRule>
  </conditionalFormatting>
  <conditionalFormatting sqref="AF317:AG317">
    <cfRule type="cellIs" dxfId="5" priority="111" operator="lessThan">
      <formula>0</formula>
    </cfRule>
    <cfRule type="cellIs" dxfId="4" priority="110" operator="lessThan">
      <formula>0</formula>
    </cfRule>
  </conditionalFormatting>
  <conditionalFormatting sqref="BA317">
    <cfRule type="cellIs" dxfId="4" priority="1320" operator="lessThan">
      <formula>0</formula>
    </cfRule>
    <cfRule type="cellIs" dxfId="5" priority="1321" operator="lessThan">
      <formula>0</formula>
    </cfRule>
  </conditionalFormatting>
  <conditionalFormatting sqref="BB318">
    <cfRule type="cellIs" dxfId="5" priority="1462" operator="lessThan">
      <formula>0</formula>
    </cfRule>
  </conditionalFormatting>
  <conditionalFormatting sqref="S320">
    <cfRule type="cellIs" dxfId="4" priority="435" operator="lessThan">
      <formula>0</formula>
    </cfRule>
  </conditionalFormatting>
  <conditionalFormatting sqref="T327:AE327">
    <cfRule type="cellIs" dxfId="5" priority="100" operator="lessThan">
      <formula>0</formula>
    </cfRule>
    <cfRule type="cellIs" dxfId="4" priority="99" operator="lessThan">
      <formula>0</formula>
    </cfRule>
  </conditionalFormatting>
  <conditionalFormatting sqref="AF327:AG327">
    <cfRule type="cellIs" dxfId="5" priority="104" operator="lessThan">
      <formula>0</formula>
    </cfRule>
    <cfRule type="cellIs" dxfId="4" priority="103" operator="lessThan">
      <formula>0</formula>
    </cfRule>
  </conditionalFormatting>
  <conditionalFormatting sqref="BB327">
    <cfRule type="cellIs" dxfId="4" priority="1433" operator="lessThan">
      <formula>0</formula>
    </cfRule>
    <cfRule type="cellIs" dxfId="5" priority="1447" operator="lessThan">
      <formula>0</formula>
    </cfRule>
  </conditionalFormatting>
  <conditionalFormatting sqref="S328">
    <cfRule type="cellIs" dxfId="5" priority="2354" operator="lessThan">
      <formula>0</formula>
    </cfRule>
  </conditionalFormatting>
  <conditionalFormatting sqref="BB328">
    <cfRule type="cellIs" dxfId="5" priority="1461" operator="lessThan">
      <formula>0</formula>
    </cfRule>
  </conditionalFormatting>
  <conditionalFormatting sqref="S330">
    <cfRule type="cellIs" dxfId="4" priority="434" operator="lessThan">
      <formula>0</formula>
    </cfRule>
  </conditionalFormatting>
  <conditionalFormatting sqref="T337:AE337">
    <cfRule type="cellIs" dxfId="5" priority="93" operator="lessThan">
      <formula>0</formula>
    </cfRule>
    <cfRule type="cellIs" dxfId="4" priority="92" operator="lessThan">
      <formula>0</formula>
    </cfRule>
  </conditionalFormatting>
  <conditionalFormatting sqref="AF337:AG337">
    <cfRule type="cellIs" dxfId="5" priority="97" operator="lessThan">
      <formula>0</formula>
    </cfRule>
    <cfRule type="cellIs" dxfId="4" priority="96" operator="lessThan">
      <formula>0</formula>
    </cfRule>
  </conditionalFormatting>
  <conditionalFormatting sqref="AY337">
    <cfRule type="cellIs" dxfId="4" priority="1177" operator="lessThan">
      <formula>0</formula>
    </cfRule>
    <cfRule type="cellIs" dxfId="5" priority="1178" operator="lessThan">
      <formula>0</formula>
    </cfRule>
  </conditionalFormatting>
  <conditionalFormatting sqref="BA337">
    <cfRule type="cellIs" dxfId="4" priority="1317" operator="lessThan">
      <formula>0</formula>
    </cfRule>
    <cfRule type="cellIs" dxfId="5" priority="1318" operator="lessThan">
      <formula>0</formula>
    </cfRule>
  </conditionalFormatting>
  <conditionalFormatting sqref="BB337">
    <cfRule type="cellIs" dxfId="4" priority="1432" operator="lessThan">
      <formula>0</formula>
    </cfRule>
    <cfRule type="cellIs" dxfId="5" priority="1446" operator="lessThan">
      <formula>0</formula>
    </cfRule>
  </conditionalFormatting>
  <conditionalFormatting sqref="S338">
    <cfRule type="cellIs" dxfId="5" priority="2352" operator="lessThan">
      <formula>0</formula>
    </cfRule>
  </conditionalFormatting>
  <conditionalFormatting sqref="BB338">
    <cfRule type="cellIs" dxfId="5" priority="1460" operator="lessThan">
      <formula>0</formula>
    </cfRule>
  </conditionalFormatting>
  <conditionalFormatting sqref="S340">
    <cfRule type="cellIs" dxfId="4" priority="433" operator="lessThan">
      <formula>0</formula>
    </cfRule>
  </conditionalFormatting>
  <conditionalFormatting sqref="T347:AE347">
    <cfRule type="cellIs" dxfId="5" priority="86" operator="lessThan">
      <formula>0</formula>
    </cfRule>
    <cfRule type="cellIs" dxfId="4" priority="85" operator="lessThan">
      <formula>0</formula>
    </cfRule>
  </conditionalFormatting>
  <conditionalFormatting sqref="AF347:AG347">
    <cfRule type="cellIs" dxfId="5" priority="90" operator="lessThan">
      <formula>0</formula>
    </cfRule>
    <cfRule type="cellIs" dxfId="4" priority="89" operator="lessThan">
      <formula>0</formula>
    </cfRule>
  </conditionalFormatting>
  <conditionalFormatting sqref="BA347">
    <cfRule type="cellIs" dxfId="4" priority="1314" operator="lessThan">
      <formula>0</formula>
    </cfRule>
    <cfRule type="cellIs" dxfId="5" priority="1315" operator="lessThan">
      <formula>0</formula>
    </cfRule>
  </conditionalFormatting>
  <conditionalFormatting sqref="BB348">
    <cfRule type="cellIs" dxfId="5" priority="1459" operator="lessThan">
      <formula>0</formula>
    </cfRule>
  </conditionalFormatting>
  <conditionalFormatting sqref="S350">
    <cfRule type="cellIs" dxfId="4" priority="432" operator="lessThan">
      <formula>0</formula>
    </cfRule>
  </conditionalFormatting>
  <conditionalFormatting sqref="T357:AE357">
    <cfRule type="cellIs" dxfId="5" priority="79" operator="lessThan">
      <formula>0</formula>
    </cfRule>
    <cfRule type="cellIs" dxfId="4" priority="78" operator="lessThan">
      <formula>0</formula>
    </cfRule>
  </conditionalFormatting>
  <conditionalFormatting sqref="AF357:AG357">
    <cfRule type="cellIs" dxfId="5" priority="83" operator="lessThan">
      <formula>0</formula>
    </cfRule>
    <cfRule type="cellIs" dxfId="4" priority="82" operator="lessThan">
      <formula>0</formula>
    </cfRule>
  </conditionalFormatting>
  <conditionalFormatting sqref="BB357:BC357">
    <cfRule type="cellIs" dxfId="4" priority="1418" operator="lessThan">
      <formula>0</formula>
    </cfRule>
    <cfRule type="cellIs" dxfId="5" priority="1419" operator="lessThan">
      <formula>0</formula>
    </cfRule>
  </conditionalFormatting>
  <conditionalFormatting sqref="BB358">
    <cfRule type="cellIs" dxfId="5" priority="1458" operator="lessThan">
      <formula>0</formula>
    </cfRule>
  </conditionalFormatting>
  <conditionalFormatting sqref="S360">
    <cfRule type="cellIs" dxfId="4" priority="431" operator="lessThan">
      <formula>0</formula>
    </cfRule>
  </conditionalFormatting>
  <conditionalFormatting sqref="T367:AE367">
    <cfRule type="cellIs" dxfId="5" priority="72" operator="lessThan">
      <formula>0</formula>
    </cfRule>
    <cfRule type="cellIs" dxfId="4" priority="71" operator="lessThan">
      <formula>0</formula>
    </cfRule>
  </conditionalFormatting>
  <conditionalFormatting sqref="AF367:AG367">
    <cfRule type="cellIs" dxfId="5" priority="76" operator="lessThan">
      <formula>0</formula>
    </cfRule>
    <cfRule type="cellIs" dxfId="4" priority="75" operator="lessThan">
      <formula>0</formula>
    </cfRule>
  </conditionalFormatting>
  <conditionalFormatting sqref="BB367">
    <cfRule type="cellIs" dxfId="4" priority="1429" operator="lessThan">
      <formula>0</formula>
    </cfRule>
    <cfRule type="cellIs" dxfId="5" priority="1443" operator="lessThan">
      <formula>0</formula>
    </cfRule>
  </conditionalFormatting>
  <conditionalFormatting sqref="BB368">
    <cfRule type="cellIs" dxfId="5" priority="1457" operator="lessThan">
      <formula>0</formula>
    </cfRule>
  </conditionalFormatting>
  <conditionalFormatting sqref="S370">
    <cfRule type="cellIs" dxfId="4" priority="430" operator="lessThan">
      <formula>0</formula>
    </cfRule>
  </conditionalFormatting>
  <conditionalFormatting sqref="T377:AE377">
    <cfRule type="cellIs" dxfId="5" priority="65" operator="lessThan">
      <formula>0</formula>
    </cfRule>
    <cfRule type="cellIs" dxfId="4" priority="64" operator="lessThan">
      <formula>0</formula>
    </cfRule>
  </conditionalFormatting>
  <conditionalFormatting sqref="AF377:AG377">
    <cfRule type="cellIs" dxfId="5" priority="69" operator="lessThan">
      <formula>0</formula>
    </cfRule>
    <cfRule type="cellIs" dxfId="4" priority="68" operator="lessThan">
      <formula>0</formula>
    </cfRule>
  </conditionalFormatting>
  <conditionalFormatting sqref="BB377">
    <cfRule type="cellIs" dxfId="4" priority="1428" operator="lessThan">
      <formula>0</formula>
    </cfRule>
    <cfRule type="cellIs" dxfId="5" priority="1442" operator="lessThan">
      <formula>0</formula>
    </cfRule>
  </conditionalFormatting>
  <conditionalFormatting sqref="BB378">
    <cfRule type="cellIs" dxfId="5" priority="1456" operator="lessThan">
      <formula>0</formula>
    </cfRule>
  </conditionalFormatting>
  <conditionalFormatting sqref="S380">
    <cfRule type="cellIs" dxfId="4" priority="429" operator="lessThan">
      <formula>0</formula>
    </cfRule>
  </conditionalFormatting>
  <conditionalFormatting sqref="T387:AE387">
    <cfRule type="cellIs" dxfId="5" priority="58" operator="lessThan">
      <formula>0</formula>
    </cfRule>
    <cfRule type="cellIs" dxfId="4" priority="57" operator="lessThan">
      <formula>0</formula>
    </cfRule>
  </conditionalFormatting>
  <conditionalFormatting sqref="AF387:AG387">
    <cfRule type="cellIs" dxfId="5" priority="62" operator="lessThan">
      <formula>0</formula>
    </cfRule>
    <cfRule type="cellIs" dxfId="4" priority="61" operator="lessThan">
      <formula>0</formula>
    </cfRule>
  </conditionalFormatting>
  <conditionalFormatting sqref="BB387">
    <cfRule type="cellIs" dxfId="4" priority="1427" operator="lessThan">
      <formula>0</formula>
    </cfRule>
    <cfRule type="cellIs" dxfId="5" priority="1441" operator="lessThan">
      <formula>0</formula>
    </cfRule>
  </conditionalFormatting>
  <conditionalFormatting sqref="S388">
    <cfRule type="cellIs" dxfId="5" priority="2041" operator="lessThan">
      <formula>0</formula>
    </cfRule>
  </conditionalFormatting>
  <conditionalFormatting sqref="BB388">
    <cfRule type="cellIs" dxfId="5" priority="1455" operator="lessThan">
      <formula>0</formula>
    </cfRule>
  </conditionalFormatting>
  <conditionalFormatting sqref="S390">
    <cfRule type="cellIs" dxfId="4" priority="428" operator="lessThan">
      <formula>0</formula>
    </cfRule>
  </conditionalFormatting>
  <conditionalFormatting sqref="T397:AE397">
    <cfRule type="cellIs" dxfId="5" priority="51" operator="lessThan">
      <formula>0</formula>
    </cfRule>
    <cfRule type="cellIs" dxfId="4" priority="50" operator="lessThan">
      <formula>0</formula>
    </cfRule>
  </conditionalFormatting>
  <conditionalFormatting sqref="AF397:AG397">
    <cfRule type="cellIs" dxfId="5" priority="55" operator="lessThan">
      <formula>0</formula>
    </cfRule>
    <cfRule type="cellIs" dxfId="4" priority="54" operator="lessThan">
      <formula>0</formula>
    </cfRule>
  </conditionalFormatting>
  <conditionalFormatting sqref="BB397">
    <cfRule type="cellIs" dxfId="4" priority="1426" operator="lessThan">
      <formula>0</formula>
    </cfRule>
    <cfRule type="cellIs" dxfId="5" priority="1440" operator="lessThan">
      <formula>0</formula>
    </cfRule>
  </conditionalFormatting>
  <conditionalFormatting sqref="BB398">
    <cfRule type="cellIs" dxfId="5" priority="1454" operator="lessThan">
      <formula>0</formula>
    </cfRule>
  </conditionalFormatting>
  <conditionalFormatting sqref="S400">
    <cfRule type="cellIs" dxfId="4" priority="427" operator="lessThan">
      <formula>0</formula>
    </cfRule>
  </conditionalFormatting>
  <conditionalFormatting sqref="T407:AE407">
    <cfRule type="cellIs" dxfId="5" priority="44" operator="lessThan">
      <formula>0</formula>
    </cfRule>
    <cfRule type="cellIs" dxfId="4" priority="43" operator="lessThan">
      <formula>0</formula>
    </cfRule>
  </conditionalFormatting>
  <conditionalFormatting sqref="AF407:AG407">
    <cfRule type="cellIs" dxfId="5" priority="48" operator="lessThan">
      <formula>0</formula>
    </cfRule>
    <cfRule type="cellIs" dxfId="4" priority="47" operator="lessThan">
      <formula>0</formula>
    </cfRule>
  </conditionalFormatting>
  <conditionalFormatting sqref="BB407">
    <cfRule type="cellIs" dxfId="4" priority="1425" operator="lessThan">
      <formula>0</formula>
    </cfRule>
    <cfRule type="cellIs" dxfId="5" priority="1439" operator="lessThan">
      <formula>0</formula>
    </cfRule>
  </conditionalFormatting>
  <conditionalFormatting sqref="BB408">
    <cfRule type="cellIs" dxfId="5" priority="1453" operator="lessThan">
      <formula>0</formula>
    </cfRule>
  </conditionalFormatting>
  <conditionalFormatting sqref="S410">
    <cfRule type="cellIs" dxfId="4" priority="426" operator="lessThan">
      <formula>0</formula>
    </cfRule>
  </conditionalFormatting>
  <conditionalFormatting sqref="T417:AE417">
    <cfRule type="cellIs" dxfId="5" priority="37" operator="lessThan">
      <formula>0</formula>
    </cfRule>
    <cfRule type="cellIs" dxfId="4" priority="36" operator="lessThan">
      <formula>0</formula>
    </cfRule>
  </conditionalFormatting>
  <conditionalFormatting sqref="AF417:AG417">
    <cfRule type="cellIs" dxfId="5" priority="41" operator="lessThan">
      <formula>0</formula>
    </cfRule>
    <cfRule type="cellIs" dxfId="4" priority="40" operator="lessThan">
      <formula>0</formula>
    </cfRule>
  </conditionalFormatting>
  <conditionalFormatting sqref="BB417">
    <cfRule type="cellIs" dxfId="4" priority="1424" operator="lessThan">
      <formula>0</formula>
    </cfRule>
    <cfRule type="cellIs" dxfId="5" priority="1438" operator="lessThan">
      <formula>0</formula>
    </cfRule>
  </conditionalFormatting>
  <conditionalFormatting sqref="BB418">
    <cfRule type="cellIs" dxfId="5" priority="1452" operator="lessThan">
      <formula>0</formula>
    </cfRule>
  </conditionalFormatting>
  <conditionalFormatting sqref="S420">
    <cfRule type="cellIs" dxfId="4" priority="425" operator="lessThan">
      <formula>0</formula>
    </cfRule>
  </conditionalFormatting>
  <conditionalFormatting sqref="T427:AE427">
    <cfRule type="cellIs" dxfId="5" priority="30" operator="lessThan">
      <formula>0</formula>
    </cfRule>
    <cfRule type="cellIs" dxfId="4" priority="29" operator="lessThan">
      <formula>0</formula>
    </cfRule>
  </conditionalFormatting>
  <conditionalFormatting sqref="AF427:AG427">
    <cfRule type="cellIs" dxfId="5" priority="34" operator="lessThan">
      <formula>0</formula>
    </cfRule>
    <cfRule type="cellIs" dxfId="4" priority="33" operator="lessThan">
      <formula>0</formula>
    </cfRule>
  </conditionalFormatting>
  <conditionalFormatting sqref="BB427">
    <cfRule type="cellIs" dxfId="4" priority="1423" operator="lessThan">
      <formula>0</formula>
    </cfRule>
    <cfRule type="cellIs" dxfId="5" priority="1437" operator="lessThan">
      <formula>0</formula>
    </cfRule>
  </conditionalFormatting>
  <conditionalFormatting sqref="BA428">
    <cfRule type="cellIs" dxfId="5" priority="1141" operator="lessThan">
      <formula>0</formula>
    </cfRule>
  </conditionalFormatting>
  <conditionalFormatting sqref="BB428">
    <cfRule type="cellIs" dxfId="5" priority="1451" operator="lessThan">
      <formula>0</formula>
    </cfRule>
  </conditionalFormatting>
  <conditionalFormatting sqref="S430">
    <cfRule type="cellIs" dxfId="4" priority="424" operator="lessThan">
      <formula>0</formula>
    </cfRule>
  </conditionalFormatting>
  <conditionalFormatting sqref="T437:AE437">
    <cfRule type="cellIs" dxfId="5" priority="23" operator="lessThan">
      <formula>0</formula>
    </cfRule>
    <cfRule type="cellIs" dxfId="4" priority="22" operator="lessThan">
      <formula>0</formula>
    </cfRule>
  </conditionalFormatting>
  <conditionalFormatting sqref="AF437:AG437">
    <cfRule type="cellIs" dxfId="5" priority="27" operator="lessThan">
      <formula>0</formula>
    </cfRule>
    <cfRule type="cellIs" dxfId="4" priority="26" operator="lessThan">
      <formula>0</formula>
    </cfRule>
  </conditionalFormatting>
  <conditionalFormatting sqref="BB437">
    <cfRule type="cellIs" dxfId="4" priority="1422" operator="lessThan">
      <formula>0</formula>
    </cfRule>
    <cfRule type="cellIs" dxfId="5" priority="1436" operator="lessThan">
      <formula>0</formula>
    </cfRule>
  </conditionalFormatting>
  <conditionalFormatting sqref="BB438">
    <cfRule type="cellIs" dxfId="5" priority="1450" operator="lessThan">
      <formula>0</formula>
    </cfRule>
  </conditionalFormatting>
  <conditionalFormatting sqref="S440">
    <cfRule type="cellIs" dxfId="4" priority="423" operator="lessThan">
      <formula>0</formula>
    </cfRule>
  </conditionalFormatting>
  <conditionalFormatting sqref="S447">
    <cfRule type="cellIs" dxfId="4" priority="968" operator="lessThan">
      <formula>0</formula>
    </cfRule>
    <cfRule type="cellIs" dxfId="5" priority="969" operator="lessThan">
      <formula>0</formula>
    </cfRule>
  </conditionalFormatting>
  <conditionalFormatting sqref="T447:AE447">
    <cfRule type="cellIs" dxfId="5" priority="16" operator="lessThan">
      <formula>0</formula>
    </cfRule>
    <cfRule type="cellIs" dxfId="4" priority="15" operator="lessThan">
      <formula>0</formula>
    </cfRule>
  </conditionalFormatting>
  <conditionalFormatting sqref="AF447:AG447">
    <cfRule type="cellIs" dxfId="5" priority="20" operator="lessThan">
      <formula>0</formula>
    </cfRule>
    <cfRule type="cellIs" dxfId="4" priority="19" operator="lessThan">
      <formula>0</formula>
    </cfRule>
  </conditionalFormatting>
  <conditionalFormatting sqref="AH447">
    <cfRule type="cellIs" dxfId="4" priority="1307" operator="lessThan">
      <formula>0</formula>
    </cfRule>
    <cfRule type="cellIs" dxfId="5" priority="1308" operator="lessThan">
      <formula>0</formula>
    </cfRule>
  </conditionalFormatting>
  <conditionalFormatting sqref="AO447">
    <cfRule type="cellIs" dxfId="4" priority="1258" operator="lessThan">
      <formula>0</formula>
    </cfRule>
    <cfRule type="cellIs" dxfId="5" priority="1269" operator="lessThan">
      <formula>0</formula>
    </cfRule>
  </conditionalFormatting>
  <conditionalFormatting sqref="AP447">
    <cfRule type="cellIs" dxfId="4" priority="1257" operator="lessThan">
      <formula>0</formula>
    </cfRule>
    <cfRule type="cellIs" dxfId="5" priority="1268" operator="lessThan">
      <formula>0</formula>
    </cfRule>
  </conditionalFormatting>
  <conditionalFormatting sqref="AQ447">
    <cfRule type="cellIs" dxfId="4" priority="1256" operator="lessThan">
      <formula>0</formula>
    </cfRule>
    <cfRule type="cellIs" dxfId="5" priority="1267" operator="lessThan">
      <formula>0</formula>
    </cfRule>
  </conditionalFormatting>
  <conditionalFormatting sqref="AR447">
    <cfRule type="cellIs" dxfId="4" priority="1255" operator="lessThan">
      <formula>0</formula>
    </cfRule>
    <cfRule type="cellIs" dxfId="5" priority="1266" operator="lessThan">
      <formula>0</formula>
    </cfRule>
  </conditionalFormatting>
  <conditionalFormatting sqref="AS447">
    <cfRule type="cellIs" dxfId="4" priority="1254" operator="lessThan">
      <formula>0</formula>
    </cfRule>
    <cfRule type="cellIs" dxfId="5" priority="1265" operator="lessThan">
      <formula>0</formula>
    </cfRule>
  </conditionalFormatting>
  <conditionalFormatting sqref="AT447">
    <cfRule type="cellIs" dxfId="4" priority="1253" operator="lessThan">
      <formula>0</formula>
    </cfRule>
    <cfRule type="cellIs" dxfId="5" priority="1264" operator="lessThan">
      <formula>0</formula>
    </cfRule>
  </conditionalFormatting>
  <conditionalFormatting sqref="AU447">
    <cfRule type="cellIs" dxfId="4" priority="1252" operator="lessThan">
      <formula>0</formula>
    </cfRule>
    <cfRule type="cellIs" dxfId="5" priority="1263" operator="lessThan">
      <formula>0</formula>
    </cfRule>
  </conditionalFormatting>
  <conditionalFormatting sqref="AV447">
    <cfRule type="cellIs" dxfId="4" priority="1251" operator="lessThan">
      <formula>0</formula>
    </cfRule>
    <cfRule type="cellIs" dxfId="5" priority="1262" operator="lessThan">
      <formula>0</formula>
    </cfRule>
  </conditionalFormatting>
  <conditionalFormatting sqref="AW447">
    <cfRule type="cellIs" dxfId="4" priority="1250" operator="lessThan">
      <formula>0</formula>
    </cfRule>
    <cfRule type="cellIs" dxfId="5" priority="1261" operator="lessThan">
      <formula>0</formula>
    </cfRule>
  </conditionalFormatting>
  <conditionalFormatting sqref="AX447">
    <cfRule type="cellIs" dxfId="4" priority="1249" operator="lessThan">
      <formula>0</formula>
    </cfRule>
    <cfRule type="cellIs" dxfId="5" priority="1260" operator="lessThan">
      <formula>0</formula>
    </cfRule>
  </conditionalFormatting>
  <conditionalFormatting sqref="AY447">
    <cfRule type="cellIs" dxfId="4" priority="1171" operator="lessThan">
      <formula>0</formula>
    </cfRule>
    <cfRule type="cellIs" dxfId="5" priority="1172" operator="lessThan">
      <formula>0</formula>
    </cfRule>
  </conditionalFormatting>
  <conditionalFormatting sqref="AZ447">
    <cfRule type="cellIs" dxfId="4" priority="1286" operator="lessThan">
      <formula>0</formula>
    </cfRule>
    <cfRule type="cellIs" dxfId="5" priority="1287" operator="lessThan">
      <formula>0</formula>
    </cfRule>
  </conditionalFormatting>
  <conditionalFormatting sqref="BB447">
    <cfRule type="cellIs" dxfId="4" priority="1281" operator="lessThan">
      <formula>0</formula>
    </cfRule>
    <cfRule type="cellIs" dxfId="5" priority="1282" operator="lessThan">
      <formula>0</formula>
    </cfRule>
  </conditionalFormatting>
  <conditionalFormatting sqref="BB448">
    <cfRule type="cellIs" dxfId="5" priority="1283" operator="lessThan">
      <formula>0</formula>
    </cfRule>
  </conditionalFormatting>
  <conditionalFormatting sqref="S450">
    <cfRule type="cellIs" dxfId="4" priority="422" operator="lessThan">
      <formula>0</formula>
    </cfRule>
  </conditionalFormatting>
  <conditionalFormatting sqref="S457">
    <cfRule type="cellIs" dxfId="4" priority="965" operator="lessThan">
      <formula>0</formula>
    </cfRule>
    <cfRule type="cellIs" dxfId="5" priority="966" operator="lessThan">
      <formula>0</formula>
    </cfRule>
  </conditionalFormatting>
  <conditionalFormatting sqref="T457:AE457">
    <cfRule type="cellIs" dxfId="5" priority="9" operator="lessThan">
      <formula>0</formula>
    </cfRule>
    <cfRule type="cellIs" dxfId="4" priority="8" operator="lessThan">
      <formula>0</formula>
    </cfRule>
  </conditionalFormatting>
  <conditionalFormatting sqref="AF457:AG457">
    <cfRule type="cellIs" dxfId="5" priority="13" operator="lessThan">
      <formula>0</formula>
    </cfRule>
    <cfRule type="cellIs" dxfId="4" priority="12" operator="lessThan">
      <formula>0</formula>
    </cfRule>
  </conditionalFormatting>
  <conditionalFormatting sqref="AH457">
    <cfRule type="cellIs" dxfId="4" priority="1027" operator="lessThan">
      <formula>0</formula>
    </cfRule>
    <cfRule type="cellIs" dxfId="5" priority="1028" operator="lessThan">
      <formula>0</formula>
    </cfRule>
  </conditionalFormatting>
  <conditionalFormatting sqref="AI457">
    <cfRule type="cellIs" dxfId="4" priority="1032" operator="lessThan">
      <formula>0</formula>
    </cfRule>
    <cfRule type="cellIs" dxfId="5" priority="1033" operator="lessThan">
      <formula>0</formula>
    </cfRule>
  </conditionalFormatting>
  <conditionalFormatting sqref="AO457">
    <cfRule type="cellIs" dxfId="4" priority="988" operator="lessThan">
      <formula>0</formula>
    </cfRule>
    <cfRule type="cellIs" dxfId="5" priority="998" operator="lessThan">
      <formula>0</formula>
    </cfRule>
  </conditionalFormatting>
  <conditionalFormatting sqref="AP457">
    <cfRule type="cellIs" dxfId="4" priority="987" operator="lessThan">
      <formula>0</formula>
    </cfRule>
    <cfRule type="cellIs" dxfId="5" priority="997" operator="lessThan">
      <formula>0</formula>
    </cfRule>
  </conditionalFormatting>
  <conditionalFormatting sqref="AQ457">
    <cfRule type="cellIs" dxfId="4" priority="986" operator="lessThan">
      <formula>0</formula>
    </cfRule>
    <cfRule type="cellIs" dxfId="5" priority="996" operator="lessThan">
      <formula>0</formula>
    </cfRule>
  </conditionalFormatting>
  <conditionalFormatting sqref="AR457">
    <cfRule type="cellIs" dxfId="4" priority="985" operator="lessThan">
      <formula>0</formula>
    </cfRule>
    <cfRule type="cellIs" dxfId="5" priority="995" operator="lessThan">
      <formula>0</formula>
    </cfRule>
  </conditionalFormatting>
  <conditionalFormatting sqref="AS457">
    <cfRule type="cellIs" dxfId="4" priority="984" operator="lessThan">
      <formula>0</formula>
    </cfRule>
    <cfRule type="cellIs" dxfId="5" priority="994" operator="lessThan">
      <formula>0</formula>
    </cfRule>
  </conditionalFormatting>
  <conditionalFormatting sqref="AT457">
    <cfRule type="cellIs" dxfId="4" priority="983" operator="lessThan">
      <formula>0</formula>
    </cfRule>
    <cfRule type="cellIs" dxfId="5" priority="993" operator="lessThan">
      <formula>0</formula>
    </cfRule>
  </conditionalFormatting>
  <conditionalFormatting sqref="AU457">
    <cfRule type="cellIs" dxfId="4" priority="982" operator="lessThan">
      <formula>0</formula>
    </cfRule>
    <cfRule type="cellIs" dxfId="5" priority="992" operator="lessThan">
      <formula>0</formula>
    </cfRule>
  </conditionalFormatting>
  <conditionalFormatting sqref="AV457">
    <cfRule type="cellIs" dxfId="4" priority="981" operator="lessThan">
      <formula>0</formula>
    </cfRule>
    <cfRule type="cellIs" dxfId="5" priority="991" operator="lessThan">
      <formula>0</formula>
    </cfRule>
  </conditionalFormatting>
  <conditionalFormatting sqref="AW457">
    <cfRule type="cellIs" dxfId="4" priority="980" operator="lessThan">
      <formula>0</formula>
    </cfRule>
    <cfRule type="cellIs" dxfId="5" priority="990" operator="lessThan">
      <formula>0</formula>
    </cfRule>
  </conditionalFormatting>
  <conditionalFormatting sqref="AX457">
    <cfRule type="cellIs" dxfId="4" priority="979" operator="lessThan">
      <formula>0</formula>
    </cfRule>
    <cfRule type="cellIs" dxfId="5" priority="989" operator="lessThan">
      <formula>0</formula>
    </cfRule>
  </conditionalFormatting>
  <conditionalFormatting sqref="AY457">
    <cfRule type="cellIs" dxfId="4" priority="975" operator="lessThan">
      <formula>0</formula>
    </cfRule>
    <cfRule type="cellIs" dxfId="5" priority="976" operator="lessThan">
      <formula>0</formula>
    </cfRule>
  </conditionalFormatting>
  <conditionalFormatting sqref="AZ457">
    <cfRule type="cellIs" dxfId="4" priority="1014" operator="lessThan">
      <formula>0</formula>
    </cfRule>
    <cfRule type="cellIs" dxfId="5" priority="1015" operator="lessThan">
      <formula>0</formula>
    </cfRule>
  </conditionalFormatting>
  <conditionalFormatting sqref="BB457">
    <cfRule type="cellIs" dxfId="4" priority="1009" operator="lessThan">
      <formula>0</formula>
    </cfRule>
    <cfRule type="cellIs" dxfId="5" priority="1010" operator="lessThan">
      <formula>0</formula>
    </cfRule>
  </conditionalFormatting>
  <conditionalFormatting sqref="BB458">
    <cfRule type="cellIs" dxfId="5" priority="1011" operator="lessThan">
      <formula>0</formula>
    </cfRule>
  </conditionalFormatting>
  <conditionalFormatting sqref="S460">
    <cfRule type="cellIs" dxfId="4" priority="421" operator="lessThan">
      <formula>0</formula>
    </cfRule>
  </conditionalFormatting>
  <conditionalFormatting sqref="S467">
    <cfRule type="cellIs" dxfId="4" priority="962" operator="lessThan">
      <formula>0</formula>
    </cfRule>
    <cfRule type="cellIs" dxfId="5" priority="963" operator="lessThan">
      <formula>0</formula>
    </cfRule>
  </conditionalFormatting>
  <conditionalFormatting sqref="T467:AE467">
    <cfRule type="cellIs" dxfId="5" priority="2" operator="lessThan">
      <formula>0</formula>
    </cfRule>
    <cfRule type="cellIs" dxfId="4" priority="1" operator="lessThan">
      <formula>0</formula>
    </cfRule>
  </conditionalFormatting>
  <conditionalFormatting sqref="AF467:AG467">
    <cfRule type="cellIs" dxfId="5" priority="6" operator="lessThan">
      <formula>0</formula>
    </cfRule>
    <cfRule type="cellIs" dxfId="4" priority="5" operator="lessThan">
      <formula>0</formula>
    </cfRule>
  </conditionalFormatting>
  <conditionalFormatting sqref="AH467">
    <cfRule type="cellIs" dxfId="4" priority="1239" operator="lessThan">
      <formula>0</formula>
    </cfRule>
    <cfRule type="cellIs" dxfId="5" priority="1240" operator="lessThan">
      <formula>0</formula>
    </cfRule>
  </conditionalFormatting>
  <conditionalFormatting sqref="AI467">
    <cfRule type="cellIs" dxfId="4" priority="1244" operator="lessThan">
      <formula>0</formula>
    </cfRule>
    <cfRule type="cellIs" dxfId="5" priority="1245" operator="lessThan">
      <formula>0</formula>
    </cfRule>
  </conditionalFormatting>
  <conditionalFormatting sqref="AO467">
    <cfRule type="cellIs" dxfId="4" priority="1198" operator="lessThan">
      <formula>0</formula>
    </cfRule>
    <cfRule type="cellIs" dxfId="5" priority="1209" operator="lessThan">
      <formula>0</formula>
    </cfRule>
  </conditionalFormatting>
  <conditionalFormatting sqref="AP467">
    <cfRule type="cellIs" dxfId="4" priority="1197" operator="lessThan">
      <formula>0</formula>
    </cfRule>
    <cfRule type="cellIs" dxfId="5" priority="1208" operator="lessThan">
      <formula>0</formula>
    </cfRule>
  </conditionalFormatting>
  <conditionalFormatting sqref="AQ467">
    <cfRule type="cellIs" dxfId="4" priority="1196" operator="lessThan">
      <formula>0</formula>
    </cfRule>
    <cfRule type="cellIs" dxfId="5" priority="1207" operator="lessThan">
      <formula>0</formula>
    </cfRule>
  </conditionalFormatting>
  <conditionalFormatting sqref="AR467">
    <cfRule type="cellIs" dxfId="4" priority="1195" operator="lessThan">
      <formula>0</formula>
    </cfRule>
    <cfRule type="cellIs" dxfId="5" priority="1206" operator="lessThan">
      <formula>0</formula>
    </cfRule>
  </conditionalFormatting>
  <conditionalFormatting sqref="AS467">
    <cfRule type="cellIs" dxfId="4" priority="1194" operator="lessThan">
      <formula>0</formula>
    </cfRule>
    <cfRule type="cellIs" dxfId="5" priority="1205" operator="lessThan">
      <formula>0</formula>
    </cfRule>
  </conditionalFormatting>
  <conditionalFormatting sqref="AT467">
    <cfRule type="cellIs" dxfId="4" priority="1193" operator="lessThan">
      <formula>0</formula>
    </cfRule>
    <cfRule type="cellIs" dxfId="5" priority="1204" operator="lessThan">
      <formula>0</formula>
    </cfRule>
  </conditionalFormatting>
  <conditionalFormatting sqref="AU467">
    <cfRule type="cellIs" dxfId="4" priority="1192" operator="lessThan">
      <formula>0</formula>
    </cfRule>
    <cfRule type="cellIs" dxfId="5" priority="1203" operator="lessThan">
      <formula>0</formula>
    </cfRule>
  </conditionalFormatting>
  <conditionalFormatting sqref="AV467">
    <cfRule type="cellIs" dxfId="4" priority="1191" operator="lessThan">
      <formula>0</formula>
    </cfRule>
    <cfRule type="cellIs" dxfId="5" priority="1202" operator="lessThan">
      <formula>0</formula>
    </cfRule>
  </conditionalFormatting>
  <conditionalFormatting sqref="AW467">
    <cfRule type="cellIs" dxfId="4" priority="1190" operator="lessThan">
      <formula>0</formula>
    </cfRule>
    <cfRule type="cellIs" dxfId="5" priority="1201" operator="lessThan">
      <formula>0</formula>
    </cfRule>
  </conditionalFormatting>
  <conditionalFormatting sqref="AX467">
    <cfRule type="cellIs" dxfId="4" priority="1189" operator="lessThan">
      <formula>0</formula>
    </cfRule>
    <cfRule type="cellIs" dxfId="5" priority="1200" operator="lessThan">
      <formula>0</formula>
    </cfRule>
  </conditionalFormatting>
  <conditionalFormatting sqref="AZ467">
    <cfRule type="cellIs" dxfId="4" priority="1226" operator="lessThan">
      <formula>0</formula>
    </cfRule>
    <cfRule type="cellIs" dxfId="5" priority="1227" operator="lessThan">
      <formula>0</formula>
    </cfRule>
  </conditionalFormatting>
  <conditionalFormatting sqref="BB467">
    <cfRule type="cellIs" dxfId="4" priority="1221" operator="lessThan">
      <formula>0</formula>
    </cfRule>
    <cfRule type="cellIs" dxfId="5" priority="1222" operator="lessThan">
      <formula>0</formula>
    </cfRule>
  </conditionalFormatting>
  <conditionalFormatting sqref="BB468">
    <cfRule type="cellIs" dxfId="5" priority="1223" operator="lessThan">
      <formula>0</formula>
    </cfRule>
  </conditionalFormatting>
  <conditionalFormatting sqref="S470">
    <cfRule type="cellIs" dxfId="4" priority="420" operator="lessThan">
      <formula>0</formula>
    </cfRule>
  </conditionalFormatting>
  <conditionalFormatting sqref="S302:S306">
    <cfRule type="cellIs" dxfId="4" priority="2375" operator="lessThan">
      <formula>0</formula>
    </cfRule>
  </conditionalFormatting>
  <conditionalFormatting sqref="S312:S316">
    <cfRule type="cellIs" dxfId="4" priority="2373" operator="lessThan">
      <formula>0</formula>
    </cfRule>
  </conditionalFormatting>
  <conditionalFormatting sqref="S352:S356">
    <cfRule type="cellIs" dxfId="4" priority="2364" operator="lessThan">
      <formula>0</formula>
    </cfRule>
  </conditionalFormatting>
  <conditionalFormatting sqref="AO199:AO201">
    <cfRule type="cellIs" dxfId="4" priority="754" operator="lessThan">
      <formula>0</formula>
    </cfRule>
  </conditionalFormatting>
  <conditionalFormatting sqref="AP199:AP201">
    <cfRule type="cellIs" dxfId="4" priority="753" operator="lessThan">
      <formula>0</formula>
    </cfRule>
  </conditionalFormatting>
  <conditionalFormatting sqref="AQ199:AQ201">
    <cfRule type="cellIs" dxfId="4" priority="752" operator="lessThan">
      <formula>0</formula>
    </cfRule>
  </conditionalFormatting>
  <conditionalFormatting sqref="AR199:AR201">
    <cfRule type="cellIs" dxfId="4" priority="751" operator="lessThan">
      <formula>0</formula>
    </cfRule>
  </conditionalFormatting>
  <conditionalFormatting sqref="AS199:AS201">
    <cfRule type="cellIs" dxfId="4" priority="750" operator="lessThan">
      <formula>0</formula>
    </cfRule>
  </conditionalFormatting>
  <conditionalFormatting sqref="AT199:AT201">
    <cfRule type="cellIs" dxfId="4" priority="749" operator="lessThan">
      <formula>0</formula>
    </cfRule>
  </conditionalFormatting>
  <conditionalFormatting sqref="AU199:AU201">
    <cfRule type="cellIs" dxfId="4" priority="748" operator="lessThan">
      <formula>0</formula>
    </cfRule>
  </conditionalFormatting>
  <conditionalFormatting sqref="AV199:AV201">
    <cfRule type="cellIs" dxfId="4" priority="747" operator="lessThan">
      <formula>0</formula>
    </cfRule>
  </conditionalFormatting>
  <conditionalFormatting sqref="AW199:AW201">
    <cfRule type="cellIs" dxfId="4" priority="746" operator="lessThan">
      <formula>0</formula>
    </cfRule>
  </conditionalFormatting>
  <conditionalFormatting sqref="AX199:AX201">
    <cfRule type="cellIs" dxfId="4" priority="745" operator="lessThan">
      <formula>0</formula>
    </cfRule>
  </conditionalFormatting>
  <conditionalFormatting sqref="AY139:AY141">
    <cfRule type="cellIs" dxfId="4" priority="1163" operator="lessThan">
      <formula>0</formula>
    </cfRule>
  </conditionalFormatting>
  <conditionalFormatting sqref="AY199:AY201">
    <cfRule type="cellIs" dxfId="4" priority="716" operator="lessThan">
      <formula>0</formula>
    </cfRule>
  </conditionalFormatting>
  <conditionalFormatting sqref="AY279:AY281">
    <cfRule type="cellIs" dxfId="4" priority="1150" operator="lessThan">
      <formula>0</formula>
    </cfRule>
  </conditionalFormatting>
  <conditionalFormatting sqref="BA242:BA246">
    <cfRule type="cellIs" dxfId="4" priority="866" operator="lessThan">
      <formula>0</formula>
    </cfRule>
  </conditionalFormatting>
  <conditionalFormatting sqref="BB159:BB161">
    <cfRule type="cellIs" dxfId="4" priority="1469" operator="lessThan">
      <formula>0</formula>
    </cfRule>
  </conditionalFormatting>
  <conditionalFormatting sqref="AF7:AI7 AH37:AI37 AH47:AI47 AH57:AI57 AH67:AI67 AH77:AI77 AH87:AI87 AH97:AI97 AH107:AI107 AH117:AI117 AH127:AI127 AH137:AI137 AH147:AI147 AH157:AI157 AH167:AI167 AH177:AI177 AH277:AI277 AH287:AI287 AH297:AI297 AH307:AI307 AH317:AI317 AH327:AI327 AH337:AI337 AH347:AI347 AH357:AI357 AH367:AI367 AH377:AI377 AH387:AI387 AH397:AI397 AH407:AI407 AH417:AI417 AH427:AI427 AH437:AI437 AI447 AY167:AZ167 AZ37 AZ47 AZ57 AZ67 AZ77 AZ87 AZ97 AZ107 AZ117 AZ127 AZ137 AZ157 AZ177 AZ277 AZ287 AZ297 AZ307 AZ317 AZ327 AZ337 AZ347 AZ357 AZ367 AZ377 AZ387 AZ397 AZ407 AZ417 AZ427 AZ437 BC7">
    <cfRule type="cellIs" dxfId="4" priority="1667" operator="lessThan">
      <formula>0</formula>
    </cfRule>
    <cfRule type="cellIs" dxfId="5" priority="1668" operator="lessThan">
      <formula>0</formula>
    </cfRule>
  </conditionalFormatting>
  <conditionalFormatting sqref="AO7 AO37 AO47 AO57 AO67 AO77 AO87 AO97 AO107 AO117 AO127 AO137 AO147 AO157 AO167 AO177 AO277 AO287 AO297 AO307 AO317 AO327 AO337 AO347 AO357 AO367 AO377 AO387 AO397 AO407 AO417 AO427 AO437">
    <cfRule type="cellIs" dxfId="4" priority="1395" operator="lessThan">
      <formula>0</formula>
    </cfRule>
    <cfRule type="cellIs" dxfId="5" priority="1406" operator="lessThan">
      <formula>0</formula>
    </cfRule>
  </conditionalFormatting>
  <conditionalFormatting sqref="AP7 AP37 AP47 AP57 AP67 AP77 AP87 AP97 AP107 AP117 AP127 AP137 AP147 AP157 AP167 AP177 AP277 AP287 AP297 AP307 AP317 AP327 AP337 AP347 AP357 AP367 AP377 AP387 AP397 AP407 AP417 AP427 AP437">
    <cfRule type="cellIs" dxfId="4" priority="1394" operator="lessThan">
      <formula>0</formula>
    </cfRule>
    <cfRule type="cellIs" dxfId="5" priority="1405" operator="lessThan">
      <formula>0</formula>
    </cfRule>
  </conditionalFormatting>
  <conditionalFormatting sqref="AQ7 AQ37 AQ47 AQ57 AQ67 AQ77 AQ87 AQ97 AQ107 AQ117 AQ127 AQ137 AQ147 AQ157 AQ167 AQ177 AQ277 AQ287 AQ297 AQ307 AQ317 AQ327 AQ337 AQ347 AQ357 AQ367 AQ377 AQ387 AQ397 AQ407 AQ417 AQ427 AQ437">
    <cfRule type="cellIs" dxfId="4" priority="1393" operator="lessThan">
      <formula>0</formula>
    </cfRule>
    <cfRule type="cellIs" dxfId="5" priority="1404" operator="lessThan">
      <formula>0</formula>
    </cfRule>
  </conditionalFormatting>
  <conditionalFormatting sqref="AR7 AR37 AR47 AR57 AR67 AR77 AR87 AR97 AR107 AR117 AR127 AR137 AR147 AR157 AR167 AR177 AR277 AR287 AR297 AR307 AR317 AR327 AR337 AR347 AR357 AR367 AR377 AR387 AR397 AR407 AR417 AR427 AR437">
    <cfRule type="cellIs" dxfId="4" priority="1392" operator="lessThan">
      <formula>0</formula>
    </cfRule>
    <cfRule type="cellIs" dxfId="5" priority="1403" operator="lessThan">
      <formula>0</formula>
    </cfRule>
  </conditionalFormatting>
  <conditionalFormatting sqref="AS7 AS37 AS47 AS57 AS67 AS77 AS87 AS97 AS107 AS117 AS127 AS137 AS147 AS157 AS167 AS177 AS277 AS287 AS297 AS307 AS317 AS327 AS337 AS347 AS357 AS367 AS377 AS387 AS397 AS407 AS417 AS427 AS437">
    <cfRule type="cellIs" dxfId="4" priority="1391" operator="lessThan">
      <formula>0</formula>
    </cfRule>
    <cfRule type="cellIs" dxfId="5" priority="1402" operator="lessThan">
      <formula>0</formula>
    </cfRule>
  </conditionalFormatting>
  <conditionalFormatting sqref="AT7 AT37 AT47 AT57 AT67 AT77 AT87 AT97 AT107 AT117 AT127 AT137 AT147 AT157 AT167 AT177 AT277 AT287 AT297 AT307 AT317 AT327 AT337 AT347 AT357 AT367 AT377 AT387 AT397 AT407 AT417 AT427 AT437">
    <cfRule type="cellIs" dxfId="4" priority="1390" operator="lessThan">
      <formula>0</formula>
    </cfRule>
    <cfRule type="cellIs" dxfId="5" priority="1401" operator="lessThan">
      <formula>0</formula>
    </cfRule>
  </conditionalFormatting>
  <conditionalFormatting sqref="AU7 AU37 AU47 AU57 AU67 AU77 AU87 AU97 AU107 AU117 AU127 AU137 AU147 AU157 AU167 AU177 AU277 AU287 AU297 AU307 AU317 AU327 AU337 AU347 AU357 AU367 AU377 AU387 AU397 AU407 AU417 AU427 AU437">
    <cfRule type="cellIs" dxfId="4" priority="1389" operator="lessThan">
      <formula>0</formula>
    </cfRule>
    <cfRule type="cellIs" dxfId="5" priority="1400" operator="lessThan">
      <formula>0</formula>
    </cfRule>
  </conditionalFormatting>
  <conditionalFormatting sqref="AV7 AV37 AV47 AV57 AV67 AV77 AV87 AV97 AV107 AV117 AV127 AV137 AV147 AV157 AV167 AV177 AV277 AV287 AV297 AV307 AV317 AV327 AV337 AV347 AV357 AV367 AV377 AV387 AV397 AV407 AV417 AV427 AV437">
    <cfRule type="cellIs" dxfId="4" priority="1388" operator="lessThan">
      <formula>0</formula>
    </cfRule>
    <cfRule type="cellIs" dxfId="5" priority="1399" operator="lessThan">
      <formula>0</formula>
    </cfRule>
  </conditionalFormatting>
  <conditionalFormatting sqref="AW7 AW37 AW47 AW57 AW67 AW77 AW87 AW97 AW107 AW117 AW127 AW137 AW147 AW157 AW167 AW177 AW277 AW287 AW297 AW307 AW317 AW327 AW337 AW347 AW357 AW367 AW377 AW387 AW397 AW407 AW417 AW427 AW437">
    <cfRule type="cellIs" dxfId="4" priority="1387" operator="lessThan">
      <formula>0</formula>
    </cfRule>
    <cfRule type="cellIs" dxfId="5" priority="1398" operator="lessThan">
      <formula>0</formula>
    </cfRule>
  </conditionalFormatting>
  <conditionalFormatting sqref="S9:Z11 AA10:AG10">
    <cfRule type="cellIs" dxfId="4" priority="492" operator="lessThan">
      <formula>0</formula>
    </cfRule>
  </conditionalFormatting>
  <conditionalFormatting sqref="AA9:AE9 AA11:AE11">
    <cfRule type="cellIs" dxfId="4" priority="493" operator="lessThan">
      <formula>0</formula>
    </cfRule>
  </conditionalFormatting>
  <conditionalFormatting sqref="AF9:AG9 AF11:AG11">
    <cfRule type="cellIs" dxfId="4" priority="1728" operator="lessThan">
      <formula>0</formula>
    </cfRule>
  </conditionalFormatting>
  <conditionalFormatting sqref="AO9:AO11 AO39 AO41 AO49 AO51 AO59 AO61 AO69 AO71 AO79 AO81 AO89 AO91 AO99 AO101 AO109 AO111 AO119:AO121 AO129 AO131 AO139:AO141 AO149 AO151 AO159:AO161 AO169 AO171 AO179 AO181 AO279:AO281 AO289 AO291 AO299 AO301 AO309 AO311 AO319 AO321 AO329 AO331 AO339 AO341 AO349 AO351 AO359 AO361 AO369 AO371 AO379 AO381 AO389 AO391 AO399 AO401 AO409 AO411 AO419 AO421 AO429 AO431 AO439 AO441 AP10:BC10">
    <cfRule type="cellIs" dxfId="4" priority="1417" operator="lessThan">
      <formula>0</formula>
    </cfRule>
  </conditionalFormatting>
  <conditionalFormatting sqref="AP9 AP11 AP39 AP41 AP49 AP51 AP59 AP61 AP69 AP71 AP79 AP81 AP89 AP91 AP99 AP101 AP109 AP111 AP119:AP121 AP129 AP131 AP139:AP141 AP149 AP151 AP159:AP161 AP169 AP171 AP179 AP181 AP279:AP281 AP289 AP291 AP299 AP301 AP309 AP311 AP319 AP321 AP329 AP331 AP339 AP341 AP349 AP351 AP359 AP361 AP369 AP371 AP379 AP381 AP389 AP391 AP399 AP401 AP409 AP411 AP419 AP421 AP429 AP431 AP439 AP441">
    <cfRule type="cellIs" dxfId="4" priority="1416" operator="lessThan">
      <formula>0</formula>
    </cfRule>
  </conditionalFormatting>
  <conditionalFormatting sqref="AQ9 AQ11 AQ39 AQ41 AQ49 AQ51 AQ59 AQ61 AQ69 AQ71 AQ79 AQ81 AQ89 AQ91 AQ99 AQ101 AQ109 AQ111 AQ119:AQ121 AQ129 AQ131 AQ139:AQ141 AQ149 AQ151 AQ159:AQ161 AQ169 AQ171 AQ179 AQ181 AQ279:AQ281 AQ289 AQ291 AQ299 AQ301 AQ309 AQ311 AQ319 AQ321 AQ329 AQ331 AQ339 AQ341 AQ349 AQ351 AQ359 AQ361 AQ369 AQ371 AQ379 AQ381 AQ389 AQ391 AQ399 AQ401 AQ409 AQ411 AQ419 AQ421 AQ429 AQ431 AQ439 AQ441">
    <cfRule type="cellIs" dxfId="4" priority="1415" operator="lessThan">
      <formula>0</formula>
    </cfRule>
  </conditionalFormatting>
  <conditionalFormatting sqref="AR9 AR11 AR39 AR41 AR49 AR51 AR59 AR61 AR69 AR71 AR79 AR81 AR89 AR91 AR99 AR101 AR109 AR111 AR119:AR121 AR129 AR131 AR139:AR141 AR149 AR151 AR159:AR161 AR169 AR171 AR179 AR181 AR279:AR281 AR289 AR291 AR299 AR301 AR309 AR311 AR319 AR321 AR329 AR331 AR339 AR341 AR349 AR351 AR359 AR361 AR369 AR371 AR379 AR381 AR389 AR391 AR399 AR401 AR409 AR411 AR419 AR421 AR429 AR431 AR439 AR441">
    <cfRule type="cellIs" dxfId="4" priority="1414" operator="lessThan">
      <formula>0</formula>
    </cfRule>
  </conditionalFormatting>
  <conditionalFormatting sqref="AS9 AS11 AS39 AS41 AS49 AS51 AS59 AS61 AS69 AS71 AS79 AS81 AS89 AS91 AS99 AS101 AS109 AS111 AS119:AS121 AS129 AS131 AS139:AS141 AS149 AS151 AS159:AS161 AS169 AS171 AS179 AS181 AS279:AS281 AS289 AS291 AS299 AS301 AS309 AS311 AS319 AS321 AS329 AS331 AS339 AS341 AS349 AS351 AS359 AS361 AS369 AS371 AS379 AS381 AS389 AS391 AS399 AS401 AS409 AS411 AS419 AS421 AS429 AS431 AS439 AS441">
    <cfRule type="cellIs" dxfId="4" priority="1413" operator="lessThan">
      <formula>0</formula>
    </cfRule>
  </conditionalFormatting>
  <conditionalFormatting sqref="AT9 AT11 AT39 AT41 AT49 AT51 AT59 AT61 AT69 AT71 AT79 AT81 AT89 AT91 AT99 AT101 AT109 AT111 AT119:AT121 AT129 AT131 AT139:AT141 AT149 AT151 AT159:AT161 AT169 AT171 AT179 AT181 AT279:AT281 AT289 AT291 AT299 AT301 AT309 AT311 AT319 AT321 AT329 AT331 AT339 AT341 AT349 AT351 AT359 AT361 AT369 AT371 AT379 AT381 AT389 AT391 AT399 AT401 AT409 AT411 AT419 AT421 AT429 AT431 AT439 AT441">
    <cfRule type="cellIs" dxfId="4" priority="1412" operator="lessThan">
      <formula>0</formula>
    </cfRule>
  </conditionalFormatting>
  <conditionalFormatting sqref="AU9 AU11 AU39 AU41 AU49 AU51 AU59 AU61 AU69 AU71 AU79 AU81 AU89 AU91 AU99 AU101 AU109 AU111 AU119:AU121 AU129 AU131 AU139:AU141 AU149 AU151 AU159:AU161 AU169 AU171 AU179 AU181 AU279:AU281 AU289 AU291 AU299 AU301 AU309 AU311 AU319 AU321 AU329 AU331 AU339 AU341 AU349 AU351 AU359 AU361 AU369 AU371 AU379 AU381 AU389 AU391 AU399 AU401 AU409 AU411 AU419 AU421 AU429 AU431 AU439 AU441">
    <cfRule type="cellIs" dxfId="4" priority="1411" operator="lessThan">
      <formula>0</formula>
    </cfRule>
  </conditionalFormatting>
  <conditionalFormatting sqref="AV9 AV11 AV39 AV41 AV49 AV51 AV59 AV61 AV69 AV71 AV79 AV81 AV89 AV91 AV99 AV101 AV109 AV111 AV119:AV121 AV129 AV131 AV139:AV141 AV149 AV151 AV159:AV161 AV169 AV171 AV179 AV181 AV279:AV281 AV289 AV291 AV299 AV301 AV309 AV311 AV319 AV321 AV329 AV331 AV339 AV341 AV349 AV351 AV359 AV361 AV369 AV371 AV379 AV381 AV389 AV391 AV399 AV401 AV409 AV411 AV419 AV421 AV429 AV431 AV439 AV441">
    <cfRule type="cellIs" dxfId="4" priority="1410" operator="lessThan">
      <formula>0</formula>
    </cfRule>
  </conditionalFormatting>
  <conditionalFormatting sqref="AW9 AW11 AW39 AW41 AW49 AW51 AW59 AW61 AW69 AW71 AW79 AW81 AW89 AW91 AW99 AW101 AW109 AW111 AW119:AW121 AW129 AW131 AW139:AW141 AW149 AW151 AW159:AW161 AW169 AW171 AW179 AW181 AW279:AW281 AW289 AW291 AW299 AW301 AW309 AW311 AW319 AW321 AW329 AW331 AW339 AW341 AW349 AW351 AW359 AW361 AW369 AW371 AW379 AW381 AW389 AW391 AW399 AW401 AW409 AW411 AW419 AW421 AW429 AW431 AW439 AW441">
    <cfRule type="cellIs" dxfId="4" priority="1409" operator="lessThan">
      <formula>0</formula>
    </cfRule>
  </conditionalFormatting>
  <conditionalFormatting sqref="AX9:AZ9 AX11:AZ11">
    <cfRule type="cellIs" dxfId="4" priority="496" operator="lessThan">
      <formula>0</formula>
    </cfRule>
  </conditionalFormatting>
  <conditionalFormatting sqref="AH17:AI17 BC17">
    <cfRule type="cellIs" dxfId="4" priority="1089" operator="lessThan">
      <formula>0</formula>
    </cfRule>
    <cfRule type="cellIs" dxfId="5" priority="1090" operator="lessThan">
      <formula>0</formula>
    </cfRule>
  </conditionalFormatting>
  <conditionalFormatting sqref="S19 S21">
    <cfRule type="cellIs" dxfId="4" priority="488" operator="lessThan">
      <formula>0</formula>
    </cfRule>
  </conditionalFormatting>
  <conditionalFormatting sqref="T19:Z21 AA20:AG20">
    <cfRule type="cellIs" dxfId="4" priority="318" operator="lessThan">
      <formula>0</formula>
    </cfRule>
  </conditionalFormatting>
  <conditionalFormatting sqref="AA19:AE19 AA21:AE21">
    <cfRule type="cellIs" dxfId="4" priority="319" operator="lessThan">
      <formula>0</formula>
    </cfRule>
  </conditionalFormatting>
  <conditionalFormatting sqref="AF19:AG19 AF21:AG21">
    <cfRule type="cellIs" dxfId="4" priority="322" operator="lessThan">
      <formula>0</formula>
    </cfRule>
  </conditionalFormatting>
  <conditionalFormatting sqref="AO19 AO21">
    <cfRule type="cellIs" dxfId="4" priority="1086" operator="lessThan">
      <formula>0</formula>
    </cfRule>
  </conditionalFormatting>
  <conditionalFormatting sqref="AP19 AP21">
    <cfRule type="cellIs" dxfId="4" priority="1085" operator="lessThan">
      <formula>0</formula>
    </cfRule>
  </conditionalFormatting>
  <conditionalFormatting sqref="AQ19 AQ21">
    <cfRule type="cellIs" dxfId="4" priority="1084" operator="lessThan">
      <formula>0</formula>
    </cfRule>
  </conditionalFormatting>
  <conditionalFormatting sqref="AR19 AR21">
    <cfRule type="cellIs" dxfId="4" priority="1083" operator="lessThan">
      <formula>0</formula>
    </cfRule>
  </conditionalFormatting>
  <conditionalFormatting sqref="AS19 AS21">
    <cfRule type="cellIs" dxfId="4" priority="1082" operator="lessThan">
      <formula>0</formula>
    </cfRule>
  </conditionalFormatting>
  <conditionalFormatting sqref="AT19 AT21">
    <cfRule type="cellIs" dxfId="4" priority="1081" operator="lessThan">
      <formula>0</formula>
    </cfRule>
  </conditionalFormatting>
  <conditionalFormatting sqref="AU19 AU21">
    <cfRule type="cellIs" dxfId="4" priority="1080" operator="lessThan">
      <formula>0</formula>
    </cfRule>
  </conditionalFormatting>
  <conditionalFormatting sqref="AV19 AV21">
    <cfRule type="cellIs" dxfId="4" priority="1079" operator="lessThan">
      <formula>0</formula>
    </cfRule>
  </conditionalFormatting>
  <conditionalFormatting sqref="AW19 AW21">
    <cfRule type="cellIs" dxfId="4" priority="1078" operator="lessThan">
      <formula>0</formula>
    </cfRule>
  </conditionalFormatting>
  <conditionalFormatting sqref="AX19 AX21">
    <cfRule type="cellIs" dxfId="4" priority="1077" operator="lessThan">
      <formula>0</formula>
    </cfRule>
  </conditionalFormatting>
  <conditionalFormatting sqref="AY19 AY21">
    <cfRule type="cellIs" dxfId="4" priority="1036" operator="lessThan">
      <formula>0</formula>
    </cfRule>
  </conditionalFormatting>
  <conditionalFormatting sqref="AZ19 AZ21">
    <cfRule type="cellIs" dxfId="4" priority="1039" operator="lessThan">
      <formula>0</formula>
    </cfRule>
  </conditionalFormatting>
  <conditionalFormatting sqref="AO20 AP20:BC20">
    <cfRule type="cellIs" dxfId="4" priority="419" operator="lessThan">
      <formula>0</formula>
    </cfRule>
  </conditionalFormatting>
  <conditionalFormatting sqref="AH27:AI27 AZ27:BA27 BC27">
    <cfRule type="cellIs" dxfId="4" priority="1135" operator="lessThan">
      <formula>0</formula>
    </cfRule>
    <cfRule type="cellIs" dxfId="5" priority="1136" operator="lessThan">
      <formula>0</formula>
    </cfRule>
  </conditionalFormatting>
  <conditionalFormatting sqref="S29 S31">
    <cfRule type="cellIs" dxfId="4" priority="484" operator="lessThan">
      <formula>0</formula>
    </cfRule>
  </conditionalFormatting>
  <conditionalFormatting sqref="T29:Z31 AA30:AG30">
    <cfRule type="cellIs" dxfId="4" priority="311" operator="lessThan">
      <formula>0</formula>
    </cfRule>
  </conditionalFormatting>
  <conditionalFormatting sqref="AA29:AE29 AA31:AE31">
    <cfRule type="cellIs" dxfId="4" priority="312" operator="lessThan">
      <formula>0</formula>
    </cfRule>
  </conditionalFormatting>
  <conditionalFormatting sqref="AF29:AG29 AF31:AG31">
    <cfRule type="cellIs" dxfId="4" priority="315" operator="lessThan">
      <formula>0</formula>
    </cfRule>
  </conditionalFormatting>
  <conditionalFormatting sqref="AO29 AO31">
    <cfRule type="cellIs" dxfId="4" priority="1132" operator="lessThan">
      <formula>0</formula>
    </cfRule>
  </conditionalFormatting>
  <conditionalFormatting sqref="AP29 AP31">
    <cfRule type="cellIs" dxfId="4" priority="1131" operator="lessThan">
      <formula>0</formula>
    </cfRule>
  </conditionalFormatting>
  <conditionalFormatting sqref="AQ29 AQ31">
    <cfRule type="cellIs" dxfId="4" priority="1130" operator="lessThan">
      <formula>0</formula>
    </cfRule>
  </conditionalFormatting>
  <conditionalFormatting sqref="AR29 AR31">
    <cfRule type="cellIs" dxfId="4" priority="1129" operator="lessThan">
      <formula>0</formula>
    </cfRule>
  </conditionalFormatting>
  <conditionalFormatting sqref="AS29 AS31">
    <cfRule type="cellIs" dxfId="4" priority="1128" operator="lessThan">
      <formula>0</formula>
    </cfRule>
  </conditionalFormatting>
  <conditionalFormatting sqref="AT29 AT31">
    <cfRule type="cellIs" dxfId="4" priority="1127" operator="lessThan">
      <formula>0</formula>
    </cfRule>
  </conditionalFormatting>
  <conditionalFormatting sqref="AU29 AU31">
    <cfRule type="cellIs" dxfId="4" priority="1126" operator="lessThan">
      <formula>0</formula>
    </cfRule>
  </conditionalFormatting>
  <conditionalFormatting sqref="AV29 AV31">
    <cfRule type="cellIs" dxfId="4" priority="1125" operator="lessThan">
      <formula>0</formula>
    </cfRule>
  </conditionalFormatting>
  <conditionalFormatting sqref="AW29 AW31">
    <cfRule type="cellIs" dxfId="4" priority="1124" operator="lessThan">
      <formula>0</formula>
    </cfRule>
  </conditionalFormatting>
  <conditionalFormatting sqref="AX29 AX31">
    <cfRule type="cellIs" dxfId="4" priority="1123" operator="lessThan">
      <formula>0</formula>
    </cfRule>
  </conditionalFormatting>
  <conditionalFormatting sqref="AY29 AY31">
    <cfRule type="cellIs" dxfId="4" priority="1095" operator="lessThan">
      <formula>0</formula>
    </cfRule>
  </conditionalFormatting>
  <conditionalFormatting sqref="AZ29:BA29 AZ31:BA31">
    <cfRule type="cellIs" dxfId="4" priority="1137" operator="lessThan">
      <formula>0</formula>
    </cfRule>
  </conditionalFormatting>
  <conditionalFormatting sqref="AO30 AP30:BC30">
    <cfRule type="cellIs" dxfId="4" priority="418" operator="lessThan">
      <formula>0</formula>
    </cfRule>
  </conditionalFormatting>
  <conditionalFormatting sqref="BA32:BA36 BA38:BA39 BA41">
    <cfRule type="cellIs" dxfId="4" priority="1729" operator="lessThan">
      <formula>0</formula>
    </cfRule>
  </conditionalFormatting>
  <conditionalFormatting sqref="AJ37:AN37 BA37 BC37">
    <cfRule type="cellIs" dxfId="4" priority="1665" operator="lessThan">
      <formula>0</formula>
    </cfRule>
    <cfRule type="cellIs" dxfId="5" priority="1666" operator="lessThan">
      <formula>0</formula>
    </cfRule>
  </conditionalFormatting>
  <conditionalFormatting sqref="AX37 AX47 AX57 AX67 AX77 AX87 AX97 AX107 AX117 AX127 AX137 AX147 AX157 AX167 AX177 AX277 AX287 AX297 AX307 AX317 AX327 AX337 AX347 AX357 AX367 AX377 AX387 AX397 AX407 AX417 AX427 AX437">
    <cfRule type="cellIs" dxfId="4" priority="1386" operator="lessThan">
      <formula>0</formula>
    </cfRule>
    <cfRule type="cellIs" dxfId="5" priority="1397" operator="lessThan">
      <formula>0</formula>
    </cfRule>
  </conditionalFormatting>
  <conditionalFormatting sqref="AY37 AY47 AY57 AY67 AY77 AY87 AY97 AY107 AY117 AY127 AY137 AY157 AY177 AY277 AY287 AY297 AY307 AY317 AY327">
    <cfRule type="cellIs" dxfId="4" priority="1181" operator="lessThan">
      <formula>0</formula>
    </cfRule>
    <cfRule type="cellIs" dxfId="5" priority="1183" operator="lessThan">
      <formula>0</formula>
    </cfRule>
  </conditionalFormatting>
  <conditionalFormatting sqref="S39 S41">
    <cfRule type="cellIs" dxfId="4" priority="480" operator="lessThan">
      <formula>0</formula>
    </cfRule>
  </conditionalFormatting>
  <conditionalFormatting sqref="T39:Z41 AA40:AG40">
    <cfRule type="cellIs" dxfId="4" priority="304" operator="lessThan">
      <formula>0</formula>
    </cfRule>
  </conditionalFormatting>
  <conditionalFormatting sqref="AA39:AE39 AA41:AE41">
    <cfRule type="cellIs" dxfId="4" priority="305" operator="lessThan">
      <formula>0</formula>
    </cfRule>
  </conditionalFormatting>
  <conditionalFormatting sqref="AF39:AG39 AF41:AG41">
    <cfRule type="cellIs" dxfId="4" priority="308" operator="lessThan">
      <formula>0</formula>
    </cfRule>
  </conditionalFormatting>
  <conditionalFormatting sqref="AX39 AX41 AX49 AX51 AX59 AX61 AX69 AX71 AX79 AX81 AX89 AX91 AX99 AX101 AX109 AX111 AX119:AX121 AX129 AX131 AX139:AX141 AX149 AX151 AX159:AX161 AX169 AX171 AX179 AX181 AX279:AX281 AX289 AX291 AX299 AX301 AX309 AX311 AX319 AX321 AX329 AX331 AX339 AX341 AX349 AX351 AX359 AX361 AX369 AX371 AX379 AX381 AX389 AX391 AX399 AX401 AX409 AX411 AX419 AX421 AX429 AX431 AX439 AX441">
    <cfRule type="cellIs" dxfId="4" priority="1408" operator="lessThan">
      <formula>0</formula>
    </cfRule>
  </conditionalFormatting>
  <conditionalFormatting sqref="AY39 AY41">
    <cfRule type="cellIs" dxfId="4" priority="1167" operator="lessThan">
      <formula>0</formula>
    </cfRule>
  </conditionalFormatting>
  <conditionalFormatting sqref="AZ39 AZ41 AZ49 AZ51 AZ59 AZ61 AZ69 AZ71 AZ79 AZ81 AZ89 AZ91 AZ99 AZ101 AZ109 AZ111 AZ119:AZ121 AZ129 AZ131 AZ139:AZ141 AZ149 AZ151 AZ159:AZ161 AZ169 AZ171 AZ179 AZ181 AZ279:AZ281 AZ289 AZ291 AZ299 AZ301 AZ309 AZ311 AZ319 AZ321 AZ329 AZ331 AZ339 AZ341 AZ349 AZ351 AZ359 AZ361 AZ369 AZ371 AZ379 AZ381 AZ389 AZ391 AZ399 AZ401 AZ409 AZ411 AZ419 AZ421 AZ429 AZ431 AZ439 AZ441">
    <cfRule type="cellIs" dxfId="4" priority="1703" operator="lessThan">
      <formula>0</formula>
    </cfRule>
  </conditionalFormatting>
  <conditionalFormatting sqref="AO40 AP40:BC40">
    <cfRule type="cellIs" dxfId="4" priority="417" operator="lessThan">
      <formula>0</formula>
    </cfRule>
  </conditionalFormatting>
  <conditionalFormatting sqref="BA42:BA46 BA48:BA49 BA51">
    <cfRule type="cellIs" dxfId="4" priority="1379" operator="lessThan">
      <formula>0</formula>
    </cfRule>
  </conditionalFormatting>
  <conditionalFormatting sqref="AJ47:AN47 BC47">
    <cfRule type="cellIs" dxfId="4" priority="1663" operator="lessThan">
      <formula>0</formula>
    </cfRule>
    <cfRule type="cellIs" dxfId="5" priority="1664" operator="lessThan">
      <formula>0</formula>
    </cfRule>
  </conditionalFormatting>
  <conditionalFormatting sqref="S49 S51">
    <cfRule type="cellIs" dxfId="4" priority="476" operator="lessThan">
      <formula>0</formula>
    </cfRule>
  </conditionalFormatting>
  <conditionalFormatting sqref="T49:Z51 AA50:AG50">
    <cfRule type="cellIs" dxfId="4" priority="297" operator="lessThan">
      <formula>0</formula>
    </cfRule>
  </conditionalFormatting>
  <conditionalFormatting sqref="AA49:AE49 AA51:AE51">
    <cfRule type="cellIs" dxfId="4" priority="298" operator="lessThan">
      <formula>0</formula>
    </cfRule>
  </conditionalFormatting>
  <conditionalFormatting sqref="AF49:AG49 AF51:AG51">
    <cfRule type="cellIs" dxfId="4" priority="301" operator="lessThan">
      <formula>0</formula>
    </cfRule>
  </conditionalFormatting>
  <conditionalFormatting sqref="AY49 AY51">
    <cfRule type="cellIs" dxfId="4" priority="1166" operator="lessThan">
      <formula>0</formula>
    </cfRule>
  </conditionalFormatting>
  <conditionalFormatting sqref="AO50 AP50:BC50">
    <cfRule type="cellIs" dxfId="4" priority="416" operator="lessThan">
      <formula>0</formula>
    </cfRule>
  </conditionalFormatting>
  <conditionalFormatting sqref="BA52:BA56 BA58:BA59 BA61">
    <cfRule type="cellIs" dxfId="4" priority="1376" operator="lessThan">
      <formula>0</formula>
    </cfRule>
  </conditionalFormatting>
  <conditionalFormatting sqref="S57 AJ57:AN57 BC57">
    <cfRule type="cellIs" dxfId="4" priority="1661" operator="lessThan">
      <formula>0</formula>
    </cfRule>
    <cfRule type="cellIs" dxfId="5" priority="1662" operator="lessThan">
      <formula>0</formula>
    </cfRule>
  </conditionalFormatting>
  <conditionalFormatting sqref="S59 S61">
    <cfRule type="cellIs" dxfId="4" priority="1871" operator="lessThan">
      <formula>0</formula>
    </cfRule>
  </conditionalFormatting>
  <conditionalFormatting sqref="T59:Z61 AA60:AG60">
    <cfRule type="cellIs" dxfId="4" priority="290" operator="lessThan">
      <formula>0</formula>
    </cfRule>
  </conditionalFormatting>
  <conditionalFormatting sqref="AA59:AE59 AA61:AE61">
    <cfRule type="cellIs" dxfId="4" priority="291" operator="lessThan">
      <formula>0</formula>
    </cfRule>
  </conditionalFormatting>
  <conditionalFormatting sqref="AF59:AG59 AF61:AG61">
    <cfRule type="cellIs" dxfId="4" priority="294" operator="lessThan">
      <formula>0</formula>
    </cfRule>
  </conditionalFormatting>
  <conditionalFormatting sqref="AY59 AY61 AY89 AY91 AY109 AY111 AY119:AY121 AY129 AY131 AY159:AY161 AY299 AY301 AY309 AY311 AY319 AY321 AY329 AY331">
    <cfRule type="cellIs" dxfId="4" priority="1185" operator="lessThan">
      <formula>0</formula>
    </cfRule>
  </conditionalFormatting>
  <conditionalFormatting sqref="AO60 AP60:BC60">
    <cfRule type="cellIs" dxfId="4" priority="415" operator="lessThan">
      <formula>0</formula>
    </cfRule>
  </conditionalFormatting>
  <conditionalFormatting sqref="BA62:BA66 BA68:BA69 BA71">
    <cfRule type="cellIs" dxfId="4" priority="1373" operator="lessThan">
      <formula>0</formula>
    </cfRule>
  </conditionalFormatting>
  <conditionalFormatting sqref="AJ67:AN67 BC67">
    <cfRule type="cellIs" dxfId="4" priority="1659" operator="lessThan">
      <formula>0</formula>
    </cfRule>
    <cfRule type="cellIs" dxfId="5" priority="1660" operator="lessThan">
      <formula>0</formula>
    </cfRule>
  </conditionalFormatting>
  <conditionalFormatting sqref="S69 S71">
    <cfRule type="cellIs" dxfId="4" priority="472" operator="lessThan">
      <formula>0</formula>
    </cfRule>
  </conditionalFormatting>
  <conditionalFormatting sqref="T69:Z71 AA70:AG70">
    <cfRule type="cellIs" dxfId="4" priority="283" operator="lessThan">
      <formula>0</formula>
    </cfRule>
  </conditionalFormatting>
  <conditionalFormatting sqref="AA69:AE69 AA71:AE71">
    <cfRule type="cellIs" dxfId="4" priority="284" operator="lessThan">
      <formula>0</formula>
    </cfRule>
  </conditionalFormatting>
  <conditionalFormatting sqref="AF69:AG69 AF71:AG71">
    <cfRule type="cellIs" dxfId="4" priority="287" operator="lessThan">
      <formula>0</formula>
    </cfRule>
  </conditionalFormatting>
  <conditionalFormatting sqref="AY69 AY71">
    <cfRule type="cellIs" dxfId="4" priority="1165" operator="lessThan">
      <formula>0</formula>
    </cfRule>
  </conditionalFormatting>
  <conditionalFormatting sqref="AO70 AP70:BC70">
    <cfRule type="cellIs" dxfId="4" priority="414" operator="lessThan">
      <formula>0</formula>
    </cfRule>
  </conditionalFormatting>
  <conditionalFormatting sqref="BA72:BA76 BA78:BA79 BA81">
    <cfRule type="cellIs" dxfId="4" priority="1370" operator="lessThan">
      <formula>0</formula>
    </cfRule>
  </conditionalFormatting>
  <conditionalFormatting sqref="AJ77:AN77 BC77">
    <cfRule type="cellIs" dxfId="4" priority="1657" operator="lessThan">
      <formula>0</formula>
    </cfRule>
    <cfRule type="cellIs" dxfId="5" priority="1658" operator="lessThan">
      <formula>0</formula>
    </cfRule>
  </conditionalFormatting>
  <conditionalFormatting sqref="S79 S81">
    <cfRule type="cellIs" dxfId="4" priority="468" operator="lessThan">
      <formula>0</formula>
    </cfRule>
  </conditionalFormatting>
  <conditionalFormatting sqref="T79:Z81 AA80:AG80">
    <cfRule type="cellIs" dxfId="4" priority="276" operator="lessThan">
      <formula>0</formula>
    </cfRule>
  </conditionalFormatting>
  <conditionalFormatting sqref="AA79:AE79 AA81:AE81">
    <cfRule type="cellIs" dxfId="4" priority="277" operator="lessThan">
      <formula>0</formula>
    </cfRule>
  </conditionalFormatting>
  <conditionalFormatting sqref="AF79:AG79 AF81:AG81">
    <cfRule type="cellIs" dxfId="4" priority="280" operator="lessThan">
      <formula>0</formula>
    </cfRule>
  </conditionalFormatting>
  <conditionalFormatting sqref="AY79 AY81">
    <cfRule type="cellIs" dxfId="4" priority="1164" operator="lessThan">
      <formula>0</formula>
    </cfRule>
  </conditionalFormatting>
  <conditionalFormatting sqref="AO80 AP80:BC80">
    <cfRule type="cellIs" dxfId="4" priority="413" operator="lessThan">
      <formula>0</formula>
    </cfRule>
  </conditionalFormatting>
  <conditionalFormatting sqref="BA82:BA86 BA88:BA89 BA91">
    <cfRule type="cellIs" dxfId="4" priority="1367" operator="lessThan">
      <formula>0</formula>
    </cfRule>
  </conditionalFormatting>
  <conditionalFormatting sqref="S87 AJ87:AN87 BC87">
    <cfRule type="cellIs" dxfId="4" priority="1655" operator="lessThan">
      <formula>0</formula>
    </cfRule>
    <cfRule type="cellIs" dxfId="5" priority="1656" operator="lessThan">
      <formula>0</formula>
    </cfRule>
  </conditionalFormatting>
  <conditionalFormatting sqref="S89 S91">
    <cfRule type="cellIs" dxfId="4" priority="1787" operator="lessThan">
      <formula>0</formula>
    </cfRule>
  </conditionalFormatting>
  <conditionalFormatting sqref="T89:Z91 AA90:AG90">
    <cfRule type="cellIs" dxfId="4" priority="269" operator="lessThan">
      <formula>0</formula>
    </cfRule>
  </conditionalFormatting>
  <conditionalFormatting sqref="AA89:AE89 AA91:AE91">
    <cfRule type="cellIs" dxfId="4" priority="270" operator="lessThan">
      <formula>0</formula>
    </cfRule>
  </conditionalFormatting>
  <conditionalFormatting sqref="AF89:AG89 AF91:AG91">
    <cfRule type="cellIs" dxfId="4" priority="273" operator="lessThan">
      <formula>0</formula>
    </cfRule>
  </conditionalFormatting>
  <conditionalFormatting sqref="AO90 AP90:BC90">
    <cfRule type="cellIs" dxfId="4" priority="412" operator="lessThan">
      <formula>0</formula>
    </cfRule>
  </conditionalFormatting>
  <conditionalFormatting sqref="BA92:BA96 BA98:BA99 BA101">
    <cfRule type="cellIs" dxfId="4" priority="1364" operator="lessThan">
      <formula>0</formula>
    </cfRule>
  </conditionalFormatting>
  <conditionalFormatting sqref="S97 AJ97:AN97 BC97">
    <cfRule type="cellIs" dxfId="4" priority="1653" operator="lessThan">
      <formula>0</formula>
    </cfRule>
    <cfRule type="cellIs" dxfId="5" priority="1654" operator="lessThan">
      <formula>0</formula>
    </cfRule>
  </conditionalFormatting>
  <conditionalFormatting sqref="S99 S101">
    <cfRule type="cellIs" dxfId="4" priority="1771" operator="lessThan">
      <formula>0</formula>
    </cfRule>
  </conditionalFormatting>
  <conditionalFormatting sqref="T99:Z101 AA100:AG100">
    <cfRule type="cellIs" dxfId="4" priority="262" operator="lessThan">
      <formula>0</formula>
    </cfRule>
  </conditionalFormatting>
  <conditionalFormatting sqref="AA99:AE99 AA101:AE101">
    <cfRule type="cellIs" dxfId="4" priority="263" operator="lessThan">
      <formula>0</formula>
    </cfRule>
  </conditionalFormatting>
  <conditionalFormatting sqref="AF99:AG99 AF101:AG101">
    <cfRule type="cellIs" dxfId="4" priority="266" operator="lessThan">
      <formula>0</formula>
    </cfRule>
  </conditionalFormatting>
  <conditionalFormatting sqref="AY99 AY101">
    <cfRule type="cellIs" dxfId="4" priority="1147" operator="lessThan">
      <formula>0</formula>
    </cfRule>
  </conditionalFormatting>
  <conditionalFormatting sqref="AO100 AP100:BC100">
    <cfRule type="cellIs" dxfId="4" priority="411" operator="lessThan">
      <formula>0</formula>
    </cfRule>
  </conditionalFormatting>
  <conditionalFormatting sqref="BA102:BA106 BA108:BA109 BA111">
    <cfRule type="cellIs" dxfId="4" priority="1361" operator="lessThan">
      <formula>0</formula>
    </cfRule>
  </conditionalFormatting>
  <conditionalFormatting sqref="S107 AJ107:AN107 BC107">
    <cfRule type="cellIs" dxfId="4" priority="1651" operator="lessThan">
      <formula>0</formula>
    </cfRule>
    <cfRule type="cellIs" dxfId="5" priority="1652" operator="lessThan">
      <formula>0</formula>
    </cfRule>
  </conditionalFormatting>
  <conditionalFormatting sqref="S109 S111">
    <cfRule type="cellIs" dxfId="4" priority="1823" operator="lessThan">
      <formula>0</formula>
    </cfRule>
  </conditionalFormatting>
  <conditionalFormatting sqref="T109:Z111 AA110:AG110">
    <cfRule type="cellIs" dxfId="4" priority="255" operator="lessThan">
      <formula>0</formula>
    </cfRule>
  </conditionalFormatting>
  <conditionalFormatting sqref="AA109:AE109 AA111:AE111">
    <cfRule type="cellIs" dxfId="4" priority="256" operator="lessThan">
      <formula>0</formula>
    </cfRule>
  </conditionalFormatting>
  <conditionalFormatting sqref="AF109:AG109 AF111:AG111">
    <cfRule type="cellIs" dxfId="4" priority="259" operator="lessThan">
      <formula>0</formula>
    </cfRule>
  </conditionalFormatting>
  <conditionalFormatting sqref="AO110 AP110:BC110">
    <cfRule type="cellIs" dxfId="4" priority="410" operator="lessThan">
      <formula>0</formula>
    </cfRule>
  </conditionalFormatting>
  <conditionalFormatting sqref="BA112:BA116 BA118:BA121">
    <cfRule type="cellIs" dxfId="4" priority="1358" operator="lessThan">
      <formula>0</formula>
    </cfRule>
  </conditionalFormatting>
  <conditionalFormatting sqref="S117 AJ117:AN117 BC117">
    <cfRule type="cellIs" dxfId="4" priority="1649" operator="lessThan">
      <formula>0</formula>
    </cfRule>
    <cfRule type="cellIs" dxfId="5" priority="1650" operator="lessThan">
      <formula>0</formula>
    </cfRule>
  </conditionalFormatting>
  <conditionalFormatting sqref="S119 S121">
    <cfRule type="cellIs" dxfId="4" priority="1837" operator="lessThan">
      <formula>0</formula>
    </cfRule>
  </conditionalFormatting>
  <conditionalFormatting sqref="T119:Z121 AA120:AG120">
    <cfRule type="cellIs" dxfId="4" priority="248" operator="lessThan">
      <formula>0</formula>
    </cfRule>
  </conditionalFormatting>
  <conditionalFormatting sqref="AA119:AE119 AA121:AE121">
    <cfRule type="cellIs" dxfId="4" priority="249" operator="lessThan">
      <formula>0</formula>
    </cfRule>
  </conditionalFormatting>
  <conditionalFormatting sqref="AF119:AG119 AF121:AG121">
    <cfRule type="cellIs" dxfId="4" priority="252" operator="lessThan">
      <formula>0</formula>
    </cfRule>
  </conditionalFormatting>
  <conditionalFormatting sqref="BA122:BA126 BA128:BA129 BA131">
    <cfRule type="cellIs" dxfId="4" priority="1355" operator="lessThan">
      <formula>0</formula>
    </cfRule>
  </conditionalFormatting>
  <conditionalFormatting sqref="S127 AJ127:AN127 BC127">
    <cfRule type="cellIs" dxfId="4" priority="1647" operator="lessThan">
      <formula>0</formula>
    </cfRule>
    <cfRule type="cellIs" dxfId="5" priority="1648" operator="lessThan">
      <formula>0</formula>
    </cfRule>
  </conditionalFormatting>
  <conditionalFormatting sqref="S129 S131">
    <cfRule type="cellIs" dxfId="4" priority="1921" operator="lessThan">
      <formula>0</formula>
    </cfRule>
  </conditionalFormatting>
  <conditionalFormatting sqref="T129:Z131 AA130:AG130">
    <cfRule type="cellIs" dxfId="4" priority="241" operator="lessThan">
      <formula>0</formula>
    </cfRule>
  </conditionalFormatting>
  <conditionalFormatting sqref="AA129:AE129 AA131:AE131">
    <cfRule type="cellIs" dxfId="4" priority="242" operator="lessThan">
      <formula>0</formula>
    </cfRule>
  </conditionalFormatting>
  <conditionalFormatting sqref="AF129:AG129 AF131:AG131">
    <cfRule type="cellIs" dxfId="4" priority="245" operator="lessThan">
      <formula>0</formula>
    </cfRule>
  </conditionalFormatting>
  <conditionalFormatting sqref="AO130 AP130:BC130">
    <cfRule type="cellIs" dxfId="4" priority="409" operator="lessThan">
      <formula>0</formula>
    </cfRule>
  </conditionalFormatting>
  <conditionalFormatting sqref="BA132:BA136 BA138:BA141">
    <cfRule type="cellIs" dxfId="4" priority="1352" operator="lessThan">
      <formula>0</formula>
    </cfRule>
  </conditionalFormatting>
  <conditionalFormatting sqref="S137 AJ137:AN137 BC137">
    <cfRule type="cellIs" dxfId="4" priority="1645" operator="lessThan">
      <formula>0</formula>
    </cfRule>
    <cfRule type="cellIs" dxfId="5" priority="1646" operator="lessThan">
      <formula>0</formula>
    </cfRule>
  </conditionalFormatting>
  <conditionalFormatting sqref="S139 S141 S149 S151 S159 S161 S179 S181 S279 S281 S289 S291 S299 S301 S319 S321 S349 S351 S359 S361 S369 S371 S379 S381 S399 S401 S409 S411 S419 S421">
    <cfRule type="cellIs" dxfId="4" priority="1711" operator="lessThan">
      <formula>0</formula>
    </cfRule>
  </conditionalFormatting>
  <conditionalFormatting sqref="T139:Z141 AA140:AG140">
    <cfRule type="cellIs" dxfId="4" priority="234" operator="lessThan">
      <formula>0</formula>
    </cfRule>
  </conditionalFormatting>
  <conditionalFormatting sqref="AA139:AE139 AA141:AE141">
    <cfRule type="cellIs" dxfId="4" priority="235" operator="lessThan">
      <formula>0</formula>
    </cfRule>
  </conditionalFormatting>
  <conditionalFormatting sqref="AF139:AG139 AF141:AG141">
    <cfRule type="cellIs" dxfId="4" priority="238" operator="lessThan">
      <formula>0</formula>
    </cfRule>
  </conditionalFormatting>
  <conditionalFormatting sqref="BA142:BA146 BA148:BA149 BA151">
    <cfRule type="cellIs" dxfId="4" priority="1349" operator="lessThan">
      <formula>0</formula>
    </cfRule>
  </conditionalFormatting>
  <conditionalFormatting sqref="S147 AJ147:AN147 BC147">
    <cfRule type="cellIs" dxfId="4" priority="1643" operator="lessThan">
      <formula>0</formula>
    </cfRule>
    <cfRule type="cellIs" dxfId="5" priority="1644" operator="lessThan">
      <formula>0</formula>
    </cfRule>
  </conditionalFormatting>
  <conditionalFormatting sqref="T149:Z151 AA150:AG150">
    <cfRule type="cellIs" dxfId="4" priority="227" operator="lessThan">
      <formula>0</formula>
    </cfRule>
  </conditionalFormatting>
  <conditionalFormatting sqref="AA149:AE149 AA151:AE151">
    <cfRule type="cellIs" dxfId="4" priority="228" operator="lessThan">
      <formula>0</formula>
    </cfRule>
  </conditionalFormatting>
  <conditionalFormatting sqref="AF149:AG149 AF151:AG151">
    <cfRule type="cellIs" dxfId="4" priority="231" operator="lessThan">
      <formula>0</formula>
    </cfRule>
  </conditionalFormatting>
  <conditionalFormatting sqref="AY149 AY151">
    <cfRule type="cellIs" dxfId="4" priority="1162" operator="lessThan">
      <formula>0</formula>
    </cfRule>
  </conditionalFormatting>
  <conditionalFormatting sqref="AO150 AP150:BC150">
    <cfRule type="cellIs" dxfId="4" priority="408" operator="lessThan">
      <formula>0</formula>
    </cfRule>
  </conditionalFormatting>
  <conditionalFormatting sqref="BA152:BA156 BA158:BA161">
    <cfRule type="cellIs" dxfId="4" priority="1346" operator="lessThan">
      <formula>0</formula>
    </cfRule>
  </conditionalFormatting>
  <conditionalFormatting sqref="S157 AJ157:AN157 BC157">
    <cfRule type="cellIs" dxfId="4" priority="1641" operator="lessThan">
      <formula>0</formula>
    </cfRule>
    <cfRule type="cellIs" dxfId="5" priority="1642" operator="lessThan">
      <formula>0</formula>
    </cfRule>
  </conditionalFormatting>
  <conditionalFormatting sqref="T159:Z161 AA160:AG160">
    <cfRule type="cellIs" dxfId="4" priority="220" operator="lessThan">
      <formula>0</formula>
    </cfRule>
  </conditionalFormatting>
  <conditionalFormatting sqref="AA159:AE159 AA161:AE161">
    <cfRule type="cellIs" dxfId="4" priority="221" operator="lessThan">
      <formula>0</formula>
    </cfRule>
  </conditionalFormatting>
  <conditionalFormatting sqref="AF159:AG159 AF161:AG161">
    <cfRule type="cellIs" dxfId="4" priority="224" operator="lessThan">
      <formula>0</formula>
    </cfRule>
  </conditionalFormatting>
  <conditionalFormatting sqref="BA162:BA166 BA168:BA169 BA171">
    <cfRule type="cellIs" dxfId="4" priority="1343" operator="lessThan">
      <formula>0</formula>
    </cfRule>
  </conditionalFormatting>
  <conditionalFormatting sqref="S167 AJ167:AN167 BC167">
    <cfRule type="cellIs" dxfId="4" priority="1639" operator="lessThan">
      <formula>0</formula>
    </cfRule>
    <cfRule type="cellIs" dxfId="5" priority="1640" operator="lessThan">
      <formula>0</formula>
    </cfRule>
  </conditionalFormatting>
  <conditionalFormatting sqref="S169 S171">
    <cfRule type="cellIs" dxfId="4" priority="1759" operator="lessThan">
      <formula>0</formula>
    </cfRule>
  </conditionalFormatting>
  <conditionalFormatting sqref="T169:Z171 AA170:AG170">
    <cfRule type="cellIs" dxfId="4" priority="213" operator="lessThan">
      <formula>0</formula>
    </cfRule>
  </conditionalFormatting>
  <conditionalFormatting sqref="AA169:AE169 AA171:AE171">
    <cfRule type="cellIs" dxfId="4" priority="214" operator="lessThan">
      <formula>0</formula>
    </cfRule>
  </conditionalFormatting>
  <conditionalFormatting sqref="AF169:AG169 AF171:AG171">
    <cfRule type="cellIs" dxfId="4" priority="217" operator="lessThan">
      <formula>0</formula>
    </cfRule>
  </conditionalFormatting>
  <conditionalFormatting sqref="AY169 AY171">
    <cfRule type="cellIs" dxfId="4" priority="1148" operator="lessThan">
      <formula>0</formula>
    </cfRule>
  </conditionalFormatting>
  <conditionalFormatting sqref="AO170 AP170:BC170">
    <cfRule type="cellIs" dxfId="4" priority="407" operator="lessThan">
      <formula>0</formula>
    </cfRule>
  </conditionalFormatting>
  <conditionalFormatting sqref="BA172:BA176 BA178:BA179 BA181">
    <cfRule type="cellIs" dxfId="4" priority="1340" operator="lessThan">
      <formula>0</formula>
    </cfRule>
  </conditionalFormatting>
  <conditionalFormatting sqref="S177 AJ177:AN177 BC177">
    <cfRule type="cellIs" dxfId="4" priority="1637" operator="lessThan">
      <formula>0</formula>
    </cfRule>
    <cfRule type="cellIs" dxfId="5" priority="1638" operator="lessThan">
      <formula>0</formula>
    </cfRule>
  </conditionalFormatting>
  <conditionalFormatting sqref="T179:Z181 AA180:AG180">
    <cfRule type="cellIs" dxfId="4" priority="206" operator="lessThan">
      <formula>0</formula>
    </cfRule>
  </conditionalFormatting>
  <conditionalFormatting sqref="AA179:AE179 AA181:AE181">
    <cfRule type="cellIs" dxfId="4" priority="207" operator="lessThan">
      <formula>0</formula>
    </cfRule>
  </conditionalFormatting>
  <conditionalFormatting sqref="AF179:AG179 AF181:AG181">
    <cfRule type="cellIs" dxfId="4" priority="210" operator="lessThan">
      <formula>0</formula>
    </cfRule>
  </conditionalFormatting>
  <conditionalFormatting sqref="AY179 AY181">
    <cfRule type="cellIs" dxfId="4" priority="1149" operator="lessThan">
      <formula>0</formula>
    </cfRule>
  </conditionalFormatting>
  <conditionalFormatting sqref="AO180 AP180:BC180">
    <cfRule type="cellIs" dxfId="4" priority="406" operator="lessThan">
      <formula>0</formula>
    </cfRule>
  </conditionalFormatting>
  <conditionalFormatting sqref="BA182:BA186 BA188:BA189 BA191">
    <cfRule type="cellIs" dxfId="4" priority="674" operator="lessThan">
      <formula>0</formula>
    </cfRule>
  </conditionalFormatting>
  <conditionalFormatting sqref="S187 AJ187:AN187 BC187">
    <cfRule type="cellIs" dxfId="4" priority="709" operator="lessThan">
      <formula>0</formula>
    </cfRule>
    <cfRule type="cellIs" dxfId="5" priority="710" operator="lessThan">
      <formula>0</formula>
    </cfRule>
  </conditionalFormatting>
  <conditionalFormatting sqref="BB188:BB189 BB191">
    <cfRule type="cellIs" dxfId="4" priority="551" operator="lessThan">
      <formula>0</formula>
    </cfRule>
  </conditionalFormatting>
  <conditionalFormatting sqref="S189 S191">
    <cfRule type="cellIs" dxfId="4" priority="714" operator="lessThan">
      <formula>0</formula>
    </cfRule>
  </conditionalFormatting>
  <conditionalFormatting sqref="T189:Z191 AA190:AG190">
    <cfRule type="cellIs" dxfId="4" priority="199" operator="lessThan">
      <formula>0</formula>
    </cfRule>
  </conditionalFormatting>
  <conditionalFormatting sqref="AA189:AE189 AA191:AE191">
    <cfRule type="cellIs" dxfId="4" priority="200" operator="lessThan">
      <formula>0</formula>
    </cfRule>
  </conditionalFormatting>
  <conditionalFormatting sqref="AF189:AG189 AF191:AG191">
    <cfRule type="cellIs" dxfId="4" priority="203" operator="lessThan">
      <formula>0</formula>
    </cfRule>
  </conditionalFormatting>
  <conditionalFormatting sqref="AO189 AO191">
    <cfRule type="cellIs" dxfId="4" priority="706" operator="lessThan">
      <formula>0</formula>
    </cfRule>
  </conditionalFormatting>
  <conditionalFormatting sqref="AP189 AP191">
    <cfRule type="cellIs" dxfId="4" priority="705" operator="lessThan">
      <formula>0</formula>
    </cfRule>
  </conditionalFormatting>
  <conditionalFormatting sqref="AQ189 AQ191">
    <cfRule type="cellIs" dxfId="4" priority="704" operator="lessThan">
      <formula>0</formula>
    </cfRule>
  </conditionalFormatting>
  <conditionalFormatting sqref="AR189 AR191">
    <cfRule type="cellIs" dxfId="4" priority="703" operator="lessThan">
      <formula>0</formula>
    </cfRule>
  </conditionalFormatting>
  <conditionalFormatting sqref="AS189 AS191">
    <cfRule type="cellIs" dxfId="4" priority="702" operator="lessThan">
      <formula>0</formula>
    </cfRule>
  </conditionalFormatting>
  <conditionalFormatting sqref="AT189 AT191">
    <cfRule type="cellIs" dxfId="4" priority="701" operator="lessThan">
      <formula>0</formula>
    </cfRule>
  </conditionalFormatting>
  <conditionalFormatting sqref="AU189 AU191">
    <cfRule type="cellIs" dxfId="4" priority="700" operator="lessThan">
      <formula>0</formula>
    </cfRule>
  </conditionalFormatting>
  <conditionalFormatting sqref="AV189 AV191">
    <cfRule type="cellIs" dxfId="4" priority="699" operator="lessThan">
      <formula>0</formula>
    </cfRule>
  </conditionalFormatting>
  <conditionalFormatting sqref="AW189 AW191">
    <cfRule type="cellIs" dxfId="4" priority="698" operator="lessThan">
      <formula>0</formula>
    </cfRule>
  </conditionalFormatting>
  <conditionalFormatting sqref="AX189 AX191">
    <cfRule type="cellIs" dxfId="4" priority="697" operator="lessThan">
      <formula>0</formula>
    </cfRule>
  </conditionalFormatting>
  <conditionalFormatting sqref="AY189 AY191">
    <cfRule type="cellIs" dxfId="4" priority="668" operator="lessThan">
      <formula>0</formula>
    </cfRule>
  </conditionalFormatting>
  <conditionalFormatting sqref="AZ189 AZ191">
    <cfRule type="cellIs" dxfId="4" priority="713" operator="lessThan">
      <formula>0</formula>
    </cfRule>
  </conditionalFormatting>
  <conditionalFormatting sqref="AO190 AP190:BC190">
    <cfRule type="cellIs" dxfId="4" priority="405" operator="lessThan">
      <formula>0</formula>
    </cfRule>
  </conditionalFormatting>
  <conditionalFormatting sqref="S197 AJ197:AN197 BC197">
    <cfRule type="cellIs" dxfId="4" priority="757" operator="lessThan">
      <formula>0</formula>
    </cfRule>
    <cfRule type="cellIs" dxfId="5" priority="758" operator="lessThan">
      <formula>0</formula>
    </cfRule>
  </conditionalFormatting>
  <conditionalFormatting sqref="S199 S201">
    <cfRule type="cellIs" dxfId="4" priority="762" operator="lessThan">
      <formula>0</formula>
    </cfRule>
  </conditionalFormatting>
  <conditionalFormatting sqref="T199:Z201 AA200:AG200">
    <cfRule type="cellIs" dxfId="4" priority="192" operator="lessThan">
      <formula>0</formula>
    </cfRule>
  </conditionalFormatting>
  <conditionalFormatting sqref="AA199:AE199 AA201:AE201">
    <cfRule type="cellIs" dxfId="4" priority="193" operator="lessThan">
      <formula>0</formula>
    </cfRule>
  </conditionalFormatting>
  <conditionalFormatting sqref="AF199:AG199 AF201:AG201">
    <cfRule type="cellIs" dxfId="4" priority="196" operator="lessThan">
      <formula>0</formula>
    </cfRule>
  </conditionalFormatting>
  <conditionalFormatting sqref="AZ199:BA201">
    <cfRule type="cellIs" dxfId="4" priority="761" operator="lessThan">
      <formula>0</formula>
    </cfRule>
  </conditionalFormatting>
  <conditionalFormatting sqref="S207 AJ207:AN207 BC207">
    <cfRule type="cellIs" dxfId="4" priority="544" operator="lessThan">
      <formula>0</formula>
    </cfRule>
    <cfRule type="cellIs" dxfId="5" priority="545" operator="lessThan">
      <formula>0</formula>
    </cfRule>
  </conditionalFormatting>
  <conditionalFormatting sqref="S209 S211">
    <cfRule type="cellIs" dxfId="4" priority="549" operator="lessThan">
      <formula>0</formula>
    </cfRule>
  </conditionalFormatting>
  <conditionalFormatting sqref="T209:Z211 AA210:AG210">
    <cfRule type="cellIs" dxfId="4" priority="185" operator="lessThan">
      <formula>0</formula>
    </cfRule>
  </conditionalFormatting>
  <conditionalFormatting sqref="AA209:AE209 AA211:AE211">
    <cfRule type="cellIs" dxfId="4" priority="186" operator="lessThan">
      <formula>0</formula>
    </cfRule>
  </conditionalFormatting>
  <conditionalFormatting sqref="AF209:AG209 AF211:AG211">
    <cfRule type="cellIs" dxfId="4" priority="189" operator="lessThan">
      <formula>0</formula>
    </cfRule>
  </conditionalFormatting>
  <conditionalFormatting sqref="AO209 AO211">
    <cfRule type="cellIs" dxfId="4" priority="541" operator="lessThan">
      <formula>0</formula>
    </cfRule>
  </conditionalFormatting>
  <conditionalFormatting sqref="AP209 AP211">
    <cfRule type="cellIs" dxfId="4" priority="540" operator="lessThan">
      <formula>0</formula>
    </cfRule>
  </conditionalFormatting>
  <conditionalFormatting sqref="AQ209 AQ211">
    <cfRule type="cellIs" dxfId="4" priority="539" operator="lessThan">
      <formula>0</formula>
    </cfRule>
  </conditionalFormatting>
  <conditionalFormatting sqref="AR209 AR211">
    <cfRule type="cellIs" dxfId="4" priority="538" operator="lessThan">
      <formula>0</formula>
    </cfRule>
  </conditionalFormatting>
  <conditionalFormatting sqref="AS209 AS211">
    <cfRule type="cellIs" dxfId="4" priority="537" operator="lessThan">
      <formula>0</formula>
    </cfRule>
  </conditionalFormatting>
  <conditionalFormatting sqref="AT209 AT211">
    <cfRule type="cellIs" dxfId="4" priority="536" operator="lessThan">
      <formula>0</formula>
    </cfRule>
  </conditionalFormatting>
  <conditionalFormatting sqref="AU209 AU211">
    <cfRule type="cellIs" dxfId="4" priority="535" operator="lessThan">
      <formula>0</formula>
    </cfRule>
  </conditionalFormatting>
  <conditionalFormatting sqref="AV209 AV211">
    <cfRule type="cellIs" dxfId="4" priority="534" operator="lessThan">
      <formula>0</formula>
    </cfRule>
  </conditionalFormatting>
  <conditionalFormatting sqref="AW209 AW211">
    <cfRule type="cellIs" dxfId="4" priority="533" operator="lessThan">
      <formula>0</formula>
    </cfRule>
  </conditionalFormatting>
  <conditionalFormatting sqref="AX209 AX211">
    <cfRule type="cellIs" dxfId="4" priority="532" operator="lessThan">
      <formula>0</formula>
    </cfRule>
  </conditionalFormatting>
  <conditionalFormatting sqref="AY209 AY211">
    <cfRule type="cellIs" dxfId="4" priority="505" operator="lessThan">
      <formula>0</formula>
    </cfRule>
  </conditionalFormatting>
  <conditionalFormatting sqref="AZ209 AZ211">
    <cfRule type="cellIs" dxfId="4" priority="548" operator="lessThan">
      <formula>0</formula>
    </cfRule>
  </conditionalFormatting>
  <conditionalFormatting sqref="BA209 BA211">
    <cfRule type="cellIs" dxfId="4" priority="502" operator="lessThan">
      <formula>0</formula>
    </cfRule>
  </conditionalFormatting>
  <conditionalFormatting sqref="AO210 AP210:BC210">
    <cfRule type="cellIs" dxfId="4" priority="404" operator="lessThan">
      <formula>0</formula>
    </cfRule>
  </conditionalFormatting>
  <conditionalFormatting sqref="BA212:BA216 BA218:BA219 BA221">
    <cfRule type="cellIs" dxfId="4" priority="626" operator="lessThan">
      <formula>0</formula>
    </cfRule>
  </conditionalFormatting>
  <conditionalFormatting sqref="S217 AJ217:AN217 BC217">
    <cfRule type="cellIs" dxfId="4" priority="661" operator="lessThan">
      <formula>0</formula>
    </cfRule>
    <cfRule type="cellIs" dxfId="5" priority="662" operator="lessThan">
      <formula>0</formula>
    </cfRule>
  </conditionalFormatting>
  <conditionalFormatting sqref="S219 S221">
    <cfRule type="cellIs" dxfId="4" priority="666" operator="lessThan">
      <formula>0</formula>
    </cfRule>
  </conditionalFormatting>
  <conditionalFormatting sqref="T219:Z221 AA220:AG220">
    <cfRule type="cellIs" dxfId="4" priority="178" operator="lessThan">
      <formula>0</formula>
    </cfRule>
  </conditionalFormatting>
  <conditionalFormatting sqref="AA219:AE219 AA221:AE221">
    <cfRule type="cellIs" dxfId="4" priority="179" operator="lessThan">
      <formula>0</formula>
    </cfRule>
  </conditionalFormatting>
  <conditionalFormatting sqref="AF219:AG219 AF221:AG221">
    <cfRule type="cellIs" dxfId="4" priority="182" operator="lessThan">
      <formula>0</formula>
    </cfRule>
  </conditionalFormatting>
  <conditionalFormatting sqref="AO219 AO221">
    <cfRule type="cellIs" dxfId="4" priority="658" operator="lessThan">
      <formula>0</formula>
    </cfRule>
  </conditionalFormatting>
  <conditionalFormatting sqref="AP219 AP221">
    <cfRule type="cellIs" dxfId="4" priority="657" operator="lessThan">
      <formula>0</formula>
    </cfRule>
  </conditionalFormatting>
  <conditionalFormatting sqref="AQ219 AQ221">
    <cfRule type="cellIs" dxfId="4" priority="656" operator="lessThan">
      <formula>0</formula>
    </cfRule>
  </conditionalFormatting>
  <conditionalFormatting sqref="AR219 AR221">
    <cfRule type="cellIs" dxfId="4" priority="655" operator="lessThan">
      <formula>0</formula>
    </cfRule>
  </conditionalFormatting>
  <conditionalFormatting sqref="AS219 AS221">
    <cfRule type="cellIs" dxfId="4" priority="654" operator="lessThan">
      <formula>0</formula>
    </cfRule>
  </conditionalFormatting>
  <conditionalFormatting sqref="AT219 AT221">
    <cfRule type="cellIs" dxfId="4" priority="653" operator="lessThan">
      <formula>0</formula>
    </cfRule>
  </conditionalFormatting>
  <conditionalFormatting sqref="AU219 AU221">
    <cfRule type="cellIs" dxfId="4" priority="652" operator="lessThan">
      <formula>0</formula>
    </cfRule>
  </conditionalFormatting>
  <conditionalFormatting sqref="AV219 AV221">
    <cfRule type="cellIs" dxfId="4" priority="651" operator="lessThan">
      <formula>0</formula>
    </cfRule>
  </conditionalFormatting>
  <conditionalFormatting sqref="AW219 AW221">
    <cfRule type="cellIs" dxfId="4" priority="650" operator="lessThan">
      <formula>0</formula>
    </cfRule>
  </conditionalFormatting>
  <conditionalFormatting sqref="AX219 AX221">
    <cfRule type="cellIs" dxfId="4" priority="649" operator="lessThan">
      <formula>0</formula>
    </cfRule>
  </conditionalFormatting>
  <conditionalFormatting sqref="AY219 AY221">
    <cfRule type="cellIs" dxfId="4" priority="620" operator="lessThan">
      <formula>0</formula>
    </cfRule>
  </conditionalFormatting>
  <conditionalFormatting sqref="AZ219 AZ221">
    <cfRule type="cellIs" dxfId="4" priority="665" operator="lessThan">
      <formula>0</formula>
    </cfRule>
  </conditionalFormatting>
  <conditionalFormatting sqref="AO220 AP220:BC220">
    <cfRule type="cellIs" dxfId="4" priority="403" operator="lessThan">
      <formula>0</formula>
    </cfRule>
  </conditionalFormatting>
  <conditionalFormatting sqref="S227 AJ227:AN227 BC227">
    <cfRule type="cellIs" dxfId="4" priority="805" operator="lessThan">
      <formula>0</formula>
    </cfRule>
    <cfRule type="cellIs" dxfId="5" priority="806" operator="lessThan">
      <formula>0</formula>
    </cfRule>
  </conditionalFormatting>
  <conditionalFormatting sqref="S229 S231">
    <cfRule type="cellIs" dxfId="4" priority="810" operator="lessThan">
      <formula>0</formula>
    </cfRule>
  </conditionalFormatting>
  <conditionalFormatting sqref="T229:Z231 AA230:AG230">
    <cfRule type="cellIs" dxfId="4" priority="171" operator="lessThan">
      <formula>0</formula>
    </cfRule>
  </conditionalFormatting>
  <conditionalFormatting sqref="AA229:AE229 AA231:AE231">
    <cfRule type="cellIs" dxfId="4" priority="172" operator="lessThan">
      <formula>0</formula>
    </cfRule>
  </conditionalFormatting>
  <conditionalFormatting sqref="AF229:AG229 AF231:AG231">
    <cfRule type="cellIs" dxfId="4" priority="175" operator="lessThan">
      <formula>0</formula>
    </cfRule>
  </conditionalFormatting>
  <conditionalFormatting sqref="AO229 AO231">
    <cfRule type="cellIs" dxfId="4" priority="802" operator="lessThan">
      <formula>0</formula>
    </cfRule>
  </conditionalFormatting>
  <conditionalFormatting sqref="AP229 AP231">
    <cfRule type="cellIs" dxfId="4" priority="801" operator="lessThan">
      <formula>0</formula>
    </cfRule>
  </conditionalFormatting>
  <conditionalFormatting sqref="AQ229 AQ231">
    <cfRule type="cellIs" dxfId="4" priority="800" operator="lessThan">
      <formula>0</formula>
    </cfRule>
  </conditionalFormatting>
  <conditionalFormatting sqref="AR229 AR231">
    <cfRule type="cellIs" dxfId="4" priority="799" operator="lessThan">
      <formula>0</formula>
    </cfRule>
  </conditionalFormatting>
  <conditionalFormatting sqref="AS229 AS231">
    <cfRule type="cellIs" dxfId="4" priority="798" operator="lessThan">
      <formula>0</formula>
    </cfRule>
  </conditionalFormatting>
  <conditionalFormatting sqref="AT229 AT231">
    <cfRule type="cellIs" dxfId="4" priority="797" operator="lessThan">
      <formula>0</formula>
    </cfRule>
  </conditionalFormatting>
  <conditionalFormatting sqref="AU229 AU231">
    <cfRule type="cellIs" dxfId="4" priority="796" operator="lessThan">
      <formula>0</formula>
    </cfRule>
  </conditionalFormatting>
  <conditionalFormatting sqref="AV229 AV231">
    <cfRule type="cellIs" dxfId="4" priority="795" operator="lessThan">
      <formula>0</formula>
    </cfRule>
  </conditionalFormatting>
  <conditionalFormatting sqref="AW229 AW231">
    <cfRule type="cellIs" dxfId="4" priority="794" operator="lessThan">
      <formula>0</formula>
    </cfRule>
  </conditionalFormatting>
  <conditionalFormatting sqref="AX229 AX231">
    <cfRule type="cellIs" dxfId="4" priority="793" operator="lessThan">
      <formula>0</formula>
    </cfRule>
  </conditionalFormatting>
  <conditionalFormatting sqref="AY229 AY231">
    <cfRule type="cellIs" dxfId="4" priority="764" operator="lessThan">
      <formula>0</formula>
    </cfRule>
  </conditionalFormatting>
  <conditionalFormatting sqref="AZ229:BA229 AZ231:BA231">
    <cfRule type="cellIs" dxfId="4" priority="809" operator="lessThan">
      <formula>0</formula>
    </cfRule>
  </conditionalFormatting>
  <conditionalFormatting sqref="AO230 AP230:BC230">
    <cfRule type="cellIs" dxfId="4" priority="402" operator="lessThan">
      <formula>0</formula>
    </cfRule>
  </conditionalFormatting>
  <conditionalFormatting sqref="BA232:BA236 BA238:BA239 BA241">
    <cfRule type="cellIs" dxfId="4" priority="818" operator="lessThan">
      <formula>0</formula>
    </cfRule>
  </conditionalFormatting>
  <conditionalFormatting sqref="S237 AJ237:AN237 BC237">
    <cfRule type="cellIs" dxfId="4" priority="853" operator="lessThan">
      <formula>0</formula>
    </cfRule>
    <cfRule type="cellIs" dxfId="5" priority="854" operator="lessThan">
      <formula>0</formula>
    </cfRule>
  </conditionalFormatting>
  <conditionalFormatting sqref="S239 S241">
    <cfRule type="cellIs" dxfId="4" priority="858" operator="lessThan">
      <formula>0</formula>
    </cfRule>
  </conditionalFormatting>
  <conditionalFormatting sqref="T239:Z241 AA240:AG240">
    <cfRule type="cellIs" dxfId="4" priority="164" operator="lessThan">
      <formula>0</formula>
    </cfRule>
  </conditionalFormatting>
  <conditionalFormatting sqref="AA239:AE239 AA241:AE241">
    <cfRule type="cellIs" dxfId="4" priority="165" operator="lessThan">
      <formula>0</formula>
    </cfRule>
  </conditionalFormatting>
  <conditionalFormatting sqref="AF239:AG239 AF241:AG241">
    <cfRule type="cellIs" dxfId="4" priority="168" operator="lessThan">
      <formula>0</formula>
    </cfRule>
  </conditionalFormatting>
  <conditionalFormatting sqref="AO239 AO241">
    <cfRule type="cellIs" dxfId="4" priority="850" operator="lessThan">
      <formula>0</formula>
    </cfRule>
  </conditionalFormatting>
  <conditionalFormatting sqref="AP239 AP241">
    <cfRule type="cellIs" dxfId="4" priority="849" operator="lessThan">
      <formula>0</formula>
    </cfRule>
  </conditionalFormatting>
  <conditionalFormatting sqref="AQ239 AQ241">
    <cfRule type="cellIs" dxfId="4" priority="848" operator="lessThan">
      <formula>0</formula>
    </cfRule>
  </conditionalFormatting>
  <conditionalFormatting sqref="AR239 AR241">
    <cfRule type="cellIs" dxfId="4" priority="847" operator="lessThan">
      <formula>0</formula>
    </cfRule>
  </conditionalFormatting>
  <conditionalFormatting sqref="AS239 AS241">
    <cfRule type="cellIs" dxfId="4" priority="846" operator="lessThan">
      <formula>0</formula>
    </cfRule>
  </conditionalFormatting>
  <conditionalFormatting sqref="AT239 AT241">
    <cfRule type="cellIs" dxfId="4" priority="845" operator="lessThan">
      <formula>0</formula>
    </cfRule>
  </conditionalFormatting>
  <conditionalFormatting sqref="AU239 AU241">
    <cfRule type="cellIs" dxfId="4" priority="844" operator="lessThan">
      <formula>0</formula>
    </cfRule>
  </conditionalFormatting>
  <conditionalFormatting sqref="AV239 AV241">
    <cfRule type="cellIs" dxfId="4" priority="843" operator="lessThan">
      <formula>0</formula>
    </cfRule>
  </conditionalFormatting>
  <conditionalFormatting sqref="AW239 AW241">
    <cfRule type="cellIs" dxfId="4" priority="842" operator="lessThan">
      <formula>0</formula>
    </cfRule>
  </conditionalFormatting>
  <conditionalFormatting sqref="AX239 AX241">
    <cfRule type="cellIs" dxfId="4" priority="841" operator="lessThan">
      <formula>0</formula>
    </cfRule>
  </conditionalFormatting>
  <conditionalFormatting sqref="AY239 AY241">
    <cfRule type="cellIs" dxfId="4" priority="812" operator="lessThan">
      <formula>0</formula>
    </cfRule>
  </conditionalFormatting>
  <conditionalFormatting sqref="AZ239 AZ241">
    <cfRule type="cellIs" dxfId="4" priority="857" operator="lessThan">
      <formula>0</formula>
    </cfRule>
  </conditionalFormatting>
  <conditionalFormatting sqref="AO240 AP240:BC240">
    <cfRule type="cellIs" dxfId="4" priority="401" operator="lessThan">
      <formula>0</formula>
    </cfRule>
  </conditionalFormatting>
  <conditionalFormatting sqref="S247 AJ247:AN247 BC247">
    <cfRule type="cellIs" dxfId="4" priority="901" operator="lessThan">
      <formula>0</formula>
    </cfRule>
    <cfRule type="cellIs" dxfId="5" priority="902" operator="lessThan">
      <formula>0</formula>
    </cfRule>
  </conditionalFormatting>
  <conditionalFormatting sqref="S249 S251">
    <cfRule type="cellIs" dxfId="4" priority="906" operator="lessThan">
      <formula>0</formula>
    </cfRule>
  </conditionalFormatting>
  <conditionalFormatting sqref="T249:Z251 AA250:AG250">
    <cfRule type="cellIs" dxfId="4" priority="157" operator="lessThan">
      <formula>0</formula>
    </cfRule>
  </conditionalFormatting>
  <conditionalFormatting sqref="AA249:AE249 AA251:AE251">
    <cfRule type="cellIs" dxfId="4" priority="158" operator="lessThan">
      <formula>0</formula>
    </cfRule>
  </conditionalFormatting>
  <conditionalFormatting sqref="AF249:AG249 AF251:AG251">
    <cfRule type="cellIs" dxfId="4" priority="161" operator="lessThan">
      <formula>0</formula>
    </cfRule>
  </conditionalFormatting>
  <conditionalFormatting sqref="AO249 AO251">
    <cfRule type="cellIs" dxfId="4" priority="898" operator="lessThan">
      <formula>0</formula>
    </cfRule>
  </conditionalFormatting>
  <conditionalFormatting sqref="AP249 AP251">
    <cfRule type="cellIs" dxfId="4" priority="897" operator="lessThan">
      <formula>0</formula>
    </cfRule>
  </conditionalFormatting>
  <conditionalFormatting sqref="AQ249 AQ251">
    <cfRule type="cellIs" dxfId="4" priority="896" operator="lessThan">
      <formula>0</formula>
    </cfRule>
  </conditionalFormatting>
  <conditionalFormatting sqref="AR249 AR251">
    <cfRule type="cellIs" dxfId="4" priority="895" operator="lessThan">
      <formula>0</formula>
    </cfRule>
  </conditionalFormatting>
  <conditionalFormatting sqref="AS249 AS251">
    <cfRule type="cellIs" dxfId="4" priority="894" operator="lessThan">
      <formula>0</formula>
    </cfRule>
  </conditionalFormatting>
  <conditionalFormatting sqref="AT249 AT251">
    <cfRule type="cellIs" dxfId="4" priority="893" operator="lessThan">
      <formula>0</formula>
    </cfRule>
  </conditionalFormatting>
  <conditionalFormatting sqref="AU249 AU251">
    <cfRule type="cellIs" dxfId="4" priority="892" operator="lessThan">
      <formula>0</formula>
    </cfRule>
  </conditionalFormatting>
  <conditionalFormatting sqref="AV249 AV251">
    <cfRule type="cellIs" dxfId="4" priority="891" operator="lessThan">
      <formula>0</formula>
    </cfRule>
  </conditionalFormatting>
  <conditionalFormatting sqref="AW249 AW251">
    <cfRule type="cellIs" dxfId="4" priority="890" operator="lessThan">
      <formula>0</formula>
    </cfRule>
  </conditionalFormatting>
  <conditionalFormatting sqref="AX249 AX251">
    <cfRule type="cellIs" dxfId="4" priority="889" operator="lessThan">
      <formula>0</formula>
    </cfRule>
  </conditionalFormatting>
  <conditionalFormatting sqref="AY249 AY251">
    <cfRule type="cellIs" dxfId="4" priority="860" operator="lessThan">
      <formula>0</formula>
    </cfRule>
  </conditionalFormatting>
  <conditionalFormatting sqref="AZ249:BA249 AZ251:BA251">
    <cfRule type="cellIs" dxfId="4" priority="905" operator="lessThan">
      <formula>0</formula>
    </cfRule>
  </conditionalFormatting>
  <conditionalFormatting sqref="AO250 AP250:BC250">
    <cfRule type="cellIs" dxfId="4" priority="400" operator="lessThan">
      <formula>0</formula>
    </cfRule>
  </conditionalFormatting>
  <conditionalFormatting sqref="S257 AJ257:AN257 BC257">
    <cfRule type="cellIs" dxfId="4" priority="949" operator="lessThan">
      <formula>0</formula>
    </cfRule>
    <cfRule type="cellIs" dxfId="5" priority="950" operator="lessThan">
      <formula>0</formula>
    </cfRule>
  </conditionalFormatting>
  <conditionalFormatting sqref="S259 S261">
    <cfRule type="cellIs" dxfId="4" priority="954" operator="lessThan">
      <formula>0</formula>
    </cfRule>
  </conditionalFormatting>
  <conditionalFormatting sqref="T259:Z261 AA260:AG260">
    <cfRule type="cellIs" dxfId="4" priority="150" operator="lessThan">
      <formula>0</formula>
    </cfRule>
  </conditionalFormatting>
  <conditionalFormatting sqref="AA259:AE259 AA261:AE261">
    <cfRule type="cellIs" dxfId="4" priority="151" operator="lessThan">
      <formula>0</formula>
    </cfRule>
  </conditionalFormatting>
  <conditionalFormatting sqref="AF259:AG259 AF261:AG261">
    <cfRule type="cellIs" dxfId="4" priority="154" operator="lessThan">
      <formula>0</formula>
    </cfRule>
  </conditionalFormatting>
  <conditionalFormatting sqref="AO259 AO261">
    <cfRule type="cellIs" dxfId="4" priority="946" operator="lessThan">
      <formula>0</formula>
    </cfRule>
  </conditionalFormatting>
  <conditionalFormatting sqref="AP259 AP261">
    <cfRule type="cellIs" dxfId="4" priority="945" operator="lessThan">
      <formula>0</formula>
    </cfRule>
  </conditionalFormatting>
  <conditionalFormatting sqref="AQ259 AQ261">
    <cfRule type="cellIs" dxfId="4" priority="944" operator="lessThan">
      <formula>0</formula>
    </cfRule>
  </conditionalFormatting>
  <conditionalFormatting sqref="AR259 AR261">
    <cfRule type="cellIs" dxfId="4" priority="943" operator="lessThan">
      <formula>0</formula>
    </cfRule>
  </conditionalFormatting>
  <conditionalFormatting sqref="AS259 AS261">
    <cfRule type="cellIs" dxfId="4" priority="942" operator="lessThan">
      <formula>0</formula>
    </cfRule>
  </conditionalFormatting>
  <conditionalFormatting sqref="AT259 AT261">
    <cfRule type="cellIs" dxfId="4" priority="941" operator="lessThan">
      <formula>0</formula>
    </cfRule>
  </conditionalFormatting>
  <conditionalFormatting sqref="AU259 AU261">
    <cfRule type="cellIs" dxfId="4" priority="940" operator="lessThan">
      <formula>0</formula>
    </cfRule>
  </conditionalFormatting>
  <conditionalFormatting sqref="AV259 AV261">
    <cfRule type="cellIs" dxfId="4" priority="939" operator="lessThan">
      <formula>0</formula>
    </cfRule>
  </conditionalFormatting>
  <conditionalFormatting sqref="AW259 AW261">
    <cfRule type="cellIs" dxfId="4" priority="938" operator="lessThan">
      <formula>0</formula>
    </cfRule>
  </conditionalFormatting>
  <conditionalFormatting sqref="AX259 AX261">
    <cfRule type="cellIs" dxfId="4" priority="937" operator="lessThan">
      <formula>0</formula>
    </cfRule>
  </conditionalFormatting>
  <conditionalFormatting sqref="AY259:BA259 AY261:BA261">
    <cfRule type="cellIs" dxfId="4" priority="499" operator="lessThan">
      <formula>0</formula>
    </cfRule>
  </conditionalFormatting>
  <conditionalFormatting sqref="AO260 AP260:BC260">
    <cfRule type="cellIs" dxfId="4" priority="398" operator="lessThan">
      <formula>0</formula>
    </cfRule>
  </conditionalFormatting>
  <conditionalFormatting sqref="BA262:BA266 BA268:BA269 BA271">
    <cfRule type="cellIs" dxfId="4" priority="578" operator="lessThan">
      <formula>0</formula>
    </cfRule>
  </conditionalFormatting>
  <conditionalFormatting sqref="S267 AJ267:AN267 BC267">
    <cfRule type="cellIs" dxfId="4" priority="613" operator="lessThan">
      <formula>0</formula>
    </cfRule>
    <cfRule type="cellIs" dxfId="5" priority="614" operator="lessThan">
      <formula>0</formula>
    </cfRule>
  </conditionalFormatting>
  <conditionalFormatting sqref="S269 S271">
    <cfRule type="cellIs" dxfId="4" priority="618" operator="lessThan">
      <formula>0</formula>
    </cfRule>
  </conditionalFormatting>
  <conditionalFormatting sqref="T269:Z271 AA270:AG270">
    <cfRule type="cellIs" dxfId="4" priority="143" operator="lessThan">
      <formula>0</formula>
    </cfRule>
  </conditionalFormatting>
  <conditionalFormatting sqref="AA269:AE269 AA271:AE271">
    <cfRule type="cellIs" dxfId="4" priority="144" operator="lessThan">
      <formula>0</formula>
    </cfRule>
  </conditionalFormatting>
  <conditionalFormatting sqref="AF269:AG269 AF271:AG271">
    <cfRule type="cellIs" dxfId="4" priority="147" operator="lessThan">
      <formula>0</formula>
    </cfRule>
  </conditionalFormatting>
  <conditionalFormatting sqref="AO269 AO271">
    <cfRule type="cellIs" dxfId="4" priority="610" operator="lessThan">
      <formula>0</formula>
    </cfRule>
  </conditionalFormatting>
  <conditionalFormatting sqref="AP269 AP271">
    <cfRule type="cellIs" dxfId="4" priority="609" operator="lessThan">
      <formula>0</formula>
    </cfRule>
  </conditionalFormatting>
  <conditionalFormatting sqref="AQ269 AQ271">
    <cfRule type="cellIs" dxfId="4" priority="608" operator="lessThan">
      <formula>0</formula>
    </cfRule>
  </conditionalFormatting>
  <conditionalFormatting sqref="AR269 AR271">
    <cfRule type="cellIs" dxfId="4" priority="607" operator="lessThan">
      <formula>0</formula>
    </cfRule>
  </conditionalFormatting>
  <conditionalFormatting sqref="AS269 AS271">
    <cfRule type="cellIs" dxfId="4" priority="606" operator="lessThan">
      <formula>0</formula>
    </cfRule>
  </conditionalFormatting>
  <conditionalFormatting sqref="AT269 AT271">
    <cfRule type="cellIs" dxfId="4" priority="605" operator="lessThan">
      <formula>0</formula>
    </cfRule>
  </conditionalFormatting>
  <conditionalFormatting sqref="AU269 AU271">
    <cfRule type="cellIs" dxfId="4" priority="604" operator="lessThan">
      <formula>0</formula>
    </cfRule>
  </conditionalFormatting>
  <conditionalFormatting sqref="AV269 AV271">
    <cfRule type="cellIs" dxfId="4" priority="603" operator="lessThan">
      <formula>0</formula>
    </cfRule>
  </conditionalFormatting>
  <conditionalFormatting sqref="AW269 AW271">
    <cfRule type="cellIs" dxfId="4" priority="602" operator="lessThan">
      <formula>0</formula>
    </cfRule>
  </conditionalFormatting>
  <conditionalFormatting sqref="AX269 AX271">
    <cfRule type="cellIs" dxfId="4" priority="601" operator="lessThan">
      <formula>0</formula>
    </cfRule>
  </conditionalFormatting>
  <conditionalFormatting sqref="AY269 AY271">
    <cfRule type="cellIs" dxfId="4" priority="572" operator="lessThan">
      <formula>0</formula>
    </cfRule>
  </conditionalFormatting>
  <conditionalFormatting sqref="AZ269 AZ271">
    <cfRule type="cellIs" dxfId="4" priority="617" operator="lessThan">
      <formula>0</formula>
    </cfRule>
  </conditionalFormatting>
  <conditionalFormatting sqref="AO270 AP270:BC270">
    <cfRule type="cellIs" dxfId="4" priority="399" operator="lessThan">
      <formula>0</formula>
    </cfRule>
  </conditionalFormatting>
  <conditionalFormatting sqref="BA272:BA276 BA278:BA281">
    <cfRule type="cellIs" dxfId="4" priority="1334" operator="lessThan">
      <formula>0</formula>
    </cfRule>
  </conditionalFormatting>
  <conditionalFormatting sqref="BB272:BB276 BB278:BB281">
    <cfRule type="cellIs" dxfId="4" priority="1337" operator="lessThan">
      <formula>0</formula>
    </cfRule>
  </conditionalFormatting>
  <conditionalFormatting sqref="S277 AJ277:AN277 BC277">
    <cfRule type="cellIs" dxfId="4" priority="1633" operator="lessThan">
      <formula>0</formula>
    </cfRule>
    <cfRule type="cellIs" dxfId="5" priority="1634" operator="lessThan">
      <formula>0</formula>
    </cfRule>
  </conditionalFormatting>
  <conditionalFormatting sqref="T279:Z281 AA280:AG280">
    <cfRule type="cellIs" dxfId="4" priority="136" operator="lessThan">
      <formula>0</formula>
    </cfRule>
  </conditionalFormatting>
  <conditionalFormatting sqref="AA279:AE279 AA281:AE281">
    <cfRule type="cellIs" dxfId="4" priority="137" operator="lessThan">
      <formula>0</formula>
    </cfRule>
  </conditionalFormatting>
  <conditionalFormatting sqref="AF279:AG279 AF281:AG281">
    <cfRule type="cellIs" dxfId="4" priority="140" operator="lessThan">
      <formula>0</formula>
    </cfRule>
  </conditionalFormatting>
  <conditionalFormatting sqref="BA282:BA286 BA288:BA289 BA291">
    <cfRule type="cellIs" dxfId="4" priority="1328" operator="lessThan">
      <formula>0</formula>
    </cfRule>
  </conditionalFormatting>
  <conditionalFormatting sqref="S287 AJ287:AN287 BC287">
    <cfRule type="cellIs" dxfId="4" priority="1631" operator="lessThan">
      <formula>0</formula>
    </cfRule>
    <cfRule type="cellIs" dxfId="5" priority="1632" operator="lessThan">
      <formula>0</formula>
    </cfRule>
  </conditionalFormatting>
  <conditionalFormatting sqref="T289:Z291 AA290:AG290">
    <cfRule type="cellIs" dxfId="4" priority="129" operator="lessThan">
      <formula>0</formula>
    </cfRule>
  </conditionalFormatting>
  <conditionalFormatting sqref="AA289:AE289 AA291:AE291">
    <cfRule type="cellIs" dxfId="4" priority="130" operator="lessThan">
      <formula>0</formula>
    </cfRule>
  </conditionalFormatting>
  <conditionalFormatting sqref="AF289:AG289 AF291:AG291">
    <cfRule type="cellIs" dxfId="4" priority="133" operator="lessThan">
      <formula>0</formula>
    </cfRule>
  </conditionalFormatting>
  <conditionalFormatting sqref="AY289 AY291">
    <cfRule type="cellIs" dxfId="4" priority="1151" operator="lessThan">
      <formula>0</formula>
    </cfRule>
  </conditionalFormatting>
  <conditionalFormatting sqref="AO290 AP290:BC290">
    <cfRule type="cellIs" dxfId="4" priority="397" operator="lessThan">
      <formula>0</formula>
    </cfRule>
  </conditionalFormatting>
  <conditionalFormatting sqref="BA292:BA296 BA298:BA299 BA301">
    <cfRule type="cellIs" dxfId="4" priority="1331" operator="lessThan">
      <formula>0</formula>
    </cfRule>
  </conditionalFormatting>
  <conditionalFormatting sqref="S297 AJ297:AN297 BC297">
    <cfRule type="cellIs" dxfId="4" priority="1629" operator="lessThan">
      <formula>0</formula>
    </cfRule>
    <cfRule type="cellIs" dxfId="5" priority="1630" operator="lessThan">
      <formula>0</formula>
    </cfRule>
  </conditionalFormatting>
  <conditionalFormatting sqref="T299:Z301 AA300:AG300">
    <cfRule type="cellIs" dxfId="4" priority="122" operator="lessThan">
      <formula>0</formula>
    </cfRule>
  </conditionalFormatting>
  <conditionalFormatting sqref="AA299:AE299 AA301:AE301">
    <cfRule type="cellIs" dxfId="4" priority="123" operator="lessThan">
      <formula>0</formula>
    </cfRule>
  </conditionalFormatting>
  <conditionalFormatting sqref="AF299:AG299 AF301:AG301">
    <cfRule type="cellIs" dxfId="4" priority="126" operator="lessThan">
      <formula>0</formula>
    </cfRule>
  </conditionalFormatting>
  <conditionalFormatting sqref="AO300 AP300:BC300">
    <cfRule type="cellIs" dxfId="4" priority="396" operator="lessThan">
      <formula>0</formula>
    </cfRule>
  </conditionalFormatting>
  <conditionalFormatting sqref="BA302:BA306 BA308:BA309 BA311">
    <cfRule type="cellIs" dxfId="4" priority="1325" operator="lessThan">
      <formula>0</formula>
    </cfRule>
  </conditionalFormatting>
  <conditionalFormatting sqref="S307 AJ307:AN307 BC307">
    <cfRule type="cellIs" dxfId="4" priority="1627" operator="lessThan">
      <formula>0</formula>
    </cfRule>
    <cfRule type="cellIs" dxfId="5" priority="1628" operator="lessThan">
      <formula>0</formula>
    </cfRule>
  </conditionalFormatting>
  <conditionalFormatting sqref="S309 S311">
    <cfRule type="cellIs" dxfId="4" priority="2374" operator="lessThan">
      <formula>0</formula>
    </cfRule>
  </conditionalFormatting>
  <conditionalFormatting sqref="T309:Z311 AA310:AG310">
    <cfRule type="cellIs" dxfId="4" priority="115" operator="lessThan">
      <formula>0</formula>
    </cfRule>
  </conditionalFormatting>
  <conditionalFormatting sqref="AA309:AE309 AA311:AE311">
    <cfRule type="cellIs" dxfId="4" priority="116" operator="lessThan">
      <formula>0</formula>
    </cfRule>
  </conditionalFormatting>
  <conditionalFormatting sqref="AF309:AG309 AF311:AG311">
    <cfRule type="cellIs" dxfId="4" priority="119" operator="lessThan">
      <formula>0</formula>
    </cfRule>
  </conditionalFormatting>
  <conditionalFormatting sqref="AO310 AP310:BC310">
    <cfRule type="cellIs" dxfId="4" priority="395" operator="lessThan">
      <formula>0</formula>
    </cfRule>
  </conditionalFormatting>
  <conditionalFormatting sqref="BA312:BA316 BA318:BA319 BA321">
    <cfRule type="cellIs" dxfId="4" priority="1322" operator="lessThan">
      <formula>0</formula>
    </cfRule>
  </conditionalFormatting>
  <conditionalFormatting sqref="S317 AJ317:AN317 BB317:BC317">
    <cfRule type="cellIs" dxfId="4" priority="1625" operator="lessThan">
      <formula>0</formula>
    </cfRule>
    <cfRule type="cellIs" dxfId="5" priority="1626" operator="lessThan">
      <formula>0</formula>
    </cfRule>
  </conditionalFormatting>
  <conditionalFormatting sqref="T319:Z321 AA320:AG320">
    <cfRule type="cellIs" dxfId="4" priority="108" operator="lessThan">
      <formula>0</formula>
    </cfRule>
  </conditionalFormatting>
  <conditionalFormatting sqref="AA319:AE319 AA321:AE321">
    <cfRule type="cellIs" dxfId="4" priority="109" operator="lessThan">
      <formula>0</formula>
    </cfRule>
  </conditionalFormatting>
  <conditionalFormatting sqref="AF319:AG319 AF321:AG321">
    <cfRule type="cellIs" dxfId="4" priority="112" operator="lessThan">
      <formula>0</formula>
    </cfRule>
  </conditionalFormatting>
  <conditionalFormatting sqref="AO320 AP320:BC320">
    <cfRule type="cellIs" dxfId="4" priority="394" operator="lessThan">
      <formula>0</formula>
    </cfRule>
  </conditionalFormatting>
  <conditionalFormatting sqref="S327 AJ327:AN327 BA327 BC327">
    <cfRule type="cellIs" dxfId="4" priority="1623" operator="lessThan">
      <formula>0</formula>
    </cfRule>
    <cfRule type="cellIs" dxfId="5" priority="1624" operator="lessThan">
      <formula>0</formula>
    </cfRule>
  </conditionalFormatting>
  <conditionalFormatting sqref="BA328:BA329 BA331 BA358:BA359 BA361 BC348:BC349 BC351 BC358:BC359 BC361">
    <cfRule type="cellIs" dxfId="4" priority="2398" operator="lessThan">
      <formula>0</formula>
    </cfRule>
  </conditionalFormatting>
  <conditionalFormatting sqref="T329:Z331 AA330:AG330">
    <cfRule type="cellIs" dxfId="4" priority="101" operator="lessThan">
      <formula>0</formula>
    </cfRule>
  </conditionalFormatting>
  <conditionalFormatting sqref="AA329:AE329 AA331:AE331">
    <cfRule type="cellIs" dxfId="4" priority="102" operator="lessThan">
      <formula>0</formula>
    </cfRule>
  </conditionalFormatting>
  <conditionalFormatting sqref="AF329:AG329 AF331:AG331">
    <cfRule type="cellIs" dxfId="4" priority="105" operator="lessThan">
      <formula>0</formula>
    </cfRule>
  </conditionalFormatting>
  <conditionalFormatting sqref="AO330 AP330:BC330">
    <cfRule type="cellIs" dxfId="4" priority="393" operator="lessThan">
      <formula>0</formula>
    </cfRule>
  </conditionalFormatting>
  <conditionalFormatting sqref="BA332:BA336 BA338:BA339 BA341">
    <cfRule type="cellIs" dxfId="4" priority="1319" operator="lessThan">
      <formula>0</formula>
    </cfRule>
  </conditionalFormatting>
  <conditionalFormatting sqref="S337 AJ337:AN337 BC337">
    <cfRule type="cellIs" dxfId="4" priority="1621" operator="lessThan">
      <formula>0</formula>
    </cfRule>
    <cfRule type="cellIs" dxfId="5" priority="1622" operator="lessThan">
      <formula>0</formula>
    </cfRule>
  </conditionalFormatting>
  <conditionalFormatting sqref="T339:Z341 AA340:AG340">
    <cfRule type="cellIs" dxfId="4" priority="94" operator="lessThan">
      <formula>0</formula>
    </cfRule>
  </conditionalFormatting>
  <conditionalFormatting sqref="AA339:AE339 AA341:AE341">
    <cfRule type="cellIs" dxfId="4" priority="95" operator="lessThan">
      <formula>0</formula>
    </cfRule>
  </conditionalFormatting>
  <conditionalFormatting sqref="AF339:AG339 AF341:AG341">
    <cfRule type="cellIs" dxfId="4" priority="98" operator="lessThan">
      <formula>0</formula>
    </cfRule>
  </conditionalFormatting>
  <conditionalFormatting sqref="AY339 AY341">
    <cfRule type="cellIs" dxfId="4" priority="1179" operator="lessThan">
      <formula>0</formula>
    </cfRule>
  </conditionalFormatting>
  <conditionalFormatting sqref="AO340 AP340:BC340">
    <cfRule type="cellIs" dxfId="4" priority="392" operator="lessThan">
      <formula>0</formula>
    </cfRule>
  </conditionalFormatting>
  <conditionalFormatting sqref="BA342:BA346 BA348:BA349 BA351">
    <cfRule type="cellIs" dxfId="4" priority="1316" operator="lessThan">
      <formula>0</formula>
    </cfRule>
  </conditionalFormatting>
  <conditionalFormatting sqref="S347 BB347:BC347">
    <cfRule type="cellIs" dxfId="4" priority="1619" operator="lessThan">
      <formula>0</formula>
    </cfRule>
    <cfRule type="cellIs" dxfId="5" priority="1620" operator="lessThan">
      <formula>0</formula>
    </cfRule>
  </conditionalFormatting>
  <conditionalFormatting sqref="AY347 AY357 AY367 AY377 AY387 AY397 AY407 AY417 AY427 AY437">
    <cfRule type="cellIs" dxfId="4" priority="1174" operator="lessThan">
      <formula>0</formula>
    </cfRule>
    <cfRule type="cellIs" dxfId="5" priority="1175" operator="lessThan">
      <formula>0</formula>
    </cfRule>
  </conditionalFormatting>
  <conditionalFormatting sqref="T349:Z351 AA350:AG350">
    <cfRule type="cellIs" dxfId="4" priority="87" operator="lessThan">
      <formula>0</formula>
    </cfRule>
  </conditionalFormatting>
  <conditionalFormatting sqref="AA349:AE349 AA351:AE351">
    <cfRule type="cellIs" dxfId="4" priority="88" operator="lessThan">
      <formula>0</formula>
    </cfRule>
  </conditionalFormatting>
  <conditionalFormatting sqref="AF349:AG349 AF351:AG351">
    <cfRule type="cellIs" dxfId="4" priority="91" operator="lessThan">
      <formula>0</formula>
    </cfRule>
  </conditionalFormatting>
  <conditionalFormatting sqref="AY349 AY351">
    <cfRule type="cellIs" dxfId="4" priority="1152" operator="lessThan">
      <formula>0</formula>
    </cfRule>
  </conditionalFormatting>
  <conditionalFormatting sqref="AO350 AP350:BC350">
    <cfRule type="cellIs" dxfId="4" priority="391" operator="lessThan">
      <formula>0</formula>
    </cfRule>
  </conditionalFormatting>
  <conditionalFormatting sqref="S357 AJ357:AN357 BA357">
    <cfRule type="cellIs" dxfId="4" priority="1617" operator="lessThan">
      <formula>0</formula>
    </cfRule>
    <cfRule type="cellIs" dxfId="5" priority="1618" operator="lessThan">
      <formula>0</formula>
    </cfRule>
  </conditionalFormatting>
  <conditionalFormatting sqref="T359:Z361 AA360:AG360">
    <cfRule type="cellIs" dxfId="4" priority="80" operator="lessThan">
      <formula>0</formula>
    </cfRule>
  </conditionalFormatting>
  <conditionalFormatting sqref="AA359:AE359 AA361:AE361">
    <cfRule type="cellIs" dxfId="4" priority="81" operator="lessThan">
      <formula>0</formula>
    </cfRule>
  </conditionalFormatting>
  <conditionalFormatting sqref="AF359:AG359 AF361:AG361">
    <cfRule type="cellIs" dxfId="4" priority="84" operator="lessThan">
      <formula>0</formula>
    </cfRule>
  </conditionalFormatting>
  <conditionalFormatting sqref="AY359 AY361">
    <cfRule type="cellIs" dxfId="4" priority="1153" operator="lessThan">
      <formula>0</formula>
    </cfRule>
  </conditionalFormatting>
  <conditionalFormatting sqref="AO360 AP360:BC360">
    <cfRule type="cellIs" dxfId="4" priority="390" operator="lessThan">
      <formula>0</formula>
    </cfRule>
  </conditionalFormatting>
  <conditionalFormatting sqref="S367 AJ367:AN367 BA367 BC367">
    <cfRule type="cellIs" dxfId="4" priority="1615" operator="lessThan">
      <formula>0</formula>
    </cfRule>
    <cfRule type="cellIs" dxfId="5" priority="1616" operator="lessThan">
      <formula>0</formula>
    </cfRule>
  </conditionalFormatting>
  <conditionalFormatting sqref="BA368:BA369 BA371">
    <cfRule type="cellIs" dxfId="4" priority="2286" operator="lessThan">
      <formula>0</formula>
    </cfRule>
  </conditionalFormatting>
  <conditionalFormatting sqref="T369:Z371 AA370:AG370">
    <cfRule type="cellIs" dxfId="4" priority="73" operator="lessThan">
      <formula>0</formula>
    </cfRule>
  </conditionalFormatting>
  <conditionalFormatting sqref="AA369:AE369 AA371:AE371">
    <cfRule type="cellIs" dxfId="4" priority="74" operator="lessThan">
      <formula>0</formula>
    </cfRule>
  </conditionalFormatting>
  <conditionalFormatting sqref="AF369:AG369 AF371:AG371">
    <cfRule type="cellIs" dxfId="4" priority="77" operator="lessThan">
      <formula>0</formula>
    </cfRule>
  </conditionalFormatting>
  <conditionalFormatting sqref="AY369 AY371">
    <cfRule type="cellIs" dxfId="4" priority="1154" operator="lessThan">
      <formula>0</formula>
    </cfRule>
  </conditionalFormatting>
  <conditionalFormatting sqref="AO370 AP370:BC370">
    <cfRule type="cellIs" dxfId="4" priority="389" operator="lessThan">
      <formula>0</formula>
    </cfRule>
  </conditionalFormatting>
  <conditionalFormatting sqref="S377 AJ377:AN377 BA377 BC377">
    <cfRule type="cellIs" dxfId="4" priority="1613" operator="lessThan">
      <formula>0</formula>
    </cfRule>
    <cfRule type="cellIs" dxfId="5" priority="1614" operator="lessThan">
      <formula>0</formula>
    </cfRule>
  </conditionalFormatting>
  <conditionalFormatting sqref="T379:Z381 AA380:AG380">
    <cfRule type="cellIs" dxfId="4" priority="66" operator="lessThan">
      <formula>0</formula>
    </cfRule>
  </conditionalFormatting>
  <conditionalFormatting sqref="AA379:AE379 AA381:AE381">
    <cfRule type="cellIs" dxfId="4" priority="67" operator="lessThan">
      <formula>0</formula>
    </cfRule>
  </conditionalFormatting>
  <conditionalFormatting sqref="AF379:AG379 AF381:AG381">
    <cfRule type="cellIs" dxfId="4" priority="70" operator="lessThan">
      <formula>0</formula>
    </cfRule>
  </conditionalFormatting>
  <conditionalFormatting sqref="AY379 AY381">
    <cfRule type="cellIs" dxfId="4" priority="1155" operator="lessThan">
      <formula>0</formula>
    </cfRule>
  </conditionalFormatting>
  <conditionalFormatting sqref="BA379 BA381">
    <cfRule type="cellIs" dxfId="4" priority="1718" operator="lessThan">
      <formula>0</formula>
    </cfRule>
  </conditionalFormatting>
  <conditionalFormatting sqref="AO380 AP380:BC380">
    <cfRule type="cellIs" dxfId="4" priority="388" operator="lessThan">
      <formula>0</formula>
    </cfRule>
  </conditionalFormatting>
  <conditionalFormatting sqref="S387 AJ387:AN387 BA387 BC387">
    <cfRule type="cellIs" dxfId="4" priority="1611" operator="lessThan">
      <formula>0</formula>
    </cfRule>
    <cfRule type="cellIs" dxfId="5" priority="1612" operator="lessThan">
      <formula>0</formula>
    </cfRule>
  </conditionalFormatting>
  <conditionalFormatting sqref="BA388:BA389 BA391">
    <cfRule type="cellIs" dxfId="4" priority="2050" operator="lessThan">
      <formula>0</formula>
    </cfRule>
  </conditionalFormatting>
  <conditionalFormatting sqref="T389:Z391 AA390:AG390">
    <cfRule type="cellIs" dxfId="4" priority="59" operator="lessThan">
      <formula>0</formula>
    </cfRule>
  </conditionalFormatting>
  <conditionalFormatting sqref="AA389:AE389 AA391:AE391">
    <cfRule type="cellIs" dxfId="4" priority="60" operator="lessThan">
      <formula>0</formula>
    </cfRule>
  </conditionalFormatting>
  <conditionalFormatting sqref="AF389:AG389 AF391:AG391">
    <cfRule type="cellIs" dxfId="4" priority="63" operator="lessThan">
      <formula>0</formula>
    </cfRule>
  </conditionalFormatting>
  <conditionalFormatting sqref="AY389 AY391">
    <cfRule type="cellIs" dxfId="4" priority="1156" operator="lessThan">
      <formula>0</formula>
    </cfRule>
  </conditionalFormatting>
  <conditionalFormatting sqref="AO390 AP390:BC390">
    <cfRule type="cellIs" dxfId="4" priority="387" operator="lessThan">
      <formula>0</formula>
    </cfRule>
  </conditionalFormatting>
  <conditionalFormatting sqref="S397 AJ397:AN397 BA397 BC397">
    <cfRule type="cellIs" dxfId="4" priority="1609" operator="lessThan">
      <formula>0</formula>
    </cfRule>
    <cfRule type="cellIs" dxfId="5" priority="1610" operator="lessThan">
      <formula>0</formula>
    </cfRule>
  </conditionalFormatting>
  <conditionalFormatting sqref="BA398:BA399 BA401">
    <cfRule type="cellIs" dxfId="4" priority="1979" operator="lessThan">
      <formula>0</formula>
    </cfRule>
  </conditionalFormatting>
  <conditionalFormatting sqref="T399:Z401 AA400:AG400">
    <cfRule type="cellIs" dxfId="4" priority="52" operator="lessThan">
      <formula>0</formula>
    </cfRule>
  </conditionalFormatting>
  <conditionalFormatting sqref="AA399:AE399 AA401:AE401">
    <cfRule type="cellIs" dxfId="4" priority="53" operator="lessThan">
      <formula>0</formula>
    </cfRule>
  </conditionalFormatting>
  <conditionalFormatting sqref="AF399:AG399 AF401:AG401">
    <cfRule type="cellIs" dxfId="4" priority="56" operator="lessThan">
      <formula>0</formula>
    </cfRule>
  </conditionalFormatting>
  <conditionalFormatting sqref="AY399 AY401">
    <cfRule type="cellIs" dxfId="4" priority="1157" operator="lessThan">
      <formula>0</formula>
    </cfRule>
  </conditionalFormatting>
  <conditionalFormatting sqref="AO400 AP400:BC400">
    <cfRule type="cellIs" dxfId="4" priority="386" operator="lessThan">
      <formula>0</formula>
    </cfRule>
  </conditionalFormatting>
  <conditionalFormatting sqref="S407 AJ407:AN407 BA407 BC407">
    <cfRule type="cellIs" dxfId="4" priority="1607" operator="lessThan">
      <formula>0</formula>
    </cfRule>
    <cfRule type="cellIs" dxfId="5" priority="1608" operator="lessThan">
      <formula>0</formula>
    </cfRule>
  </conditionalFormatting>
  <conditionalFormatting sqref="BA408:BA409 BA411">
    <cfRule type="cellIs" dxfId="4" priority="1968" operator="lessThan">
      <formula>0</formula>
    </cfRule>
  </conditionalFormatting>
  <conditionalFormatting sqref="T409:Z411 AA410:AG410">
    <cfRule type="cellIs" dxfId="4" priority="45" operator="lessThan">
      <formula>0</formula>
    </cfRule>
  </conditionalFormatting>
  <conditionalFormatting sqref="AA409:AE409 AA411:AE411">
    <cfRule type="cellIs" dxfId="4" priority="46" operator="lessThan">
      <formula>0</formula>
    </cfRule>
  </conditionalFormatting>
  <conditionalFormatting sqref="AF409:AG409 AF411:AG411">
    <cfRule type="cellIs" dxfId="4" priority="49" operator="lessThan">
      <formula>0</formula>
    </cfRule>
  </conditionalFormatting>
  <conditionalFormatting sqref="AY409 AY411">
    <cfRule type="cellIs" dxfId="4" priority="1158" operator="lessThan">
      <formula>0</formula>
    </cfRule>
  </conditionalFormatting>
  <conditionalFormatting sqref="AO410 AP410:BC410">
    <cfRule type="cellIs" dxfId="4" priority="385" operator="lessThan">
      <formula>0</formula>
    </cfRule>
  </conditionalFormatting>
  <conditionalFormatting sqref="S417 AJ417:AN417 BA417 BC417">
    <cfRule type="cellIs" dxfId="4" priority="1605" operator="lessThan">
      <formula>0</formula>
    </cfRule>
    <cfRule type="cellIs" dxfId="5" priority="1606" operator="lessThan">
      <formula>0</formula>
    </cfRule>
  </conditionalFormatting>
  <conditionalFormatting sqref="BA418:BA419 BA421">
    <cfRule type="cellIs" dxfId="4" priority="1802" operator="lessThan">
      <formula>0</formula>
    </cfRule>
  </conditionalFormatting>
  <conditionalFormatting sqref="T419:Z421 AA420:AG420">
    <cfRule type="cellIs" dxfId="4" priority="38" operator="lessThan">
      <formula>0</formula>
    </cfRule>
  </conditionalFormatting>
  <conditionalFormatting sqref="AA419:AE419 AA421:AE421">
    <cfRule type="cellIs" dxfId="4" priority="39" operator="lessThan">
      <formula>0</formula>
    </cfRule>
  </conditionalFormatting>
  <conditionalFormatting sqref="AF419:AG419 AF421:AG421">
    <cfRule type="cellIs" dxfId="4" priority="42" operator="lessThan">
      <formula>0</formula>
    </cfRule>
  </conditionalFormatting>
  <conditionalFormatting sqref="AY419 AY421">
    <cfRule type="cellIs" dxfId="4" priority="1159" operator="lessThan">
      <formula>0</formula>
    </cfRule>
  </conditionalFormatting>
  <conditionalFormatting sqref="AO420 AP420:BC420">
    <cfRule type="cellIs" dxfId="4" priority="384" operator="lessThan">
      <formula>0</formula>
    </cfRule>
  </conditionalFormatting>
  <conditionalFormatting sqref="S427 AJ427:AN427 BA427 BC427">
    <cfRule type="cellIs" dxfId="4" priority="1603" operator="lessThan">
      <formula>0</formula>
    </cfRule>
    <cfRule type="cellIs" dxfId="5" priority="1604" operator="lessThan">
      <formula>0</formula>
    </cfRule>
  </conditionalFormatting>
  <conditionalFormatting sqref="S429 S431">
    <cfRule type="cellIs" dxfId="4" priority="1687" operator="lessThan">
      <formula>0</formula>
    </cfRule>
  </conditionalFormatting>
  <conditionalFormatting sqref="T429:Z431 AA430:AG430">
    <cfRule type="cellIs" dxfId="4" priority="31" operator="lessThan">
      <formula>0</formula>
    </cfRule>
  </conditionalFormatting>
  <conditionalFormatting sqref="AA429:AE429 AA431:AE431">
    <cfRule type="cellIs" dxfId="4" priority="32" operator="lessThan">
      <formula>0</formula>
    </cfRule>
  </conditionalFormatting>
  <conditionalFormatting sqref="AF429:AG429 AF431:AG431">
    <cfRule type="cellIs" dxfId="4" priority="35" operator="lessThan">
      <formula>0</formula>
    </cfRule>
  </conditionalFormatting>
  <conditionalFormatting sqref="AY429 AY431">
    <cfRule type="cellIs" dxfId="4" priority="1146" operator="lessThan">
      <formula>0</formula>
    </cfRule>
  </conditionalFormatting>
  <conditionalFormatting sqref="AO430 AP430:BC430">
    <cfRule type="cellIs" dxfId="4" priority="383" operator="lessThan">
      <formula>0</formula>
    </cfRule>
  </conditionalFormatting>
  <conditionalFormatting sqref="S437 AJ437:AN437 BA437 BC437">
    <cfRule type="cellIs" dxfId="4" priority="1601" operator="lessThan">
      <formula>0</formula>
    </cfRule>
    <cfRule type="cellIs" dxfId="5" priority="1602" operator="lessThan">
      <formula>0</formula>
    </cfRule>
  </conditionalFormatting>
  <conditionalFormatting sqref="BA438:BA439 BA441">
    <cfRule type="cellIs" dxfId="4" priority="1681" operator="lessThan">
      <formula>0</formula>
    </cfRule>
  </conditionalFormatting>
  <conditionalFormatting sqref="S439 S441">
    <cfRule type="cellIs" dxfId="4" priority="1670" operator="lessThan">
      <formula>0</formula>
    </cfRule>
  </conditionalFormatting>
  <conditionalFormatting sqref="T439:Z441 AA440:AG440">
    <cfRule type="cellIs" dxfId="4" priority="24" operator="lessThan">
      <formula>0</formula>
    </cfRule>
  </conditionalFormatting>
  <conditionalFormatting sqref="AA439:AE439 AA441:AE441">
    <cfRule type="cellIs" dxfId="4" priority="25" operator="lessThan">
      <formula>0</formula>
    </cfRule>
  </conditionalFormatting>
  <conditionalFormatting sqref="AF439:AG439 AF441:AG441">
    <cfRule type="cellIs" dxfId="4" priority="28" operator="lessThan">
      <formula>0</formula>
    </cfRule>
  </conditionalFormatting>
  <conditionalFormatting sqref="AY439 AY441">
    <cfRule type="cellIs" dxfId="4" priority="1161" operator="lessThan">
      <formula>0</formula>
    </cfRule>
  </conditionalFormatting>
  <conditionalFormatting sqref="AO440 AP440:BC440">
    <cfRule type="cellIs" dxfId="4" priority="382" operator="lessThan">
      <formula>0</formula>
    </cfRule>
  </conditionalFormatting>
  <conditionalFormatting sqref="AJ447:AN447 BA447 BC447">
    <cfRule type="cellIs" dxfId="4" priority="1284" operator="lessThan">
      <formula>0</formula>
    </cfRule>
    <cfRule type="cellIs" dxfId="5" priority="1285" operator="lessThan">
      <formula>0</formula>
    </cfRule>
  </conditionalFormatting>
  <conditionalFormatting sqref="BA448:BA449 BA451">
    <cfRule type="cellIs" dxfId="4" priority="1247" operator="lessThan">
      <formula>0</formula>
    </cfRule>
  </conditionalFormatting>
  <conditionalFormatting sqref="S449 S451">
    <cfRule type="cellIs" dxfId="4" priority="970" operator="lessThan">
      <formula>0</formula>
    </cfRule>
  </conditionalFormatting>
  <conditionalFormatting sqref="T449:Z451 AA450:AG450">
    <cfRule type="cellIs" dxfId="4" priority="17" operator="lessThan">
      <formula>0</formula>
    </cfRule>
  </conditionalFormatting>
  <conditionalFormatting sqref="AA449:AE449 AA451:AE451">
    <cfRule type="cellIs" dxfId="4" priority="18" operator="lessThan">
      <formula>0</formula>
    </cfRule>
  </conditionalFormatting>
  <conditionalFormatting sqref="AF449:AG449 AF451:AG451">
    <cfRule type="cellIs" dxfId="4" priority="21" operator="lessThan">
      <formula>0</formula>
    </cfRule>
  </conditionalFormatting>
  <conditionalFormatting sqref="AO449 AO451">
    <cfRule type="cellIs" dxfId="4" priority="1280" operator="lessThan">
      <formula>0</formula>
    </cfRule>
  </conditionalFormatting>
  <conditionalFormatting sqref="AP449 AP451">
    <cfRule type="cellIs" dxfId="4" priority="1279" operator="lessThan">
      <formula>0</formula>
    </cfRule>
  </conditionalFormatting>
  <conditionalFormatting sqref="AQ449 AQ451">
    <cfRule type="cellIs" dxfId="4" priority="1278" operator="lessThan">
      <formula>0</formula>
    </cfRule>
  </conditionalFormatting>
  <conditionalFormatting sqref="AR449 AR451">
    <cfRule type="cellIs" dxfId="4" priority="1277" operator="lessThan">
      <formula>0</formula>
    </cfRule>
  </conditionalFormatting>
  <conditionalFormatting sqref="AS449 AS451">
    <cfRule type="cellIs" dxfId="4" priority="1276" operator="lessThan">
      <formula>0</formula>
    </cfRule>
  </conditionalFormatting>
  <conditionalFormatting sqref="AT449 AT451">
    <cfRule type="cellIs" dxfId="4" priority="1275" operator="lessThan">
      <formula>0</formula>
    </cfRule>
  </conditionalFormatting>
  <conditionalFormatting sqref="AU449 AU451">
    <cfRule type="cellIs" dxfId="4" priority="1274" operator="lessThan">
      <formula>0</formula>
    </cfRule>
  </conditionalFormatting>
  <conditionalFormatting sqref="AV449 AV451">
    <cfRule type="cellIs" dxfId="4" priority="1273" operator="lessThan">
      <formula>0</formula>
    </cfRule>
  </conditionalFormatting>
  <conditionalFormatting sqref="AW449 AW451">
    <cfRule type="cellIs" dxfId="4" priority="1272" operator="lessThan">
      <formula>0</formula>
    </cfRule>
  </conditionalFormatting>
  <conditionalFormatting sqref="AX449 AX451">
    <cfRule type="cellIs" dxfId="4" priority="1271" operator="lessThan">
      <formula>0</formula>
    </cfRule>
  </conditionalFormatting>
  <conditionalFormatting sqref="AY449 AY451">
    <cfRule type="cellIs" dxfId="4" priority="1160" operator="lessThan">
      <formula>0</formula>
    </cfRule>
  </conditionalFormatting>
  <conditionalFormatting sqref="AZ449 AZ451">
    <cfRule type="cellIs" dxfId="4" priority="1289" operator="lessThan">
      <formula>0</formula>
    </cfRule>
  </conditionalFormatting>
  <conditionalFormatting sqref="AO450 AP450:BC450">
    <cfRule type="cellIs" dxfId="4" priority="381" operator="lessThan">
      <formula>0</formula>
    </cfRule>
  </conditionalFormatting>
  <conditionalFormatting sqref="AJ457:AN457 BA457 BC457">
    <cfRule type="cellIs" dxfId="4" priority="1012" operator="lessThan">
      <formula>0</formula>
    </cfRule>
    <cfRule type="cellIs" dxfId="5" priority="1013" operator="lessThan">
      <formula>0</formula>
    </cfRule>
  </conditionalFormatting>
  <conditionalFormatting sqref="BA458:BA459 BA461">
    <cfRule type="cellIs" dxfId="4" priority="978" operator="lessThan">
      <formula>0</formula>
    </cfRule>
  </conditionalFormatting>
  <conditionalFormatting sqref="S459 S461">
    <cfRule type="cellIs" dxfId="4" priority="967" operator="lessThan">
      <formula>0</formula>
    </cfRule>
  </conditionalFormatting>
  <conditionalFormatting sqref="T459:Z461 AA460:AG460">
    <cfRule type="cellIs" dxfId="4" priority="10" operator="lessThan">
      <formula>0</formula>
    </cfRule>
  </conditionalFormatting>
  <conditionalFormatting sqref="AA459:AE459 AA461:AE461">
    <cfRule type="cellIs" dxfId="4" priority="11" operator="lessThan">
      <formula>0</formula>
    </cfRule>
  </conditionalFormatting>
  <conditionalFormatting sqref="AF459:AG459 AF461:AG461">
    <cfRule type="cellIs" dxfId="4" priority="14" operator="lessThan">
      <formula>0</formula>
    </cfRule>
  </conditionalFormatting>
  <conditionalFormatting sqref="AO459 AO461">
    <cfRule type="cellIs" dxfId="4" priority="1008" operator="lessThan">
      <formula>0</formula>
    </cfRule>
  </conditionalFormatting>
  <conditionalFormatting sqref="AP459 AP461">
    <cfRule type="cellIs" dxfId="4" priority="1007" operator="lessThan">
      <formula>0</formula>
    </cfRule>
  </conditionalFormatting>
  <conditionalFormatting sqref="AQ459 AQ461">
    <cfRule type="cellIs" dxfId="4" priority="1006" operator="lessThan">
      <formula>0</formula>
    </cfRule>
  </conditionalFormatting>
  <conditionalFormatting sqref="AR459 AR461">
    <cfRule type="cellIs" dxfId="4" priority="1005" operator="lessThan">
      <formula>0</formula>
    </cfRule>
  </conditionalFormatting>
  <conditionalFormatting sqref="AS459 AS461">
    <cfRule type="cellIs" dxfId="4" priority="1004" operator="lessThan">
      <formula>0</formula>
    </cfRule>
  </conditionalFormatting>
  <conditionalFormatting sqref="AT459 AT461">
    <cfRule type="cellIs" dxfId="4" priority="1003" operator="lessThan">
      <formula>0</formula>
    </cfRule>
  </conditionalFormatting>
  <conditionalFormatting sqref="AU459 AU461">
    <cfRule type="cellIs" dxfId="4" priority="1002" operator="lessThan">
      <formula>0</formula>
    </cfRule>
  </conditionalFormatting>
  <conditionalFormatting sqref="AV459 AV461">
    <cfRule type="cellIs" dxfId="4" priority="1001" operator="lessThan">
      <formula>0</formula>
    </cfRule>
  </conditionalFormatting>
  <conditionalFormatting sqref="AW459 AW461">
    <cfRule type="cellIs" dxfId="4" priority="1000" operator="lessThan">
      <formula>0</formula>
    </cfRule>
  </conditionalFormatting>
  <conditionalFormatting sqref="AX459 AX461">
    <cfRule type="cellIs" dxfId="4" priority="999" operator="lessThan">
      <formula>0</formula>
    </cfRule>
  </conditionalFormatting>
  <conditionalFormatting sqref="AY459 AY461">
    <cfRule type="cellIs" dxfId="4" priority="974" operator="lessThan">
      <formula>0</formula>
    </cfRule>
  </conditionalFormatting>
  <conditionalFormatting sqref="AZ459 AZ461">
    <cfRule type="cellIs" dxfId="4" priority="1016" operator="lessThan">
      <formula>0</formula>
    </cfRule>
  </conditionalFormatting>
  <conditionalFormatting sqref="AO460 AP460:BC460">
    <cfRule type="cellIs" dxfId="4" priority="380" operator="lessThan">
      <formula>0</formula>
    </cfRule>
  </conditionalFormatting>
  <conditionalFormatting sqref="AJ467:AN467 BA467 BC467">
    <cfRule type="cellIs" dxfId="4" priority="1224" operator="lessThan">
      <formula>0</formula>
    </cfRule>
    <cfRule type="cellIs" dxfId="5" priority="1225" operator="lessThan">
      <formula>0</formula>
    </cfRule>
  </conditionalFormatting>
  <conditionalFormatting sqref="BA468:BA469 BA471">
    <cfRule type="cellIs" dxfId="4" priority="1187" operator="lessThan">
      <formula>0</formula>
    </cfRule>
  </conditionalFormatting>
  <conditionalFormatting sqref="S469 S471">
    <cfRule type="cellIs" dxfId="4" priority="964" operator="lessThan">
      <formula>0</formula>
    </cfRule>
  </conditionalFormatting>
  <conditionalFormatting sqref="T469:Z471 AA470:AG470">
    <cfRule type="cellIs" dxfId="4" priority="3" operator="lessThan">
      <formula>0</formula>
    </cfRule>
  </conditionalFormatting>
  <conditionalFormatting sqref="AA469:AE469 AA471:AE471">
    <cfRule type="cellIs" dxfId="4" priority="4" operator="lessThan">
      <formula>0</formula>
    </cfRule>
  </conditionalFormatting>
  <conditionalFormatting sqref="AF469:AG469 AF471:AG471">
    <cfRule type="cellIs" dxfId="4" priority="7" operator="lessThan">
      <formula>0</formula>
    </cfRule>
  </conditionalFormatting>
  <conditionalFormatting sqref="AO469 AO471">
    <cfRule type="cellIs" dxfId="4" priority="1220" operator="lessThan">
      <formula>0</formula>
    </cfRule>
  </conditionalFormatting>
  <conditionalFormatting sqref="AP469 AP471">
    <cfRule type="cellIs" dxfId="4" priority="1219" operator="lessThan">
      <formula>0</formula>
    </cfRule>
  </conditionalFormatting>
  <conditionalFormatting sqref="AQ469 AQ471">
    <cfRule type="cellIs" dxfId="4" priority="1218" operator="lessThan">
      <formula>0</formula>
    </cfRule>
  </conditionalFormatting>
  <conditionalFormatting sqref="AR469 AR471">
    <cfRule type="cellIs" dxfId="4" priority="1217" operator="lessThan">
      <formula>0</formula>
    </cfRule>
  </conditionalFormatting>
  <conditionalFormatting sqref="AS469 AS471">
    <cfRule type="cellIs" dxfId="4" priority="1216" operator="lessThan">
      <formula>0</formula>
    </cfRule>
  </conditionalFormatting>
  <conditionalFormatting sqref="AT469 AT471">
    <cfRule type="cellIs" dxfId="4" priority="1215" operator="lessThan">
      <formula>0</formula>
    </cfRule>
  </conditionalFormatting>
  <conditionalFormatting sqref="AU469 AU471">
    <cfRule type="cellIs" dxfId="4" priority="1214" operator="lessThan">
      <formula>0</formula>
    </cfRule>
  </conditionalFormatting>
  <conditionalFormatting sqref="AV469 AV471">
    <cfRule type="cellIs" dxfId="4" priority="1213" operator="lessThan">
      <formula>0</formula>
    </cfRule>
  </conditionalFormatting>
  <conditionalFormatting sqref="AW469 AW471">
    <cfRule type="cellIs" dxfId="4" priority="1212" operator="lessThan">
      <formula>0</formula>
    </cfRule>
  </conditionalFormatting>
  <conditionalFormatting sqref="AX469 AX471">
    <cfRule type="cellIs" dxfId="4" priority="1211" operator="lessThan">
      <formula>0</formula>
    </cfRule>
  </conditionalFormatting>
  <conditionalFormatting sqref="AZ469 AZ471">
    <cfRule type="cellIs" dxfId="4" priority="1228" operator="lessThan">
      <formula>0</formula>
    </cfRule>
  </conditionalFormatting>
  <conditionalFormatting sqref="AO470 AP470:BC470">
    <cfRule type="cellIs" dxfId="4" priority="379" operator="lessThan">
      <formula>0</formula>
    </cfRule>
  </conditionalFormatting>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H137"/>
  <sheetViews>
    <sheetView workbookViewId="0">
      <selection activeCell="T2" sqref="T2"/>
    </sheetView>
  </sheetViews>
  <sheetFormatPr defaultColWidth="8.66371681415929" defaultRowHeight="15"/>
  <cols>
    <col min="1" max="1" width="14.5840707964602" style="166" customWidth="1"/>
    <col min="2" max="2" width="16.5752212389381" style="166" customWidth="1"/>
    <col min="3" max="3" width="10.8938053097345" customWidth="1"/>
    <col min="4" max="4" width="11.6637168141593" customWidth="1"/>
    <col min="5" max="5" width="11.6637168141593" hidden="1" customWidth="1"/>
    <col min="6" max="6" width="11.6637168141593" customWidth="1"/>
    <col min="7" max="7" width="15.1061946902655" hidden="1" customWidth="1"/>
    <col min="8" max="13" width="15" hidden="1" customWidth="1"/>
    <col min="14" max="16" width="12.2212389380531" hidden="1" customWidth="1"/>
    <col min="17" max="17" width="14.5840707964602" style="3" customWidth="1"/>
    <col min="18" max="18" width="15.4424778761062" customWidth="1"/>
    <col min="19" max="19" width="17.2212389380531" customWidth="1"/>
    <col min="20" max="20" width="19" customWidth="1"/>
    <col min="21" max="21" width="17.8938053097345" customWidth="1"/>
    <col min="22" max="29" width="25" hidden="1" customWidth="1"/>
    <col min="30" max="31" width="20.7787610619469" hidden="1" customWidth="1"/>
    <col min="32" max="32" width="19.1061946902655" customWidth="1"/>
    <col min="33" max="33" width="17.7787610619469" hidden="1" customWidth="1"/>
    <col min="34" max="34" width="16.3362831858407" style="5" customWidth="1"/>
    <col min="35" max="35" width="18.2212389380531" style="5" customWidth="1"/>
    <col min="36" max="36" width="15.6902654867257" style="5" customWidth="1"/>
    <col min="37" max="37" width="26.8938053097345" customWidth="1"/>
    <col min="38" max="38" width="23" customWidth="1"/>
    <col min="39" max="39" width="32.4424778761062" customWidth="1"/>
    <col min="40" max="40" width="23.4424778761062" customWidth="1"/>
    <col min="41" max="48" width="14.7787610619469" hidden="1" customWidth="1"/>
    <col min="49" max="50" width="12.1061946902655" hidden="1" customWidth="1"/>
    <col min="51" max="51" width="11.9380530973451" customWidth="1"/>
    <col min="52" max="54" width="12.4424778761062" style="5" customWidth="1"/>
    <col min="55" max="55" width="13.3362831858407" style="5" customWidth="1"/>
    <col min="56" max="56" width="21.7787610619469" customWidth="1"/>
    <col min="57" max="57" width="12.6637168141593" customWidth="1"/>
    <col min="58" max="16384" width="8.66371681415929" customWidth="1"/>
  </cols>
  <sheetData>
    <row r="1" ht="34.2" customHeight="1" spans="1:56">
      <c r="A1" s="167" t="s">
        <v>488</v>
      </c>
      <c r="B1" s="167" t="s">
        <v>100</v>
      </c>
      <c r="C1" s="168" t="s">
        <v>101</v>
      </c>
      <c r="D1" s="168" t="s">
        <v>102</v>
      </c>
      <c r="E1" s="168" t="s">
        <v>3446</v>
      </c>
      <c r="F1" s="72" t="s">
        <v>3447</v>
      </c>
      <c r="G1" s="168" t="s">
        <v>3448</v>
      </c>
      <c r="H1" s="168" t="s">
        <v>3449</v>
      </c>
      <c r="I1" s="168" t="s">
        <v>3450</v>
      </c>
      <c r="J1" s="168" t="s">
        <v>3451</v>
      </c>
      <c r="K1" s="168" t="s">
        <v>3452</v>
      </c>
      <c r="L1" s="168" t="s">
        <v>3453</v>
      </c>
      <c r="M1" s="168" t="s">
        <v>3454</v>
      </c>
      <c r="N1" s="168" t="s">
        <v>3455</v>
      </c>
      <c r="O1" s="168" t="s">
        <v>3456</v>
      </c>
      <c r="P1" s="168" t="s">
        <v>3457</v>
      </c>
      <c r="Q1" s="168" t="s">
        <v>3458</v>
      </c>
      <c r="R1" s="168" t="s">
        <v>3459</v>
      </c>
      <c r="S1" s="37" t="s">
        <v>3460</v>
      </c>
      <c r="T1" s="38" t="s">
        <v>3461</v>
      </c>
      <c r="U1" s="39" t="s">
        <v>3462</v>
      </c>
      <c r="V1" s="65" t="s">
        <v>3463</v>
      </c>
      <c r="W1" s="65" t="s">
        <v>3464</v>
      </c>
      <c r="X1" s="65" t="s">
        <v>3465</v>
      </c>
      <c r="Y1" s="65" t="s">
        <v>3466</v>
      </c>
      <c r="Z1" s="65" t="s">
        <v>3467</v>
      </c>
      <c r="AA1" s="65" t="s">
        <v>3468</v>
      </c>
      <c r="AB1" s="65" t="s">
        <v>3469</v>
      </c>
      <c r="AC1" s="65" t="s">
        <v>3470</v>
      </c>
      <c r="AD1" s="65" t="s">
        <v>3471</v>
      </c>
      <c r="AE1" s="65" t="s">
        <v>3472</v>
      </c>
      <c r="AF1" s="72" t="s">
        <v>3473</v>
      </c>
      <c r="AG1" s="65" t="s">
        <v>3474</v>
      </c>
      <c r="AH1" s="167" t="s">
        <v>3475</v>
      </c>
      <c r="AI1" s="167" t="s">
        <v>3476</v>
      </c>
      <c r="AJ1" s="71" t="s">
        <v>3477</v>
      </c>
      <c r="AK1" s="72" t="s">
        <v>3478</v>
      </c>
      <c r="AL1" s="72" t="s">
        <v>3479</v>
      </c>
      <c r="AM1" s="72" t="s">
        <v>3383</v>
      </c>
      <c r="AN1" s="74" t="s">
        <v>3480</v>
      </c>
      <c r="AO1" s="65">
        <v>202612</v>
      </c>
      <c r="AP1" s="65">
        <v>202611</v>
      </c>
      <c r="AQ1" s="65">
        <v>202610</v>
      </c>
      <c r="AR1" s="65">
        <v>202609</v>
      </c>
      <c r="AS1" s="65">
        <v>202608</v>
      </c>
      <c r="AT1" s="65">
        <v>202607</v>
      </c>
      <c r="AU1" s="65">
        <v>202606</v>
      </c>
      <c r="AV1" s="65">
        <v>202605</v>
      </c>
      <c r="AW1" s="65">
        <v>202604</v>
      </c>
      <c r="AX1" s="65">
        <v>202603</v>
      </c>
      <c r="AY1" s="72">
        <v>202602</v>
      </c>
      <c r="AZ1" s="65">
        <v>202601</v>
      </c>
      <c r="BA1" s="39" t="s">
        <v>3481</v>
      </c>
      <c r="BB1" s="39" t="s">
        <v>3482</v>
      </c>
      <c r="BC1" s="39" t="s">
        <v>3483</v>
      </c>
      <c r="BD1" s="65" t="s">
        <v>107</v>
      </c>
    </row>
    <row r="2" s="165" customFormat="1" ht="13.85" spans="1:56">
      <c r="A2" s="169" t="s">
        <v>209</v>
      </c>
      <c r="B2" s="170" t="s">
        <v>3621</v>
      </c>
      <c r="C2" s="171">
        <v>45047</v>
      </c>
      <c r="D2" s="172">
        <v>46022</v>
      </c>
      <c r="E2" s="173"/>
      <c r="F2" s="173"/>
      <c r="G2" s="174"/>
      <c r="H2" s="175"/>
      <c r="I2" s="175"/>
      <c r="J2" s="175"/>
      <c r="K2" s="175"/>
      <c r="L2" s="175"/>
      <c r="M2" s="175"/>
      <c r="N2" s="175"/>
      <c r="O2" s="175"/>
      <c r="P2" s="175"/>
      <c r="Q2" s="40" t="s">
        <v>3499</v>
      </c>
      <c r="R2" s="202" t="s">
        <v>3486</v>
      </c>
      <c r="S2" s="203">
        <f>9705320.75-200943.4</f>
        <v>9504377.35</v>
      </c>
      <c r="T2" s="43">
        <f>SUM(AO2:BC2)</f>
        <v>5102162.416</v>
      </c>
      <c r="U2" s="44">
        <f>SUM(BA2:BC2)</f>
        <v>5102162.416</v>
      </c>
      <c r="V2" s="67">
        <f>SUM(AO2:AZ2)</f>
        <v>0</v>
      </c>
      <c r="W2" s="67">
        <f>SUM(AP2:AZ2)</f>
        <v>0</v>
      </c>
      <c r="X2" s="67">
        <f>SUM(AQ2:AZ2)</f>
        <v>0</v>
      </c>
      <c r="Y2" s="67">
        <f>SUM(AR2:AZ2)</f>
        <v>0</v>
      </c>
      <c r="Z2" s="67">
        <f>SUM(AS2:AZ2)</f>
        <v>0</v>
      </c>
      <c r="AA2" s="67">
        <f>SUM(AT2:AZ2)</f>
        <v>0</v>
      </c>
      <c r="AB2" s="67">
        <f>SUM(AU2:AZ2)</f>
        <v>0</v>
      </c>
      <c r="AC2" s="67">
        <f>SUM(AV2:AZ2)</f>
        <v>0</v>
      </c>
      <c r="AD2" s="67">
        <f>SUM(AW2:AZ2)</f>
        <v>0</v>
      </c>
      <c r="AE2" s="67">
        <f>SUM(AX2:AZ2)</f>
        <v>0</v>
      </c>
      <c r="AF2" s="44">
        <f>SUM(AY2:AZ2)</f>
        <v>0</v>
      </c>
      <c r="AG2" s="67">
        <f>SUM(AZ2:AZ2)</f>
        <v>0</v>
      </c>
      <c r="AH2" s="220"/>
      <c r="AI2" s="220"/>
      <c r="AJ2" s="221"/>
      <c r="AK2" s="222" t="s">
        <v>3622</v>
      </c>
      <c r="AL2" s="223"/>
      <c r="AM2" s="87"/>
      <c r="AN2" s="79"/>
      <c r="AO2" s="237"/>
      <c r="AP2" s="237"/>
      <c r="AQ2" s="237"/>
      <c r="AR2" s="237"/>
      <c r="AS2" s="237"/>
      <c r="AT2" s="237"/>
      <c r="AU2" s="237"/>
      <c r="AV2" s="237"/>
      <c r="AW2" s="237"/>
      <c r="AX2" s="237"/>
      <c r="AY2" s="237"/>
      <c r="AZ2" s="237"/>
      <c r="BA2" s="243">
        <v>209748.56</v>
      </c>
      <c r="BB2" s="243">
        <v>3366704.746</v>
      </c>
      <c r="BC2" s="244">
        <v>1525709.11</v>
      </c>
      <c r="BD2" s="245"/>
    </row>
    <row r="3" s="165" customFormat="1" ht="13.85" spans="1:56">
      <c r="A3" s="21"/>
      <c r="B3" s="22"/>
      <c r="C3" s="13"/>
      <c r="D3" s="81"/>
      <c r="E3" s="22"/>
      <c r="F3" s="22"/>
      <c r="G3" s="13"/>
      <c r="H3" s="176"/>
      <c r="I3" s="176"/>
      <c r="J3" s="176"/>
      <c r="K3" s="176"/>
      <c r="L3" s="176"/>
      <c r="M3" s="176"/>
      <c r="N3" s="176"/>
      <c r="O3" s="176"/>
      <c r="P3" s="176"/>
      <c r="Q3" s="22"/>
      <c r="R3" s="202" t="s">
        <v>3490</v>
      </c>
      <c r="S3" s="203">
        <v>7067265.53</v>
      </c>
      <c r="T3" s="43">
        <f>SUM(AO3:BC3)</f>
        <v>3245455.63</v>
      </c>
      <c r="U3" s="44">
        <f>SUM(BA3:BC3)</f>
        <v>3245455.63</v>
      </c>
      <c r="V3" s="67">
        <f>SUM(AO3:AZ3)</f>
        <v>0</v>
      </c>
      <c r="W3" s="67">
        <f>SUM(AP3:AZ3)</f>
        <v>0</v>
      </c>
      <c r="X3" s="67">
        <f>SUM(AQ3:AZ3)</f>
        <v>0</v>
      </c>
      <c r="Y3" s="67">
        <f>SUM(AR3:AZ3)</f>
        <v>0</v>
      </c>
      <c r="Z3" s="67">
        <f>SUM(AS3:AZ3)</f>
        <v>0</v>
      </c>
      <c r="AA3" s="67">
        <f>SUM(AT3:AZ3)</f>
        <v>0</v>
      </c>
      <c r="AB3" s="67">
        <f>SUM(AU3:AZ3)</f>
        <v>0</v>
      </c>
      <c r="AC3" s="67">
        <f>SUM(AV3:AZ3)</f>
        <v>0</v>
      </c>
      <c r="AD3" s="67">
        <f>SUM(AW3:AZ3)</f>
        <v>0</v>
      </c>
      <c r="AE3" s="67">
        <f>SUM(AX3:AZ3)</f>
        <v>0</v>
      </c>
      <c r="AF3" s="44">
        <f>SUM(AY3:AZ3)</f>
        <v>0</v>
      </c>
      <c r="AG3" s="67">
        <f>SUM(AZ3:AZ3)</f>
        <v>0</v>
      </c>
      <c r="AH3" s="220"/>
      <c r="AI3" s="220"/>
      <c r="AJ3" s="22"/>
      <c r="AK3" s="22"/>
      <c r="AL3" s="34"/>
      <c r="AM3" s="13"/>
      <c r="AN3" s="22"/>
      <c r="AO3" s="238"/>
      <c r="AP3" s="238"/>
      <c r="AQ3" s="238"/>
      <c r="AR3" s="238"/>
      <c r="AS3" s="238"/>
      <c r="AT3" s="238"/>
      <c r="AU3" s="238"/>
      <c r="AV3" s="238"/>
      <c r="AW3" s="238"/>
      <c r="AX3" s="238"/>
      <c r="AY3" s="238"/>
      <c r="AZ3" s="238"/>
      <c r="BA3" s="238">
        <v>205783.05</v>
      </c>
      <c r="BB3" s="238">
        <v>1944332.16</v>
      </c>
      <c r="BC3" s="244">
        <v>1095340.42</v>
      </c>
      <c r="BD3" s="246"/>
    </row>
    <row r="4" s="165" customFormat="1" ht="13.85" spans="1:56">
      <c r="A4" s="21"/>
      <c r="B4" s="22"/>
      <c r="C4" s="13"/>
      <c r="D4" s="81"/>
      <c r="E4" s="22"/>
      <c r="F4" s="22"/>
      <c r="G4" s="13"/>
      <c r="H4" s="176"/>
      <c r="I4" s="176"/>
      <c r="J4" s="176"/>
      <c r="K4" s="176"/>
      <c r="L4" s="176"/>
      <c r="M4" s="176"/>
      <c r="N4" s="176"/>
      <c r="O4" s="176"/>
      <c r="P4" s="176"/>
      <c r="Q4" s="22"/>
      <c r="R4" s="202" t="s">
        <v>3492</v>
      </c>
      <c r="S4" s="203">
        <v>0</v>
      </c>
      <c r="T4" s="43">
        <f>SUM(AO4:BC4)</f>
        <v>0</v>
      </c>
      <c r="U4" s="44">
        <f>SUM(BA4:BC4)</f>
        <v>0</v>
      </c>
      <c r="V4" s="67">
        <f>SUM(AO4:AZ4)</f>
        <v>0</v>
      </c>
      <c r="W4" s="67">
        <f>SUM(AP4:AZ4)</f>
        <v>0</v>
      </c>
      <c r="X4" s="67">
        <f>SUM(AQ4:AZ4)</f>
        <v>0</v>
      </c>
      <c r="Y4" s="67">
        <f>SUM(AR4:AZ4)</f>
        <v>0</v>
      </c>
      <c r="Z4" s="67">
        <f>SUM(AS4:AZ4)</f>
        <v>0</v>
      </c>
      <c r="AA4" s="67">
        <f>SUM(AT4:AZ4)</f>
        <v>0</v>
      </c>
      <c r="AB4" s="67">
        <f>SUM(AU4:AZ4)</f>
        <v>0</v>
      </c>
      <c r="AC4" s="67">
        <f>SUM(AV4:AZ4)</f>
        <v>0</v>
      </c>
      <c r="AD4" s="67">
        <f>SUM(AW4:AZ4)</f>
        <v>0</v>
      </c>
      <c r="AE4" s="67">
        <f>SUM(AX4:AZ4)</f>
        <v>0</v>
      </c>
      <c r="AF4" s="44">
        <f>SUM(AY4:AZ4)</f>
        <v>0</v>
      </c>
      <c r="AG4" s="67">
        <f>SUM(AZ4:AZ4)</f>
        <v>0</v>
      </c>
      <c r="AH4" s="220"/>
      <c r="AI4" s="220"/>
      <c r="AJ4" s="22"/>
      <c r="AK4" s="22"/>
      <c r="AL4" s="34"/>
      <c r="AM4" s="13"/>
      <c r="AN4" s="22"/>
      <c r="AO4" s="238"/>
      <c r="AP4" s="238"/>
      <c r="AQ4" s="238"/>
      <c r="AR4" s="238"/>
      <c r="AS4" s="238"/>
      <c r="AT4" s="238"/>
      <c r="AU4" s="238"/>
      <c r="AV4" s="238"/>
      <c r="AW4" s="238"/>
      <c r="AX4" s="238"/>
      <c r="AY4" s="238"/>
      <c r="AZ4" s="238"/>
      <c r="BA4" s="238">
        <v>0</v>
      </c>
      <c r="BB4" s="238">
        <v>0</v>
      </c>
      <c r="BC4" s="244">
        <v>0</v>
      </c>
      <c r="BD4" s="247"/>
    </row>
    <row r="5" s="165" customFormat="1" ht="13.85" spans="1:56">
      <c r="A5" s="21"/>
      <c r="B5" s="22"/>
      <c r="C5" s="13"/>
      <c r="D5" s="81"/>
      <c r="E5" s="22"/>
      <c r="F5" s="22"/>
      <c r="G5" s="13"/>
      <c r="H5" s="176"/>
      <c r="I5" s="176"/>
      <c r="J5" s="176"/>
      <c r="K5" s="176"/>
      <c r="L5" s="176"/>
      <c r="M5" s="176"/>
      <c r="N5" s="176"/>
      <c r="O5" s="176"/>
      <c r="P5" s="176"/>
      <c r="Q5" s="22"/>
      <c r="R5" s="202" t="s">
        <v>3493</v>
      </c>
      <c r="S5" s="203">
        <v>0</v>
      </c>
      <c r="T5" s="43">
        <f>SUM(AO5:BC5)</f>
        <v>1473.05</v>
      </c>
      <c r="U5" s="44">
        <f>SUM(BA5:BC5)</f>
        <v>1473.05</v>
      </c>
      <c r="V5" s="67">
        <f>SUM(AO5:AZ5)</f>
        <v>0</v>
      </c>
      <c r="W5" s="67">
        <f>SUM(AP5:AZ5)</f>
        <v>0</v>
      </c>
      <c r="X5" s="67">
        <f>SUM(AQ5:AZ5)</f>
        <v>0</v>
      </c>
      <c r="Y5" s="67">
        <f>SUM(AR5:AZ5)</f>
        <v>0</v>
      </c>
      <c r="Z5" s="67">
        <f>SUM(AS5:AZ5)</f>
        <v>0</v>
      </c>
      <c r="AA5" s="67">
        <f>SUM(AT5:AZ5)</f>
        <v>0</v>
      </c>
      <c r="AB5" s="67">
        <f>SUM(AU5:AZ5)</f>
        <v>0</v>
      </c>
      <c r="AC5" s="67">
        <f>SUM(AV5:AZ5)</f>
        <v>0</v>
      </c>
      <c r="AD5" s="67">
        <f>SUM(AW5:AZ5)</f>
        <v>0</v>
      </c>
      <c r="AE5" s="67">
        <f>SUM(AX5:AZ5)</f>
        <v>0</v>
      </c>
      <c r="AF5" s="44">
        <f>SUM(AY5:AZ5)</f>
        <v>0</v>
      </c>
      <c r="AG5" s="67">
        <f>SUM(AZ5:AZ5)</f>
        <v>0</v>
      </c>
      <c r="AH5" s="220"/>
      <c r="AI5" s="220"/>
      <c r="AJ5" s="22"/>
      <c r="AK5" s="22"/>
      <c r="AL5" s="34"/>
      <c r="AM5" s="13"/>
      <c r="AN5" s="22"/>
      <c r="AO5" s="238"/>
      <c r="AP5" s="238"/>
      <c r="AQ5" s="238"/>
      <c r="AR5" s="238"/>
      <c r="AS5" s="238"/>
      <c r="AT5" s="238"/>
      <c r="AU5" s="238"/>
      <c r="AV5" s="238"/>
      <c r="AW5" s="238"/>
      <c r="AX5" s="238"/>
      <c r="AY5" s="238"/>
      <c r="AZ5" s="238"/>
      <c r="BA5" s="238">
        <v>0</v>
      </c>
      <c r="BB5" s="238">
        <v>1473.05</v>
      </c>
      <c r="BC5" s="244">
        <v>0</v>
      </c>
      <c r="BD5" s="247"/>
    </row>
    <row r="6" ht="14.25" customHeight="1" spans="1:56">
      <c r="A6" s="21"/>
      <c r="B6" s="22"/>
      <c r="C6" s="13"/>
      <c r="D6" s="81"/>
      <c r="E6" s="22"/>
      <c r="F6" s="22"/>
      <c r="G6" s="13"/>
      <c r="H6" s="19"/>
      <c r="I6" s="19"/>
      <c r="J6" s="19"/>
      <c r="K6" s="19"/>
      <c r="L6" s="19"/>
      <c r="M6" s="197"/>
      <c r="N6" s="197"/>
      <c r="O6" s="197"/>
      <c r="P6" s="197"/>
      <c r="Q6" s="22"/>
      <c r="R6" s="41" t="s">
        <v>3494</v>
      </c>
      <c r="S6" s="204">
        <f t="shared" ref="S6:AI6" si="0">SUM(S3:S5)</f>
        <v>7067265.53</v>
      </c>
      <c r="T6" s="204">
        <f t="shared" si="0"/>
        <v>3246928.68</v>
      </c>
      <c r="U6" s="204">
        <f t="shared" si="0"/>
        <v>3246928.68</v>
      </c>
      <c r="V6" s="204">
        <f t="shared" si="0"/>
        <v>0</v>
      </c>
      <c r="W6" s="204">
        <f t="shared" si="0"/>
        <v>0</v>
      </c>
      <c r="X6" s="204">
        <f t="shared" si="0"/>
        <v>0</v>
      </c>
      <c r="Y6" s="204">
        <f t="shared" si="0"/>
        <v>0</v>
      </c>
      <c r="Z6" s="204">
        <f t="shared" si="0"/>
        <v>0</v>
      </c>
      <c r="AA6" s="204">
        <f t="shared" si="0"/>
        <v>0</v>
      </c>
      <c r="AB6" s="204">
        <f t="shared" si="0"/>
        <v>0</v>
      </c>
      <c r="AC6" s="204">
        <f t="shared" si="0"/>
        <v>0</v>
      </c>
      <c r="AD6" s="204">
        <f t="shared" si="0"/>
        <v>0</v>
      </c>
      <c r="AE6" s="204">
        <f t="shared" si="0"/>
        <v>0</v>
      </c>
      <c r="AF6" s="204">
        <f t="shared" si="0"/>
        <v>0</v>
      </c>
      <c r="AG6" s="204">
        <f t="shared" si="0"/>
        <v>0</v>
      </c>
      <c r="AH6" s="204">
        <f t="shared" si="0"/>
        <v>0</v>
      </c>
      <c r="AI6" s="204">
        <f t="shared" si="0"/>
        <v>0</v>
      </c>
      <c r="AJ6" s="22"/>
      <c r="AK6" s="22"/>
      <c r="AL6" s="34"/>
      <c r="AM6" s="13"/>
      <c r="AN6" s="22"/>
      <c r="AO6" s="204">
        <f t="shared" ref="AO6:AZ6" si="1">SUM(AO3:AO5)</f>
        <v>0</v>
      </c>
      <c r="AP6" s="204">
        <f t="shared" si="1"/>
        <v>0</v>
      </c>
      <c r="AQ6" s="204">
        <f t="shared" si="1"/>
        <v>0</v>
      </c>
      <c r="AR6" s="204">
        <f t="shared" si="1"/>
        <v>0</v>
      </c>
      <c r="AS6" s="204">
        <f t="shared" si="1"/>
        <v>0</v>
      </c>
      <c r="AT6" s="204">
        <f t="shared" si="1"/>
        <v>0</v>
      </c>
      <c r="AU6" s="204">
        <f t="shared" si="1"/>
        <v>0</v>
      </c>
      <c r="AV6" s="204">
        <f t="shared" si="1"/>
        <v>0</v>
      </c>
      <c r="AW6" s="204">
        <f t="shared" si="1"/>
        <v>0</v>
      </c>
      <c r="AX6" s="204">
        <f t="shared" si="1"/>
        <v>0</v>
      </c>
      <c r="AY6" s="204">
        <f t="shared" si="1"/>
        <v>0</v>
      </c>
      <c r="AZ6" s="204">
        <f t="shared" si="1"/>
        <v>0</v>
      </c>
      <c r="BA6" s="204">
        <v>205783.05</v>
      </c>
      <c r="BB6" s="44"/>
      <c r="BC6" s="248"/>
      <c r="BD6" s="249"/>
    </row>
    <row r="7" s="165" customFormat="1" ht="13.85" spans="1:56">
      <c r="A7" s="21"/>
      <c r="B7" s="22"/>
      <c r="C7" s="13"/>
      <c r="D7" s="81"/>
      <c r="E7" s="22"/>
      <c r="F7" s="22"/>
      <c r="G7" s="13"/>
      <c r="H7" s="176"/>
      <c r="I7" s="176"/>
      <c r="J7" s="176"/>
      <c r="K7" s="176"/>
      <c r="L7" s="176"/>
      <c r="M7" s="176"/>
      <c r="N7" s="176"/>
      <c r="O7" s="176"/>
      <c r="P7" s="176"/>
      <c r="Q7" s="22"/>
      <c r="R7" s="202" t="s">
        <v>3495</v>
      </c>
      <c r="S7" s="44">
        <f t="shared" ref="S7:AG7" si="2">S2-S3</f>
        <v>2437111.82</v>
      </c>
      <c r="T7" s="43">
        <f t="shared" si="2"/>
        <v>1856706.786</v>
      </c>
      <c r="U7" s="44">
        <f t="shared" si="2"/>
        <v>1856706.786</v>
      </c>
      <c r="V7" s="43">
        <f t="shared" si="2"/>
        <v>0</v>
      </c>
      <c r="W7" s="43">
        <f t="shared" si="2"/>
        <v>0</v>
      </c>
      <c r="X7" s="43">
        <f t="shared" si="2"/>
        <v>0</v>
      </c>
      <c r="Y7" s="43">
        <f t="shared" si="2"/>
        <v>0</v>
      </c>
      <c r="Z7" s="43">
        <f t="shared" si="2"/>
        <v>0</v>
      </c>
      <c r="AA7" s="43">
        <f t="shared" si="2"/>
        <v>0</v>
      </c>
      <c r="AB7" s="43">
        <f t="shared" si="2"/>
        <v>0</v>
      </c>
      <c r="AC7" s="43">
        <f t="shared" si="2"/>
        <v>0</v>
      </c>
      <c r="AD7" s="43">
        <f t="shared" si="2"/>
        <v>0</v>
      </c>
      <c r="AE7" s="43">
        <f t="shared" si="2"/>
        <v>0</v>
      </c>
      <c r="AF7" s="44">
        <f t="shared" si="2"/>
        <v>0</v>
      </c>
      <c r="AG7" s="43">
        <f t="shared" si="2"/>
        <v>0</v>
      </c>
      <c r="AH7" s="220"/>
      <c r="AI7" s="220"/>
      <c r="AJ7" s="22"/>
      <c r="AK7" s="22"/>
      <c r="AL7" s="34"/>
      <c r="AM7" s="13"/>
      <c r="AN7" s="22"/>
      <c r="AO7" s="239">
        <f t="shared" ref="AO7:AZ7" si="3">AO2-AO3</f>
        <v>0</v>
      </c>
      <c r="AP7" s="239">
        <f t="shared" si="3"/>
        <v>0</v>
      </c>
      <c r="AQ7" s="239">
        <f t="shared" si="3"/>
        <v>0</v>
      </c>
      <c r="AR7" s="239">
        <f t="shared" si="3"/>
        <v>0</v>
      </c>
      <c r="AS7" s="239">
        <f t="shared" si="3"/>
        <v>0</v>
      </c>
      <c r="AT7" s="239">
        <f t="shared" si="3"/>
        <v>0</v>
      </c>
      <c r="AU7" s="239">
        <f t="shared" si="3"/>
        <v>0</v>
      </c>
      <c r="AV7" s="239">
        <f t="shared" si="3"/>
        <v>0</v>
      </c>
      <c r="AW7" s="239">
        <f t="shared" si="3"/>
        <v>0</v>
      </c>
      <c r="AX7" s="239">
        <f t="shared" si="3"/>
        <v>0</v>
      </c>
      <c r="AY7" s="239">
        <f t="shared" si="3"/>
        <v>0</v>
      </c>
      <c r="AZ7" s="239">
        <f t="shared" si="3"/>
        <v>0</v>
      </c>
      <c r="BA7" s="239">
        <v>3965.50999999995</v>
      </c>
      <c r="BB7" s="239">
        <v>1422372.586</v>
      </c>
      <c r="BC7" s="250">
        <f>BC2-BC3</f>
        <v>430368.69</v>
      </c>
      <c r="BD7" s="247"/>
    </row>
    <row r="8" ht="13.85" spans="1:56">
      <c r="A8" s="21"/>
      <c r="B8" s="22"/>
      <c r="C8" s="13"/>
      <c r="D8" s="81"/>
      <c r="E8" s="22"/>
      <c r="F8" s="22"/>
      <c r="G8" s="13"/>
      <c r="H8" s="176"/>
      <c r="I8" s="176"/>
      <c r="J8" s="176"/>
      <c r="K8" s="176"/>
      <c r="L8" s="176"/>
      <c r="M8" s="176"/>
      <c r="N8" s="176"/>
      <c r="O8" s="176"/>
      <c r="P8" s="176"/>
      <c r="Q8" s="22"/>
      <c r="R8" s="52" t="s">
        <v>3496</v>
      </c>
      <c r="S8" s="48">
        <f t="shared" ref="S8:AG8" si="4">S7/S2</f>
        <v>0.256419934757746</v>
      </c>
      <c r="T8" s="49">
        <f t="shared" si="4"/>
        <v>0.363905856892659</v>
      </c>
      <c r="U8" s="48">
        <f t="shared" si="4"/>
        <v>0.363905856892659</v>
      </c>
      <c r="V8" s="49" t="e">
        <f t="shared" si="4"/>
        <v>#DIV/0!</v>
      </c>
      <c r="W8" s="49" t="e">
        <f t="shared" si="4"/>
        <v>#DIV/0!</v>
      </c>
      <c r="X8" s="49" t="e">
        <f t="shared" si="4"/>
        <v>#DIV/0!</v>
      </c>
      <c r="Y8" s="49" t="e">
        <f t="shared" si="4"/>
        <v>#DIV/0!</v>
      </c>
      <c r="Z8" s="49" t="e">
        <f t="shared" si="4"/>
        <v>#DIV/0!</v>
      </c>
      <c r="AA8" s="49" t="e">
        <f t="shared" si="4"/>
        <v>#DIV/0!</v>
      </c>
      <c r="AB8" s="49" t="e">
        <f t="shared" si="4"/>
        <v>#DIV/0!</v>
      </c>
      <c r="AC8" s="49" t="e">
        <f t="shared" si="4"/>
        <v>#DIV/0!</v>
      </c>
      <c r="AD8" s="49" t="e">
        <f t="shared" si="4"/>
        <v>#DIV/0!</v>
      </c>
      <c r="AE8" s="49" t="e">
        <f t="shared" si="4"/>
        <v>#DIV/0!</v>
      </c>
      <c r="AF8" s="48" t="e">
        <f t="shared" si="4"/>
        <v>#DIV/0!</v>
      </c>
      <c r="AG8" s="49" t="e">
        <f t="shared" si="4"/>
        <v>#DIV/0!</v>
      </c>
      <c r="AH8" s="224">
        <f>T8-S8</f>
        <v>0.107485922134913</v>
      </c>
      <c r="AI8" s="224" t="e">
        <f>AF8-S8</f>
        <v>#DIV/0!</v>
      </c>
      <c r="AJ8" s="22"/>
      <c r="AK8" s="22"/>
      <c r="AL8" s="34"/>
      <c r="AM8" s="13"/>
      <c r="AN8" s="22"/>
      <c r="AO8" s="48" t="e">
        <f t="shared" ref="AO8:AZ8" si="5">AO7/AO2</f>
        <v>#DIV/0!</v>
      </c>
      <c r="AP8" s="48" t="e">
        <f t="shared" si="5"/>
        <v>#DIV/0!</v>
      </c>
      <c r="AQ8" s="48" t="e">
        <f t="shared" si="5"/>
        <v>#DIV/0!</v>
      </c>
      <c r="AR8" s="48" t="e">
        <f t="shared" si="5"/>
        <v>#DIV/0!</v>
      </c>
      <c r="AS8" s="48" t="e">
        <f t="shared" si="5"/>
        <v>#DIV/0!</v>
      </c>
      <c r="AT8" s="48" t="e">
        <f t="shared" si="5"/>
        <v>#DIV/0!</v>
      </c>
      <c r="AU8" s="48" t="e">
        <f t="shared" si="5"/>
        <v>#DIV/0!</v>
      </c>
      <c r="AV8" s="48" t="e">
        <f t="shared" si="5"/>
        <v>#DIV/0!</v>
      </c>
      <c r="AW8" s="48" t="e">
        <f t="shared" si="5"/>
        <v>#DIV/0!</v>
      </c>
      <c r="AX8" s="48" t="e">
        <f t="shared" si="5"/>
        <v>#DIV/0!</v>
      </c>
      <c r="AY8" s="48" t="e">
        <f t="shared" si="5"/>
        <v>#DIV/0!</v>
      </c>
      <c r="AZ8" s="48" t="e">
        <f t="shared" si="5"/>
        <v>#DIV/0!</v>
      </c>
      <c r="BA8" s="48">
        <v>0.0189060177576425</v>
      </c>
      <c r="BB8" s="48">
        <v>0.422482128166994</v>
      </c>
      <c r="BC8" s="251">
        <f>BC7/BC2</f>
        <v>0.282077813640374</v>
      </c>
      <c r="BD8" s="252"/>
    </row>
    <row r="9" s="165" customFormat="1" ht="13.85" spans="1:56">
      <c r="A9" s="21"/>
      <c r="B9" s="22"/>
      <c r="C9" s="13"/>
      <c r="D9" s="81"/>
      <c r="E9" s="22"/>
      <c r="F9" s="22"/>
      <c r="G9" s="13"/>
      <c r="H9" s="176"/>
      <c r="I9" s="176"/>
      <c r="J9" s="176"/>
      <c r="K9" s="176"/>
      <c r="L9" s="176"/>
      <c r="M9" s="176"/>
      <c r="N9" s="176"/>
      <c r="O9" s="176"/>
      <c r="P9" s="176"/>
      <c r="Q9" s="22"/>
      <c r="R9" s="202" t="s">
        <v>3497</v>
      </c>
      <c r="S9" s="44">
        <f t="shared" ref="S9:AG9" si="6">S2-S3-S4-S5</f>
        <v>2437111.82</v>
      </c>
      <c r="T9" s="43">
        <f t="shared" si="6"/>
        <v>1855233.736</v>
      </c>
      <c r="U9" s="44">
        <f t="shared" si="6"/>
        <v>1855233.736</v>
      </c>
      <c r="V9" s="43">
        <f t="shared" si="6"/>
        <v>0</v>
      </c>
      <c r="W9" s="43">
        <f t="shared" si="6"/>
        <v>0</v>
      </c>
      <c r="X9" s="43">
        <f t="shared" si="6"/>
        <v>0</v>
      </c>
      <c r="Y9" s="43">
        <f t="shared" si="6"/>
        <v>0</v>
      </c>
      <c r="Z9" s="43">
        <f t="shared" si="6"/>
        <v>0</v>
      </c>
      <c r="AA9" s="43">
        <f t="shared" si="6"/>
        <v>0</v>
      </c>
      <c r="AB9" s="43">
        <f t="shared" si="6"/>
        <v>0</v>
      </c>
      <c r="AC9" s="43">
        <f t="shared" si="6"/>
        <v>0</v>
      </c>
      <c r="AD9" s="43">
        <f t="shared" si="6"/>
        <v>0</v>
      </c>
      <c r="AE9" s="43">
        <f t="shared" si="6"/>
        <v>0</v>
      </c>
      <c r="AF9" s="44">
        <f t="shared" si="6"/>
        <v>0</v>
      </c>
      <c r="AG9" s="43">
        <f t="shared" si="6"/>
        <v>0</v>
      </c>
      <c r="AH9" s="224"/>
      <c r="AI9" s="224"/>
      <c r="AJ9" s="22"/>
      <c r="AK9" s="22"/>
      <c r="AL9" s="34"/>
      <c r="AM9" s="13"/>
      <c r="AN9" s="22"/>
      <c r="AO9" s="44">
        <f t="shared" ref="AO9:AZ9" si="7">AO2-AO3-AO4-AO5</f>
        <v>0</v>
      </c>
      <c r="AP9" s="44">
        <f t="shared" si="7"/>
        <v>0</v>
      </c>
      <c r="AQ9" s="44">
        <f t="shared" si="7"/>
        <v>0</v>
      </c>
      <c r="AR9" s="44">
        <f t="shared" si="7"/>
        <v>0</v>
      </c>
      <c r="AS9" s="44">
        <f t="shared" si="7"/>
        <v>0</v>
      </c>
      <c r="AT9" s="44">
        <f t="shared" si="7"/>
        <v>0</v>
      </c>
      <c r="AU9" s="44">
        <f t="shared" si="7"/>
        <v>0</v>
      </c>
      <c r="AV9" s="44">
        <f t="shared" si="7"/>
        <v>0</v>
      </c>
      <c r="AW9" s="44">
        <f t="shared" si="7"/>
        <v>0</v>
      </c>
      <c r="AX9" s="44">
        <f t="shared" si="7"/>
        <v>0</v>
      </c>
      <c r="AY9" s="44">
        <f t="shared" si="7"/>
        <v>0</v>
      </c>
      <c r="AZ9" s="44">
        <f t="shared" si="7"/>
        <v>0</v>
      </c>
      <c r="BA9" s="44">
        <v>3965.50999999995</v>
      </c>
      <c r="BB9" s="44">
        <v>1420899.536</v>
      </c>
      <c r="BC9" s="253">
        <f>BC2-BC3-BC4-BC5</f>
        <v>430368.69</v>
      </c>
      <c r="BD9" s="247"/>
    </row>
    <row r="10" ht="13.85" spans="1:56">
      <c r="A10" s="23"/>
      <c r="B10" s="24"/>
      <c r="C10" s="14"/>
      <c r="D10" s="84"/>
      <c r="E10" s="177"/>
      <c r="F10" s="177"/>
      <c r="G10" s="14"/>
      <c r="H10" s="178"/>
      <c r="I10" s="178"/>
      <c r="J10" s="178"/>
      <c r="K10" s="178"/>
      <c r="L10" s="178"/>
      <c r="M10" s="178"/>
      <c r="N10" s="178"/>
      <c r="O10" s="178"/>
      <c r="P10" s="178"/>
      <c r="Q10" s="24"/>
      <c r="R10" s="52" t="s">
        <v>3498</v>
      </c>
      <c r="S10" s="48">
        <f t="shared" ref="S10:AG10" si="8">S9/S2</f>
        <v>0.256419934757746</v>
      </c>
      <c r="T10" s="49">
        <f t="shared" si="8"/>
        <v>0.363617145973661</v>
      </c>
      <c r="U10" s="48">
        <f t="shared" si="8"/>
        <v>0.363617145973661</v>
      </c>
      <c r="V10" s="49" t="e">
        <f t="shared" si="8"/>
        <v>#DIV/0!</v>
      </c>
      <c r="W10" s="49" t="e">
        <f t="shared" si="8"/>
        <v>#DIV/0!</v>
      </c>
      <c r="X10" s="49" t="e">
        <f t="shared" si="8"/>
        <v>#DIV/0!</v>
      </c>
      <c r="Y10" s="49" t="e">
        <f t="shared" si="8"/>
        <v>#DIV/0!</v>
      </c>
      <c r="Z10" s="49" t="e">
        <f t="shared" si="8"/>
        <v>#DIV/0!</v>
      </c>
      <c r="AA10" s="49" t="e">
        <f t="shared" si="8"/>
        <v>#DIV/0!</v>
      </c>
      <c r="AB10" s="49" t="e">
        <f t="shared" si="8"/>
        <v>#DIV/0!</v>
      </c>
      <c r="AC10" s="49" t="e">
        <f t="shared" si="8"/>
        <v>#DIV/0!</v>
      </c>
      <c r="AD10" s="49" t="e">
        <f t="shared" si="8"/>
        <v>#DIV/0!</v>
      </c>
      <c r="AE10" s="49" t="e">
        <f t="shared" si="8"/>
        <v>#DIV/0!</v>
      </c>
      <c r="AF10" s="48" t="e">
        <f t="shared" si="8"/>
        <v>#DIV/0!</v>
      </c>
      <c r="AG10" s="49" t="e">
        <f t="shared" si="8"/>
        <v>#DIV/0!</v>
      </c>
      <c r="AH10" s="224">
        <f>T10-S10</f>
        <v>0.107197211215915</v>
      </c>
      <c r="AI10" s="224" t="e">
        <f>AF10-S10</f>
        <v>#DIV/0!</v>
      </c>
      <c r="AJ10" s="24"/>
      <c r="AK10" s="24"/>
      <c r="AL10" s="83"/>
      <c r="AM10" s="14"/>
      <c r="AN10" s="24"/>
      <c r="AO10" s="48" t="e">
        <f t="shared" ref="AO10:AZ10" si="9">AO9/AO2</f>
        <v>#DIV/0!</v>
      </c>
      <c r="AP10" s="48" t="e">
        <f t="shared" si="9"/>
        <v>#DIV/0!</v>
      </c>
      <c r="AQ10" s="48" t="e">
        <f t="shared" si="9"/>
        <v>#DIV/0!</v>
      </c>
      <c r="AR10" s="48" t="e">
        <f t="shared" si="9"/>
        <v>#DIV/0!</v>
      </c>
      <c r="AS10" s="48" t="e">
        <f t="shared" si="9"/>
        <v>#DIV/0!</v>
      </c>
      <c r="AT10" s="48" t="e">
        <f t="shared" si="9"/>
        <v>#DIV/0!</v>
      </c>
      <c r="AU10" s="48" t="e">
        <f t="shared" si="9"/>
        <v>#DIV/0!</v>
      </c>
      <c r="AV10" s="48" t="e">
        <f t="shared" si="9"/>
        <v>#DIV/0!</v>
      </c>
      <c r="AW10" s="48" t="e">
        <f t="shared" si="9"/>
        <v>#DIV/0!</v>
      </c>
      <c r="AX10" s="48" t="e">
        <f t="shared" si="9"/>
        <v>#DIV/0!</v>
      </c>
      <c r="AY10" s="48" t="e">
        <f t="shared" si="9"/>
        <v>#DIV/0!</v>
      </c>
      <c r="AZ10" s="48" t="e">
        <f t="shared" si="9"/>
        <v>#DIV/0!</v>
      </c>
      <c r="BA10" s="48">
        <v>0.0189060177576425</v>
      </c>
      <c r="BB10" s="48">
        <v>0.422044593511854</v>
      </c>
      <c r="BC10" s="251">
        <f>BC9/BC2</f>
        <v>0.282077813640374</v>
      </c>
      <c r="BD10" s="254"/>
    </row>
    <row r="11" spans="1:56">
      <c r="A11" s="8" t="s">
        <v>367</v>
      </c>
      <c r="B11" s="179" t="s">
        <v>539</v>
      </c>
      <c r="C11" s="10">
        <v>45484</v>
      </c>
      <c r="D11" s="180">
        <v>46052</v>
      </c>
      <c r="E11" s="181" t="s">
        <v>3531</v>
      </c>
      <c r="F11" s="181" t="s">
        <v>3531</v>
      </c>
      <c r="G11" s="174"/>
      <c r="H11" s="174"/>
      <c r="I11" s="198"/>
      <c r="J11" s="198"/>
      <c r="K11" s="198"/>
      <c r="L11" s="198"/>
      <c r="M11" s="198"/>
      <c r="N11" s="174"/>
      <c r="O11" s="174"/>
      <c r="P11" s="174"/>
      <c r="Q11" s="40" t="s">
        <v>3499</v>
      </c>
      <c r="R11" s="205" t="s">
        <v>3486</v>
      </c>
      <c r="S11" s="43">
        <v>8962264.15</v>
      </c>
      <c r="T11" s="43">
        <f>SUM(AO11:BC11)</f>
        <v>11179115.18</v>
      </c>
      <c r="U11" s="44">
        <f>SUM(BA11:BC11)</f>
        <v>11179115.18</v>
      </c>
      <c r="V11" s="67">
        <f>SUM(AO11:AZ11)</f>
        <v>0</v>
      </c>
      <c r="W11" s="67">
        <f>SUM(AP11:AZ11)</f>
        <v>0</v>
      </c>
      <c r="X11" s="67">
        <f>SUM(AQ11:AZ11)</f>
        <v>0</v>
      </c>
      <c r="Y11" s="67">
        <f>SUM(AR11:AZ11)</f>
        <v>0</v>
      </c>
      <c r="Z11" s="67">
        <f>SUM(AS11:AZ11)</f>
        <v>0</v>
      </c>
      <c r="AA11" s="67">
        <f>SUM(AT11:AZ11)</f>
        <v>0</v>
      </c>
      <c r="AB11" s="67">
        <f>SUM(AU11:AZ11)</f>
        <v>0</v>
      </c>
      <c r="AC11" s="67">
        <f>SUM(AV11:AZ11)</f>
        <v>0</v>
      </c>
      <c r="AD11" s="67">
        <f>SUM(AW11:AZ11)</f>
        <v>0</v>
      </c>
      <c r="AE11" s="67">
        <f>SUM(AX11:AZ11)</f>
        <v>0</v>
      </c>
      <c r="AF11" s="44">
        <f>SUM(AY11:AZ11)</f>
        <v>0</v>
      </c>
      <c r="AG11" s="44">
        <f>SUM(AZ11:AZ11)</f>
        <v>0</v>
      </c>
      <c r="AH11" s="220"/>
      <c r="AI11" s="220"/>
      <c r="AJ11" s="225"/>
      <c r="AK11" s="226" t="s">
        <v>3623</v>
      </c>
      <c r="AL11" s="87" t="s">
        <v>543</v>
      </c>
      <c r="AM11" s="226" t="s">
        <v>3624</v>
      </c>
      <c r="AN11" s="227" t="s">
        <v>3625</v>
      </c>
      <c r="AO11" s="237"/>
      <c r="AP11" s="237"/>
      <c r="AQ11" s="237"/>
      <c r="AR11" s="237"/>
      <c r="AS11" s="237"/>
      <c r="AT11" s="237"/>
      <c r="AU11" s="237"/>
      <c r="AV11" s="237"/>
      <c r="AW11" s="237"/>
      <c r="AX11" s="237"/>
      <c r="AY11" s="237"/>
      <c r="AZ11" s="237">
        <v>0</v>
      </c>
      <c r="BA11" s="255">
        <v>7678124.23</v>
      </c>
      <c r="BB11" s="255">
        <v>3500990.95</v>
      </c>
      <c r="BC11" s="256"/>
      <c r="BD11" s="257"/>
    </row>
    <row r="12" spans="1:56">
      <c r="A12" s="13"/>
      <c r="B12" s="13"/>
      <c r="C12" s="13"/>
      <c r="D12" s="81"/>
      <c r="E12" s="22"/>
      <c r="F12" s="22"/>
      <c r="G12" s="13"/>
      <c r="H12" s="13"/>
      <c r="I12" s="13"/>
      <c r="J12" s="13"/>
      <c r="K12" s="13"/>
      <c r="L12" s="13"/>
      <c r="M12" s="13"/>
      <c r="N12" s="13"/>
      <c r="O12" s="13"/>
      <c r="P12" s="13"/>
      <c r="Q12" s="22"/>
      <c r="R12" s="205" t="s">
        <v>3490</v>
      </c>
      <c r="S12" s="43">
        <v>8218119.95</v>
      </c>
      <c r="T12" s="43">
        <f>SUM(AO12:BC12)</f>
        <v>11957939.52</v>
      </c>
      <c r="U12" s="44">
        <f>SUM(BA12:BC12)</f>
        <v>11957939.52</v>
      </c>
      <c r="V12" s="67">
        <f>SUM(AO12:AZ12)</f>
        <v>0</v>
      </c>
      <c r="W12" s="67">
        <f>SUM(AP12:AZ12)</f>
        <v>0</v>
      </c>
      <c r="X12" s="67">
        <f>SUM(AQ12:AZ12)</f>
        <v>0</v>
      </c>
      <c r="Y12" s="67">
        <f>SUM(AR12:AZ12)</f>
        <v>0</v>
      </c>
      <c r="Z12" s="67">
        <f>SUM(AS12:AZ12)</f>
        <v>0</v>
      </c>
      <c r="AA12" s="67">
        <f>SUM(AT12:AZ12)</f>
        <v>0</v>
      </c>
      <c r="AB12" s="67">
        <f>SUM(AU12:AZ12)</f>
        <v>0</v>
      </c>
      <c r="AC12" s="67">
        <f>SUM(AV12:AZ12)</f>
        <v>0</v>
      </c>
      <c r="AD12" s="67">
        <f>SUM(AW12:AZ12)</f>
        <v>0</v>
      </c>
      <c r="AE12" s="67">
        <f>SUM(AX12:AZ12)</f>
        <v>0</v>
      </c>
      <c r="AF12" s="44">
        <f>SUM(AY12:AZ12)</f>
        <v>0</v>
      </c>
      <c r="AG12" s="44">
        <f>SUM(AZ12:AZ12)</f>
        <v>0</v>
      </c>
      <c r="AH12" s="220"/>
      <c r="AI12" s="220"/>
      <c r="AJ12" s="13"/>
      <c r="AK12" s="13"/>
      <c r="AL12" s="13"/>
      <c r="AM12" s="13"/>
      <c r="AN12" s="22"/>
      <c r="AO12" s="238"/>
      <c r="AP12" s="238"/>
      <c r="AQ12" s="238"/>
      <c r="AR12" s="238"/>
      <c r="AS12" s="238"/>
      <c r="AT12" s="238"/>
      <c r="AU12" s="238"/>
      <c r="AV12" s="238"/>
      <c r="AW12" s="238"/>
      <c r="AX12" s="238"/>
      <c r="AY12" s="238"/>
      <c r="AZ12" s="238">
        <v>0</v>
      </c>
      <c r="BA12" s="255">
        <v>8431791.35</v>
      </c>
      <c r="BB12" s="255">
        <v>3526148.17</v>
      </c>
      <c r="BC12" s="256"/>
      <c r="BD12" s="257"/>
    </row>
    <row r="13" spans="1:56">
      <c r="A13" s="13"/>
      <c r="B13" s="13"/>
      <c r="C13" s="13"/>
      <c r="D13" s="81"/>
      <c r="E13" s="22"/>
      <c r="F13" s="22"/>
      <c r="G13" s="13"/>
      <c r="H13" s="13"/>
      <c r="I13" s="13"/>
      <c r="J13" s="13"/>
      <c r="K13" s="13"/>
      <c r="L13" s="13"/>
      <c r="M13" s="13"/>
      <c r="N13" s="13"/>
      <c r="O13" s="13"/>
      <c r="P13" s="13"/>
      <c r="Q13" s="22"/>
      <c r="R13" s="205" t="s">
        <v>3492</v>
      </c>
      <c r="S13" s="43">
        <v>30000</v>
      </c>
      <c r="T13" s="43">
        <f>SUM(AO13:BC13)</f>
        <v>41056.35</v>
      </c>
      <c r="U13" s="44">
        <f>SUM(BA13:BC13)</f>
        <v>41056.35</v>
      </c>
      <c r="V13" s="67">
        <f>SUM(AO13:AZ13)</f>
        <v>0</v>
      </c>
      <c r="W13" s="67">
        <f>SUM(AP13:AZ13)</f>
        <v>0</v>
      </c>
      <c r="X13" s="67">
        <f>SUM(AQ13:AZ13)</f>
        <v>0</v>
      </c>
      <c r="Y13" s="67">
        <f>SUM(AR13:AZ13)</f>
        <v>0</v>
      </c>
      <c r="Z13" s="67">
        <f>SUM(AS13:AZ13)</f>
        <v>0</v>
      </c>
      <c r="AA13" s="67">
        <f>SUM(AT13:AZ13)</f>
        <v>0</v>
      </c>
      <c r="AB13" s="67">
        <f>SUM(AU13:AZ13)</f>
        <v>0</v>
      </c>
      <c r="AC13" s="67">
        <f>SUM(AV13:AZ13)</f>
        <v>0</v>
      </c>
      <c r="AD13" s="67">
        <f>SUM(AW13:AZ13)</f>
        <v>0</v>
      </c>
      <c r="AE13" s="67">
        <f>SUM(AX13:AZ13)</f>
        <v>0</v>
      </c>
      <c r="AF13" s="44">
        <f>SUM(AY13:AZ13)</f>
        <v>0</v>
      </c>
      <c r="AG13" s="44">
        <f>SUM(AZ13:AZ13)</f>
        <v>0</v>
      </c>
      <c r="AH13" s="220"/>
      <c r="AI13" s="220"/>
      <c r="AJ13" s="13"/>
      <c r="AK13" s="13"/>
      <c r="AL13" s="13"/>
      <c r="AM13" s="13"/>
      <c r="AN13" s="22"/>
      <c r="AO13" s="238"/>
      <c r="AP13" s="238"/>
      <c r="AQ13" s="238"/>
      <c r="AR13" s="238"/>
      <c r="AS13" s="238"/>
      <c r="AT13" s="238"/>
      <c r="AU13" s="238"/>
      <c r="AV13" s="238"/>
      <c r="AW13" s="238"/>
      <c r="AX13" s="238"/>
      <c r="AY13" s="238"/>
      <c r="AZ13" s="238">
        <v>0</v>
      </c>
      <c r="BA13" s="255">
        <v>41056.35</v>
      </c>
      <c r="BB13" s="255">
        <v>0</v>
      </c>
      <c r="BC13" s="256"/>
      <c r="BD13" s="257"/>
    </row>
    <row r="14" spans="1:56">
      <c r="A14" s="13"/>
      <c r="B14" s="13"/>
      <c r="C14" s="13"/>
      <c r="D14" s="81"/>
      <c r="E14" s="22"/>
      <c r="F14" s="22"/>
      <c r="G14" s="13"/>
      <c r="H14" s="13"/>
      <c r="I14" s="13"/>
      <c r="J14" s="13"/>
      <c r="K14" s="13"/>
      <c r="L14" s="13"/>
      <c r="M14" s="13"/>
      <c r="N14" s="13"/>
      <c r="O14" s="13"/>
      <c r="P14" s="13"/>
      <c r="Q14" s="22"/>
      <c r="R14" s="205" t="s">
        <v>3493</v>
      </c>
      <c r="S14" s="43">
        <v>0</v>
      </c>
      <c r="T14" s="43">
        <f>SUM(AO14:BC14)</f>
        <v>318672.8</v>
      </c>
      <c r="U14" s="44">
        <f>SUM(BA14:BC14)</f>
        <v>311484.46</v>
      </c>
      <c r="V14" s="67">
        <f>SUM(AO14:AZ14)</f>
        <v>7188.34</v>
      </c>
      <c r="W14" s="67">
        <f>SUM(AP14:AZ14)</f>
        <v>7188.34</v>
      </c>
      <c r="X14" s="67">
        <f>SUM(AQ14:AZ14)</f>
        <v>7188.34</v>
      </c>
      <c r="Y14" s="67">
        <f>SUM(AR14:AZ14)</f>
        <v>7188.34</v>
      </c>
      <c r="Z14" s="67">
        <f>SUM(AS14:AZ14)</f>
        <v>7188.34</v>
      </c>
      <c r="AA14" s="67">
        <f>SUM(AT14:AZ14)</f>
        <v>7188.34</v>
      </c>
      <c r="AB14" s="67">
        <f>SUM(AU14:AZ14)</f>
        <v>7188.34</v>
      </c>
      <c r="AC14" s="67">
        <f>SUM(AV14:AZ14)</f>
        <v>7188.34</v>
      </c>
      <c r="AD14" s="67">
        <f>SUM(AW14:AZ14)</f>
        <v>7188.34</v>
      </c>
      <c r="AE14" s="67">
        <f>SUM(AX14:AZ14)</f>
        <v>7188.34</v>
      </c>
      <c r="AF14" s="44">
        <f>SUM(AY14:AZ14)</f>
        <v>7188.34</v>
      </c>
      <c r="AG14" s="44">
        <f>SUM(AZ14:AZ14)</f>
        <v>7188.34</v>
      </c>
      <c r="AH14" s="220"/>
      <c r="AI14" s="220"/>
      <c r="AJ14" s="13"/>
      <c r="AK14" s="13"/>
      <c r="AL14" s="13"/>
      <c r="AM14" s="13"/>
      <c r="AN14" s="22"/>
      <c r="AO14" s="238"/>
      <c r="AP14" s="238"/>
      <c r="AQ14" s="238"/>
      <c r="AR14" s="238"/>
      <c r="AS14" s="238"/>
      <c r="AT14" s="238"/>
      <c r="AU14" s="238"/>
      <c r="AV14" s="238"/>
      <c r="AW14" s="238"/>
      <c r="AX14" s="238"/>
      <c r="AY14" s="238"/>
      <c r="AZ14" s="238">
        <v>7188.34</v>
      </c>
      <c r="BA14" s="255">
        <v>310363.04</v>
      </c>
      <c r="BB14" s="255">
        <v>1121.42</v>
      </c>
      <c r="BC14" s="256"/>
      <c r="BD14" s="257"/>
    </row>
    <row r="15" spans="1:56">
      <c r="A15" s="13"/>
      <c r="B15" s="13"/>
      <c r="C15" s="13"/>
      <c r="D15" s="81"/>
      <c r="E15" s="22"/>
      <c r="F15" s="22"/>
      <c r="G15" s="13"/>
      <c r="H15" s="13"/>
      <c r="I15" s="13"/>
      <c r="J15" s="13"/>
      <c r="K15" s="13"/>
      <c r="L15" s="13"/>
      <c r="M15" s="13"/>
      <c r="N15" s="13"/>
      <c r="O15" s="13"/>
      <c r="P15" s="13"/>
      <c r="Q15" s="22"/>
      <c r="R15" s="41" t="s">
        <v>3494</v>
      </c>
      <c r="S15" s="204">
        <f t="shared" ref="S15:AI15" si="10">SUM(S12:S14)</f>
        <v>8248119.95</v>
      </c>
      <c r="T15" s="204">
        <f t="shared" si="10"/>
        <v>12317668.67</v>
      </c>
      <c r="U15" s="204">
        <f t="shared" si="10"/>
        <v>12310480.33</v>
      </c>
      <c r="V15" s="204">
        <f t="shared" si="10"/>
        <v>7188.34</v>
      </c>
      <c r="W15" s="204">
        <f t="shared" si="10"/>
        <v>7188.34</v>
      </c>
      <c r="X15" s="204">
        <f t="shared" si="10"/>
        <v>7188.34</v>
      </c>
      <c r="Y15" s="204">
        <f t="shared" si="10"/>
        <v>7188.34</v>
      </c>
      <c r="Z15" s="204">
        <f t="shared" si="10"/>
        <v>7188.34</v>
      </c>
      <c r="AA15" s="204">
        <f t="shared" si="10"/>
        <v>7188.34</v>
      </c>
      <c r="AB15" s="204">
        <f t="shared" si="10"/>
        <v>7188.34</v>
      </c>
      <c r="AC15" s="204">
        <f t="shared" si="10"/>
        <v>7188.34</v>
      </c>
      <c r="AD15" s="204">
        <f t="shared" si="10"/>
        <v>7188.34</v>
      </c>
      <c r="AE15" s="204">
        <f t="shared" si="10"/>
        <v>7188.34</v>
      </c>
      <c r="AF15" s="204">
        <f t="shared" si="10"/>
        <v>7188.34</v>
      </c>
      <c r="AG15" s="204">
        <f t="shared" si="10"/>
        <v>7188.34</v>
      </c>
      <c r="AH15" s="204">
        <f t="shared" si="10"/>
        <v>0</v>
      </c>
      <c r="AI15" s="204">
        <f t="shared" si="10"/>
        <v>0</v>
      </c>
      <c r="AJ15" s="13"/>
      <c r="AK15" s="13"/>
      <c r="AL15" s="13"/>
      <c r="AM15" s="13"/>
      <c r="AN15" s="22"/>
      <c r="AO15" s="204">
        <f t="shared" ref="AO15:AZ15" si="11">SUM(AO12:AO14)</f>
        <v>0</v>
      </c>
      <c r="AP15" s="204">
        <f t="shared" si="11"/>
        <v>0</v>
      </c>
      <c r="AQ15" s="204">
        <f t="shared" si="11"/>
        <v>0</v>
      </c>
      <c r="AR15" s="204">
        <f t="shared" si="11"/>
        <v>0</v>
      </c>
      <c r="AS15" s="204">
        <f t="shared" si="11"/>
        <v>0</v>
      </c>
      <c r="AT15" s="204">
        <f t="shared" si="11"/>
        <v>0</v>
      </c>
      <c r="AU15" s="204">
        <f t="shared" si="11"/>
        <v>0</v>
      </c>
      <c r="AV15" s="204">
        <f t="shared" si="11"/>
        <v>0</v>
      </c>
      <c r="AW15" s="204">
        <f t="shared" si="11"/>
        <v>0</v>
      </c>
      <c r="AX15" s="204">
        <f t="shared" si="11"/>
        <v>0</v>
      </c>
      <c r="AY15" s="204">
        <f t="shared" si="11"/>
        <v>0</v>
      </c>
      <c r="AZ15" s="204">
        <f t="shared" si="11"/>
        <v>7188.34</v>
      </c>
      <c r="BA15" s="204">
        <v>205783.05</v>
      </c>
      <c r="BB15" s="44"/>
      <c r="BC15" s="193"/>
      <c r="BD15" s="257"/>
    </row>
    <row r="16" spans="1:56">
      <c r="A16" s="13"/>
      <c r="B16" s="13"/>
      <c r="C16" s="13"/>
      <c r="D16" s="81"/>
      <c r="E16" s="22"/>
      <c r="F16" s="22"/>
      <c r="G16" s="13"/>
      <c r="H16" s="13"/>
      <c r="I16" s="13"/>
      <c r="J16" s="13"/>
      <c r="K16" s="13"/>
      <c r="L16" s="13"/>
      <c r="M16" s="13"/>
      <c r="N16" s="13"/>
      <c r="O16" s="13"/>
      <c r="P16" s="13"/>
      <c r="Q16" s="22"/>
      <c r="R16" s="205" t="s">
        <v>3495</v>
      </c>
      <c r="S16" s="43">
        <f t="shared" ref="S16:AG16" si="12">S11-S12</f>
        <v>744144.2</v>
      </c>
      <c r="T16" s="43">
        <f t="shared" si="12"/>
        <v>-778824.34</v>
      </c>
      <c r="U16" s="44">
        <f t="shared" si="12"/>
        <v>-778824.34</v>
      </c>
      <c r="V16" s="43">
        <f t="shared" si="12"/>
        <v>0</v>
      </c>
      <c r="W16" s="43">
        <f t="shared" si="12"/>
        <v>0</v>
      </c>
      <c r="X16" s="43">
        <f t="shared" si="12"/>
        <v>0</v>
      </c>
      <c r="Y16" s="43">
        <f t="shared" si="12"/>
        <v>0</v>
      </c>
      <c r="Z16" s="43">
        <f t="shared" si="12"/>
        <v>0</v>
      </c>
      <c r="AA16" s="43">
        <f t="shared" si="12"/>
        <v>0</v>
      </c>
      <c r="AB16" s="43">
        <f t="shared" si="12"/>
        <v>0</v>
      </c>
      <c r="AC16" s="43">
        <f t="shared" si="12"/>
        <v>0</v>
      </c>
      <c r="AD16" s="43">
        <f t="shared" si="12"/>
        <v>0</v>
      </c>
      <c r="AE16" s="43">
        <f t="shared" si="12"/>
        <v>0</v>
      </c>
      <c r="AF16" s="44">
        <f t="shared" si="12"/>
        <v>0</v>
      </c>
      <c r="AG16" s="44">
        <f t="shared" si="12"/>
        <v>0</v>
      </c>
      <c r="AH16" s="220"/>
      <c r="AI16" s="220"/>
      <c r="AJ16" s="13"/>
      <c r="AK16" s="13"/>
      <c r="AL16" s="13"/>
      <c r="AM16" s="13"/>
      <c r="AN16" s="22"/>
      <c r="AO16" s="239">
        <f t="shared" ref="AO16:AZ16" si="13">AO11-AO12</f>
        <v>0</v>
      </c>
      <c r="AP16" s="239">
        <f t="shared" si="13"/>
        <v>0</v>
      </c>
      <c r="AQ16" s="239">
        <f t="shared" si="13"/>
        <v>0</v>
      </c>
      <c r="AR16" s="239">
        <f t="shared" si="13"/>
        <v>0</v>
      </c>
      <c r="AS16" s="239">
        <f t="shared" si="13"/>
        <v>0</v>
      </c>
      <c r="AT16" s="239">
        <f t="shared" si="13"/>
        <v>0</v>
      </c>
      <c r="AU16" s="239">
        <f t="shared" si="13"/>
        <v>0</v>
      </c>
      <c r="AV16" s="239">
        <f t="shared" si="13"/>
        <v>0</v>
      </c>
      <c r="AW16" s="239">
        <f t="shared" si="13"/>
        <v>0</v>
      </c>
      <c r="AX16" s="239">
        <f t="shared" si="13"/>
        <v>0</v>
      </c>
      <c r="AY16" s="239">
        <f t="shared" si="13"/>
        <v>0</v>
      </c>
      <c r="AZ16" s="239">
        <f t="shared" si="13"/>
        <v>0</v>
      </c>
      <c r="BA16" s="44">
        <v>-753667.120000001</v>
      </c>
      <c r="BB16" s="44">
        <v>-25157.2279999997</v>
      </c>
      <c r="BC16" s="256"/>
      <c r="BD16" s="257"/>
    </row>
    <row r="17" spans="1:56">
      <c r="A17" s="13"/>
      <c r="B17" s="13"/>
      <c r="C17" s="13"/>
      <c r="D17" s="81"/>
      <c r="E17" s="22"/>
      <c r="F17" s="22"/>
      <c r="G17" s="13"/>
      <c r="H17" s="13"/>
      <c r="I17" s="13"/>
      <c r="J17" s="13"/>
      <c r="K17" s="13"/>
      <c r="L17" s="13"/>
      <c r="M17" s="13"/>
      <c r="N17" s="13"/>
      <c r="O17" s="13"/>
      <c r="P17" s="13"/>
      <c r="Q17" s="22"/>
      <c r="R17" s="206" t="s">
        <v>3496</v>
      </c>
      <c r="S17" s="48">
        <f t="shared" ref="S17:AG17" si="14">S16/S11</f>
        <v>0.0830308265350559</v>
      </c>
      <c r="T17" s="49">
        <f t="shared" si="14"/>
        <v>-0.0696677981628954</v>
      </c>
      <c r="U17" s="48">
        <f t="shared" si="14"/>
        <v>-0.0696677981628954</v>
      </c>
      <c r="V17" s="49" t="e">
        <f t="shared" si="14"/>
        <v>#DIV/0!</v>
      </c>
      <c r="W17" s="49" t="e">
        <f t="shared" si="14"/>
        <v>#DIV/0!</v>
      </c>
      <c r="X17" s="49" t="e">
        <f t="shared" si="14"/>
        <v>#DIV/0!</v>
      </c>
      <c r="Y17" s="49" t="e">
        <f t="shared" si="14"/>
        <v>#DIV/0!</v>
      </c>
      <c r="Z17" s="49" t="e">
        <f t="shared" si="14"/>
        <v>#DIV/0!</v>
      </c>
      <c r="AA17" s="49" t="e">
        <f t="shared" si="14"/>
        <v>#DIV/0!</v>
      </c>
      <c r="AB17" s="49" t="e">
        <f t="shared" si="14"/>
        <v>#DIV/0!</v>
      </c>
      <c r="AC17" s="49" t="e">
        <f t="shared" si="14"/>
        <v>#DIV/0!</v>
      </c>
      <c r="AD17" s="49" t="e">
        <f t="shared" si="14"/>
        <v>#DIV/0!</v>
      </c>
      <c r="AE17" s="49" t="e">
        <f t="shared" si="14"/>
        <v>#DIV/0!</v>
      </c>
      <c r="AF17" s="48" t="e">
        <f t="shared" si="14"/>
        <v>#DIV/0!</v>
      </c>
      <c r="AG17" s="48" t="e">
        <f t="shared" si="14"/>
        <v>#DIV/0!</v>
      </c>
      <c r="AH17" s="224">
        <f>T17-S17</f>
        <v>-0.152698624697951</v>
      </c>
      <c r="AI17" s="224" t="e">
        <f>AF17-S17</f>
        <v>#DIV/0!</v>
      </c>
      <c r="AJ17" s="13"/>
      <c r="AK17" s="13"/>
      <c r="AL17" s="13"/>
      <c r="AM17" s="13"/>
      <c r="AN17" s="22"/>
      <c r="AO17" s="48" t="e">
        <f t="shared" ref="AO17:AZ17" si="15">AO16/AO11</f>
        <v>#DIV/0!</v>
      </c>
      <c r="AP17" s="48" t="e">
        <f t="shared" si="15"/>
        <v>#DIV/0!</v>
      </c>
      <c r="AQ17" s="48" t="e">
        <f t="shared" si="15"/>
        <v>#DIV/0!</v>
      </c>
      <c r="AR17" s="48" t="e">
        <f t="shared" si="15"/>
        <v>#DIV/0!</v>
      </c>
      <c r="AS17" s="48" t="e">
        <f t="shared" si="15"/>
        <v>#DIV/0!</v>
      </c>
      <c r="AT17" s="48" t="e">
        <f t="shared" si="15"/>
        <v>#DIV/0!</v>
      </c>
      <c r="AU17" s="48" t="e">
        <f t="shared" si="15"/>
        <v>#DIV/0!</v>
      </c>
      <c r="AV17" s="48" t="e">
        <f t="shared" si="15"/>
        <v>#DIV/0!</v>
      </c>
      <c r="AW17" s="48" t="e">
        <f t="shared" si="15"/>
        <v>#DIV/0!</v>
      </c>
      <c r="AX17" s="48" t="e">
        <f t="shared" si="15"/>
        <v>#DIV/0!</v>
      </c>
      <c r="AY17" s="48" t="e">
        <f t="shared" si="15"/>
        <v>#DIV/0!</v>
      </c>
      <c r="AZ17" s="48" t="e">
        <f t="shared" si="15"/>
        <v>#DIV/0!</v>
      </c>
      <c r="BA17" s="48">
        <v>-0.0981577137102405</v>
      </c>
      <c r="BB17" s="48">
        <v>-0.00718574495529205</v>
      </c>
      <c r="BC17" s="256"/>
      <c r="BD17" s="257"/>
    </row>
    <row r="18" spans="1:56">
      <c r="A18" s="13"/>
      <c r="B18" s="13"/>
      <c r="C18" s="13"/>
      <c r="D18" s="81"/>
      <c r="E18" s="22"/>
      <c r="F18" s="22"/>
      <c r="G18" s="13"/>
      <c r="H18" s="13"/>
      <c r="I18" s="13"/>
      <c r="J18" s="13"/>
      <c r="K18" s="13"/>
      <c r="L18" s="13"/>
      <c r="M18" s="13"/>
      <c r="N18" s="13"/>
      <c r="O18" s="13"/>
      <c r="P18" s="13"/>
      <c r="Q18" s="22"/>
      <c r="R18" s="205" t="s">
        <v>3497</v>
      </c>
      <c r="S18" s="207">
        <f t="shared" ref="S18:AG18" si="16">S11-S12-S13-S14</f>
        <v>714144.2</v>
      </c>
      <c r="T18" s="43">
        <f t="shared" si="16"/>
        <v>-1138553.49</v>
      </c>
      <c r="U18" s="44">
        <f t="shared" si="16"/>
        <v>-1131365.15</v>
      </c>
      <c r="V18" s="43">
        <f t="shared" si="16"/>
        <v>-7188.34</v>
      </c>
      <c r="W18" s="43">
        <f t="shared" si="16"/>
        <v>-7188.34</v>
      </c>
      <c r="X18" s="43">
        <f t="shared" si="16"/>
        <v>-7188.34</v>
      </c>
      <c r="Y18" s="43">
        <f t="shared" si="16"/>
        <v>-7188.34</v>
      </c>
      <c r="Z18" s="43">
        <f t="shared" si="16"/>
        <v>-7188.34</v>
      </c>
      <c r="AA18" s="43">
        <f t="shared" si="16"/>
        <v>-7188.34</v>
      </c>
      <c r="AB18" s="43">
        <f t="shared" si="16"/>
        <v>-7188.34</v>
      </c>
      <c r="AC18" s="43">
        <f t="shared" si="16"/>
        <v>-7188.34</v>
      </c>
      <c r="AD18" s="43">
        <f t="shared" si="16"/>
        <v>-7188.34</v>
      </c>
      <c r="AE18" s="43">
        <f t="shared" si="16"/>
        <v>-7188.34</v>
      </c>
      <c r="AF18" s="44">
        <f t="shared" si="16"/>
        <v>-7188.34</v>
      </c>
      <c r="AG18" s="44">
        <f t="shared" si="16"/>
        <v>-7188.34</v>
      </c>
      <c r="AH18" s="224"/>
      <c r="AI18" s="224"/>
      <c r="AJ18" s="13"/>
      <c r="AK18" s="13"/>
      <c r="AL18" s="13"/>
      <c r="AM18" s="13"/>
      <c r="AN18" s="22"/>
      <c r="AO18" s="44">
        <f t="shared" ref="AO18:AZ18" si="17">AO11-AO12-AO13-AO14</f>
        <v>0</v>
      </c>
      <c r="AP18" s="44">
        <f t="shared" si="17"/>
        <v>0</v>
      </c>
      <c r="AQ18" s="44">
        <f t="shared" si="17"/>
        <v>0</v>
      </c>
      <c r="AR18" s="44">
        <f t="shared" si="17"/>
        <v>0</v>
      </c>
      <c r="AS18" s="44">
        <f t="shared" si="17"/>
        <v>0</v>
      </c>
      <c r="AT18" s="44">
        <f t="shared" si="17"/>
        <v>0</v>
      </c>
      <c r="AU18" s="44">
        <f t="shared" si="17"/>
        <v>0</v>
      </c>
      <c r="AV18" s="44">
        <f t="shared" si="17"/>
        <v>0</v>
      </c>
      <c r="AW18" s="44">
        <f t="shared" si="17"/>
        <v>0</v>
      </c>
      <c r="AX18" s="44">
        <f t="shared" si="17"/>
        <v>0</v>
      </c>
      <c r="AY18" s="44">
        <f t="shared" si="17"/>
        <v>0</v>
      </c>
      <c r="AZ18" s="44">
        <f t="shared" si="17"/>
        <v>-7188.34</v>
      </c>
      <c r="BA18" s="44">
        <v>-1105086.51</v>
      </c>
      <c r="BB18" s="44">
        <v>-26278.6479999997</v>
      </c>
      <c r="BC18" s="256"/>
      <c r="BD18" s="257"/>
    </row>
    <row r="19" spans="1:56">
      <c r="A19" s="14"/>
      <c r="B19" s="14"/>
      <c r="C19" s="14"/>
      <c r="D19" s="84"/>
      <c r="E19" s="177"/>
      <c r="F19" s="177"/>
      <c r="G19" s="14"/>
      <c r="H19" s="14"/>
      <c r="I19" s="14"/>
      <c r="J19" s="14"/>
      <c r="K19" s="14"/>
      <c r="L19" s="14"/>
      <c r="M19" s="14"/>
      <c r="N19" s="14"/>
      <c r="O19" s="14"/>
      <c r="P19" s="14"/>
      <c r="Q19" s="24"/>
      <c r="R19" s="206" t="s">
        <v>3498</v>
      </c>
      <c r="S19" s="48">
        <f t="shared" ref="S19:AG19" si="18">S18/S11</f>
        <v>0.0796834581136509</v>
      </c>
      <c r="T19" s="49">
        <f t="shared" si="18"/>
        <v>-0.101846476368445</v>
      </c>
      <c r="U19" s="48">
        <f t="shared" si="18"/>
        <v>-0.101203461256403</v>
      </c>
      <c r="V19" s="49" t="e">
        <f t="shared" si="18"/>
        <v>#DIV/0!</v>
      </c>
      <c r="W19" s="49" t="e">
        <f t="shared" si="18"/>
        <v>#DIV/0!</v>
      </c>
      <c r="X19" s="49" t="e">
        <f t="shared" si="18"/>
        <v>#DIV/0!</v>
      </c>
      <c r="Y19" s="49" t="e">
        <f t="shared" si="18"/>
        <v>#DIV/0!</v>
      </c>
      <c r="Z19" s="49" t="e">
        <f t="shared" si="18"/>
        <v>#DIV/0!</v>
      </c>
      <c r="AA19" s="49" t="e">
        <f t="shared" si="18"/>
        <v>#DIV/0!</v>
      </c>
      <c r="AB19" s="49" t="e">
        <f t="shared" si="18"/>
        <v>#DIV/0!</v>
      </c>
      <c r="AC19" s="49" t="e">
        <f t="shared" si="18"/>
        <v>#DIV/0!</v>
      </c>
      <c r="AD19" s="49" t="e">
        <f t="shared" si="18"/>
        <v>#DIV/0!</v>
      </c>
      <c r="AE19" s="49" t="e">
        <f t="shared" si="18"/>
        <v>#DIV/0!</v>
      </c>
      <c r="AF19" s="48" t="e">
        <f t="shared" si="18"/>
        <v>#DIV/0!</v>
      </c>
      <c r="AG19" s="48" t="e">
        <f t="shared" si="18"/>
        <v>#DIV/0!</v>
      </c>
      <c r="AH19" s="224">
        <f>T19-S19</f>
        <v>-0.181529934482096</v>
      </c>
      <c r="AI19" s="224" t="e">
        <f>AF19-S19</f>
        <v>#DIV/0!</v>
      </c>
      <c r="AJ19" s="14"/>
      <c r="AK19" s="14"/>
      <c r="AL19" s="14"/>
      <c r="AM19" s="14"/>
      <c r="AN19" s="24"/>
      <c r="AO19" s="48" t="e">
        <f t="shared" ref="AO19:AZ19" si="19">AO18/AO11</f>
        <v>#DIV/0!</v>
      </c>
      <c r="AP19" s="48" t="e">
        <f t="shared" si="19"/>
        <v>#DIV/0!</v>
      </c>
      <c r="AQ19" s="48" t="e">
        <f t="shared" si="19"/>
        <v>#DIV/0!</v>
      </c>
      <c r="AR19" s="48" t="e">
        <f t="shared" si="19"/>
        <v>#DIV/0!</v>
      </c>
      <c r="AS19" s="48" t="e">
        <f t="shared" si="19"/>
        <v>#DIV/0!</v>
      </c>
      <c r="AT19" s="48" t="e">
        <f t="shared" si="19"/>
        <v>#DIV/0!</v>
      </c>
      <c r="AU19" s="48" t="e">
        <f t="shared" si="19"/>
        <v>#DIV/0!</v>
      </c>
      <c r="AV19" s="48" t="e">
        <f t="shared" si="19"/>
        <v>#DIV/0!</v>
      </c>
      <c r="AW19" s="48" t="e">
        <f t="shared" si="19"/>
        <v>#DIV/0!</v>
      </c>
      <c r="AX19" s="48" t="e">
        <f t="shared" si="19"/>
        <v>#DIV/0!</v>
      </c>
      <c r="AY19" s="48" t="e">
        <f t="shared" si="19"/>
        <v>#DIV/0!</v>
      </c>
      <c r="AZ19" s="48" t="e">
        <f t="shared" si="19"/>
        <v>#DIV/0!</v>
      </c>
      <c r="BA19" s="48">
        <v>-0.143926625422678</v>
      </c>
      <c r="BB19" s="48">
        <v>-0.00750605997997456</v>
      </c>
      <c r="BC19" s="256"/>
      <c r="BD19" s="257"/>
    </row>
    <row r="20" spans="1:56">
      <c r="A20" s="8" t="s">
        <v>810</v>
      </c>
      <c r="B20" s="182" t="s">
        <v>3366</v>
      </c>
      <c r="C20" s="17">
        <v>45689</v>
      </c>
      <c r="D20" s="17">
        <v>46022</v>
      </c>
      <c r="E20" s="183"/>
      <c r="F20" s="183"/>
      <c r="G20" s="184"/>
      <c r="H20" s="185"/>
      <c r="I20" s="174"/>
      <c r="J20" s="174"/>
      <c r="K20" s="174"/>
      <c r="L20" s="199"/>
      <c r="M20" s="199"/>
      <c r="N20" s="199"/>
      <c r="O20" s="199"/>
      <c r="P20" s="199"/>
      <c r="Q20" s="10" t="s">
        <v>3499</v>
      </c>
      <c r="R20" s="208" t="s">
        <v>3486</v>
      </c>
      <c r="S20" s="44">
        <v>4528301.89</v>
      </c>
      <c r="T20" s="43">
        <f>SUM(AO20:BC20)</f>
        <v>716384.74</v>
      </c>
      <c r="U20" s="44">
        <f>SUM(BA20:BC20)</f>
        <v>716384.74</v>
      </c>
      <c r="V20" s="67">
        <f>SUM(AO20:AZ20)</f>
        <v>0</v>
      </c>
      <c r="W20" s="67">
        <f>SUM(AP20:AZ20)+715349.22+3680662.51+232562.39</f>
        <v>4628574.12</v>
      </c>
      <c r="X20" s="67">
        <f>SUM(AQ20:AZ20)</f>
        <v>0</v>
      </c>
      <c r="Y20" s="67">
        <f>SUM(AR20:AZ20)</f>
        <v>0</v>
      </c>
      <c r="Z20" s="67">
        <f>SUM(AS20:AZ20)</f>
        <v>0</v>
      </c>
      <c r="AA20" s="67">
        <f>SUM(AT20:AZ20)</f>
        <v>0</v>
      </c>
      <c r="AB20" s="67">
        <f>SUM(AU20:AZ20)</f>
        <v>0</v>
      </c>
      <c r="AC20" s="67">
        <f>SUM(AV20:AZ20)</f>
        <v>0</v>
      </c>
      <c r="AD20" s="67">
        <f>SUM(AW20:AZ20)</f>
        <v>0</v>
      </c>
      <c r="AE20" s="217">
        <f>SUM(AX20:AZ20)</f>
        <v>0</v>
      </c>
      <c r="AF20" s="44">
        <f>SUM(AY20:AZ20)</f>
        <v>0</v>
      </c>
      <c r="AG20" s="217">
        <f>SUM(AZ20:AZ20)</f>
        <v>0</v>
      </c>
      <c r="AH20" s="220"/>
      <c r="AI20" s="220"/>
      <c r="AJ20" s="228"/>
      <c r="AK20" s="229" t="s">
        <v>3367</v>
      </c>
      <c r="AL20" s="15" t="s">
        <v>377</v>
      </c>
      <c r="AM20" s="15" t="s">
        <v>377</v>
      </c>
      <c r="AN20" s="79"/>
      <c r="AO20" s="237"/>
      <c r="AP20" s="237"/>
      <c r="AQ20" s="237"/>
      <c r="AR20" s="237"/>
      <c r="AS20" s="237"/>
      <c r="AT20" s="237"/>
      <c r="AU20" s="237"/>
      <c r="AV20" s="237"/>
      <c r="AW20" s="237"/>
      <c r="AX20" s="237"/>
      <c r="AY20" s="237"/>
      <c r="AZ20" s="237"/>
      <c r="BA20" s="228">
        <v>716384.74</v>
      </c>
      <c r="BB20" s="228"/>
      <c r="BC20" s="228"/>
      <c r="BD20" s="257"/>
    </row>
    <row r="21" spans="1:56">
      <c r="A21" s="13"/>
      <c r="B21" s="13"/>
      <c r="C21" s="13"/>
      <c r="D21" s="13"/>
      <c r="E21" s="22"/>
      <c r="F21" s="22"/>
      <c r="G21" s="13"/>
      <c r="H21" s="13"/>
      <c r="I21" s="13"/>
      <c r="J21" s="13"/>
      <c r="K21" s="13"/>
      <c r="L21" s="13"/>
      <c r="M21" s="13"/>
      <c r="N21" s="13"/>
      <c r="O21" s="13"/>
      <c r="P21" s="13"/>
      <c r="Q21" s="13"/>
      <c r="R21" s="208" t="s">
        <v>3490</v>
      </c>
      <c r="S21" s="44">
        <v>3603347.21</v>
      </c>
      <c r="T21" s="43">
        <f>SUM(AO21:BC21)</f>
        <v>888660.01</v>
      </c>
      <c r="U21" s="44">
        <f>SUM(BA21:BC21)</f>
        <v>888660.01</v>
      </c>
      <c r="V21" s="67">
        <f>SUM(AO21:AZ21)</f>
        <v>0</v>
      </c>
      <c r="W21" s="67">
        <f>SUM(AP21:AZ21)+404119.96+2880769.59+166740.38</f>
        <v>3451629.93</v>
      </c>
      <c r="X21" s="67">
        <f>SUM(AQ21:AZ21)</f>
        <v>0</v>
      </c>
      <c r="Y21" s="67">
        <f>SUM(AR21:AZ21)</f>
        <v>0</v>
      </c>
      <c r="Z21" s="67">
        <f>SUM(AS21:AZ21)</f>
        <v>0</v>
      </c>
      <c r="AA21" s="67">
        <f>SUM(AT21:AZ21)</f>
        <v>0</v>
      </c>
      <c r="AB21" s="67">
        <f>SUM(AU21:AZ21)</f>
        <v>0</v>
      </c>
      <c r="AC21" s="67">
        <f>SUM(AV21:AZ21)</f>
        <v>0</v>
      </c>
      <c r="AD21" s="67">
        <f>SUM(AW21:AZ21)</f>
        <v>0</v>
      </c>
      <c r="AE21" s="217">
        <f>SUM(AX21:AZ21)</f>
        <v>0</v>
      </c>
      <c r="AF21" s="44">
        <f>SUM(AY21:AZ21)</f>
        <v>0</v>
      </c>
      <c r="AG21" s="217">
        <f>SUM(AZ21:AZ21)</f>
        <v>0</v>
      </c>
      <c r="AH21" s="220"/>
      <c r="AI21" s="220"/>
      <c r="AJ21" s="13"/>
      <c r="AK21" s="13"/>
      <c r="AL21" s="13"/>
      <c r="AM21" s="13"/>
      <c r="AN21" s="22"/>
      <c r="AO21" s="238"/>
      <c r="AP21" s="238"/>
      <c r="AQ21" s="238"/>
      <c r="AR21" s="238"/>
      <c r="AS21" s="238"/>
      <c r="AT21" s="238"/>
      <c r="AU21" s="238"/>
      <c r="AV21" s="238"/>
      <c r="AW21" s="238"/>
      <c r="AX21" s="238"/>
      <c r="AY21" s="238"/>
      <c r="AZ21" s="238"/>
      <c r="BA21" s="228">
        <v>888660.01</v>
      </c>
      <c r="BB21" s="228"/>
      <c r="BC21" s="228"/>
      <c r="BD21" s="257"/>
    </row>
    <row r="22" spans="1:56">
      <c r="A22" s="13"/>
      <c r="B22" s="13"/>
      <c r="C22" s="13"/>
      <c r="D22" s="13"/>
      <c r="E22" s="22"/>
      <c r="F22" s="22"/>
      <c r="G22" s="13"/>
      <c r="H22" s="13"/>
      <c r="I22" s="13"/>
      <c r="J22" s="13"/>
      <c r="K22" s="13"/>
      <c r="L22" s="13"/>
      <c r="M22" s="13"/>
      <c r="N22" s="13"/>
      <c r="O22" s="13"/>
      <c r="P22" s="13"/>
      <c r="Q22" s="13"/>
      <c r="R22" s="208" t="s">
        <v>3492</v>
      </c>
      <c r="S22" s="44">
        <v>0</v>
      </c>
      <c r="T22" s="43">
        <f>SUM(AO22:BC22)</f>
        <v>0</v>
      </c>
      <c r="U22" s="44">
        <f>SUM(BA22:BC22)</f>
        <v>0</v>
      </c>
      <c r="V22" s="67">
        <f>SUM(AO22:AZ22)</f>
        <v>0</v>
      </c>
      <c r="W22" s="67">
        <f>SUM(AP22:AZ22)</f>
        <v>0</v>
      </c>
      <c r="X22" s="67">
        <f>SUM(AQ22:AZ22)</f>
        <v>0</v>
      </c>
      <c r="Y22" s="67">
        <f>SUM(AR22:AZ22)</f>
        <v>0</v>
      </c>
      <c r="Z22" s="67">
        <f>SUM(AS22:AZ22)</f>
        <v>0</v>
      </c>
      <c r="AA22" s="67">
        <f>SUM(AT22:AZ22)</f>
        <v>0</v>
      </c>
      <c r="AB22" s="67">
        <f>SUM(AU22:AZ22)</f>
        <v>0</v>
      </c>
      <c r="AC22" s="67">
        <f>SUM(AV22:AZ22)</f>
        <v>0</v>
      </c>
      <c r="AD22" s="67">
        <f>SUM(AW22:AZ22)</f>
        <v>0</v>
      </c>
      <c r="AE22" s="217">
        <f>SUM(AX22:AZ22)</f>
        <v>0</v>
      </c>
      <c r="AF22" s="44">
        <f>SUM(AY22:AZ22)</f>
        <v>0</v>
      </c>
      <c r="AG22" s="217">
        <f>SUM(AZ22:AZ22)</f>
        <v>0</v>
      </c>
      <c r="AH22" s="220"/>
      <c r="AI22" s="220"/>
      <c r="AJ22" s="13"/>
      <c r="AK22" s="13"/>
      <c r="AL22" s="13"/>
      <c r="AM22" s="13"/>
      <c r="AN22" s="22"/>
      <c r="AO22" s="238"/>
      <c r="AP22" s="238"/>
      <c r="AQ22" s="238"/>
      <c r="AR22" s="238"/>
      <c r="AS22" s="238"/>
      <c r="AT22" s="238"/>
      <c r="AU22" s="238"/>
      <c r="AV22" s="238"/>
      <c r="AW22" s="238"/>
      <c r="AX22" s="238"/>
      <c r="AY22" s="238"/>
      <c r="AZ22" s="238"/>
      <c r="BA22" s="228">
        <v>0</v>
      </c>
      <c r="BB22" s="228"/>
      <c r="BC22" s="228"/>
      <c r="BD22" s="257"/>
    </row>
    <row r="23" spans="1:56">
      <c r="A23" s="13"/>
      <c r="B23" s="13"/>
      <c r="C23" s="13"/>
      <c r="D23" s="13"/>
      <c r="E23" s="22"/>
      <c r="F23" s="22"/>
      <c r="G23" s="13"/>
      <c r="H23" s="13"/>
      <c r="I23" s="13"/>
      <c r="J23" s="13"/>
      <c r="K23" s="13"/>
      <c r="L23" s="13"/>
      <c r="M23" s="13"/>
      <c r="N23" s="13"/>
      <c r="O23" s="13"/>
      <c r="P23" s="13"/>
      <c r="Q23" s="13"/>
      <c r="R23" s="208" t="s">
        <v>3493</v>
      </c>
      <c r="S23" s="44">
        <v>0</v>
      </c>
      <c r="T23" s="43">
        <f>SUM(AO23:BC23)</f>
        <v>8702.51</v>
      </c>
      <c r="U23" s="44">
        <f>SUM(BA23:BC23)</f>
        <v>8702.51</v>
      </c>
      <c r="V23" s="67">
        <f>SUM(AO23:AZ23)</f>
        <v>0</v>
      </c>
      <c r="W23" s="67">
        <f>SUM(AP23:AZ23)</f>
        <v>0</v>
      </c>
      <c r="X23" s="67">
        <f>SUM(AQ23:AZ23)</f>
        <v>0</v>
      </c>
      <c r="Y23" s="67">
        <f>SUM(AR23:AZ23)</f>
        <v>0</v>
      </c>
      <c r="Z23" s="67">
        <f>SUM(AS23:AZ23)</f>
        <v>0</v>
      </c>
      <c r="AA23" s="67">
        <f>SUM(AT23:AZ23)</f>
        <v>0</v>
      </c>
      <c r="AB23" s="67">
        <f>SUM(AU23:AZ23)</f>
        <v>0</v>
      </c>
      <c r="AC23" s="67">
        <f>SUM(AV23:AZ23)</f>
        <v>0</v>
      </c>
      <c r="AD23" s="67">
        <f>SUM(AW23:AZ23)</f>
        <v>0</v>
      </c>
      <c r="AE23" s="217">
        <f>SUM(AX23:AZ23)</f>
        <v>0</v>
      </c>
      <c r="AF23" s="44">
        <f>SUM(AY23:AZ23)</f>
        <v>0</v>
      </c>
      <c r="AG23" s="217">
        <f>SUM(AZ23:AZ23)</f>
        <v>0</v>
      </c>
      <c r="AH23" s="220"/>
      <c r="AI23" s="220"/>
      <c r="AJ23" s="13"/>
      <c r="AK23" s="13"/>
      <c r="AL23" s="13"/>
      <c r="AM23" s="13"/>
      <c r="AN23" s="22"/>
      <c r="AO23" s="238"/>
      <c r="AP23" s="238"/>
      <c r="AQ23" s="238"/>
      <c r="AR23" s="238"/>
      <c r="AS23" s="238"/>
      <c r="AT23" s="238"/>
      <c r="AU23" s="238"/>
      <c r="AV23" s="238"/>
      <c r="AW23" s="238"/>
      <c r="AX23" s="238"/>
      <c r="AY23" s="238"/>
      <c r="AZ23" s="238"/>
      <c r="BA23" s="228">
        <v>8702.51</v>
      </c>
      <c r="BB23" s="228"/>
      <c r="BC23" s="228"/>
      <c r="BD23" s="257"/>
    </row>
    <row r="24" spans="1:56">
      <c r="A24" s="13"/>
      <c r="B24" s="13"/>
      <c r="C24" s="13"/>
      <c r="D24" s="13"/>
      <c r="E24" s="22"/>
      <c r="F24" s="22"/>
      <c r="G24" s="13"/>
      <c r="H24" s="13"/>
      <c r="I24" s="13"/>
      <c r="J24" s="13"/>
      <c r="K24" s="13"/>
      <c r="L24" s="13"/>
      <c r="M24" s="13"/>
      <c r="N24" s="13"/>
      <c r="O24" s="13"/>
      <c r="P24" s="13"/>
      <c r="Q24" s="13"/>
      <c r="R24" s="41" t="s">
        <v>3494</v>
      </c>
      <c r="S24" s="204">
        <f t="shared" ref="S24:AI24" si="20">SUM(S21:S23)</f>
        <v>3603347.21</v>
      </c>
      <c r="T24" s="204">
        <f t="shared" si="20"/>
        <v>897362.52</v>
      </c>
      <c r="U24" s="204">
        <f t="shared" si="20"/>
        <v>897362.52</v>
      </c>
      <c r="V24" s="204">
        <f t="shared" si="20"/>
        <v>0</v>
      </c>
      <c r="W24" s="204">
        <f t="shared" si="20"/>
        <v>3451629.93</v>
      </c>
      <c r="X24" s="204">
        <f t="shared" si="20"/>
        <v>0</v>
      </c>
      <c r="Y24" s="204">
        <f t="shared" si="20"/>
        <v>0</v>
      </c>
      <c r="Z24" s="204">
        <f t="shared" si="20"/>
        <v>0</v>
      </c>
      <c r="AA24" s="204">
        <f t="shared" si="20"/>
        <v>0</v>
      </c>
      <c r="AB24" s="204">
        <f t="shared" si="20"/>
        <v>0</v>
      </c>
      <c r="AC24" s="204">
        <f t="shared" si="20"/>
        <v>0</v>
      </c>
      <c r="AD24" s="204">
        <f t="shared" si="20"/>
        <v>0</v>
      </c>
      <c r="AE24" s="204">
        <f t="shared" si="20"/>
        <v>0</v>
      </c>
      <c r="AF24" s="204">
        <f t="shared" si="20"/>
        <v>0</v>
      </c>
      <c r="AG24" s="204">
        <f t="shared" si="20"/>
        <v>0</v>
      </c>
      <c r="AH24" s="204">
        <f t="shared" si="20"/>
        <v>0</v>
      </c>
      <c r="AI24" s="204">
        <f t="shared" si="20"/>
        <v>0</v>
      </c>
      <c r="AJ24" s="13"/>
      <c r="AK24" s="13"/>
      <c r="AL24" s="13"/>
      <c r="AM24" s="13"/>
      <c r="AN24" s="22"/>
      <c r="AO24" s="204">
        <f t="shared" ref="AO24:AZ24" si="21">SUM(AO21:AO23)</f>
        <v>0</v>
      </c>
      <c r="AP24" s="204">
        <f t="shared" si="21"/>
        <v>0</v>
      </c>
      <c r="AQ24" s="204">
        <f t="shared" si="21"/>
        <v>0</v>
      </c>
      <c r="AR24" s="204">
        <f t="shared" si="21"/>
        <v>0</v>
      </c>
      <c r="AS24" s="204">
        <f t="shared" si="21"/>
        <v>0</v>
      </c>
      <c r="AT24" s="204">
        <f t="shared" si="21"/>
        <v>0</v>
      </c>
      <c r="AU24" s="204">
        <f t="shared" si="21"/>
        <v>0</v>
      </c>
      <c r="AV24" s="204">
        <f t="shared" si="21"/>
        <v>0</v>
      </c>
      <c r="AW24" s="204">
        <f t="shared" si="21"/>
        <v>0</v>
      </c>
      <c r="AX24" s="204">
        <f t="shared" si="21"/>
        <v>0</v>
      </c>
      <c r="AY24" s="204">
        <f t="shared" si="21"/>
        <v>0</v>
      </c>
      <c r="AZ24" s="204">
        <f t="shared" si="21"/>
        <v>0</v>
      </c>
      <c r="BA24" s="204">
        <v>205783.05</v>
      </c>
      <c r="BB24" s="44"/>
      <c r="BC24" s="193"/>
      <c r="BD24" s="257"/>
    </row>
    <row r="25" spans="1:56">
      <c r="A25" s="13"/>
      <c r="B25" s="13"/>
      <c r="C25" s="13"/>
      <c r="D25" s="13"/>
      <c r="E25" s="22"/>
      <c r="F25" s="22"/>
      <c r="G25" s="13"/>
      <c r="H25" s="13"/>
      <c r="I25" s="13"/>
      <c r="J25" s="13"/>
      <c r="K25" s="13"/>
      <c r="L25" s="13"/>
      <c r="M25" s="13"/>
      <c r="N25" s="13"/>
      <c r="O25" s="13"/>
      <c r="P25" s="13"/>
      <c r="Q25" s="13"/>
      <c r="R25" s="208" t="s">
        <v>3495</v>
      </c>
      <c r="S25" s="44">
        <f t="shared" ref="S25:AG25" si="22">S20-S21</f>
        <v>924954.68</v>
      </c>
      <c r="T25" s="43">
        <f t="shared" si="22"/>
        <v>-172275.27</v>
      </c>
      <c r="U25" s="44">
        <f t="shared" si="22"/>
        <v>-172275.27</v>
      </c>
      <c r="V25" s="43">
        <f t="shared" si="22"/>
        <v>0</v>
      </c>
      <c r="W25" s="43">
        <f t="shared" si="22"/>
        <v>1176944.19</v>
      </c>
      <c r="X25" s="43">
        <f t="shared" si="22"/>
        <v>0</v>
      </c>
      <c r="Y25" s="43">
        <f t="shared" si="22"/>
        <v>0</v>
      </c>
      <c r="Z25" s="43">
        <f t="shared" si="22"/>
        <v>0</v>
      </c>
      <c r="AA25" s="43">
        <f t="shared" si="22"/>
        <v>0</v>
      </c>
      <c r="AB25" s="43">
        <f t="shared" si="22"/>
        <v>0</v>
      </c>
      <c r="AC25" s="43">
        <f t="shared" si="22"/>
        <v>0</v>
      </c>
      <c r="AD25" s="43">
        <f t="shared" si="22"/>
        <v>0</v>
      </c>
      <c r="AE25" s="44">
        <f t="shared" si="22"/>
        <v>0</v>
      </c>
      <c r="AF25" s="44">
        <f t="shared" si="22"/>
        <v>0</v>
      </c>
      <c r="AG25" s="44">
        <f t="shared" si="22"/>
        <v>0</v>
      </c>
      <c r="AH25" s="220"/>
      <c r="AI25" s="220"/>
      <c r="AJ25" s="13"/>
      <c r="AK25" s="13"/>
      <c r="AL25" s="13"/>
      <c r="AM25" s="13"/>
      <c r="AN25" s="22"/>
      <c r="AO25" s="239">
        <f t="shared" ref="AO25:AZ25" si="23">AO20-AO21</f>
        <v>0</v>
      </c>
      <c r="AP25" s="239">
        <f t="shared" si="23"/>
        <v>0</v>
      </c>
      <c r="AQ25" s="239">
        <f t="shared" si="23"/>
        <v>0</v>
      </c>
      <c r="AR25" s="239">
        <f t="shared" si="23"/>
        <v>0</v>
      </c>
      <c r="AS25" s="239">
        <f t="shared" si="23"/>
        <v>0</v>
      </c>
      <c r="AT25" s="239">
        <f t="shared" si="23"/>
        <v>0</v>
      </c>
      <c r="AU25" s="239">
        <f t="shared" si="23"/>
        <v>0</v>
      </c>
      <c r="AV25" s="239">
        <f t="shared" si="23"/>
        <v>0</v>
      </c>
      <c r="AW25" s="239">
        <f t="shared" si="23"/>
        <v>0</v>
      </c>
      <c r="AX25" s="239">
        <f t="shared" si="23"/>
        <v>0</v>
      </c>
      <c r="AY25" s="239">
        <f t="shared" si="23"/>
        <v>0</v>
      </c>
      <c r="AZ25" s="239">
        <f t="shared" si="23"/>
        <v>0</v>
      </c>
      <c r="BA25" s="228">
        <v>-172275.27</v>
      </c>
      <c r="BB25" s="228"/>
      <c r="BC25" s="228"/>
      <c r="BD25" s="257"/>
    </row>
    <row r="26" spans="1:56">
      <c r="A26" s="13"/>
      <c r="B26" s="13"/>
      <c r="C26" s="13"/>
      <c r="D26" s="13"/>
      <c r="E26" s="22"/>
      <c r="F26" s="22"/>
      <c r="G26" s="13"/>
      <c r="H26" s="13"/>
      <c r="I26" s="13"/>
      <c r="J26" s="13"/>
      <c r="K26" s="13"/>
      <c r="L26" s="13"/>
      <c r="M26" s="13"/>
      <c r="N26" s="13"/>
      <c r="O26" s="13"/>
      <c r="P26" s="13"/>
      <c r="Q26" s="13"/>
      <c r="R26" s="47" t="s">
        <v>3496</v>
      </c>
      <c r="S26" s="48">
        <f t="shared" ref="S26:AG26" si="24">S25/S20</f>
        <v>0.204260825021982</v>
      </c>
      <c r="T26" s="49">
        <f t="shared" si="24"/>
        <v>-0.240478698638946</v>
      </c>
      <c r="U26" s="48">
        <f t="shared" si="24"/>
        <v>-0.240478698638946</v>
      </c>
      <c r="V26" s="49" t="e">
        <f t="shared" si="24"/>
        <v>#DIV/0!</v>
      </c>
      <c r="W26" s="49">
        <f t="shared" si="24"/>
        <v>0.25427791788284</v>
      </c>
      <c r="X26" s="49" t="e">
        <f t="shared" si="24"/>
        <v>#DIV/0!</v>
      </c>
      <c r="Y26" s="49" t="e">
        <f t="shared" si="24"/>
        <v>#DIV/0!</v>
      </c>
      <c r="Z26" s="49" t="e">
        <f t="shared" si="24"/>
        <v>#DIV/0!</v>
      </c>
      <c r="AA26" s="49" t="e">
        <f t="shared" si="24"/>
        <v>#DIV/0!</v>
      </c>
      <c r="AB26" s="49" t="e">
        <f t="shared" si="24"/>
        <v>#DIV/0!</v>
      </c>
      <c r="AC26" s="49" t="e">
        <f t="shared" si="24"/>
        <v>#DIV/0!</v>
      </c>
      <c r="AD26" s="49" t="e">
        <f t="shared" si="24"/>
        <v>#DIV/0!</v>
      </c>
      <c r="AE26" s="48" t="e">
        <f t="shared" si="24"/>
        <v>#DIV/0!</v>
      </c>
      <c r="AF26" s="48" t="e">
        <f t="shared" si="24"/>
        <v>#DIV/0!</v>
      </c>
      <c r="AG26" s="48" t="e">
        <f t="shared" si="24"/>
        <v>#DIV/0!</v>
      </c>
      <c r="AH26" s="224">
        <f>T26-S26</f>
        <v>-0.444739523660928</v>
      </c>
      <c r="AI26" s="224" t="e">
        <f>AF26-S26</f>
        <v>#DIV/0!</v>
      </c>
      <c r="AJ26" s="13"/>
      <c r="AK26" s="13"/>
      <c r="AL26" s="13"/>
      <c r="AM26" s="13"/>
      <c r="AN26" s="22"/>
      <c r="AO26" s="48" t="e">
        <f t="shared" ref="AO26:AZ26" si="25">AO25/AO20</f>
        <v>#DIV/0!</v>
      </c>
      <c r="AP26" s="48" t="e">
        <f t="shared" si="25"/>
        <v>#DIV/0!</v>
      </c>
      <c r="AQ26" s="48" t="e">
        <f t="shared" si="25"/>
        <v>#DIV/0!</v>
      </c>
      <c r="AR26" s="48" t="e">
        <f t="shared" si="25"/>
        <v>#DIV/0!</v>
      </c>
      <c r="AS26" s="48" t="e">
        <f t="shared" si="25"/>
        <v>#DIV/0!</v>
      </c>
      <c r="AT26" s="48" t="e">
        <f t="shared" si="25"/>
        <v>#DIV/0!</v>
      </c>
      <c r="AU26" s="48" t="e">
        <f t="shared" si="25"/>
        <v>#DIV/0!</v>
      </c>
      <c r="AV26" s="48" t="e">
        <f t="shared" si="25"/>
        <v>#DIV/0!</v>
      </c>
      <c r="AW26" s="48" t="e">
        <f t="shared" si="25"/>
        <v>#DIV/0!</v>
      </c>
      <c r="AX26" s="48" t="e">
        <f t="shared" si="25"/>
        <v>#DIV/0!</v>
      </c>
      <c r="AY26" s="48" t="e">
        <f t="shared" si="25"/>
        <v>#DIV/0!</v>
      </c>
      <c r="AZ26" s="48" t="e">
        <f t="shared" si="25"/>
        <v>#DIV/0!</v>
      </c>
      <c r="BA26" s="228">
        <v>-0.240478698638946</v>
      </c>
      <c r="BB26" s="228"/>
      <c r="BC26" s="228"/>
      <c r="BD26" s="257"/>
    </row>
    <row r="27" spans="1:56">
      <c r="A27" s="13"/>
      <c r="B27" s="13"/>
      <c r="C27" s="13"/>
      <c r="D27" s="13"/>
      <c r="E27" s="22"/>
      <c r="F27" s="22"/>
      <c r="G27" s="13"/>
      <c r="H27" s="13"/>
      <c r="I27" s="13"/>
      <c r="J27" s="13"/>
      <c r="K27" s="13"/>
      <c r="L27" s="13"/>
      <c r="M27" s="13"/>
      <c r="N27" s="13"/>
      <c r="O27" s="13"/>
      <c r="P27" s="13"/>
      <c r="Q27" s="13"/>
      <c r="R27" s="208" t="s">
        <v>3497</v>
      </c>
      <c r="S27" s="207">
        <f t="shared" ref="S27:AG27" si="26">S20-S21-S22-S23</f>
        <v>924954.68</v>
      </c>
      <c r="T27" s="43">
        <f t="shared" si="26"/>
        <v>-180977.78</v>
      </c>
      <c r="U27" s="44">
        <f t="shared" si="26"/>
        <v>-180977.78</v>
      </c>
      <c r="V27" s="43">
        <f t="shared" si="26"/>
        <v>0</v>
      </c>
      <c r="W27" s="43">
        <f t="shared" si="26"/>
        <v>1176944.19</v>
      </c>
      <c r="X27" s="43">
        <f t="shared" si="26"/>
        <v>0</v>
      </c>
      <c r="Y27" s="43">
        <f t="shared" si="26"/>
        <v>0</v>
      </c>
      <c r="Z27" s="43">
        <f t="shared" si="26"/>
        <v>0</v>
      </c>
      <c r="AA27" s="43">
        <f t="shared" si="26"/>
        <v>0</v>
      </c>
      <c r="AB27" s="43">
        <f t="shared" si="26"/>
        <v>0</v>
      </c>
      <c r="AC27" s="43">
        <f t="shared" si="26"/>
        <v>0</v>
      </c>
      <c r="AD27" s="43">
        <f t="shared" si="26"/>
        <v>0</v>
      </c>
      <c r="AE27" s="44">
        <f t="shared" si="26"/>
        <v>0</v>
      </c>
      <c r="AF27" s="44">
        <f t="shared" si="26"/>
        <v>0</v>
      </c>
      <c r="AG27" s="44">
        <f t="shared" si="26"/>
        <v>0</v>
      </c>
      <c r="AH27" s="224"/>
      <c r="AI27" s="224"/>
      <c r="AJ27" s="13"/>
      <c r="AK27" s="13"/>
      <c r="AL27" s="13"/>
      <c r="AM27" s="13"/>
      <c r="AN27" s="22"/>
      <c r="AO27" s="44">
        <f t="shared" ref="AO27:AZ27" si="27">AO20-AO21-AO22-AO23</f>
        <v>0</v>
      </c>
      <c r="AP27" s="44">
        <f t="shared" si="27"/>
        <v>0</v>
      </c>
      <c r="AQ27" s="44">
        <f t="shared" si="27"/>
        <v>0</v>
      </c>
      <c r="AR27" s="44">
        <f t="shared" si="27"/>
        <v>0</v>
      </c>
      <c r="AS27" s="44">
        <f t="shared" si="27"/>
        <v>0</v>
      </c>
      <c r="AT27" s="44">
        <f t="shared" si="27"/>
        <v>0</v>
      </c>
      <c r="AU27" s="44">
        <f t="shared" si="27"/>
        <v>0</v>
      </c>
      <c r="AV27" s="44">
        <f t="shared" si="27"/>
        <v>0</v>
      </c>
      <c r="AW27" s="44">
        <f t="shared" si="27"/>
        <v>0</v>
      </c>
      <c r="AX27" s="44">
        <f t="shared" si="27"/>
        <v>0</v>
      </c>
      <c r="AY27" s="44">
        <f t="shared" si="27"/>
        <v>0</v>
      </c>
      <c r="AZ27" s="44">
        <f t="shared" si="27"/>
        <v>0</v>
      </c>
      <c r="BA27" s="228">
        <v>-180977.78</v>
      </c>
      <c r="BB27" s="228"/>
      <c r="BC27" s="228"/>
      <c r="BD27" s="257"/>
    </row>
    <row r="28" spans="1:56">
      <c r="A28" s="14"/>
      <c r="B28" s="14"/>
      <c r="C28" s="14"/>
      <c r="D28" s="14"/>
      <c r="E28" s="177"/>
      <c r="F28" s="177"/>
      <c r="G28" s="13"/>
      <c r="H28" s="14"/>
      <c r="I28" s="14"/>
      <c r="J28" s="14"/>
      <c r="K28" s="14"/>
      <c r="L28" s="200"/>
      <c r="M28" s="200"/>
      <c r="N28" s="200"/>
      <c r="O28" s="200"/>
      <c r="P28" s="200"/>
      <c r="Q28" s="14"/>
      <c r="R28" s="209" t="s">
        <v>3498</v>
      </c>
      <c r="S28" s="210">
        <f t="shared" ref="S28:AG28" si="28">S27/S20</f>
        <v>0.204260825021982</v>
      </c>
      <c r="T28" s="49">
        <f t="shared" si="28"/>
        <v>-0.252626514629555</v>
      </c>
      <c r="U28" s="48">
        <f t="shared" si="28"/>
        <v>-0.252626514629555</v>
      </c>
      <c r="V28" s="49" t="e">
        <f t="shared" si="28"/>
        <v>#DIV/0!</v>
      </c>
      <c r="W28" s="49">
        <f t="shared" si="28"/>
        <v>0.25427791788284</v>
      </c>
      <c r="X28" s="49" t="e">
        <f t="shared" si="28"/>
        <v>#DIV/0!</v>
      </c>
      <c r="Y28" s="49" t="e">
        <f t="shared" si="28"/>
        <v>#DIV/0!</v>
      </c>
      <c r="Z28" s="49" t="e">
        <f t="shared" si="28"/>
        <v>#DIV/0!</v>
      </c>
      <c r="AA28" s="49" t="e">
        <f t="shared" si="28"/>
        <v>#DIV/0!</v>
      </c>
      <c r="AB28" s="49" t="e">
        <f t="shared" si="28"/>
        <v>#DIV/0!</v>
      </c>
      <c r="AC28" s="49" t="e">
        <f t="shared" si="28"/>
        <v>#DIV/0!</v>
      </c>
      <c r="AD28" s="218" t="e">
        <f t="shared" si="28"/>
        <v>#DIV/0!</v>
      </c>
      <c r="AE28" s="210" t="e">
        <f t="shared" si="28"/>
        <v>#DIV/0!</v>
      </c>
      <c r="AF28" s="48" t="e">
        <f t="shared" si="28"/>
        <v>#DIV/0!</v>
      </c>
      <c r="AG28" s="210" t="e">
        <f t="shared" si="28"/>
        <v>#DIV/0!</v>
      </c>
      <c r="AH28" s="224">
        <f>T28-S28</f>
        <v>-0.456887339651537</v>
      </c>
      <c r="AI28" s="224" t="e">
        <f>AF28-S28</f>
        <v>#DIV/0!</v>
      </c>
      <c r="AJ28" s="14"/>
      <c r="AK28" s="14"/>
      <c r="AL28" s="14"/>
      <c r="AM28" s="14"/>
      <c r="AN28" s="24"/>
      <c r="AO28" s="48" t="e">
        <f t="shared" ref="AO28:AZ28" si="29">AO27/AO20</f>
        <v>#DIV/0!</v>
      </c>
      <c r="AP28" s="48" t="e">
        <f t="shared" si="29"/>
        <v>#DIV/0!</v>
      </c>
      <c r="AQ28" s="48" t="e">
        <f t="shared" si="29"/>
        <v>#DIV/0!</v>
      </c>
      <c r="AR28" s="48" t="e">
        <f t="shared" si="29"/>
        <v>#DIV/0!</v>
      </c>
      <c r="AS28" s="48" t="e">
        <f t="shared" si="29"/>
        <v>#DIV/0!</v>
      </c>
      <c r="AT28" s="48" t="e">
        <f t="shared" si="29"/>
        <v>#DIV/0!</v>
      </c>
      <c r="AU28" s="48" t="e">
        <f t="shared" si="29"/>
        <v>#DIV/0!</v>
      </c>
      <c r="AV28" s="48" t="e">
        <f t="shared" si="29"/>
        <v>#DIV/0!</v>
      </c>
      <c r="AW28" s="48" t="e">
        <f t="shared" si="29"/>
        <v>#DIV/0!</v>
      </c>
      <c r="AX28" s="48" t="e">
        <f t="shared" si="29"/>
        <v>#DIV/0!</v>
      </c>
      <c r="AY28" s="48" t="e">
        <f t="shared" si="29"/>
        <v>#DIV/0!</v>
      </c>
      <c r="AZ28" s="48" t="e">
        <f t="shared" si="29"/>
        <v>#DIV/0!</v>
      </c>
      <c r="BA28" s="258">
        <v>-0.252626514629555</v>
      </c>
      <c r="BB28" s="258"/>
      <c r="BC28" s="258"/>
      <c r="BD28" s="257"/>
    </row>
    <row r="29" spans="1:56">
      <c r="A29" s="186" t="s">
        <v>442</v>
      </c>
      <c r="B29" s="187" t="s">
        <v>443</v>
      </c>
      <c r="C29" s="188">
        <v>45597</v>
      </c>
      <c r="D29" s="188">
        <v>46326</v>
      </c>
      <c r="E29" s="189" t="s">
        <v>3626</v>
      </c>
      <c r="F29" s="189" t="s">
        <v>3627</v>
      </c>
      <c r="G29" s="190"/>
      <c r="H29" s="190"/>
      <c r="I29" s="190"/>
      <c r="J29" s="190"/>
      <c r="K29" s="201"/>
      <c r="L29" s="201"/>
      <c r="M29" s="201"/>
      <c r="N29" s="201"/>
      <c r="O29" s="201"/>
      <c r="P29" s="201"/>
      <c r="Q29" s="211" t="s">
        <v>3485</v>
      </c>
      <c r="R29" s="212" t="s">
        <v>3486</v>
      </c>
      <c r="S29" s="58">
        <v>3845925.29</v>
      </c>
      <c r="T29" s="57">
        <f>SUM(AO29:BC29)</f>
        <v>2595773.26</v>
      </c>
      <c r="U29" s="58">
        <f>SUM(BA29:BC29)</f>
        <v>2299752.35</v>
      </c>
      <c r="V29" s="70">
        <f>SUM(AO29:AZ29)</f>
        <v>296020.91</v>
      </c>
      <c r="W29" s="70">
        <f>SUM(AP29:AZ29)</f>
        <v>296020.91</v>
      </c>
      <c r="X29" s="70">
        <f>SUM(AQ29:AZ29)</f>
        <v>296020.91</v>
      </c>
      <c r="Y29" s="70">
        <f>SUM(AR29:AZ29)</f>
        <v>296020.91</v>
      </c>
      <c r="Z29" s="70">
        <f>SUM(AS29:AZ29)</f>
        <v>296020.91</v>
      </c>
      <c r="AA29" s="219">
        <f>SUM(AT29:AZ29)</f>
        <v>296020.91</v>
      </c>
      <c r="AB29" s="219">
        <f>SUM(AU29:AZ29)</f>
        <v>296020.91</v>
      </c>
      <c r="AC29" s="219">
        <f>SUM(AV29:AZ29)</f>
        <v>296020.91</v>
      </c>
      <c r="AD29" s="219">
        <f>SUM(AW29:AZ29)</f>
        <v>296020.91</v>
      </c>
      <c r="AE29" s="219"/>
      <c r="AF29" s="58">
        <f>SUM(AY29:AZ29)</f>
        <v>296020.91</v>
      </c>
      <c r="AG29" s="58">
        <f>SUM(AZ29:AZ29)</f>
        <v>171762.4</v>
      </c>
      <c r="AH29" s="75"/>
      <c r="AI29" s="75"/>
      <c r="AJ29" s="230"/>
      <c r="AK29" s="231" t="s">
        <v>3628</v>
      </c>
      <c r="AL29" s="232" t="s">
        <v>3629</v>
      </c>
      <c r="AM29" s="231" t="s">
        <v>547</v>
      </c>
      <c r="AN29" s="233"/>
      <c r="AO29" s="240"/>
      <c r="AP29" s="240"/>
      <c r="AQ29" s="240"/>
      <c r="AR29" s="240"/>
      <c r="AS29" s="240"/>
      <c r="AT29" s="240"/>
      <c r="AU29" s="240"/>
      <c r="AV29" s="240"/>
      <c r="AW29" s="240"/>
      <c r="AX29" s="240"/>
      <c r="AY29" s="240">
        <v>124258.51</v>
      </c>
      <c r="AZ29" s="240">
        <v>171762.4</v>
      </c>
      <c r="BA29" s="240">
        <v>1934003.59</v>
      </c>
      <c r="BB29" s="240">
        <v>365748.76</v>
      </c>
      <c r="BC29" s="230"/>
      <c r="BD29" s="259"/>
    </row>
    <row r="30" spans="1:56">
      <c r="A30" s="13"/>
      <c r="B30" s="13"/>
      <c r="C30" s="13"/>
      <c r="D30" s="13"/>
      <c r="E30" s="22"/>
      <c r="F30" s="22"/>
      <c r="G30" s="190"/>
      <c r="H30" s="190"/>
      <c r="I30" s="190"/>
      <c r="J30" s="190"/>
      <c r="K30" s="13"/>
      <c r="L30" s="13"/>
      <c r="M30" s="13"/>
      <c r="N30" s="13"/>
      <c r="O30" s="13"/>
      <c r="P30" s="13"/>
      <c r="Q30" s="13"/>
      <c r="R30" s="212" t="s">
        <v>3490</v>
      </c>
      <c r="S30" s="58">
        <v>3169276.36</v>
      </c>
      <c r="T30" s="57">
        <f>SUM(AO30:BC30)</f>
        <v>2373029.47</v>
      </c>
      <c r="U30" s="58">
        <f>SUM(BA30:BC30)</f>
        <v>2080025.56</v>
      </c>
      <c r="V30" s="70">
        <f>SUM(AO30:AZ30)</f>
        <v>293003.91</v>
      </c>
      <c r="W30" s="70">
        <f>SUM(AP30:AZ30)</f>
        <v>293003.91</v>
      </c>
      <c r="X30" s="70">
        <f>SUM(AQ30:AZ30)</f>
        <v>293003.91</v>
      </c>
      <c r="Y30" s="70">
        <f>SUM(AR30:AZ30)</f>
        <v>293003.91</v>
      </c>
      <c r="Z30" s="70">
        <f>SUM(AS30:AZ30)</f>
        <v>293003.91</v>
      </c>
      <c r="AA30" s="219">
        <f>SUM(AT30:AZ30)</f>
        <v>293003.91</v>
      </c>
      <c r="AB30" s="219">
        <f>SUM(AU30:AZ30)</f>
        <v>293003.91</v>
      </c>
      <c r="AC30" s="219">
        <f>SUM(AV30:AZ30)</f>
        <v>293003.91</v>
      </c>
      <c r="AD30" s="219">
        <f>SUM(AW30:AZ30)</f>
        <v>293003.91</v>
      </c>
      <c r="AE30" s="219"/>
      <c r="AF30" s="58">
        <f>SUM(AY30:AZ30)</f>
        <v>293003.91</v>
      </c>
      <c r="AG30" s="58">
        <f>SUM(AZ30:AZ30)</f>
        <v>157750.58</v>
      </c>
      <c r="AH30" s="75"/>
      <c r="AI30" s="75"/>
      <c r="AJ30" s="13"/>
      <c r="AK30" s="13"/>
      <c r="AL30" s="13"/>
      <c r="AM30" s="13"/>
      <c r="AN30" s="13"/>
      <c r="AO30" s="241"/>
      <c r="AP30" s="241"/>
      <c r="AQ30" s="241"/>
      <c r="AR30" s="241"/>
      <c r="AS30" s="241"/>
      <c r="AT30" s="241"/>
      <c r="AU30" s="241"/>
      <c r="AV30" s="241"/>
      <c r="AW30" s="241"/>
      <c r="AX30" s="241"/>
      <c r="AY30" s="241">
        <v>135253.33</v>
      </c>
      <c r="AZ30" s="241">
        <v>157750.58</v>
      </c>
      <c r="BA30" s="260">
        <v>1926400.44</v>
      </c>
      <c r="BB30" s="260">
        <v>153625.12</v>
      </c>
      <c r="BC30" s="230"/>
      <c r="BD30" s="259"/>
    </row>
    <row r="31" spans="1:56">
      <c r="A31" s="13"/>
      <c r="B31" s="13"/>
      <c r="C31" s="13"/>
      <c r="D31" s="13"/>
      <c r="E31" s="22"/>
      <c r="F31" s="22"/>
      <c r="G31" s="190"/>
      <c r="H31" s="190"/>
      <c r="I31" s="190"/>
      <c r="J31" s="190"/>
      <c r="K31" s="13"/>
      <c r="L31" s="13"/>
      <c r="M31" s="13"/>
      <c r="N31" s="13"/>
      <c r="O31" s="13"/>
      <c r="P31" s="13"/>
      <c r="Q31" s="13"/>
      <c r="R31" s="212" t="s">
        <v>3492</v>
      </c>
      <c r="S31" s="58">
        <v>205800</v>
      </c>
      <c r="T31" s="57">
        <f>SUM(AO31:BC31)</f>
        <v>12465.25</v>
      </c>
      <c r="U31" s="58">
        <f>SUM(BA31:BC31)</f>
        <v>12465.25</v>
      </c>
      <c r="V31" s="70">
        <f>SUM(AO31:AZ31)</f>
        <v>0</v>
      </c>
      <c r="W31" s="70">
        <f>SUM(AP31:AZ31)</f>
        <v>0</v>
      </c>
      <c r="X31" s="70">
        <f>SUM(AQ31:AZ31)</f>
        <v>0</v>
      </c>
      <c r="Y31" s="70">
        <f>SUM(AR31:AZ31)</f>
        <v>0</v>
      </c>
      <c r="Z31" s="70">
        <f>SUM(AS31:AZ31)</f>
        <v>0</v>
      </c>
      <c r="AA31" s="219">
        <f>SUM(AT31:AZ31)</f>
        <v>0</v>
      </c>
      <c r="AB31" s="219">
        <f>SUM(AU31:AZ31)</f>
        <v>0</v>
      </c>
      <c r="AC31" s="219">
        <f>SUM(AV31:AZ31)</f>
        <v>0</v>
      </c>
      <c r="AD31" s="219">
        <f>SUM(AW31:AZ31)</f>
        <v>0</v>
      </c>
      <c r="AE31" s="219"/>
      <c r="AF31" s="58">
        <f>SUM(AY31:AZ31)</f>
        <v>0</v>
      </c>
      <c r="AG31" s="58">
        <f>SUM(AZ31:AZ31)</f>
        <v>0</v>
      </c>
      <c r="AH31" s="75"/>
      <c r="AI31" s="75"/>
      <c r="AJ31" s="13"/>
      <c r="AK31" s="13"/>
      <c r="AL31" s="13"/>
      <c r="AM31" s="13"/>
      <c r="AN31" s="13"/>
      <c r="AO31" s="241"/>
      <c r="AP31" s="241"/>
      <c r="AQ31" s="241"/>
      <c r="AR31" s="241"/>
      <c r="AS31" s="241"/>
      <c r="AT31" s="241"/>
      <c r="AU31" s="241"/>
      <c r="AV31" s="241"/>
      <c r="AW31" s="241"/>
      <c r="AX31" s="241"/>
      <c r="AY31" s="241">
        <v>0</v>
      </c>
      <c r="AZ31" s="241">
        <v>0</v>
      </c>
      <c r="BA31" s="260">
        <v>12465.25</v>
      </c>
      <c r="BB31" s="260">
        <v>0</v>
      </c>
      <c r="BC31" s="230"/>
      <c r="BD31" s="259"/>
    </row>
    <row r="32" spans="1:56">
      <c r="A32" s="13"/>
      <c r="B32" s="13"/>
      <c r="C32" s="13"/>
      <c r="D32" s="13"/>
      <c r="E32" s="22"/>
      <c r="F32" s="22"/>
      <c r="G32" s="190"/>
      <c r="H32" s="190"/>
      <c r="I32" s="190"/>
      <c r="J32" s="190"/>
      <c r="K32" s="13"/>
      <c r="L32" s="13"/>
      <c r="M32" s="13"/>
      <c r="N32" s="13"/>
      <c r="O32" s="13"/>
      <c r="P32" s="13"/>
      <c r="Q32" s="13"/>
      <c r="R32" s="212" t="s">
        <v>3493</v>
      </c>
      <c r="S32" s="58">
        <v>55000</v>
      </c>
      <c r="T32" s="57">
        <f>SUM(AO32:BC32)</f>
        <v>23870.88</v>
      </c>
      <c r="U32" s="58">
        <f>SUM(BA32:BC32)</f>
        <v>21792.19</v>
      </c>
      <c r="V32" s="70">
        <f>SUM(AO32:AZ32)</f>
        <v>2078.69</v>
      </c>
      <c r="W32" s="70">
        <f>SUM(AP32:AZ32)</f>
        <v>2078.69</v>
      </c>
      <c r="X32" s="70">
        <f>SUM(AQ32:AZ32)</f>
        <v>2078.69</v>
      </c>
      <c r="Y32" s="70">
        <f>SUM(AR32:AZ32)</f>
        <v>2078.69</v>
      </c>
      <c r="Z32" s="70">
        <f>SUM(AS32:AZ32)</f>
        <v>2078.69</v>
      </c>
      <c r="AA32" s="219">
        <f>SUM(AT32:AZ32)</f>
        <v>2078.69</v>
      </c>
      <c r="AB32" s="219">
        <f>SUM(AU32:AZ32)</f>
        <v>2078.69</v>
      </c>
      <c r="AC32" s="219">
        <f>SUM(AV32:AZ32)</f>
        <v>2078.69</v>
      </c>
      <c r="AD32" s="219">
        <f>SUM(AW32:AZ32)</f>
        <v>2078.69</v>
      </c>
      <c r="AE32" s="219"/>
      <c r="AF32" s="58">
        <f>SUM(AY32:AZ32)</f>
        <v>2078.69</v>
      </c>
      <c r="AG32" s="58">
        <f>SUM(AZ32:AZ32)</f>
        <v>972.99</v>
      </c>
      <c r="AH32" s="75"/>
      <c r="AI32" s="75"/>
      <c r="AJ32" s="13"/>
      <c r="AK32" s="13"/>
      <c r="AL32" s="13"/>
      <c r="AM32" s="13"/>
      <c r="AN32" s="13"/>
      <c r="AO32" s="241"/>
      <c r="AP32" s="241"/>
      <c r="AQ32" s="241"/>
      <c r="AR32" s="241"/>
      <c r="AS32" s="241"/>
      <c r="AT32" s="241"/>
      <c r="AU32" s="241"/>
      <c r="AV32" s="241"/>
      <c r="AW32" s="241"/>
      <c r="AX32" s="241"/>
      <c r="AY32" s="241">
        <v>1105.7</v>
      </c>
      <c r="AZ32" s="241">
        <v>972.99</v>
      </c>
      <c r="BA32" s="240">
        <v>21675.04</v>
      </c>
      <c r="BB32" s="240">
        <v>117.15</v>
      </c>
      <c r="BC32" s="230"/>
      <c r="BD32" s="259"/>
    </row>
    <row r="33" spans="1:56">
      <c r="A33" s="13"/>
      <c r="B33" s="13"/>
      <c r="C33" s="13"/>
      <c r="D33" s="13"/>
      <c r="E33" s="22"/>
      <c r="F33" s="22"/>
      <c r="G33" s="26"/>
      <c r="H33" s="26"/>
      <c r="I33" s="26"/>
      <c r="J33" s="26"/>
      <c r="K33" s="13"/>
      <c r="L33" s="13"/>
      <c r="M33" s="13"/>
      <c r="N33" s="13"/>
      <c r="O33" s="13"/>
      <c r="P33" s="13"/>
      <c r="Q33" s="13"/>
      <c r="R33" s="213" t="s">
        <v>3494</v>
      </c>
      <c r="S33" s="214">
        <f t="shared" ref="S33:AI33" si="30">SUM(S30:S32)</f>
        <v>3430076.36</v>
      </c>
      <c r="T33" s="214">
        <f t="shared" si="30"/>
        <v>2409365.6</v>
      </c>
      <c r="U33" s="214">
        <f t="shared" si="30"/>
        <v>2114283</v>
      </c>
      <c r="V33" s="214">
        <f t="shared" si="30"/>
        <v>295082.6</v>
      </c>
      <c r="W33" s="214">
        <f t="shared" si="30"/>
        <v>295082.6</v>
      </c>
      <c r="X33" s="214">
        <f t="shared" si="30"/>
        <v>295082.6</v>
      </c>
      <c r="Y33" s="214">
        <f t="shared" si="30"/>
        <v>295082.6</v>
      </c>
      <c r="Z33" s="214">
        <f t="shared" si="30"/>
        <v>295082.6</v>
      </c>
      <c r="AA33" s="214">
        <f t="shared" si="30"/>
        <v>295082.6</v>
      </c>
      <c r="AB33" s="214">
        <f t="shared" si="30"/>
        <v>295082.6</v>
      </c>
      <c r="AC33" s="214">
        <f t="shared" si="30"/>
        <v>295082.6</v>
      </c>
      <c r="AD33" s="214">
        <f t="shared" si="30"/>
        <v>295082.6</v>
      </c>
      <c r="AE33" s="214">
        <f t="shared" si="30"/>
        <v>0</v>
      </c>
      <c r="AF33" s="214">
        <f t="shared" si="30"/>
        <v>295082.6</v>
      </c>
      <c r="AG33" s="214">
        <f t="shared" si="30"/>
        <v>158723.57</v>
      </c>
      <c r="AH33" s="214">
        <f t="shared" si="30"/>
        <v>0</v>
      </c>
      <c r="AI33" s="214">
        <f t="shared" si="30"/>
        <v>0</v>
      </c>
      <c r="AJ33" s="13"/>
      <c r="AK33" s="13"/>
      <c r="AL33" s="13"/>
      <c r="AM33" s="13"/>
      <c r="AN33" s="13"/>
      <c r="AO33" s="214">
        <f t="shared" ref="AO33:AZ33" si="31">SUM(AO30:AO32)</f>
        <v>0</v>
      </c>
      <c r="AP33" s="214">
        <f t="shared" si="31"/>
        <v>0</v>
      </c>
      <c r="AQ33" s="214">
        <f t="shared" si="31"/>
        <v>0</v>
      </c>
      <c r="AR33" s="214">
        <f t="shared" si="31"/>
        <v>0</v>
      </c>
      <c r="AS33" s="214">
        <f t="shared" si="31"/>
        <v>0</v>
      </c>
      <c r="AT33" s="214">
        <f t="shared" si="31"/>
        <v>0</v>
      </c>
      <c r="AU33" s="214">
        <f t="shared" si="31"/>
        <v>0</v>
      </c>
      <c r="AV33" s="214">
        <f t="shared" si="31"/>
        <v>0</v>
      </c>
      <c r="AW33" s="214">
        <f t="shared" si="31"/>
        <v>0</v>
      </c>
      <c r="AX33" s="214">
        <f t="shared" si="31"/>
        <v>0</v>
      </c>
      <c r="AY33" s="214">
        <f t="shared" si="31"/>
        <v>136359.03</v>
      </c>
      <c r="AZ33" s="214">
        <f t="shared" si="31"/>
        <v>158723.57</v>
      </c>
      <c r="BA33" s="214">
        <v>205783.05</v>
      </c>
      <c r="BB33" s="58"/>
      <c r="BC33" s="190"/>
      <c r="BD33" s="259"/>
    </row>
    <row r="34" spans="1:56">
      <c r="A34" s="13"/>
      <c r="B34" s="13"/>
      <c r="C34" s="13"/>
      <c r="D34" s="13"/>
      <c r="E34" s="22"/>
      <c r="F34" s="22"/>
      <c r="G34" s="190"/>
      <c r="H34" s="190"/>
      <c r="I34" s="190"/>
      <c r="J34" s="190"/>
      <c r="K34" s="13"/>
      <c r="L34" s="13"/>
      <c r="M34" s="13"/>
      <c r="N34" s="13"/>
      <c r="O34" s="13"/>
      <c r="P34" s="13"/>
      <c r="Q34" s="13"/>
      <c r="R34" s="212" t="s">
        <v>3495</v>
      </c>
      <c r="S34" s="58">
        <f t="shared" ref="S34:AG34" si="32">S29-S30</f>
        <v>676648.93</v>
      </c>
      <c r="T34" s="57">
        <f t="shared" si="32"/>
        <v>222743.79</v>
      </c>
      <c r="U34" s="58">
        <f t="shared" si="32"/>
        <v>219726.79</v>
      </c>
      <c r="V34" s="57">
        <f t="shared" si="32"/>
        <v>3017</v>
      </c>
      <c r="W34" s="57">
        <f t="shared" si="32"/>
        <v>3017</v>
      </c>
      <c r="X34" s="57">
        <f t="shared" si="32"/>
        <v>3017</v>
      </c>
      <c r="Y34" s="57">
        <f t="shared" si="32"/>
        <v>3017</v>
      </c>
      <c r="Z34" s="57">
        <f t="shared" si="32"/>
        <v>3017</v>
      </c>
      <c r="AA34" s="58">
        <f t="shared" si="32"/>
        <v>3017</v>
      </c>
      <c r="AB34" s="58">
        <f t="shared" si="32"/>
        <v>3017</v>
      </c>
      <c r="AC34" s="58">
        <f t="shared" si="32"/>
        <v>3017</v>
      </c>
      <c r="AD34" s="58">
        <f t="shared" si="32"/>
        <v>3017</v>
      </c>
      <c r="AE34" s="58">
        <f t="shared" si="32"/>
        <v>0</v>
      </c>
      <c r="AF34" s="58">
        <f t="shared" si="32"/>
        <v>3017</v>
      </c>
      <c r="AG34" s="58">
        <f t="shared" si="32"/>
        <v>14011.82</v>
      </c>
      <c r="AH34" s="75"/>
      <c r="AI34" s="75"/>
      <c r="AJ34" s="13"/>
      <c r="AK34" s="13"/>
      <c r="AL34" s="13"/>
      <c r="AM34" s="13"/>
      <c r="AN34" s="13"/>
      <c r="AO34" s="242">
        <f t="shared" ref="AO34:AZ34" si="33">AO29-AO30</f>
        <v>0</v>
      </c>
      <c r="AP34" s="242">
        <f t="shared" si="33"/>
        <v>0</v>
      </c>
      <c r="AQ34" s="242">
        <f t="shared" si="33"/>
        <v>0</v>
      </c>
      <c r="AR34" s="242">
        <f t="shared" si="33"/>
        <v>0</v>
      </c>
      <c r="AS34" s="242">
        <f t="shared" si="33"/>
        <v>0</v>
      </c>
      <c r="AT34" s="242">
        <f t="shared" si="33"/>
        <v>0</v>
      </c>
      <c r="AU34" s="242">
        <f t="shared" si="33"/>
        <v>0</v>
      </c>
      <c r="AV34" s="242">
        <f t="shared" si="33"/>
        <v>0</v>
      </c>
      <c r="AW34" s="242">
        <f t="shared" si="33"/>
        <v>0</v>
      </c>
      <c r="AX34" s="242">
        <f t="shared" si="33"/>
        <v>0</v>
      </c>
      <c r="AY34" s="242">
        <f t="shared" si="33"/>
        <v>-10994.82</v>
      </c>
      <c r="AZ34" s="242">
        <f t="shared" si="33"/>
        <v>14011.82</v>
      </c>
      <c r="BA34" s="240">
        <v>7603.14999999944</v>
      </c>
      <c r="BB34" s="240">
        <f>BB29-BB30</f>
        <v>212123.64</v>
      </c>
      <c r="BC34" s="230"/>
      <c r="BD34" s="259"/>
    </row>
    <row r="35" spans="1:56">
      <c r="A35" s="13"/>
      <c r="B35" s="13"/>
      <c r="C35" s="13"/>
      <c r="D35" s="13"/>
      <c r="E35" s="22"/>
      <c r="F35" s="22"/>
      <c r="G35" s="190"/>
      <c r="H35" s="190"/>
      <c r="I35" s="190"/>
      <c r="J35" s="190"/>
      <c r="K35" s="13"/>
      <c r="L35" s="13"/>
      <c r="M35" s="13"/>
      <c r="N35" s="13"/>
      <c r="O35" s="13"/>
      <c r="P35" s="13"/>
      <c r="Q35" s="13"/>
      <c r="R35" s="215" t="s">
        <v>3496</v>
      </c>
      <c r="S35" s="61">
        <f t="shared" ref="S35:AG35" si="34">S34/S29</f>
        <v>0.175939176915213</v>
      </c>
      <c r="T35" s="62">
        <f t="shared" si="34"/>
        <v>0.0858101874429509</v>
      </c>
      <c r="U35" s="61">
        <f t="shared" si="34"/>
        <v>0.0955436745178236</v>
      </c>
      <c r="V35" s="62">
        <f t="shared" si="34"/>
        <v>0.0101918475961715</v>
      </c>
      <c r="W35" s="62">
        <f t="shared" si="34"/>
        <v>0.0101918475961715</v>
      </c>
      <c r="X35" s="62">
        <f t="shared" si="34"/>
        <v>0.0101918475961715</v>
      </c>
      <c r="Y35" s="62">
        <f t="shared" si="34"/>
        <v>0.0101918475961715</v>
      </c>
      <c r="Z35" s="62">
        <f t="shared" si="34"/>
        <v>0.0101918475961715</v>
      </c>
      <c r="AA35" s="61">
        <f t="shared" si="34"/>
        <v>0.0101918475961715</v>
      </c>
      <c r="AB35" s="61">
        <f t="shared" si="34"/>
        <v>0.0101918475961715</v>
      </c>
      <c r="AC35" s="61">
        <f t="shared" si="34"/>
        <v>0.0101918475961715</v>
      </c>
      <c r="AD35" s="61">
        <f t="shared" si="34"/>
        <v>0.0101918475961715</v>
      </c>
      <c r="AE35" s="61" t="e">
        <f t="shared" si="34"/>
        <v>#DIV/0!</v>
      </c>
      <c r="AF35" s="61">
        <f t="shared" si="34"/>
        <v>0.0101918475961715</v>
      </c>
      <c r="AG35" s="61">
        <f t="shared" si="34"/>
        <v>0.081576759523621</v>
      </c>
      <c r="AH35" s="82">
        <f>T35-S35</f>
        <v>-0.0901289894722617</v>
      </c>
      <c r="AI35" s="82">
        <f>AF35-S35</f>
        <v>-0.165747329319041</v>
      </c>
      <c r="AJ35" s="13"/>
      <c r="AK35" s="13"/>
      <c r="AL35" s="13"/>
      <c r="AM35" s="13"/>
      <c r="AN35" s="13"/>
      <c r="AO35" s="61" t="e">
        <f t="shared" ref="AO35:AZ35" si="35">AO34/AO29</f>
        <v>#DIV/0!</v>
      </c>
      <c r="AP35" s="61" t="e">
        <f t="shared" si="35"/>
        <v>#DIV/0!</v>
      </c>
      <c r="AQ35" s="61" t="e">
        <f t="shared" si="35"/>
        <v>#DIV/0!</v>
      </c>
      <c r="AR35" s="61" t="e">
        <f t="shared" si="35"/>
        <v>#DIV/0!</v>
      </c>
      <c r="AS35" s="61" t="e">
        <f t="shared" si="35"/>
        <v>#DIV/0!</v>
      </c>
      <c r="AT35" s="61" t="e">
        <f t="shared" si="35"/>
        <v>#DIV/0!</v>
      </c>
      <c r="AU35" s="61" t="e">
        <f t="shared" si="35"/>
        <v>#DIV/0!</v>
      </c>
      <c r="AV35" s="61" t="e">
        <f t="shared" si="35"/>
        <v>#DIV/0!</v>
      </c>
      <c r="AW35" s="61" t="e">
        <f t="shared" si="35"/>
        <v>#DIV/0!</v>
      </c>
      <c r="AX35" s="61" t="e">
        <f t="shared" si="35"/>
        <v>#DIV/0!</v>
      </c>
      <c r="AY35" s="61">
        <f t="shared" si="35"/>
        <v>-0.0884834366676374</v>
      </c>
      <c r="AZ35" s="61">
        <f t="shared" si="35"/>
        <v>0.081576759523621</v>
      </c>
      <c r="BA35" s="61">
        <v>0.00393130087209375</v>
      </c>
      <c r="BB35" s="61">
        <f>BB34/BB29</f>
        <v>0.579970906804988</v>
      </c>
      <c r="BC35" s="230"/>
      <c r="BD35" s="259"/>
    </row>
    <row r="36" spans="1:56">
      <c r="A36" s="13"/>
      <c r="B36" s="13"/>
      <c r="C36" s="13"/>
      <c r="D36" s="13"/>
      <c r="E36" s="22"/>
      <c r="F36" s="22"/>
      <c r="G36" s="190"/>
      <c r="H36" s="190"/>
      <c r="I36" s="190"/>
      <c r="J36" s="190"/>
      <c r="K36" s="13"/>
      <c r="L36" s="13"/>
      <c r="M36" s="13"/>
      <c r="N36" s="13"/>
      <c r="O36" s="13"/>
      <c r="P36" s="13"/>
      <c r="Q36" s="13"/>
      <c r="R36" s="212" t="s">
        <v>3497</v>
      </c>
      <c r="S36" s="216">
        <f t="shared" ref="S36:AG36" si="36">S29-S30-S31-S32</f>
        <v>415848.93</v>
      </c>
      <c r="T36" s="57">
        <f t="shared" si="36"/>
        <v>186407.66</v>
      </c>
      <c r="U36" s="58">
        <f t="shared" si="36"/>
        <v>185469.35</v>
      </c>
      <c r="V36" s="57">
        <f t="shared" si="36"/>
        <v>938.31</v>
      </c>
      <c r="W36" s="57">
        <f t="shared" si="36"/>
        <v>938.31</v>
      </c>
      <c r="X36" s="57">
        <f t="shared" si="36"/>
        <v>938.31</v>
      </c>
      <c r="Y36" s="57">
        <f t="shared" si="36"/>
        <v>938.31</v>
      </c>
      <c r="Z36" s="57">
        <f t="shared" si="36"/>
        <v>938.31</v>
      </c>
      <c r="AA36" s="58">
        <f t="shared" si="36"/>
        <v>938.31</v>
      </c>
      <c r="AB36" s="58">
        <f t="shared" si="36"/>
        <v>938.31</v>
      </c>
      <c r="AC36" s="58">
        <f t="shared" si="36"/>
        <v>938.31</v>
      </c>
      <c r="AD36" s="58">
        <f t="shared" si="36"/>
        <v>938.31</v>
      </c>
      <c r="AE36" s="58">
        <f t="shared" si="36"/>
        <v>0</v>
      </c>
      <c r="AF36" s="58">
        <f t="shared" si="36"/>
        <v>938.31</v>
      </c>
      <c r="AG36" s="58">
        <f t="shared" si="36"/>
        <v>13038.83</v>
      </c>
      <c r="AH36" s="82"/>
      <c r="AI36" s="82"/>
      <c r="AJ36" s="13"/>
      <c r="AK36" s="13"/>
      <c r="AL36" s="13"/>
      <c r="AM36" s="13"/>
      <c r="AN36" s="13"/>
      <c r="AO36" s="58">
        <f t="shared" ref="AO36:AZ36" si="37">AO29-AO30-AO31-AO32</f>
        <v>0</v>
      </c>
      <c r="AP36" s="58">
        <f t="shared" si="37"/>
        <v>0</v>
      </c>
      <c r="AQ36" s="58">
        <f t="shared" si="37"/>
        <v>0</v>
      </c>
      <c r="AR36" s="58">
        <f t="shared" si="37"/>
        <v>0</v>
      </c>
      <c r="AS36" s="58">
        <f t="shared" si="37"/>
        <v>0</v>
      </c>
      <c r="AT36" s="58">
        <f t="shared" si="37"/>
        <v>0</v>
      </c>
      <c r="AU36" s="58">
        <f t="shared" si="37"/>
        <v>0</v>
      </c>
      <c r="AV36" s="58">
        <f t="shared" si="37"/>
        <v>0</v>
      </c>
      <c r="AW36" s="58">
        <f t="shared" si="37"/>
        <v>0</v>
      </c>
      <c r="AX36" s="58">
        <f t="shared" si="37"/>
        <v>0</v>
      </c>
      <c r="AY36" s="58">
        <f t="shared" si="37"/>
        <v>-12100.52</v>
      </c>
      <c r="AZ36" s="58">
        <f t="shared" si="37"/>
        <v>13038.83</v>
      </c>
      <c r="BA36" s="58">
        <v>-26537.1400000006</v>
      </c>
      <c r="BB36" s="58">
        <f>BB29-BB30-BB31-BB32</f>
        <v>212006.49</v>
      </c>
      <c r="BC36" s="230"/>
      <c r="BD36" s="259"/>
    </row>
    <row r="37" spans="1:56">
      <c r="A37" s="14"/>
      <c r="B37" s="14"/>
      <c r="C37" s="14"/>
      <c r="D37" s="14"/>
      <c r="E37" s="177"/>
      <c r="F37" s="177"/>
      <c r="G37" s="190"/>
      <c r="H37" s="190"/>
      <c r="I37" s="190"/>
      <c r="J37" s="190"/>
      <c r="K37" s="14"/>
      <c r="L37" s="14"/>
      <c r="M37" s="14"/>
      <c r="N37" s="14"/>
      <c r="O37" s="14"/>
      <c r="P37" s="14"/>
      <c r="Q37" s="14"/>
      <c r="R37" s="215" t="s">
        <v>3498</v>
      </c>
      <c r="S37" s="61">
        <f t="shared" ref="S37:AG37" si="38">S36/S29</f>
        <v>0.108127147212472</v>
      </c>
      <c r="T37" s="62">
        <f t="shared" si="38"/>
        <v>0.0718119963990998</v>
      </c>
      <c r="U37" s="61">
        <f t="shared" si="38"/>
        <v>0.0806475314613767</v>
      </c>
      <c r="V37" s="62">
        <f t="shared" si="38"/>
        <v>0.00316974229962336</v>
      </c>
      <c r="W37" s="62">
        <f t="shared" si="38"/>
        <v>0.00316974229962336</v>
      </c>
      <c r="X37" s="62">
        <f t="shared" si="38"/>
        <v>0.00316974229962336</v>
      </c>
      <c r="Y37" s="62">
        <f t="shared" si="38"/>
        <v>0.00316974229962336</v>
      </c>
      <c r="Z37" s="62">
        <f t="shared" si="38"/>
        <v>0.00316974229962336</v>
      </c>
      <c r="AA37" s="61">
        <f t="shared" si="38"/>
        <v>0.00316974229962336</v>
      </c>
      <c r="AB37" s="61">
        <f t="shared" si="38"/>
        <v>0.00316974229962336</v>
      </c>
      <c r="AC37" s="61">
        <f t="shared" si="38"/>
        <v>0.00316974229962336</v>
      </c>
      <c r="AD37" s="61">
        <f t="shared" si="38"/>
        <v>0.00316974229962336</v>
      </c>
      <c r="AE37" s="61" t="e">
        <f t="shared" si="38"/>
        <v>#DIV/0!</v>
      </c>
      <c r="AF37" s="61">
        <f t="shared" si="38"/>
        <v>0.00316974229962336</v>
      </c>
      <c r="AG37" s="61">
        <f t="shared" si="38"/>
        <v>0.0759120156681556</v>
      </c>
      <c r="AH37" s="82">
        <f>T37-S37</f>
        <v>-0.0363151508133725</v>
      </c>
      <c r="AI37" s="82">
        <f>AF37-S37</f>
        <v>-0.104957404912849</v>
      </c>
      <c r="AJ37" s="14"/>
      <c r="AK37" s="14"/>
      <c r="AL37" s="14"/>
      <c r="AM37" s="14"/>
      <c r="AN37" s="14"/>
      <c r="AO37" s="61" t="e">
        <f t="shared" ref="AO37:AZ37" si="39">AO36/AO29</f>
        <v>#DIV/0!</v>
      </c>
      <c r="AP37" s="61" t="e">
        <f t="shared" si="39"/>
        <v>#DIV/0!</v>
      </c>
      <c r="AQ37" s="61" t="e">
        <f t="shared" si="39"/>
        <v>#DIV/0!</v>
      </c>
      <c r="AR37" s="61" t="e">
        <f t="shared" si="39"/>
        <v>#DIV/0!</v>
      </c>
      <c r="AS37" s="61" t="e">
        <f t="shared" si="39"/>
        <v>#DIV/0!</v>
      </c>
      <c r="AT37" s="61" t="e">
        <f t="shared" si="39"/>
        <v>#DIV/0!</v>
      </c>
      <c r="AU37" s="61" t="e">
        <f t="shared" si="39"/>
        <v>#DIV/0!</v>
      </c>
      <c r="AV37" s="61" t="e">
        <f t="shared" si="39"/>
        <v>#DIV/0!</v>
      </c>
      <c r="AW37" s="61" t="e">
        <f t="shared" si="39"/>
        <v>#DIV/0!</v>
      </c>
      <c r="AX37" s="61" t="e">
        <f t="shared" si="39"/>
        <v>#DIV/0!</v>
      </c>
      <c r="AY37" s="61">
        <f t="shared" si="39"/>
        <v>-0.0973818211726504</v>
      </c>
      <c r="AZ37" s="61">
        <f t="shared" si="39"/>
        <v>0.0759120156681556</v>
      </c>
      <c r="BA37" s="261">
        <v>-0.0137213499174531</v>
      </c>
      <c r="BB37" s="261">
        <f>BB36/BB29</f>
        <v>0.579650604967191</v>
      </c>
      <c r="BC37" s="230"/>
      <c r="BD37" s="259"/>
    </row>
    <row r="38" spans="1:56">
      <c r="A38" s="191" t="s">
        <v>822</v>
      </c>
      <c r="B38" s="192" t="s">
        <v>3368</v>
      </c>
      <c r="C38" s="17">
        <v>45931</v>
      </c>
      <c r="D38" s="17">
        <v>46022</v>
      </c>
      <c r="E38" s="183"/>
      <c r="F38" s="183"/>
      <c r="G38" s="193"/>
      <c r="H38" s="193"/>
      <c r="I38" s="193"/>
      <c r="J38" s="193"/>
      <c r="K38" s="185"/>
      <c r="L38" s="185"/>
      <c r="M38" s="185"/>
      <c r="N38" s="185"/>
      <c r="O38" s="185"/>
      <c r="P38" s="185"/>
      <c r="Q38" s="10" t="s">
        <v>3485</v>
      </c>
      <c r="R38" s="205" t="s">
        <v>3486</v>
      </c>
      <c r="S38" s="44">
        <v>7547169.81</v>
      </c>
      <c r="T38" s="43">
        <f>SUM(AO38:BC38)</f>
        <v>822434.32</v>
      </c>
      <c r="U38" s="44">
        <f>SUM(BA38:BC38)</f>
        <v>822434.32</v>
      </c>
      <c r="V38" s="67">
        <f>SUM(AO38:AZ38)</f>
        <v>0</v>
      </c>
      <c r="W38" s="67">
        <f>SUM(AP38:AZ38)</f>
        <v>0</v>
      </c>
      <c r="X38" s="67">
        <f>SUM(AQ38:AU38)</f>
        <v>0</v>
      </c>
      <c r="Y38" s="67">
        <f>SUM(AS38:AZ38)</f>
        <v>0</v>
      </c>
      <c r="Z38" s="67">
        <f>SUM(AT38:AZ38)</f>
        <v>0</v>
      </c>
      <c r="AA38" s="217">
        <f>SUM(AT38:AZ38)</f>
        <v>0</v>
      </c>
      <c r="AB38" s="217">
        <f>SUM(AU38:AZ38)</f>
        <v>0</v>
      </c>
      <c r="AC38" s="217">
        <f>SUM(AV38:AZ38)</f>
        <v>0</v>
      </c>
      <c r="AD38" s="217">
        <f>SUM(AW38:AZ38)</f>
        <v>0</v>
      </c>
      <c r="AE38" s="217"/>
      <c r="AF38" s="44">
        <f>SUM(AY38:AZ38)</f>
        <v>0</v>
      </c>
      <c r="AG38" s="44"/>
      <c r="AH38" s="220"/>
      <c r="AI38" s="220"/>
      <c r="AJ38" s="228"/>
      <c r="AK38" s="229" t="s">
        <v>3369</v>
      </c>
      <c r="AL38" s="225" t="s">
        <v>377</v>
      </c>
      <c r="AM38" s="225" t="s">
        <v>377</v>
      </c>
      <c r="AN38" s="15"/>
      <c r="AO38" s="237"/>
      <c r="AP38" s="237"/>
      <c r="AQ38" s="237"/>
      <c r="AR38" s="237"/>
      <c r="AS38" s="237"/>
      <c r="AT38" s="237"/>
      <c r="AU38" s="237"/>
      <c r="AV38" s="237"/>
      <c r="AW38" s="237"/>
      <c r="AX38" s="237"/>
      <c r="AY38" s="237"/>
      <c r="AZ38" s="237"/>
      <c r="BA38" s="237">
        <v>822434.32</v>
      </c>
      <c r="BB38" s="237"/>
      <c r="BC38" s="228"/>
      <c r="BD38" s="257"/>
    </row>
    <row r="39" spans="1:56">
      <c r="A39" s="13"/>
      <c r="B39" s="13"/>
      <c r="C39" s="13"/>
      <c r="D39" s="13"/>
      <c r="E39" s="22"/>
      <c r="F39" s="22"/>
      <c r="G39" s="193"/>
      <c r="H39" s="193"/>
      <c r="I39" s="193"/>
      <c r="J39" s="193"/>
      <c r="K39" s="13"/>
      <c r="L39" s="13"/>
      <c r="M39" s="13"/>
      <c r="N39" s="13"/>
      <c r="O39" s="13"/>
      <c r="P39" s="13"/>
      <c r="Q39" s="13"/>
      <c r="R39" s="205" t="s">
        <v>3490</v>
      </c>
      <c r="S39" s="44">
        <v>6438745.31</v>
      </c>
      <c r="T39" s="43">
        <f>SUM(AO39:BC39)</f>
        <v>993030.56</v>
      </c>
      <c r="U39" s="44">
        <f>SUM(BA39:BC39)</f>
        <v>993030.56</v>
      </c>
      <c r="V39" s="67">
        <f>SUM(AO39:AZ39)</f>
        <v>0</v>
      </c>
      <c r="W39" s="67">
        <f>SUM(AP39:AZ39)</f>
        <v>0</v>
      </c>
      <c r="X39" s="67">
        <f>SUM(AQ39:AU39)</f>
        <v>0</v>
      </c>
      <c r="Y39" s="67">
        <f>SUM(AS39:AZ39)</f>
        <v>0</v>
      </c>
      <c r="Z39" s="67">
        <f>SUM(AT39:AZ39)</f>
        <v>0</v>
      </c>
      <c r="AA39" s="217">
        <f>SUM(AT39:AZ39)</f>
        <v>0</v>
      </c>
      <c r="AB39" s="217">
        <f>SUM(AU39:AZ39)</f>
        <v>0</v>
      </c>
      <c r="AC39" s="217">
        <f>SUM(AV39:AZ39)</f>
        <v>0</v>
      </c>
      <c r="AD39" s="217">
        <f>SUM(AW39:AZ39)</f>
        <v>0</v>
      </c>
      <c r="AE39" s="217"/>
      <c r="AF39" s="44">
        <f>SUM(AY39:AZ39)</f>
        <v>0</v>
      </c>
      <c r="AG39" s="44"/>
      <c r="AH39" s="220"/>
      <c r="AI39" s="220"/>
      <c r="AJ39" s="13"/>
      <c r="AK39" s="13"/>
      <c r="AL39" s="13"/>
      <c r="AM39" s="13"/>
      <c r="AN39" s="13"/>
      <c r="AO39" s="238"/>
      <c r="AP39" s="238"/>
      <c r="AQ39" s="238"/>
      <c r="AR39" s="238"/>
      <c r="AS39" s="238"/>
      <c r="AT39" s="238"/>
      <c r="AU39" s="238"/>
      <c r="AV39" s="238"/>
      <c r="AW39" s="238"/>
      <c r="AX39" s="238"/>
      <c r="AY39" s="238"/>
      <c r="AZ39" s="238"/>
      <c r="BA39" s="262">
        <v>993030.56</v>
      </c>
      <c r="BB39" s="262"/>
      <c r="BC39" s="228"/>
      <c r="BD39" s="257"/>
    </row>
    <row r="40" spans="1:56">
      <c r="A40" s="13"/>
      <c r="B40" s="13"/>
      <c r="C40" s="13"/>
      <c r="D40" s="13"/>
      <c r="E40" s="22"/>
      <c r="F40" s="22"/>
      <c r="G40" s="193"/>
      <c r="H40" s="193"/>
      <c r="I40" s="193"/>
      <c r="J40" s="193"/>
      <c r="K40" s="13"/>
      <c r="L40" s="13"/>
      <c r="M40" s="13"/>
      <c r="N40" s="13"/>
      <c r="O40" s="13"/>
      <c r="P40" s="13"/>
      <c r="Q40" s="13"/>
      <c r="R40" s="205" t="s">
        <v>3492</v>
      </c>
      <c r="S40" s="44">
        <v>75000</v>
      </c>
      <c r="T40" s="43">
        <f>SUM(AO40:BC40)</f>
        <v>0</v>
      </c>
      <c r="U40" s="44">
        <f>SUM(BA40:BC40)</f>
        <v>0</v>
      </c>
      <c r="V40" s="67">
        <f>SUM(AO40:AZ40)</f>
        <v>0</v>
      </c>
      <c r="W40" s="67">
        <f>SUM(AP40:AZ40)</f>
        <v>0</v>
      </c>
      <c r="X40" s="67">
        <f>SUM(AQ40:AU40)</f>
        <v>0</v>
      </c>
      <c r="Y40" s="67">
        <f>SUM(AS40:AZ40)</f>
        <v>0</v>
      </c>
      <c r="Z40" s="67">
        <f>SUM(AT40:AZ40)</f>
        <v>0</v>
      </c>
      <c r="AA40" s="217">
        <f>SUM(AT40:AZ40)</f>
        <v>0</v>
      </c>
      <c r="AB40" s="217">
        <f>SUM(AU40:AZ40)</f>
        <v>0</v>
      </c>
      <c r="AC40" s="217">
        <f>SUM(AV40:AZ40)</f>
        <v>0</v>
      </c>
      <c r="AD40" s="217">
        <f>SUM(AW40:AZ40)</f>
        <v>0</v>
      </c>
      <c r="AE40" s="217"/>
      <c r="AF40" s="44">
        <f>SUM(AY40:AZ40)</f>
        <v>0</v>
      </c>
      <c r="AG40" s="44"/>
      <c r="AH40" s="220"/>
      <c r="AI40" s="220"/>
      <c r="AJ40" s="13"/>
      <c r="AK40" s="13"/>
      <c r="AL40" s="13"/>
      <c r="AM40" s="13"/>
      <c r="AN40" s="13"/>
      <c r="AO40" s="238"/>
      <c r="AP40" s="238"/>
      <c r="AQ40" s="238"/>
      <c r="AR40" s="238"/>
      <c r="AS40" s="238"/>
      <c r="AT40" s="238"/>
      <c r="AU40" s="238"/>
      <c r="AV40" s="238"/>
      <c r="AW40" s="238"/>
      <c r="AX40" s="238"/>
      <c r="AY40" s="238"/>
      <c r="AZ40" s="238"/>
      <c r="BA40" s="262">
        <v>0</v>
      </c>
      <c r="BB40" s="262"/>
      <c r="BC40" s="228"/>
      <c r="BD40" s="257"/>
    </row>
    <row r="41" spans="1:56">
      <c r="A41" s="13"/>
      <c r="B41" s="13"/>
      <c r="C41" s="13"/>
      <c r="D41" s="13"/>
      <c r="E41" s="22"/>
      <c r="F41" s="22"/>
      <c r="G41" s="193"/>
      <c r="H41" s="193"/>
      <c r="I41" s="193"/>
      <c r="J41" s="193"/>
      <c r="K41" s="13"/>
      <c r="L41" s="13"/>
      <c r="M41" s="13"/>
      <c r="N41" s="13"/>
      <c r="O41" s="13"/>
      <c r="P41" s="13"/>
      <c r="Q41" s="13"/>
      <c r="R41" s="205" t="s">
        <v>3493</v>
      </c>
      <c r="S41" s="44">
        <v>0</v>
      </c>
      <c r="T41" s="43">
        <f>SUM(AO41:BC41)</f>
        <v>1859.2</v>
      </c>
      <c r="U41" s="44">
        <f>SUM(BA41:BC41)</f>
        <v>1859.2</v>
      </c>
      <c r="V41" s="67">
        <f>SUM(AO41:AZ41)</f>
        <v>0</v>
      </c>
      <c r="W41" s="67">
        <f>SUM(AP41:AZ41)</f>
        <v>0</v>
      </c>
      <c r="X41" s="67">
        <f>SUM(AQ41:AU41)</f>
        <v>0</v>
      </c>
      <c r="Y41" s="67">
        <f>SUM(AS41:AZ41)</f>
        <v>0</v>
      </c>
      <c r="Z41" s="67">
        <f>SUM(AT41:AZ41)</f>
        <v>0</v>
      </c>
      <c r="AA41" s="217">
        <f>SUM(AT41:AZ41)</f>
        <v>0</v>
      </c>
      <c r="AB41" s="217">
        <f>SUM(AU41:AZ41)</f>
        <v>0</v>
      </c>
      <c r="AC41" s="217">
        <f>SUM(AV41:AZ41)</f>
        <v>0</v>
      </c>
      <c r="AD41" s="217">
        <f>SUM(AW41:AZ41)</f>
        <v>0</v>
      </c>
      <c r="AE41" s="217"/>
      <c r="AF41" s="44">
        <f>SUM(AY41:AZ41)</f>
        <v>0</v>
      </c>
      <c r="AG41" s="44"/>
      <c r="AH41" s="220"/>
      <c r="AI41" s="220"/>
      <c r="AJ41" s="13"/>
      <c r="AK41" s="13"/>
      <c r="AL41" s="13"/>
      <c r="AM41" s="13"/>
      <c r="AN41" s="13"/>
      <c r="AO41" s="238"/>
      <c r="AP41" s="238"/>
      <c r="AQ41" s="238"/>
      <c r="AR41" s="238"/>
      <c r="AS41" s="238"/>
      <c r="AT41" s="238"/>
      <c r="AU41" s="238"/>
      <c r="AV41" s="238"/>
      <c r="AW41" s="238"/>
      <c r="AX41" s="238"/>
      <c r="AY41" s="238"/>
      <c r="AZ41" s="238"/>
      <c r="BA41" s="237">
        <v>1859.2</v>
      </c>
      <c r="BB41" s="237"/>
      <c r="BC41" s="228"/>
      <c r="BD41" s="257"/>
    </row>
    <row r="42" spans="1:56">
      <c r="A42" s="13"/>
      <c r="B42" s="13"/>
      <c r="C42" s="13"/>
      <c r="D42" s="13"/>
      <c r="E42" s="22"/>
      <c r="F42" s="22"/>
      <c r="G42" s="19"/>
      <c r="H42" s="19"/>
      <c r="I42" s="19"/>
      <c r="J42" s="19"/>
      <c r="K42" s="13"/>
      <c r="L42" s="13"/>
      <c r="M42" s="13"/>
      <c r="N42" s="13"/>
      <c r="O42" s="13"/>
      <c r="P42" s="13"/>
      <c r="Q42" s="13"/>
      <c r="R42" s="41" t="s">
        <v>3494</v>
      </c>
      <c r="S42" s="204">
        <f t="shared" ref="S42:AI42" si="40">SUM(S39:S41)</f>
        <v>6513745.31</v>
      </c>
      <c r="T42" s="204">
        <f t="shared" si="40"/>
        <v>994889.76</v>
      </c>
      <c r="U42" s="204">
        <f t="shared" si="40"/>
        <v>994889.76</v>
      </c>
      <c r="V42" s="204">
        <f t="shared" si="40"/>
        <v>0</v>
      </c>
      <c r="W42" s="204">
        <f t="shared" si="40"/>
        <v>0</v>
      </c>
      <c r="X42" s="204">
        <f t="shared" si="40"/>
        <v>0</v>
      </c>
      <c r="Y42" s="204">
        <f t="shared" si="40"/>
        <v>0</v>
      </c>
      <c r="Z42" s="204">
        <f t="shared" si="40"/>
        <v>0</v>
      </c>
      <c r="AA42" s="204">
        <f t="shared" si="40"/>
        <v>0</v>
      </c>
      <c r="AB42" s="204">
        <f t="shared" si="40"/>
        <v>0</v>
      </c>
      <c r="AC42" s="204">
        <f t="shared" si="40"/>
        <v>0</v>
      </c>
      <c r="AD42" s="204">
        <f t="shared" si="40"/>
        <v>0</v>
      </c>
      <c r="AE42" s="204">
        <f t="shared" si="40"/>
        <v>0</v>
      </c>
      <c r="AF42" s="204">
        <f t="shared" si="40"/>
        <v>0</v>
      </c>
      <c r="AG42" s="204">
        <f t="shared" si="40"/>
        <v>0</v>
      </c>
      <c r="AH42" s="204">
        <f t="shared" si="40"/>
        <v>0</v>
      </c>
      <c r="AI42" s="204">
        <f t="shared" si="40"/>
        <v>0</v>
      </c>
      <c r="AJ42" s="13"/>
      <c r="AK42" s="13"/>
      <c r="AL42" s="13"/>
      <c r="AM42" s="13"/>
      <c r="AN42" s="13"/>
      <c r="AO42" s="204">
        <f t="shared" ref="AO42:AZ42" si="41">SUM(AO39:AO41)</f>
        <v>0</v>
      </c>
      <c r="AP42" s="204">
        <f t="shared" si="41"/>
        <v>0</v>
      </c>
      <c r="AQ42" s="204">
        <f t="shared" si="41"/>
        <v>0</v>
      </c>
      <c r="AR42" s="204">
        <f t="shared" si="41"/>
        <v>0</v>
      </c>
      <c r="AS42" s="204">
        <f t="shared" si="41"/>
        <v>0</v>
      </c>
      <c r="AT42" s="204">
        <f t="shared" si="41"/>
        <v>0</v>
      </c>
      <c r="AU42" s="204">
        <f t="shared" si="41"/>
        <v>0</v>
      </c>
      <c r="AV42" s="204">
        <f t="shared" si="41"/>
        <v>0</v>
      </c>
      <c r="AW42" s="204">
        <f t="shared" si="41"/>
        <v>0</v>
      </c>
      <c r="AX42" s="204">
        <f t="shared" si="41"/>
        <v>0</v>
      </c>
      <c r="AY42" s="204">
        <f t="shared" si="41"/>
        <v>0</v>
      </c>
      <c r="AZ42" s="204">
        <f t="shared" si="41"/>
        <v>0</v>
      </c>
      <c r="BA42" s="204">
        <v>205783.05</v>
      </c>
      <c r="BB42" s="204"/>
      <c r="BC42" s="193"/>
      <c r="BD42" s="257"/>
    </row>
    <row r="43" spans="1:56">
      <c r="A43" s="13"/>
      <c r="B43" s="13"/>
      <c r="C43" s="13"/>
      <c r="D43" s="13"/>
      <c r="E43" s="22"/>
      <c r="F43" s="22"/>
      <c r="G43" s="193"/>
      <c r="H43" s="193"/>
      <c r="I43" s="193"/>
      <c r="J43" s="193"/>
      <c r="K43" s="13"/>
      <c r="L43" s="13"/>
      <c r="M43" s="13"/>
      <c r="N43" s="13"/>
      <c r="O43" s="13"/>
      <c r="P43" s="13"/>
      <c r="Q43" s="13"/>
      <c r="R43" s="205" t="s">
        <v>3495</v>
      </c>
      <c r="S43" s="44">
        <f t="shared" ref="S43:AG43" si="42">S38-S39</f>
        <v>1108424.5</v>
      </c>
      <c r="T43" s="43">
        <f t="shared" si="42"/>
        <v>-170596.24</v>
      </c>
      <c r="U43" s="44">
        <f t="shared" si="42"/>
        <v>-170596.24</v>
      </c>
      <c r="V43" s="43">
        <f t="shared" si="42"/>
        <v>0</v>
      </c>
      <c r="W43" s="43">
        <f t="shared" si="42"/>
        <v>0</v>
      </c>
      <c r="X43" s="43">
        <f t="shared" si="42"/>
        <v>0</v>
      </c>
      <c r="Y43" s="43">
        <f t="shared" si="42"/>
        <v>0</v>
      </c>
      <c r="Z43" s="43">
        <f t="shared" si="42"/>
        <v>0</v>
      </c>
      <c r="AA43" s="44">
        <f t="shared" si="42"/>
        <v>0</v>
      </c>
      <c r="AB43" s="44">
        <f t="shared" si="42"/>
        <v>0</v>
      </c>
      <c r="AC43" s="44">
        <f t="shared" si="42"/>
        <v>0</v>
      </c>
      <c r="AD43" s="44">
        <f t="shared" si="42"/>
        <v>0</v>
      </c>
      <c r="AE43" s="44">
        <f t="shared" si="42"/>
        <v>0</v>
      </c>
      <c r="AF43" s="44">
        <f t="shared" si="42"/>
        <v>0</v>
      </c>
      <c r="AG43" s="44">
        <f t="shared" si="42"/>
        <v>0</v>
      </c>
      <c r="AH43" s="220"/>
      <c r="AI43" s="220"/>
      <c r="AJ43" s="13"/>
      <c r="AK43" s="13"/>
      <c r="AL43" s="13"/>
      <c r="AM43" s="13"/>
      <c r="AN43" s="13"/>
      <c r="AO43" s="239">
        <f t="shared" ref="AO43:AZ43" si="43">AO38-AO39</f>
        <v>0</v>
      </c>
      <c r="AP43" s="239">
        <f t="shared" si="43"/>
        <v>0</v>
      </c>
      <c r="AQ43" s="239">
        <f t="shared" si="43"/>
        <v>0</v>
      </c>
      <c r="AR43" s="239">
        <f t="shared" si="43"/>
        <v>0</v>
      </c>
      <c r="AS43" s="239">
        <f t="shared" si="43"/>
        <v>0</v>
      </c>
      <c r="AT43" s="239">
        <f t="shared" si="43"/>
        <v>0</v>
      </c>
      <c r="AU43" s="239">
        <f t="shared" si="43"/>
        <v>0</v>
      </c>
      <c r="AV43" s="239">
        <f t="shared" si="43"/>
        <v>0</v>
      </c>
      <c r="AW43" s="239">
        <f t="shared" si="43"/>
        <v>0</v>
      </c>
      <c r="AX43" s="239">
        <f t="shared" si="43"/>
        <v>0</v>
      </c>
      <c r="AY43" s="239">
        <f t="shared" si="43"/>
        <v>0</v>
      </c>
      <c r="AZ43" s="239">
        <f t="shared" si="43"/>
        <v>0</v>
      </c>
      <c r="BA43" s="237">
        <v>-170596.24</v>
      </c>
      <c r="BB43" s="237"/>
      <c r="BC43" s="228"/>
      <c r="BD43" s="257"/>
    </row>
    <row r="44" spans="1:56">
      <c r="A44" s="13"/>
      <c r="B44" s="13"/>
      <c r="C44" s="13"/>
      <c r="D44" s="13"/>
      <c r="E44" s="22"/>
      <c r="F44" s="22"/>
      <c r="G44" s="193"/>
      <c r="H44" s="193"/>
      <c r="I44" s="193"/>
      <c r="J44" s="193"/>
      <c r="K44" s="13"/>
      <c r="L44" s="13"/>
      <c r="M44" s="13"/>
      <c r="N44" s="13"/>
      <c r="O44" s="13"/>
      <c r="P44" s="13"/>
      <c r="Q44" s="13"/>
      <c r="R44" s="206" t="s">
        <v>3496</v>
      </c>
      <c r="S44" s="48">
        <f t="shared" ref="S44:AG44" si="44">S43/S38</f>
        <v>0.146866246275702</v>
      </c>
      <c r="T44" s="49">
        <f t="shared" si="44"/>
        <v>-0.207428405954654</v>
      </c>
      <c r="U44" s="48">
        <f t="shared" si="44"/>
        <v>-0.207428405954654</v>
      </c>
      <c r="V44" s="49" t="e">
        <f t="shared" si="44"/>
        <v>#DIV/0!</v>
      </c>
      <c r="W44" s="49" t="e">
        <f t="shared" si="44"/>
        <v>#DIV/0!</v>
      </c>
      <c r="X44" s="49" t="e">
        <f t="shared" si="44"/>
        <v>#DIV/0!</v>
      </c>
      <c r="Y44" s="49" t="e">
        <f t="shared" si="44"/>
        <v>#DIV/0!</v>
      </c>
      <c r="Z44" s="49" t="e">
        <f t="shared" si="44"/>
        <v>#DIV/0!</v>
      </c>
      <c r="AA44" s="48" t="e">
        <f t="shared" si="44"/>
        <v>#DIV/0!</v>
      </c>
      <c r="AB44" s="48" t="e">
        <f t="shared" si="44"/>
        <v>#DIV/0!</v>
      </c>
      <c r="AC44" s="48" t="e">
        <f t="shared" si="44"/>
        <v>#DIV/0!</v>
      </c>
      <c r="AD44" s="48" t="e">
        <f t="shared" si="44"/>
        <v>#DIV/0!</v>
      </c>
      <c r="AE44" s="48" t="e">
        <f t="shared" si="44"/>
        <v>#DIV/0!</v>
      </c>
      <c r="AF44" s="48" t="e">
        <f t="shared" si="44"/>
        <v>#DIV/0!</v>
      </c>
      <c r="AG44" s="48" t="e">
        <f t="shared" si="44"/>
        <v>#DIV/0!</v>
      </c>
      <c r="AH44" s="224">
        <f>T44-S44</f>
        <v>-0.354294652230356</v>
      </c>
      <c r="AI44" s="224" t="e">
        <f>AF44-S44</f>
        <v>#DIV/0!</v>
      </c>
      <c r="AJ44" s="13"/>
      <c r="AK44" s="13"/>
      <c r="AL44" s="13"/>
      <c r="AM44" s="13"/>
      <c r="AN44" s="13"/>
      <c r="AO44" s="48" t="e">
        <f t="shared" ref="AO44:AZ44" si="45">AO43/AO38</f>
        <v>#DIV/0!</v>
      </c>
      <c r="AP44" s="48" t="e">
        <f t="shared" si="45"/>
        <v>#DIV/0!</v>
      </c>
      <c r="AQ44" s="48" t="e">
        <f t="shared" si="45"/>
        <v>#DIV/0!</v>
      </c>
      <c r="AR44" s="48" t="e">
        <f t="shared" si="45"/>
        <v>#DIV/0!</v>
      </c>
      <c r="AS44" s="48" t="e">
        <f t="shared" si="45"/>
        <v>#DIV/0!</v>
      </c>
      <c r="AT44" s="48" t="e">
        <f t="shared" si="45"/>
        <v>#DIV/0!</v>
      </c>
      <c r="AU44" s="48" t="e">
        <f t="shared" si="45"/>
        <v>#DIV/0!</v>
      </c>
      <c r="AV44" s="48" t="e">
        <f t="shared" si="45"/>
        <v>#DIV/0!</v>
      </c>
      <c r="AW44" s="48" t="e">
        <f t="shared" si="45"/>
        <v>#DIV/0!</v>
      </c>
      <c r="AX44" s="48" t="e">
        <f t="shared" si="45"/>
        <v>#DIV/0!</v>
      </c>
      <c r="AY44" s="48" t="e">
        <f t="shared" si="45"/>
        <v>#DIV/0!</v>
      </c>
      <c r="AZ44" s="48" t="e">
        <f t="shared" si="45"/>
        <v>#DIV/0!</v>
      </c>
      <c r="BA44" s="48">
        <v>-0.207428405954654</v>
      </c>
      <c r="BB44" s="48"/>
      <c r="BC44" s="228"/>
      <c r="BD44" s="257"/>
    </row>
    <row r="45" spans="1:56">
      <c r="A45" s="13"/>
      <c r="B45" s="13"/>
      <c r="C45" s="13"/>
      <c r="D45" s="13"/>
      <c r="E45" s="22"/>
      <c r="F45" s="22"/>
      <c r="G45" s="193"/>
      <c r="H45" s="193"/>
      <c r="I45" s="193"/>
      <c r="J45" s="193"/>
      <c r="K45" s="13"/>
      <c r="L45" s="13"/>
      <c r="M45" s="13"/>
      <c r="N45" s="13"/>
      <c r="O45" s="13"/>
      <c r="P45" s="13"/>
      <c r="Q45" s="13"/>
      <c r="R45" s="205" t="s">
        <v>3497</v>
      </c>
      <c r="S45" s="207">
        <f t="shared" ref="S45:AG45" si="46">S38-S39-S40-S41</f>
        <v>1033424.5</v>
      </c>
      <c r="T45" s="43">
        <f t="shared" si="46"/>
        <v>-172455.44</v>
      </c>
      <c r="U45" s="44">
        <f t="shared" si="46"/>
        <v>-172455.44</v>
      </c>
      <c r="V45" s="43">
        <f t="shared" si="46"/>
        <v>0</v>
      </c>
      <c r="W45" s="43">
        <f t="shared" si="46"/>
        <v>0</v>
      </c>
      <c r="X45" s="43">
        <f t="shared" si="46"/>
        <v>0</v>
      </c>
      <c r="Y45" s="43">
        <f t="shared" si="46"/>
        <v>0</v>
      </c>
      <c r="Z45" s="43">
        <f t="shared" si="46"/>
        <v>0</v>
      </c>
      <c r="AA45" s="44">
        <f t="shared" si="46"/>
        <v>0</v>
      </c>
      <c r="AB45" s="44">
        <f t="shared" si="46"/>
        <v>0</v>
      </c>
      <c r="AC45" s="44">
        <f t="shared" si="46"/>
        <v>0</v>
      </c>
      <c r="AD45" s="44">
        <f t="shared" si="46"/>
        <v>0</v>
      </c>
      <c r="AE45" s="44">
        <f t="shared" si="46"/>
        <v>0</v>
      </c>
      <c r="AF45" s="44">
        <f t="shared" si="46"/>
        <v>0</v>
      </c>
      <c r="AG45" s="44">
        <f t="shared" si="46"/>
        <v>0</v>
      </c>
      <c r="AH45" s="224"/>
      <c r="AI45" s="224"/>
      <c r="AJ45" s="13"/>
      <c r="AK45" s="13"/>
      <c r="AL45" s="13"/>
      <c r="AM45" s="13"/>
      <c r="AN45" s="13"/>
      <c r="AO45" s="44">
        <f t="shared" ref="AO45:AZ45" si="47">AO38-AO39-AO40-AO41</f>
        <v>0</v>
      </c>
      <c r="AP45" s="44">
        <f t="shared" si="47"/>
        <v>0</v>
      </c>
      <c r="AQ45" s="44">
        <f t="shared" si="47"/>
        <v>0</v>
      </c>
      <c r="AR45" s="44">
        <f t="shared" si="47"/>
        <v>0</v>
      </c>
      <c r="AS45" s="44">
        <f t="shared" si="47"/>
        <v>0</v>
      </c>
      <c r="AT45" s="44">
        <f t="shared" si="47"/>
        <v>0</v>
      </c>
      <c r="AU45" s="44">
        <f t="shared" si="47"/>
        <v>0</v>
      </c>
      <c r="AV45" s="44">
        <f t="shared" si="47"/>
        <v>0</v>
      </c>
      <c r="AW45" s="44">
        <f t="shared" si="47"/>
        <v>0</v>
      </c>
      <c r="AX45" s="44">
        <f t="shared" si="47"/>
        <v>0</v>
      </c>
      <c r="AY45" s="44">
        <f t="shared" si="47"/>
        <v>0</v>
      </c>
      <c r="AZ45" s="44">
        <f t="shared" si="47"/>
        <v>0</v>
      </c>
      <c r="BA45" s="44">
        <v>-172455.44</v>
      </c>
      <c r="BB45" s="44"/>
      <c r="BC45" s="228"/>
      <c r="BD45" s="257"/>
    </row>
    <row r="46" spans="1:56">
      <c r="A46" s="14"/>
      <c r="B46" s="14"/>
      <c r="C46" s="14"/>
      <c r="D46" s="14"/>
      <c r="E46" s="177"/>
      <c r="F46" s="177"/>
      <c r="G46" s="193"/>
      <c r="H46" s="193"/>
      <c r="I46" s="193"/>
      <c r="J46" s="193"/>
      <c r="K46" s="14"/>
      <c r="L46" s="14"/>
      <c r="M46" s="14"/>
      <c r="N46" s="14"/>
      <c r="O46" s="14"/>
      <c r="P46" s="14"/>
      <c r="Q46" s="14"/>
      <c r="R46" s="206" t="s">
        <v>3498</v>
      </c>
      <c r="S46" s="48">
        <f t="shared" ref="S46:AG46" si="48">S45/S38</f>
        <v>0.136928746273963</v>
      </c>
      <c r="T46" s="49">
        <f t="shared" si="48"/>
        <v>-0.209689012005238</v>
      </c>
      <c r="U46" s="48">
        <f t="shared" si="48"/>
        <v>-0.209689012005238</v>
      </c>
      <c r="V46" s="49" t="e">
        <f t="shared" si="48"/>
        <v>#DIV/0!</v>
      </c>
      <c r="W46" s="49" t="e">
        <f t="shared" si="48"/>
        <v>#DIV/0!</v>
      </c>
      <c r="X46" s="49" t="e">
        <f t="shared" si="48"/>
        <v>#DIV/0!</v>
      </c>
      <c r="Y46" s="49" t="e">
        <f t="shared" si="48"/>
        <v>#DIV/0!</v>
      </c>
      <c r="Z46" s="49" t="e">
        <f t="shared" si="48"/>
        <v>#DIV/0!</v>
      </c>
      <c r="AA46" s="48" t="e">
        <f t="shared" si="48"/>
        <v>#DIV/0!</v>
      </c>
      <c r="AB46" s="48" t="e">
        <f t="shared" si="48"/>
        <v>#DIV/0!</v>
      </c>
      <c r="AC46" s="48" t="e">
        <f t="shared" si="48"/>
        <v>#DIV/0!</v>
      </c>
      <c r="AD46" s="48" t="e">
        <f t="shared" si="48"/>
        <v>#DIV/0!</v>
      </c>
      <c r="AE46" s="48" t="e">
        <f t="shared" si="48"/>
        <v>#DIV/0!</v>
      </c>
      <c r="AF46" s="48" t="e">
        <f t="shared" si="48"/>
        <v>#DIV/0!</v>
      </c>
      <c r="AG46" s="48" t="e">
        <f t="shared" si="48"/>
        <v>#DIV/0!</v>
      </c>
      <c r="AH46" s="224">
        <f>T46-S46</f>
        <v>-0.346617758279201</v>
      </c>
      <c r="AI46" s="224" t="e">
        <f>AF46-S46</f>
        <v>#DIV/0!</v>
      </c>
      <c r="AJ46" s="14"/>
      <c r="AK46" s="14"/>
      <c r="AL46" s="14"/>
      <c r="AM46" s="14"/>
      <c r="AN46" s="14"/>
      <c r="AO46" s="48" t="e">
        <f t="shared" ref="AO46:AZ46" si="49">AO45/AO38</f>
        <v>#DIV/0!</v>
      </c>
      <c r="AP46" s="48" t="e">
        <f t="shared" si="49"/>
        <v>#DIV/0!</v>
      </c>
      <c r="AQ46" s="48" t="e">
        <f t="shared" si="49"/>
        <v>#DIV/0!</v>
      </c>
      <c r="AR46" s="48" t="e">
        <f t="shared" si="49"/>
        <v>#DIV/0!</v>
      </c>
      <c r="AS46" s="48" t="e">
        <f t="shared" si="49"/>
        <v>#DIV/0!</v>
      </c>
      <c r="AT46" s="48" t="e">
        <f t="shared" si="49"/>
        <v>#DIV/0!</v>
      </c>
      <c r="AU46" s="48" t="e">
        <f t="shared" si="49"/>
        <v>#DIV/0!</v>
      </c>
      <c r="AV46" s="48" t="e">
        <f t="shared" si="49"/>
        <v>#DIV/0!</v>
      </c>
      <c r="AW46" s="48" t="e">
        <f t="shared" si="49"/>
        <v>#DIV/0!</v>
      </c>
      <c r="AX46" s="48" t="e">
        <f t="shared" si="49"/>
        <v>#DIV/0!</v>
      </c>
      <c r="AY46" s="48" t="e">
        <f t="shared" si="49"/>
        <v>#DIV/0!</v>
      </c>
      <c r="AZ46" s="48" t="e">
        <f t="shared" si="49"/>
        <v>#DIV/0!</v>
      </c>
      <c r="BA46" s="263">
        <v>-0.209689012005238</v>
      </c>
      <c r="BB46" s="263"/>
      <c r="BC46" s="228"/>
      <c r="BD46" s="257"/>
    </row>
    <row r="47" spans="1:56">
      <c r="A47" s="191" t="s">
        <v>377</v>
      </c>
      <c r="B47" s="192" t="s">
        <v>3630</v>
      </c>
      <c r="C47" s="17">
        <v>45931</v>
      </c>
      <c r="D47" s="17">
        <v>46022</v>
      </c>
      <c r="E47" s="183"/>
      <c r="F47" s="183"/>
      <c r="G47" s="193"/>
      <c r="H47" s="193"/>
      <c r="I47" s="193"/>
      <c r="J47" s="193"/>
      <c r="K47" s="185"/>
      <c r="L47" s="185"/>
      <c r="M47" s="185"/>
      <c r="N47" s="185"/>
      <c r="O47" s="185"/>
      <c r="P47" s="185"/>
      <c r="Q47" s="10" t="s">
        <v>3485</v>
      </c>
      <c r="R47" s="205" t="s">
        <v>3486</v>
      </c>
      <c r="S47" s="44"/>
      <c r="T47" s="43">
        <f>SUM(AO47:BC47)</f>
        <v>7027529.05</v>
      </c>
      <c r="U47" s="44">
        <f>SUM(BA47:BC47)</f>
        <v>7027529.05</v>
      </c>
      <c r="V47" s="67">
        <f>SUM(AO47:AZ47)</f>
        <v>0</v>
      </c>
      <c r="W47" s="67">
        <f>SUM(AP47:AZ47)</f>
        <v>0</v>
      </c>
      <c r="X47" s="67">
        <f>SUM(AQ47:AU47)</f>
        <v>0</v>
      </c>
      <c r="Y47" s="67">
        <f>SUM(AS47:AZ47)</f>
        <v>0</v>
      </c>
      <c r="Z47" s="67">
        <f>SUM(AT47:AZ47)</f>
        <v>0</v>
      </c>
      <c r="AA47" s="217">
        <f>SUM(AT47:AZ47)</f>
        <v>0</v>
      </c>
      <c r="AB47" s="217">
        <f>SUM(AU47:AZ47)</f>
        <v>0</v>
      </c>
      <c r="AC47" s="217">
        <f>SUM(AV47:AZ47)</f>
        <v>0</v>
      </c>
      <c r="AD47" s="217">
        <f>SUM(AW47:AZ47)</f>
        <v>0</v>
      </c>
      <c r="AE47" s="217"/>
      <c r="AF47" s="44">
        <f>SUM(AY47:AZ47)</f>
        <v>0</v>
      </c>
      <c r="AG47" s="44"/>
      <c r="AH47" s="220"/>
      <c r="AI47" s="220"/>
      <c r="AJ47" s="228"/>
      <c r="AK47" s="229"/>
      <c r="AL47" s="225" t="s">
        <v>377</v>
      </c>
      <c r="AM47" s="225" t="s">
        <v>377</v>
      </c>
      <c r="AN47" s="234"/>
      <c r="AO47" s="237"/>
      <c r="AP47" s="237"/>
      <c r="AQ47" s="237"/>
      <c r="AR47" s="237"/>
      <c r="AS47" s="237"/>
      <c r="AT47" s="237"/>
      <c r="AU47" s="237"/>
      <c r="AV47" s="237"/>
      <c r="AW47" s="237"/>
      <c r="AX47" s="237"/>
      <c r="AY47" s="237"/>
      <c r="AZ47" s="237"/>
      <c r="BA47" s="237">
        <v>7027529.05</v>
      </c>
      <c r="BB47" s="237"/>
      <c r="BC47" s="228"/>
      <c r="BD47" s="257"/>
    </row>
    <row r="48" spans="1:56">
      <c r="A48" s="13"/>
      <c r="B48" s="13"/>
      <c r="C48" s="13"/>
      <c r="D48" s="13"/>
      <c r="E48" s="22"/>
      <c r="F48" s="22"/>
      <c r="G48" s="193"/>
      <c r="H48" s="193"/>
      <c r="I48" s="193"/>
      <c r="J48" s="193"/>
      <c r="K48" s="13"/>
      <c r="L48" s="13"/>
      <c r="M48" s="13"/>
      <c r="N48" s="13"/>
      <c r="O48" s="13"/>
      <c r="P48" s="13"/>
      <c r="Q48" s="13"/>
      <c r="R48" s="205" t="s">
        <v>3490</v>
      </c>
      <c r="S48" s="44"/>
      <c r="T48" s="43">
        <f>SUM(AO48:BC48)</f>
        <v>6859973.92</v>
      </c>
      <c r="U48" s="44">
        <f>SUM(BA48:BC48)</f>
        <v>6859973.92</v>
      </c>
      <c r="V48" s="67">
        <f>SUM(AO48:AZ48)</f>
        <v>0</v>
      </c>
      <c r="W48" s="67">
        <f>SUM(AP48:AZ48)</f>
        <v>0</v>
      </c>
      <c r="X48" s="67">
        <f>SUM(AQ48:AU48)</f>
        <v>0</v>
      </c>
      <c r="Y48" s="67">
        <f>SUM(AS48:AZ48)</f>
        <v>0</v>
      </c>
      <c r="Z48" s="67">
        <f>SUM(AT48:AZ48)</f>
        <v>0</v>
      </c>
      <c r="AA48" s="217">
        <f>SUM(AT48:AZ48)</f>
        <v>0</v>
      </c>
      <c r="AB48" s="217">
        <f>SUM(AU48:AZ48)</f>
        <v>0</v>
      </c>
      <c r="AC48" s="217">
        <f>SUM(AV48:AZ48)</f>
        <v>0</v>
      </c>
      <c r="AD48" s="217">
        <f>SUM(AW48:AZ48)</f>
        <v>0</v>
      </c>
      <c r="AE48" s="217"/>
      <c r="AF48" s="44">
        <f>SUM(AY48:AZ48)</f>
        <v>0</v>
      </c>
      <c r="AG48" s="44"/>
      <c r="AH48" s="220"/>
      <c r="AI48" s="220"/>
      <c r="AJ48" s="13"/>
      <c r="AK48" s="13"/>
      <c r="AL48" s="13"/>
      <c r="AM48" s="13"/>
      <c r="AN48" s="235"/>
      <c r="AO48" s="238"/>
      <c r="AP48" s="238"/>
      <c r="AQ48" s="238"/>
      <c r="AR48" s="238"/>
      <c r="AS48" s="238"/>
      <c r="AT48" s="238"/>
      <c r="AU48" s="238"/>
      <c r="AV48" s="238"/>
      <c r="AW48" s="238"/>
      <c r="AX48" s="238"/>
      <c r="AY48" s="238"/>
      <c r="AZ48" s="238"/>
      <c r="BA48" s="262">
        <v>6859973.92</v>
      </c>
      <c r="BB48" s="262"/>
      <c r="BC48" s="228"/>
      <c r="BD48" s="257"/>
    </row>
    <row r="49" spans="1:56">
      <c r="A49" s="13"/>
      <c r="B49" s="13"/>
      <c r="C49" s="13"/>
      <c r="D49" s="13"/>
      <c r="E49" s="22"/>
      <c r="F49" s="22"/>
      <c r="G49" s="193"/>
      <c r="H49" s="193"/>
      <c r="I49" s="193"/>
      <c r="J49" s="193"/>
      <c r="K49" s="13"/>
      <c r="L49" s="13"/>
      <c r="M49" s="13"/>
      <c r="N49" s="13"/>
      <c r="O49" s="13"/>
      <c r="P49" s="13"/>
      <c r="Q49" s="13"/>
      <c r="R49" s="205" t="s">
        <v>3492</v>
      </c>
      <c r="S49" s="44"/>
      <c r="T49" s="43">
        <f>SUM(AO49:BC49)</f>
        <v>53803.85</v>
      </c>
      <c r="U49" s="44">
        <f>SUM(BA49:BC49)</f>
        <v>53803.85</v>
      </c>
      <c r="V49" s="67">
        <f>SUM(AO49:AZ49)</f>
        <v>0</v>
      </c>
      <c r="W49" s="67">
        <f>SUM(AP49:AZ49)</f>
        <v>0</v>
      </c>
      <c r="X49" s="67">
        <f>SUM(AQ49:AU49)</f>
        <v>0</v>
      </c>
      <c r="Y49" s="67">
        <f>SUM(AS49:AZ49)</f>
        <v>0</v>
      </c>
      <c r="Z49" s="67">
        <f>SUM(AT49:AZ49)</f>
        <v>0</v>
      </c>
      <c r="AA49" s="217">
        <f>SUM(AT49:AZ49)</f>
        <v>0</v>
      </c>
      <c r="AB49" s="217">
        <f>SUM(AU49:AZ49)</f>
        <v>0</v>
      </c>
      <c r="AC49" s="217">
        <f>SUM(AV49:AZ49)</f>
        <v>0</v>
      </c>
      <c r="AD49" s="217">
        <f>SUM(AW49:AZ49)</f>
        <v>0</v>
      </c>
      <c r="AE49" s="217"/>
      <c r="AF49" s="44">
        <f>SUM(AY49:AZ49)</f>
        <v>0</v>
      </c>
      <c r="AG49" s="44"/>
      <c r="AH49" s="220"/>
      <c r="AI49" s="220"/>
      <c r="AJ49" s="13"/>
      <c r="AK49" s="13"/>
      <c r="AL49" s="13"/>
      <c r="AM49" s="13"/>
      <c r="AN49" s="235"/>
      <c r="AO49" s="238"/>
      <c r="AP49" s="238"/>
      <c r="AQ49" s="238"/>
      <c r="AR49" s="238"/>
      <c r="AS49" s="238"/>
      <c r="AT49" s="238"/>
      <c r="AU49" s="238"/>
      <c r="AV49" s="238"/>
      <c r="AW49" s="238"/>
      <c r="AX49" s="238"/>
      <c r="AY49" s="238"/>
      <c r="AZ49" s="238"/>
      <c r="BA49" s="262">
        <v>53803.85</v>
      </c>
      <c r="BB49" s="262"/>
      <c r="BC49" s="228"/>
      <c r="BD49" s="257"/>
    </row>
    <row r="50" spans="1:56">
      <c r="A50" s="13"/>
      <c r="B50" s="13"/>
      <c r="C50" s="13"/>
      <c r="D50" s="13"/>
      <c r="E50" s="22"/>
      <c r="F50" s="22"/>
      <c r="G50" s="193"/>
      <c r="H50" s="193"/>
      <c r="I50" s="193"/>
      <c r="J50" s="193"/>
      <c r="K50" s="13"/>
      <c r="L50" s="13"/>
      <c r="M50" s="13"/>
      <c r="N50" s="13"/>
      <c r="O50" s="13"/>
      <c r="P50" s="13"/>
      <c r="Q50" s="13"/>
      <c r="R50" s="205" t="s">
        <v>3493</v>
      </c>
      <c r="S50" s="44"/>
      <c r="T50" s="43">
        <f>SUM(AO50:BC50)</f>
        <v>53448.77</v>
      </c>
      <c r="U50" s="44">
        <f>SUM(BA50:BC50)</f>
        <v>53448.77</v>
      </c>
      <c r="V50" s="67">
        <f>SUM(AO50:AZ50)</f>
        <v>0</v>
      </c>
      <c r="W50" s="67">
        <f>SUM(AP50:AZ50)</f>
        <v>0</v>
      </c>
      <c r="X50" s="67">
        <f>SUM(AQ50:AU50)</f>
        <v>0</v>
      </c>
      <c r="Y50" s="67">
        <f>SUM(AS50:AZ50)</f>
        <v>0</v>
      </c>
      <c r="Z50" s="67">
        <f>SUM(AT50:AZ50)</f>
        <v>0</v>
      </c>
      <c r="AA50" s="217">
        <f>SUM(AT50:AZ50)</f>
        <v>0</v>
      </c>
      <c r="AB50" s="217">
        <f>SUM(AU50:AZ50)</f>
        <v>0</v>
      </c>
      <c r="AC50" s="217">
        <f>SUM(AV50:AZ50)</f>
        <v>0</v>
      </c>
      <c r="AD50" s="217">
        <f>SUM(AW50:AZ50)</f>
        <v>0</v>
      </c>
      <c r="AE50" s="217"/>
      <c r="AF50" s="44">
        <f>SUM(AY50:AZ50)</f>
        <v>0</v>
      </c>
      <c r="AG50" s="44"/>
      <c r="AH50" s="220"/>
      <c r="AI50" s="220"/>
      <c r="AJ50" s="13"/>
      <c r="AK50" s="13"/>
      <c r="AL50" s="13"/>
      <c r="AM50" s="13"/>
      <c r="AN50" s="235"/>
      <c r="AO50" s="238"/>
      <c r="AP50" s="238"/>
      <c r="AQ50" s="238"/>
      <c r="AR50" s="238"/>
      <c r="AS50" s="238"/>
      <c r="AT50" s="238"/>
      <c r="AU50" s="238"/>
      <c r="AV50" s="238"/>
      <c r="AW50" s="238"/>
      <c r="AX50" s="238"/>
      <c r="AY50" s="238"/>
      <c r="AZ50" s="238"/>
      <c r="BA50" s="237">
        <v>53448.77</v>
      </c>
      <c r="BB50" s="237"/>
      <c r="BC50" s="228"/>
      <c r="BD50" s="257"/>
    </row>
    <row r="51" spans="1:56">
      <c r="A51" s="13"/>
      <c r="B51" s="13"/>
      <c r="C51" s="13"/>
      <c r="D51" s="13"/>
      <c r="E51" s="22"/>
      <c r="F51" s="22"/>
      <c r="G51" s="19"/>
      <c r="H51" s="19"/>
      <c r="I51" s="19"/>
      <c r="J51" s="19"/>
      <c r="K51" s="13"/>
      <c r="L51" s="13"/>
      <c r="M51" s="13"/>
      <c r="N51" s="13"/>
      <c r="O51" s="13"/>
      <c r="P51" s="13"/>
      <c r="Q51" s="13"/>
      <c r="R51" s="41" t="s">
        <v>3494</v>
      </c>
      <c r="S51" s="204">
        <f t="shared" ref="S51:AI51" si="50">SUM(S48:S50)</f>
        <v>0</v>
      </c>
      <c r="T51" s="204">
        <f t="shared" si="50"/>
        <v>6967226.54</v>
      </c>
      <c r="U51" s="204">
        <f t="shared" si="50"/>
        <v>6967226.54</v>
      </c>
      <c r="V51" s="204">
        <f t="shared" si="50"/>
        <v>0</v>
      </c>
      <c r="W51" s="204">
        <f t="shared" si="50"/>
        <v>0</v>
      </c>
      <c r="X51" s="204">
        <f t="shared" si="50"/>
        <v>0</v>
      </c>
      <c r="Y51" s="204">
        <f t="shared" si="50"/>
        <v>0</v>
      </c>
      <c r="Z51" s="204">
        <f t="shared" si="50"/>
        <v>0</v>
      </c>
      <c r="AA51" s="204">
        <f t="shared" si="50"/>
        <v>0</v>
      </c>
      <c r="AB51" s="204">
        <f t="shared" si="50"/>
        <v>0</v>
      </c>
      <c r="AC51" s="204">
        <f t="shared" si="50"/>
        <v>0</v>
      </c>
      <c r="AD51" s="204">
        <f t="shared" si="50"/>
        <v>0</v>
      </c>
      <c r="AE51" s="204">
        <f t="shared" si="50"/>
        <v>0</v>
      </c>
      <c r="AF51" s="204">
        <f t="shared" si="50"/>
        <v>0</v>
      </c>
      <c r="AG51" s="204">
        <f t="shared" si="50"/>
        <v>0</v>
      </c>
      <c r="AH51" s="204">
        <f t="shared" si="50"/>
        <v>0</v>
      </c>
      <c r="AI51" s="204">
        <f t="shared" si="50"/>
        <v>0</v>
      </c>
      <c r="AJ51" s="13"/>
      <c r="AK51" s="13"/>
      <c r="AL51" s="13"/>
      <c r="AM51" s="13"/>
      <c r="AN51" s="235"/>
      <c r="AO51" s="204">
        <f t="shared" ref="AO51:AZ51" si="51">SUM(AO48:AO50)</f>
        <v>0</v>
      </c>
      <c r="AP51" s="204">
        <f t="shared" si="51"/>
        <v>0</v>
      </c>
      <c r="AQ51" s="204">
        <f t="shared" si="51"/>
        <v>0</v>
      </c>
      <c r="AR51" s="204">
        <f t="shared" si="51"/>
        <v>0</v>
      </c>
      <c r="AS51" s="204">
        <f t="shared" si="51"/>
        <v>0</v>
      </c>
      <c r="AT51" s="204">
        <f t="shared" si="51"/>
        <v>0</v>
      </c>
      <c r="AU51" s="204">
        <f t="shared" si="51"/>
        <v>0</v>
      </c>
      <c r="AV51" s="204">
        <f t="shared" si="51"/>
        <v>0</v>
      </c>
      <c r="AW51" s="204">
        <f t="shared" si="51"/>
        <v>0</v>
      </c>
      <c r="AX51" s="204">
        <f t="shared" si="51"/>
        <v>0</v>
      </c>
      <c r="AY51" s="204">
        <f t="shared" si="51"/>
        <v>0</v>
      </c>
      <c r="AZ51" s="204">
        <f t="shared" si="51"/>
        <v>0</v>
      </c>
      <c r="BA51" s="204">
        <v>205783.05</v>
      </c>
      <c r="BB51" s="204"/>
      <c r="BC51" s="193"/>
      <c r="BD51" s="257"/>
    </row>
    <row r="52" spans="1:56">
      <c r="A52" s="13"/>
      <c r="B52" s="13"/>
      <c r="C52" s="13"/>
      <c r="D52" s="13"/>
      <c r="E52" s="22"/>
      <c r="F52" s="22"/>
      <c r="G52" s="193"/>
      <c r="H52" s="193"/>
      <c r="I52" s="193"/>
      <c r="J52" s="193"/>
      <c r="K52" s="13"/>
      <c r="L52" s="13"/>
      <c r="M52" s="13"/>
      <c r="N52" s="13"/>
      <c r="O52" s="13"/>
      <c r="P52" s="13"/>
      <c r="Q52" s="13"/>
      <c r="R52" s="205" t="s">
        <v>3495</v>
      </c>
      <c r="S52" s="44"/>
      <c r="T52" s="43">
        <f t="shared" ref="T52:AG52" si="52">T47-T48</f>
        <v>167555.13</v>
      </c>
      <c r="U52" s="44">
        <f t="shared" si="52"/>
        <v>167555.13</v>
      </c>
      <c r="V52" s="43">
        <f t="shared" si="52"/>
        <v>0</v>
      </c>
      <c r="W52" s="43">
        <f t="shared" si="52"/>
        <v>0</v>
      </c>
      <c r="X52" s="43">
        <f t="shared" si="52"/>
        <v>0</v>
      </c>
      <c r="Y52" s="43">
        <f t="shared" si="52"/>
        <v>0</v>
      </c>
      <c r="Z52" s="43">
        <f t="shared" si="52"/>
        <v>0</v>
      </c>
      <c r="AA52" s="44">
        <f t="shared" si="52"/>
        <v>0</v>
      </c>
      <c r="AB52" s="44">
        <f t="shared" si="52"/>
        <v>0</v>
      </c>
      <c r="AC52" s="44">
        <f t="shared" si="52"/>
        <v>0</v>
      </c>
      <c r="AD52" s="44">
        <f t="shared" si="52"/>
        <v>0</v>
      </c>
      <c r="AE52" s="44">
        <f t="shared" si="52"/>
        <v>0</v>
      </c>
      <c r="AF52" s="44">
        <f t="shared" si="52"/>
        <v>0</v>
      </c>
      <c r="AG52" s="44">
        <f t="shared" si="52"/>
        <v>0</v>
      </c>
      <c r="AH52" s="220"/>
      <c r="AI52" s="220"/>
      <c r="AJ52" s="13"/>
      <c r="AK52" s="13"/>
      <c r="AL52" s="13"/>
      <c r="AM52" s="13"/>
      <c r="AN52" s="235"/>
      <c r="AO52" s="239">
        <f t="shared" ref="AO52:AZ52" si="53">AO47-AO48</f>
        <v>0</v>
      </c>
      <c r="AP52" s="239">
        <f t="shared" si="53"/>
        <v>0</v>
      </c>
      <c r="AQ52" s="239">
        <f t="shared" si="53"/>
        <v>0</v>
      </c>
      <c r="AR52" s="239">
        <f t="shared" si="53"/>
        <v>0</v>
      </c>
      <c r="AS52" s="239">
        <f t="shared" si="53"/>
        <v>0</v>
      </c>
      <c r="AT52" s="239">
        <f t="shared" si="53"/>
        <v>0</v>
      </c>
      <c r="AU52" s="239">
        <f t="shared" si="53"/>
        <v>0</v>
      </c>
      <c r="AV52" s="239">
        <f t="shared" si="53"/>
        <v>0</v>
      </c>
      <c r="AW52" s="239">
        <f t="shared" si="53"/>
        <v>0</v>
      </c>
      <c r="AX52" s="239">
        <f t="shared" si="53"/>
        <v>0</v>
      </c>
      <c r="AY52" s="239">
        <f t="shared" si="53"/>
        <v>0</v>
      </c>
      <c r="AZ52" s="239">
        <f t="shared" si="53"/>
        <v>0</v>
      </c>
      <c r="BA52" s="237">
        <v>167555.130000001</v>
      </c>
      <c r="BB52" s="237"/>
      <c r="BC52" s="228"/>
      <c r="BD52" s="257"/>
    </row>
    <row r="53" spans="1:56">
      <c r="A53" s="13"/>
      <c r="B53" s="13"/>
      <c r="C53" s="13"/>
      <c r="D53" s="13"/>
      <c r="E53" s="22"/>
      <c r="F53" s="22"/>
      <c r="G53" s="193"/>
      <c r="H53" s="193"/>
      <c r="I53" s="193"/>
      <c r="J53" s="193"/>
      <c r="K53" s="13"/>
      <c r="L53" s="13"/>
      <c r="M53" s="13"/>
      <c r="N53" s="13"/>
      <c r="O53" s="13"/>
      <c r="P53" s="13"/>
      <c r="Q53" s="13"/>
      <c r="R53" s="206" t="s">
        <v>3496</v>
      </c>
      <c r="S53" s="48"/>
      <c r="T53" s="49">
        <f t="shared" ref="T53:AG53" si="54">T52/T47</f>
        <v>0.0238426805222527</v>
      </c>
      <c r="U53" s="48">
        <f t="shared" si="54"/>
        <v>0.0238426805222527</v>
      </c>
      <c r="V53" s="49" t="e">
        <f t="shared" si="54"/>
        <v>#DIV/0!</v>
      </c>
      <c r="W53" s="49" t="e">
        <f t="shared" si="54"/>
        <v>#DIV/0!</v>
      </c>
      <c r="X53" s="49" t="e">
        <f t="shared" si="54"/>
        <v>#DIV/0!</v>
      </c>
      <c r="Y53" s="49" t="e">
        <f t="shared" si="54"/>
        <v>#DIV/0!</v>
      </c>
      <c r="Z53" s="49" t="e">
        <f t="shared" si="54"/>
        <v>#DIV/0!</v>
      </c>
      <c r="AA53" s="48" t="e">
        <f t="shared" si="54"/>
        <v>#DIV/0!</v>
      </c>
      <c r="AB53" s="48" t="e">
        <f t="shared" si="54"/>
        <v>#DIV/0!</v>
      </c>
      <c r="AC53" s="48" t="e">
        <f t="shared" si="54"/>
        <v>#DIV/0!</v>
      </c>
      <c r="AD53" s="48" t="e">
        <f t="shared" si="54"/>
        <v>#DIV/0!</v>
      </c>
      <c r="AE53" s="48" t="e">
        <f t="shared" si="54"/>
        <v>#DIV/0!</v>
      </c>
      <c r="AF53" s="48" t="e">
        <f t="shared" si="54"/>
        <v>#DIV/0!</v>
      </c>
      <c r="AG53" s="48" t="e">
        <f t="shared" si="54"/>
        <v>#DIV/0!</v>
      </c>
      <c r="AH53" s="224">
        <f>T53-S53</f>
        <v>0.0238426805222527</v>
      </c>
      <c r="AI53" s="224" t="e">
        <f>AF53-S53</f>
        <v>#DIV/0!</v>
      </c>
      <c r="AJ53" s="13"/>
      <c r="AK53" s="13"/>
      <c r="AL53" s="13"/>
      <c r="AM53" s="13"/>
      <c r="AN53" s="235"/>
      <c r="AO53" s="48" t="e">
        <f t="shared" ref="AO53:AZ53" si="55">AO52/AO47</f>
        <v>#DIV/0!</v>
      </c>
      <c r="AP53" s="48" t="e">
        <f t="shared" si="55"/>
        <v>#DIV/0!</v>
      </c>
      <c r="AQ53" s="48" t="e">
        <f t="shared" si="55"/>
        <v>#DIV/0!</v>
      </c>
      <c r="AR53" s="48" t="e">
        <f t="shared" si="55"/>
        <v>#DIV/0!</v>
      </c>
      <c r="AS53" s="48" t="e">
        <f t="shared" si="55"/>
        <v>#DIV/0!</v>
      </c>
      <c r="AT53" s="48" t="e">
        <f t="shared" si="55"/>
        <v>#DIV/0!</v>
      </c>
      <c r="AU53" s="48" t="e">
        <f t="shared" si="55"/>
        <v>#DIV/0!</v>
      </c>
      <c r="AV53" s="48" t="e">
        <f t="shared" si="55"/>
        <v>#DIV/0!</v>
      </c>
      <c r="AW53" s="48" t="e">
        <f t="shared" si="55"/>
        <v>#DIV/0!</v>
      </c>
      <c r="AX53" s="48" t="e">
        <f t="shared" si="55"/>
        <v>#DIV/0!</v>
      </c>
      <c r="AY53" s="48" t="e">
        <f t="shared" si="55"/>
        <v>#DIV/0!</v>
      </c>
      <c r="AZ53" s="48" t="e">
        <f t="shared" si="55"/>
        <v>#DIV/0!</v>
      </c>
      <c r="BA53" s="48">
        <v>0.0238426805222528</v>
      </c>
      <c r="BB53" s="48"/>
      <c r="BC53" s="228"/>
      <c r="BD53" s="257"/>
    </row>
    <row r="54" spans="1:56">
      <c r="A54" s="13"/>
      <c r="B54" s="13"/>
      <c r="C54" s="13"/>
      <c r="D54" s="13"/>
      <c r="E54" s="22"/>
      <c r="F54" s="22"/>
      <c r="G54" s="193"/>
      <c r="H54" s="193"/>
      <c r="I54" s="193"/>
      <c r="J54" s="193"/>
      <c r="K54" s="13"/>
      <c r="L54" s="13"/>
      <c r="M54" s="13"/>
      <c r="N54" s="13"/>
      <c r="O54" s="13"/>
      <c r="P54" s="13"/>
      <c r="Q54" s="13"/>
      <c r="R54" s="205" t="s">
        <v>3497</v>
      </c>
      <c r="S54" s="207"/>
      <c r="T54" s="43">
        <f t="shared" ref="T54:AG54" si="56">T47-T48-T49-T50</f>
        <v>60302.5099999999</v>
      </c>
      <c r="U54" s="44">
        <f t="shared" si="56"/>
        <v>60302.5099999999</v>
      </c>
      <c r="V54" s="43">
        <f t="shared" si="56"/>
        <v>0</v>
      </c>
      <c r="W54" s="43">
        <f t="shared" si="56"/>
        <v>0</v>
      </c>
      <c r="X54" s="43">
        <f t="shared" si="56"/>
        <v>0</v>
      </c>
      <c r="Y54" s="43">
        <f t="shared" si="56"/>
        <v>0</v>
      </c>
      <c r="Z54" s="43">
        <f t="shared" si="56"/>
        <v>0</v>
      </c>
      <c r="AA54" s="44">
        <f t="shared" si="56"/>
        <v>0</v>
      </c>
      <c r="AB54" s="44">
        <f t="shared" si="56"/>
        <v>0</v>
      </c>
      <c r="AC54" s="44">
        <f t="shared" si="56"/>
        <v>0</v>
      </c>
      <c r="AD54" s="44">
        <f t="shared" si="56"/>
        <v>0</v>
      </c>
      <c r="AE54" s="44">
        <f t="shared" si="56"/>
        <v>0</v>
      </c>
      <c r="AF54" s="44">
        <f t="shared" si="56"/>
        <v>0</v>
      </c>
      <c r="AG54" s="44">
        <f t="shared" si="56"/>
        <v>0</v>
      </c>
      <c r="AH54" s="224"/>
      <c r="AI54" s="224"/>
      <c r="AJ54" s="13"/>
      <c r="AK54" s="13"/>
      <c r="AL54" s="13"/>
      <c r="AM54" s="13"/>
      <c r="AN54" s="235"/>
      <c r="AO54" s="44">
        <f t="shared" ref="AO54:AZ54" si="57">AO47-AO48-AO49-AO50</f>
        <v>0</v>
      </c>
      <c r="AP54" s="44">
        <f t="shared" si="57"/>
        <v>0</v>
      </c>
      <c r="AQ54" s="44">
        <f t="shared" si="57"/>
        <v>0</v>
      </c>
      <c r="AR54" s="44">
        <f t="shared" si="57"/>
        <v>0</v>
      </c>
      <c r="AS54" s="44">
        <f t="shared" si="57"/>
        <v>0</v>
      </c>
      <c r="AT54" s="44">
        <f t="shared" si="57"/>
        <v>0</v>
      </c>
      <c r="AU54" s="44">
        <f t="shared" si="57"/>
        <v>0</v>
      </c>
      <c r="AV54" s="44">
        <f t="shared" si="57"/>
        <v>0</v>
      </c>
      <c r="AW54" s="44">
        <f t="shared" si="57"/>
        <v>0</v>
      </c>
      <c r="AX54" s="44">
        <f t="shared" si="57"/>
        <v>0</v>
      </c>
      <c r="AY54" s="44">
        <f t="shared" si="57"/>
        <v>0</v>
      </c>
      <c r="AZ54" s="44">
        <f t="shared" si="57"/>
        <v>0</v>
      </c>
      <c r="BA54" s="44">
        <v>60302.5100000008</v>
      </c>
      <c r="BB54" s="44"/>
      <c r="BC54" s="228"/>
      <c r="BD54" s="257"/>
    </row>
    <row r="55" spans="1:56">
      <c r="A55" s="14"/>
      <c r="B55" s="14"/>
      <c r="C55" s="14"/>
      <c r="D55" s="14"/>
      <c r="E55" s="177"/>
      <c r="F55" s="177"/>
      <c r="G55" s="193"/>
      <c r="H55" s="193"/>
      <c r="I55" s="193"/>
      <c r="J55" s="193"/>
      <c r="K55" s="14"/>
      <c r="L55" s="14"/>
      <c r="M55" s="14"/>
      <c r="N55" s="14"/>
      <c r="O55" s="14"/>
      <c r="P55" s="14"/>
      <c r="Q55" s="14"/>
      <c r="R55" s="206" t="s">
        <v>3498</v>
      </c>
      <c r="S55" s="48"/>
      <c r="T55" s="49">
        <f t="shared" ref="T55:AG55" si="58">T54/T47</f>
        <v>0.00858089800425654</v>
      </c>
      <c r="U55" s="48">
        <f t="shared" si="58"/>
        <v>0.00858089800425654</v>
      </c>
      <c r="V55" s="49" t="e">
        <f t="shared" si="58"/>
        <v>#DIV/0!</v>
      </c>
      <c r="W55" s="49" t="e">
        <f t="shared" si="58"/>
        <v>#DIV/0!</v>
      </c>
      <c r="X55" s="49" t="e">
        <f t="shared" si="58"/>
        <v>#DIV/0!</v>
      </c>
      <c r="Y55" s="49" t="e">
        <f t="shared" si="58"/>
        <v>#DIV/0!</v>
      </c>
      <c r="Z55" s="49" t="e">
        <f t="shared" si="58"/>
        <v>#DIV/0!</v>
      </c>
      <c r="AA55" s="48" t="e">
        <f t="shared" si="58"/>
        <v>#DIV/0!</v>
      </c>
      <c r="AB55" s="48" t="e">
        <f t="shared" si="58"/>
        <v>#DIV/0!</v>
      </c>
      <c r="AC55" s="48" t="e">
        <f t="shared" si="58"/>
        <v>#DIV/0!</v>
      </c>
      <c r="AD55" s="48" t="e">
        <f t="shared" si="58"/>
        <v>#DIV/0!</v>
      </c>
      <c r="AE55" s="48" t="e">
        <f t="shared" si="58"/>
        <v>#DIV/0!</v>
      </c>
      <c r="AF55" s="48" t="e">
        <f t="shared" si="58"/>
        <v>#DIV/0!</v>
      </c>
      <c r="AG55" s="48" t="e">
        <f t="shared" si="58"/>
        <v>#DIV/0!</v>
      </c>
      <c r="AH55" s="224">
        <f>T55-S55</f>
        <v>0.00858089800425654</v>
      </c>
      <c r="AI55" s="224" t="e">
        <f>AF55-S55</f>
        <v>#DIV/0!</v>
      </c>
      <c r="AJ55" s="14"/>
      <c r="AK55" s="14"/>
      <c r="AL55" s="14"/>
      <c r="AM55" s="14"/>
      <c r="AN55" s="236"/>
      <c r="AO55" s="48" t="e">
        <f t="shared" ref="AO55:AZ55" si="59">AO54/AO47</f>
        <v>#DIV/0!</v>
      </c>
      <c r="AP55" s="48" t="e">
        <f t="shared" si="59"/>
        <v>#DIV/0!</v>
      </c>
      <c r="AQ55" s="48" t="e">
        <f t="shared" si="59"/>
        <v>#DIV/0!</v>
      </c>
      <c r="AR55" s="48" t="e">
        <f t="shared" si="59"/>
        <v>#DIV/0!</v>
      </c>
      <c r="AS55" s="48" t="e">
        <f t="shared" si="59"/>
        <v>#DIV/0!</v>
      </c>
      <c r="AT55" s="48" t="e">
        <f t="shared" si="59"/>
        <v>#DIV/0!</v>
      </c>
      <c r="AU55" s="48" t="e">
        <f t="shared" si="59"/>
        <v>#DIV/0!</v>
      </c>
      <c r="AV55" s="48" t="e">
        <f t="shared" si="59"/>
        <v>#DIV/0!</v>
      </c>
      <c r="AW55" s="48" t="e">
        <f t="shared" si="59"/>
        <v>#DIV/0!</v>
      </c>
      <c r="AX55" s="48" t="e">
        <f t="shared" si="59"/>
        <v>#DIV/0!</v>
      </c>
      <c r="AY55" s="48" t="e">
        <f t="shared" si="59"/>
        <v>#DIV/0!</v>
      </c>
      <c r="AZ55" s="48" t="e">
        <f t="shared" si="59"/>
        <v>#DIV/0!</v>
      </c>
      <c r="BA55" s="263">
        <v>0.00858089800425667</v>
      </c>
      <c r="BB55" s="263"/>
      <c r="BC55" s="228"/>
      <c r="BD55" s="257"/>
    </row>
    <row r="56" spans="1:56">
      <c r="A56" s="186" t="s">
        <v>586</v>
      </c>
      <c r="B56" s="194" t="s">
        <v>587</v>
      </c>
      <c r="C56" s="188">
        <v>46023</v>
      </c>
      <c r="D56" s="188">
        <v>46387</v>
      </c>
      <c r="E56" s="195" t="s">
        <v>3631</v>
      </c>
      <c r="F56" s="195" t="s">
        <v>3632</v>
      </c>
      <c r="G56" s="190"/>
      <c r="H56" s="190"/>
      <c r="I56" s="190"/>
      <c r="J56" s="190"/>
      <c r="K56" s="201"/>
      <c r="L56" s="201"/>
      <c r="M56" s="201"/>
      <c r="N56" s="201"/>
      <c r="O56" s="201"/>
      <c r="P56" s="201"/>
      <c r="Q56" s="211" t="s">
        <v>3633</v>
      </c>
      <c r="R56" s="212" t="s">
        <v>3486</v>
      </c>
      <c r="S56" s="58">
        <v>4698113.21</v>
      </c>
      <c r="T56" s="57">
        <f>SUM(AO56:BC56)</f>
        <v>518202.02</v>
      </c>
      <c r="U56" s="58">
        <f>SUM(BA56:BC56)</f>
        <v>0</v>
      </c>
      <c r="V56" s="70">
        <f>SUM(AO56:AZ56)</f>
        <v>518202.02</v>
      </c>
      <c r="W56" s="70">
        <f>SUM(AP56:AZ56)</f>
        <v>518202.02</v>
      </c>
      <c r="X56" s="70">
        <f>SUM(AQ56:AU56)</f>
        <v>0</v>
      </c>
      <c r="Y56" s="70">
        <f>SUM(AS56:AZ56)</f>
        <v>518202.02</v>
      </c>
      <c r="Z56" s="70">
        <f>SUM(AT56:AZ56)</f>
        <v>518202.02</v>
      </c>
      <c r="AA56" s="219">
        <f>SUM(AT56:AZ56)</f>
        <v>518202.02</v>
      </c>
      <c r="AB56" s="219">
        <f>SUM(AU56:AZ56)</f>
        <v>518202.02</v>
      </c>
      <c r="AC56" s="219">
        <f>SUM(AV56:AZ56)</f>
        <v>518202.02</v>
      </c>
      <c r="AD56" s="219">
        <f>SUM(AW56:AZ56)</f>
        <v>518202.02</v>
      </c>
      <c r="AE56" s="219"/>
      <c r="AF56" s="58">
        <f>SUM(AY56:AZ56)</f>
        <v>518202.02</v>
      </c>
      <c r="AG56" s="58">
        <f>SUM(AZ56:AZ56)</f>
        <v>260662.24</v>
      </c>
      <c r="AH56" s="75"/>
      <c r="AI56" s="75"/>
      <c r="AJ56" s="230"/>
      <c r="AK56" s="231" t="s">
        <v>3634</v>
      </c>
      <c r="AL56" s="231" t="s">
        <v>3635</v>
      </c>
      <c r="AM56" s="232" t="s">
        <v>377</v>
      </c>
      <c r="AN56" s="233"/>
      <c r="AO56" s="240"/>
      <c r="AP56" s="240"/>
      <c r="AQ56" s="240"/>
      <c r="AR56" s="240"/>
      <c r="AS56" s="240"/>
      <c r="AT56" s="240"/>
      <c r="AU56" s="240"/>
      <c r="AV56" s="240"/>
      <c r="AW56" s="240"/>
      <c r="AX56" s="240"/>
      <c r="AY56" s="240">
        <v>257539.78</v>
      </c>
      <c r="AZ56" s="240">
        <v>260662.24</v>
      </c>
      <c r="BA56" s="240"/>
      <c r="BB56" s="240"/>
      <c r="BC56" s="230"/>
      <c r="BD56" s="259"/>
    </row>
    <row r="57" spans="1:56">
      <c r="A57" s="13"/>
      <c r="B57" s="13"/>
      <c r="C57" s="13"/>
      <c r="D57" s="13"/>
      <c r="E57" s="22"/>
      <c r="F57" s="22"/>
      <c r="G57" s="190"/>
      <c r="H57" s="190"/>
      <c r="I57" s="190"/>
      <c r="J57" s="190"/>
      <c r="K57" s="13"/>
      <c r="L57" s="13"/>
      <c r="M57" s="13"/>
      <c r="N57" s="13"/>
      <c r="O57" s="13"/>
      <c r="P57" s="13"/>
      <c r="Q57" s="13"/>
      <c r="R57" s="212" t="s">
        <v>3490</v>
      </c>
      <c r="S57" s="58">
        <v>1792226.23</v>
      </c>
      <c r="T57" s="57">
        <f>SUM(AO57:BC57)</f>
        <v>491445.09</v>
      </c>
      <c r="U57" s="58">
        <f>SUM(BA57:BC57)</f>
        <v>0</v>
      </c>
      <c r="V57" s="70">
        <f>SUM(AO57:AZ57)</f>
        <v>491445.09</v>
      </c>
      <c r="W57" s="70">
        <f>SUM(AP57:AZ57)</f>
        <v>491445.09</v>
      </c>
      <c r="X57" s="70">
        <f>SUM(AQ57:AU57)</f>
        <v>0</v>
      </c>
      <c r="Y57" s="70">
        <f>SUM(AS57:AZ57)</f>
        <v>491445.09</v>
      </c>
      <c r="Z57" s="70">
        <f>SUM(AT57:AZ57)</f>
        <v>491445.09</v>
      </c>
      <c r="AA57" s="219">
        <f>SUM(AT57:AZ57)</f>
        <v>491445.09</v>
      </c>
      <c r="AB57" s="219">
        <f>SUM(AU57:AZ57)</f>
        <v>491445.09</v>
      </c>
      <c r="AC57" s="219">
        <f>SUM(AV57:AZ57)</f>
        <v>491445.09</v>
      </c>
      <c r="AD57" s="219">
        <f>SUM(AW57:AZ57)</f>
        <v>491445.09</v>
      </c>
      <c r="AE57" s="219"/>
      <c r="AF57" s="58">
        <f>SUM(AY57:AZ57)</f>
        <v>491445.09</v>
      </c>
      <c r="AG57" s="58">
        <f>SUM(AZ57:AZ57)</f>
        <v>160945.65</v>
      </c>
      <c r="AH57" s="75"/>
      <c r="AI57" s="75"/>
      <c r="AJ57" s="13"/>
      <c r="AK57" s="13"/>
      <c r="AL57" s="13"/>
      <c r="AM57" s="13"/>
      <c r="AN57" s="13"/>
      <c r="AO57" s="241"/>
      <c r="AP57" s="241"/>
      <c r="AQ57" s="241"/>
      <c r="AR57" s="241"/>
      <c r="AS57" s="241"/>
      <c r="AT57" s="241"/>
      <c r="AU57" s="241"/>
      <c r="AV57" s="241"/>
      <c r="AW57" s="241"/>
      <c r="AX57" s="241"/>
      <c r="AY57" s="241">
        <v>330499.44</v>
      </c>
      <c r="AZ57" s="241">
        <v>160945.65</v>
      </c>
      <c r="BA57" s="241"/>
      <c r="BB57" s="260"/>
      <c r="BC57" s="230"/>
      <c r="BD57" s="259"/>
    </row>
    <row r="58" spans="1:56">
      <c r="A58" s="13"/>
      <c r="B58" s="13"/>
      <c r="C58" s="13"/>
      <c r="D58" s="13"/>
      <c r="E58" s="22"/>
      <c r="F58" s="22"/>
      <c r="G58" s="190"/>
      <c r="H58" s="190"/>
      <c r="I58" s="190"/>
      <c r="J58" s="190"/>
      <c r="K58" s="13"/>
      <c r="L58" s="13"/>
      <c r="M58" s="13"/>
      <c r="N58" s="13"/>
      <c r="O58" s="13"/>
      <c r="P58" s="13"/>
      <c r="Q58" s="13"/>
      <c r="R58" s="212" t="s">
        <v>3492</v>
      </c>
      <c r="S58" s="58">
        <v>368000</v>
      </c>
      <c r="T58" s="57">
        <f>SUM(AO58:BC58)</f>
        <v>0</v>
      </c>
      <c r="U58" s="58">
        <f>SUM(BA58:BC58)</f>
        <v>0</v>
      </c>
      <c r="V58" s="70">
        <f>SUM(AO58:AZ58)</f>
        <v>0</v>
      </c>
      <c r="W58" s="70">
        <f>SUM(AP58:AZ58)</f>
        <v>0</v>
      </c>
      <c r="X58" s="70">
        <f>SUM(AQ58:AU58)</f>
        <v>0</v>
      </c>
      <c r="Y58" s="70">
        <f>SUM(AS58:AZ58)</f>
        <v>0</v>
      </c>
      <c r="Z58" s="70">
        <f>SUM(AT58:AZ58)</f>
        <v>0</v>
      </c>
      <c r="AA58" s="219">
        <f>SUM(AT58:AZ58)</f>
        <v>0</v>
      </c>
      <c r="AB58" s="219">
        <f>SUM(AU58:AZ58)</f>
        <v>0</v>
      </c>
      <c r="AC58" s="219">
        <f>SUM(AV58:AZ58)</f>
        <v>0</v>
      </c>
      <c r="AD58" s="219">
        <f>SUM(AW58:AZ58)</f>
        <v>0</v>
      </c>
      <c r="AE58" s="219"/>
      <c r="AF58" s="58">
        <f>SUM(AY58:AZ58)</f>
        <v>0</v>
      </c>
      <c r="AG58" s="58">
        <f>SUM(AZ58:AZ58)</f>
        <v>0</v>
      </c>
      <c r="AH58" s="75"/>
      <c r="AI58" s="75"/>
      <c r="AJ58" s="13"/>
      <c r="AK58" s="13"/>
      <c r="AL58" s="13"/>
      <c r="AM58" s="13"/>
      <c r="AN58" s="13"/>
      <c r="AO58" s="241"/>
      <c r="AP58" s="241"/>
      <c r="AQ58" s="241"/>
      <c r="AR58" s="241"/>
      <c r="AS58" s="241"/>
      <c r="AT58" s="241"/>
      <c r="AU58" s="241"/>
      <c r="AV58" s="241"/>
      <c r="AW58" s="241"/>
      <c r="AX58" s="241"/>
      <c r="AY58" s="241">
        <v>0</v>
      </c>
      <c r="AZ58" s="241">
        <v>0</v>
      </c>
      <c r="BA58" s="241"/>
      <c r="BB58" s="260"/>
      <c r="BC58" s="230"/>
      <c r="BD58" s="259"/>
    </row>
    <row r="59" spans="1:56">
      <c r="A59" s="13"/>
      <c r="B59" s="13"/>
      <c r="C59" s="13"/>
      <c r="D59" s="13"/>
      <c r="E59" s="22"/>
      <c r="F59" s="22"/>
      <c r="G59" s="190"/>
      <c r="H59" s="190"/>
      <c r="I59" s="190"/>
      <c r="J59" s="190"/>
      <c r="K59" s="13"/>
      <c r="L59" s="13"/>
      <c r="M59" s="13"/>
      <c r="N59" s="13"/>
      <c r="O59" s="13"/>
      <c r="P59" s="13"/>
      <c r="Q59" s="13"/>
      <c r="R59" s="212" t="s">
        <v>3493</v>
      </c>
      <c r="S59" s="58">
        <v>270000</v>
      </c>
      <c r="T59" s="57">
        <f>SUM(AO59:BC59)</f>
        <v>960.06</v>
      </c>
      <c r="U59" s="58">
        <f>SUM(BA59:BC59)</f>
        <v>0</v>
      </c>
      <c r="V59" s="70">
        <f>SUM(AO59:AZ59)</f>
        <v>960.06</v>
      </c>
      <c r="W59" s="70">
        <f>SUM(AP59:AZ59)</f>
        <v>960.06</v>
      </c>
      <c r="X59" s="70">
        <f>SUM(AQ59:AU59)</f>
        <v>0</v>
      </c>
      <c r="Y59" s="70">
        <f>SUM(AS59:AZ59)</f>
        <v>960.06</v>
      </c>
      <c r="Z59" s="70">
        <f>SUM(AT59:AZ59)</f>
        <v>960.06</v>
      </c>
      <c r="AA59" s="219">
        <f>SUM(AT59:AZ59)</f>
        <v>960.06</v>
      </c>
      <c r="AB59" s="219">
        <f>SUM(AU59:AZ59)</f>
        <v>960.06</v>
      </c>
      <c r="AC59" s="219">
        <f>SUM(AV59:AZ59)</f>
        <v>960.06</v>
      </c>
      <c r="AD59" s="219">
        <f>SUM(AW59:AZ59)</f>
        <v>960.06</v>
      </c>
      <c r="AE59" s="219"/>
      <c r="AF59" s="58">
        <f>SUM(AY59:AZ59)</f>
        <v>960.06</v>
      </c>
      <c r="AG59" s="58">
        <f>SUM(AZ59:AZ59)</f>
        <v>278.4</v>
      </c>
      <c r="AH59" s="75"/>
      <c r="AI59" s="75"/>
      <c r="AJ59" s="13"/>
      <c r="AK59" s="13"/>
      <c r="AL59" s="13"/>
      <c r="AM59" s="13"/>
      <c r="AN59" s="13"/>
      <c r="AO59" s="241"/>
      <c r="AP59" s="241"/>
      <c r="AQ59" s="241"/>
      <c r="AR59" s="241"/>
      <c r="AS59" s="241"/>
      <c r="AT59" s="241"/>
      <c r="AU59" s="241"/>
      <c r="AV59" s="241"/>
      <c r="AW59" s="241"/>
      <c r="AX59" s="241"/>
      <c r="AY59" s="241">
        <v>681.66</v>
      </c>
      <c r="AZ59" s="241">
        <v>278.4</v>
      </c>
      <c r="BA59" s="241"/>
      <c r="BB59" s="240"/>
      <c r="BC59" s="230"/>
      <c r="BD59" s="259"/>
    </row>
    <row r="60" spans="1:56">
      <c r="A60" s="13"/>
      <c r="B60" s="13"/>
      <c r="C60" s="13"/>
      <c r="D60" s="13"/>
      <c r="E60" s="22"/>
      <c r="F60" s="22"/>
      <c r="G60" s="196"/>
      <c r="H60" s="196"/>
      <c r="I60" s="196"/>
      <c r="J60" s="196"/>
      <c r="K60" s="13"/>
      <c r="L60" s="13"/>
      <c r="M60" s="13"/>
      <c r="N60" s="13"/>
      <c r="O60" s="13"/>
      <c r="P60" s="13"/>
      <c r="Q60" s="13"/>
      <c r="R60" s="212" t="s">
        <v>39</v>
      </c>
      <c r="S60" s="58">
        <v>1415094.34</v>
      </c>
      <c r="T60" s="57"/>
      <c r="U60" s="58"/>
      <c r="V60" s="70"/>
      <c r="W60" s="70"/>
      <c r="X60" s="70"/>
      <c r="Y60" s="70"/>
      <c r="Z60" s="70"/>
      <c r="AA60" s="219"/>
      <c r="AB60" s="219"/>
      <c r="AC60" s="219"/>
      <c r="AD60" s="219"/>
      <c r="AE60" s="219"/>
      <c r="AF60" s="58">
        <f>SUM(AY60:AZ60)</f>
        <v>0</v>
      </c>
      <c r="AG60" s="58">
        <f>SUM(AZ60:AZ60)</f>
        <v>0</v>
      </c>
      <c r="AH60" s="75"/>
      <c r="AI60" s="214">
        <f>SUM(AI57:AI59)</f>
        <v>0</v>
      </c>
      <c r="AJ60" s="13"/>
      <c r="AK60" s="13"/>
      <c r="AL60" s="13"/>
      <c r="AM60" s="13"/>
      <c r="AN60" s="13"/>
      <c r="AO60" s="241"/>
      <c r="AP60" s="241"/>
      <c r="AQ60" s="241"/>
      <c r="AR60" s="241"/>
      <c r="AS60" s="241"/>
      <c r="AT60" s="241"/>
      <c r="AU60" s="241"/>
      <c r="AV60" s="241"/>
      <c r="AW60" s="241"/>
      <c r="AX60" s="241"/>
      <c r="AY60" s="241">
        <v>0</v>
      </c>
      <c r="AZ60" s="241">
        <v>0</v>
      </c>
      <c r="BA60" s="241"/>
      <c r="BB60" s="240"/>
      <c r="BC60" s="230"/>
      <c r="BD60" s="259"/>
    </row>
    <row r="61" spans="1:56">
      <c r="A61" s="13"/>
      <c r="B61" s="13"/>
      <c r="C61" s="13"/>
      <c r="D61" s="13"/>
      <c r="E61" s="22"/>
      <c r="F61" s="22"/>
      <c r="G61" s="26"/>
      <c r="H61" s="26"/>
      <c r="I61" s="26"/>
      <c r="J61" s="26"/>
      <c r="K61" s="13"/>
      <c r="L61" s="13"/>
      <c r="M61" s="13"/>
      <c r="N61" s="13"/>
      <c r="O61" s="13"/>
      <c r="P61" s="13"/>
      <c r="Q61" s="13"/>
      <c r="R61" s="213" t="s">
        <v>3494</v>
      </c>
      <c r="S61" s="214">
        <f>SUM(S57:S60)</f>
        <v>3845320.57</v>
      </c>
      <c r="T61" s="214">
        <f t="shared" ref="T61:AH61" si="60">SUM(T57:T59)</f>
        <v>492405.15</v>
      </c>
      <c r="U61" s="214">
        <f t="shared" si="60"/>
        <v>0</v>
      </c>
      <c r="V61" s="214">
        <f t="shared" si="60"/>
        <v>492405.15</v>
      </c>
      <c r="W61" s="214">
        <f t="shared" si="60"/>
        <v>492405.15</v>
      </c>
      <c r="X61" s="214">
        <f t="shared" si="60"/>
        <v>0</v>
      </c>
      <c r="Y61" s="214">
        <f t="shared" si="60"/>
        <v>492405.15</v>
      </c>
      <c r="Z61" s="214">
        <f t="shared" si="60"/>
        <v>492405.15</v>
      </c>
      <c r="AA61" s="214">
        <f t="shared" si="60"/>
        <v>492405.15</v>
      </c>
      <c r="AB61" s="214">
        <f t="shared" si="60"/>
        <v>492405.15</v>
      </c>
      <c r="AC61" s="214">
        <f t="shared" si="60"/>
        <v>492405.15</v>
      </c>
      <c r="AD61" s="214">
        <f t="shared" si="60"/>
        <v>492405.15</v>
      </c>
      <c r="AE61" s="214">
        <f t="shared" si="60"/>
        <v>0</v>
      </c>
      <c r="AF61" s="214">
        <f t="shared" si="60"/>
        <v>492405.15</v>
      </c>
      <c r="AG61" s="214">
        <f t="shared" si="60"/>
        <v>161224.05</v>
      </c>
      <c r="AH61" s="214">
        <f t="shared" si="60"/>
        <v>0</v>
      </c>
      <c r="AI61" s="75"/>
      <c r="AJ61" s="13"/>
      <c r="AK61" s="13"/>
      <c r="AL61" s="13"/>
      <c r="AM61" s="13"/>
      <c r="AN61" s="13"/>
      <c r="AO61" s="214">
        <f t="shared" ref="AO61:BA61" si="61">SUM(AO57:AO59)</f>
        <v>0</v>
      </c>
      <c r="AP61" s="214">
        <f t="shared" si="61"/>
        <v>0</v>
      </c>
      <c r="AQ61" s="214">
        <f t="shared" si="61"/>
        <v>0</v>
      </c>
      <c r="AR61" s="214">
        <f t="shared" si="61"/>
        <v>0</v>
      </c>
      <c r="AS61" s="214">
        <f t="shared" si="61"/>
        <v>0</v>
      </c>
      <c r="AT61" s="214">
        <f t="shared" si="61"/>
        <v>0</v>
      </c>
      <c r="AU61" s="214">
        <f t="shared" si="61"/>
        <v>0</v>
      </c>
      <c r="AV61" s="214">
        <f t="shared" si="61"/>
        <v>0</v>
      </c>
      <c r="AW61" s="214">
        <f t="shared" si="61"/>
        <v>0</v>
      </c>
      <c r="AX61" s="214">
        <f t="shared" si="61"/>
        <v>0</v>
      </c>
      <c r="AY61" s="214">
        <f t="shared" si="61"/>
        <v>331181.1</v>
      </c>
      <c r="AZ61" s="214">
        <f t="shared" si="61"/>
        <v>161224.05</v>
      </c>
      <c r="BA61" s="214">
        <f t="shared" si="61"/>
        <v>0</v>
      </c>
      <c r="BB61" s="214"/>
      <c r="BC61" s="190"/>
      <c r="BD61" s="259"/>
    </row>
    <row r="62" spans="1:56">
      <c r="A62" s="13"/>
      <c r="B62" s="13"/>
      <c r="C62" s="13"/>
      <c r="D62" s="13"/>
      <c r="E62" s="22"/>
      <c r="F62" s="22"/>
      <c r="G62" s="190"/>
      <c r="H62" s="190"/>
      <c r="I62" s="190"/>
      <c r="J62" s="190"/>
      <c r="K62" s="13"/>
      <c r="L62" s="13"/>
      <c r="M62" s="13"/>
      <c r="N62" s="13"/>
      <c r="O62" s="13"/>
      <c r="P62" s="13"/>
      <c r="Q62" s="13"/>
      <c r="R62" s="212" t="s">
        <v>3495</v>
      </c>
      <c r="S62" s="58">
        <f>S56-S57-S60</f>
        <v>1490792.64</v>
      </c>
      <c r="T62" s="57">
        <f t="shared" ref="T62:AG62" si="62">T56-T57</f>
        <v>26756.9300000001</v>
      </c>
      <c r="U62" s="58">
        <f t="shared" si="62"/>
        <v>0</v>
      </c>
      <c r="V62" s="57">
        <f t="shared" si="62"/>
        <v>26756.9300000001</v>
      </c>
      <c r="W62" s="57">
        <f t="shared" si="62"/>
        <v>26756.9300000001</v>
      </c>
      <c r="X62" s="57">
        <f t="shared" si="62"/>
        <v>0</v>
      </c>
      <c r="Y62" s="57">
        <f t="shared" si="62"/>
        <v>26756.9300000001</v>
      </c>
      <c r="Z62" s="57">
        <f t="shared" si="62"/>
        <v>26756.9300000001</v>
      </c>
      <c r="AA62" s="58">
        <f t="shared" si="62"/>
        <v>26756.9300000001</v>
      </c>
      <c r="AB62" s="58">
        <f t="shared" si="62"/>
        <v>26756.9300000001</v>
      </c>
      <c r="AC62" s="58">
        <f t="shared" si="62"/>
        <v>26756.9300000001</v>
      </c>
      <c r="AD62" s="58">
        <f t="shared" si="62"/>
        <v>26756.9300000001</v>
      </c>
      <c r="AE62" s="58">
        <f t="shared" si="62"/>
        <v>0</v>
      </c>
      <c r="AF62" s="58">
        <f t="shared" si="62"/>
        <v>26756.9300000001</v>
      </c>
      <c r="AG62" s="58">
        <f t="shared" si="62"/>
        <v>99716.59</v>
      </c>
      <c r="AH62" s="75"/>
      <c r="AI62" s="82"/>
      <c r="AJ62" s="13"/>
      <c r="AK62" s="13"/>
      <c r="AL62" s="13"/>
      <c r="AM62" s="13"/>
      <c r="AN62" s="13"/>
      <c r="AO62" s="242">
        <f t="shared" ref="AO62:BA62" si="63">AO56-AO57</f>
        <v>0</v>
      </c>
      <c r="AP62" s="242">
        <f t="shared" si="63"/>
        <v>0</v>
      </c>
      <c r="AQ62" s="242">
        <f t="shared" si="63"/>
        <v>0</v>
      </c>
      <c r="AR62" s="242">
        <f t="shared" si="63"/>
        <v>0</v>
      </c>
      <c r="AS62" s="242">
        <f t="shared" si="63"/>
        <v>0</v>
      </c>
      <c r="AT62" s="242">
        <f t="shared" si="63"/>
        <v>0</v>
      </c>
      <c r="AU62" s="242">
        <f t="shared" si="63"/>
        <v>0</v>
      </c>
      <c r="AV62" s="242">
        <f t="shared" si="63"/>
        <v>0</v>
      </c>
      <c r="AW62" s="242">
        <f t="shared" si="63"/>
        <v>0</v>
      </c>
      <c r="AX62" s="242">
        <f t="shared" si="63"/>
        <v>0</v>
      </c>
      <c r="AY62" s="242">
        <f t="shared" si="63"/>
        <v>-72959.66</v>
      </c>
      <c r="AZ62" s="242">
        <f t="shared" si="63"/>
        <v>99716.59</v>
      </c>
      <c r="BA62" s="242">
        <f t="shared" si="63"/>
        <v>0</v>
      </c>
      <c r="BB62" s="240"/>
      <c r="BC62" s="230"/>
      <c r="BD62" s="259"/>
    </row>
    <row r="63" spans="1:56">
      <c r="A63" s="13"/>
      <c r="B63" s="13"/>
      <c r="C63" s="13"/>
      <c r="D63" s="13"/>
      <c r="E63" s="22"/>
      <c r="F63" s="22"/>
      <c r="G63" s="190"/>
      <c r="H63" s="190"/>
      <c r="I63" s="190"/>
      <c r="J63" s="190"/>
      <c r="K63" s="13"/>
      <c r="L63" s="13"/>
      <c r="M63" s="13"/>
      <c r="N63" s="13"/>
      <c r="O63" s="13"/>
      <c r="P63" s="13"/>
      <c r="Q63" s="13"/>
      <c r="R63" s="215" t="s">
        <v>3496</v>
      </c>
      <c r="S63" s="61">
        <f t="shared" ref="S63:AG63" si="64">S62/S56</f>
        <v>0.317317308749995</v>
      </c>
      <c r="T63" s="62">
        <f t="shared" si="64"/>
        <v>0.0516341676939045</v>
      </c>
      <c r="U63" s="61" t="e">
        <f t="shared" si="64"/>
        <v>#DIV/0!</v>
      </c>
      <c r="V63" s="62">
        <f t="shared" si="64"/>
        <v>0.0516341676939045</v>
      </c>
      <c r="W63" s="62">
        <f t="shared" si="64"/>
        <v>0.0516341676939045</v>
      </c>
      <c r="X63" s="62" t="e">
        <f t="shared" si="64"/>
        <v>#DIV/0!</v>
      </c>
      <c r="Y63" s="62">
        <f t="shared" si="64"/>
        <v>0.0516341676939045</v>
      </c>
      <c r="Z63" s="62">
        <f t="shared" si="64"/>
        <v>0.0516341676939045</v>
      </c>
      <c r="AA63" s="61">
        <f t="shared" si="64"/>
        <v>0.0516341676939045</v>
      </c>
      <c r="AB63" s="61">
        <f t="shared" si="64"/>
        <v>0.0516341676939045</v>
      </c>
      <c r="AC63" s="61">
        <f t="shared" si="64"/>
        <v>0.0516341676939045</v>
      </c>
      <c r="AD63" s="61">
        <f t="shared" si="64"/>
        <v>0.0516341676939045</v>
      </c>
      <c r="AE63" s="61" t="e">
        <f t="shared" si="64"/>
        <v>#DIV/0!</v>
      </c>
      <c r="AF63" s="61">
        <f t="shared" si="64"/>
        <v>0.0516341676939045</v>
      </c>
      <c r="AG63" s="61">
        <f t="shared" si="64"/>
        <v>0.382550959433173</v>
      </c>
      <c r="AH63" s="82">
        <f>T63-S63</f>
        <v>-0.26568314105609</v>
      </c>
      <c r="AI63" s="82">
        <f>AF63-S63</f>
        <v>-0.26568314105609</v>
      </c>
      <c r="AJ63" s="13"/>
      <c r="AK63" s="13"/>
      <c r="AL63" s="13"/>
      <c r="AM63" s="13"/>
      <c r="AN63" s="13"/>
      <c r="AO63" s="61" t="e">
        <f t="shared" ref="AO63:BA63" si="65">AO62/AO56</f>
        <v>#DIV/0!</v>
      </c>
      <c r="AP63" s="61" t="e">
        <f t="shared" si="65"/>
        <v>#DIV/0!</v>
      </c>
      <c r="AQ63" s="61" t="e">
        <f t="shared" si="65"/>
        <v>#DIV/0!</v>
      </c>
      <c r="AR63" s="61" t="e">
        <f t="shared" si="65"/>
        <v>#DIV/0!</v>
      </c>
      <c r="AS63" s="61" t="e">
        <f t="shared" si="65"/>
        <v>#DIV/0!</v>
      </c>
      <c r="AT63" s="61" t="e">
        <f t="shared" si="65"/>
        <v>#DIV/0!</v>
      </c>
      <c r="AU63" s="61" t="e">
        <f t="shared" si="65"/>
        <v>#DIV/0!</v>
      </c>
      <c r="AV63" s="61" t="e">
        <f t="shared" si="65"/>
        <v>#DIV/0!</v>
      </c>
      <c r="AW63" s="61" t="e">
        <f t="shared" si="65"/>
        <v>#DIV/0!</v>
      </c>
      <c r="AX63" s="61" t="e">
        <f t="shared" si="65"/>
        <v>#DIV/0!</v>
      </c>
      <c r="AY63" s="61">
        <f t="shared" si="65"/>
        <v>-0.283294720528223</v>
      </c>
      <c r="AZ63" s="61">
        <f t="shared" si="65"/>
        <v>0.382550959433173</v>
      </c>
      <c r="BA63" s="61" t="e">
        <f t="shared" si="65"/>
        <v>#DIV/0!</v>
      </c>
      <c r="BB63" s="61"/>
      <c r="BC63" s="230"/>
      <c r="BD63" s="259"/>
    </row>
    <row r="64" spans="1:56">
      <c r="A64" s="13"/>
      <c r="B64" s="13"/>
      <c r="C64" s="13"/>
      <c r="D64" s="13"/>
      <c r="E64" s="22"/>
      <c r="F64" s="22"/>
      <c r="G64" s="190"/>
      <c r="H64" s="190"/>
      <c r="I64" s="190"/>
      <c r="J64" s="190"/>
      <c r="K64" s="13"/>
      <c r="L64" s="13"/>
      <c r="M64" s="13"/>
      <c r="N64" s="13"/>
      <c r="O64" s="13"/>
      <c r="P64" s="13"/>
      <c r="Q64" s="13"/>
      <c r="R64" s="212" t="s">
        <v>3497</v>
      </c>
      <c r="S64" s="216">
        <f>S56-S57-S58-S59-S60</f>
        <v>852792.64</v>
      </c>
      <c r="T64" s="57">
        <f t="shared" ref="T64:AG64" si="66">T56-T57-T58-T59</f>
        <v>25796.87</v>
      </c>
      <c r="U64" s="58">
        <f t="shared" si="66"/>
        <v>0</v>
      </c>
      <c r="V64" s="57">
        <f t="shared" si="66"/>
        <v>25796.87</v>
      </c>
      <c r="W64" s="57">
        <f t="shared" si="66"/>
        <v>25796.87</v>
      </c>
      <c r="X64" s="57">
        <f t="shared" si="66"/>
        <v>0</v>
      </c>
      <c r="Y64" s="57">
        <f t="shared" si="66"/>
        <v>25796.87</v>
      </c>
      <c r="Z64" s="57">
        <f t="shared" si="66"/>
        <v>25796.87</v>
      </c>
      <c r="AA64" s="58">
        <f t="shared" si="66"/>
        <v>25796.87</v>
      </c>
      <c r="AB64" s="58">
        <f t="shared" si="66"/>
        <v>25796.87</v>
      </c>
      <c r="AC64" s="58">
        <f t="shared" si="66"/>
        <v>25796.87</v>
      </c>
      <c r="AD64" s="58">
        <f t="shared" si="66"/>
        <v>25796.87</v>
      </c>
      <c r="AE64" s="58">
        <f t="shared" si="66"/>
        <v>0</v>
      </c>
      <c r="AF64" s="58">
        <f t="shared" si="66"/>
        <v>25796.87</v>
      </c>
      <c r="AG64" s="58">
        <f t="shared" si="66"/>
        <v>99438.19</v>
      </c>
      <c r="AH64" s="82"/>
      <c r="AI64" s="82"/>
      <c r="AJ64" s="13"/>
      <c r="AK64" s="13"/>
      <c r="AL64" s="13"/>
      <c r="AM64" s="13"/>
      <c r="AN64" s="13"/>
      <c r="AO64" s="58">
        <f t="shared" ref="AO64:BA64" si="67">AO56-AO57-AO58-AO59</f>
        <v>0</v>
      </c>
      <c r="AP64" s="58">
        <f t="shared" si="67"/>
        <v>0</v>
      </c>
      <c r="AQ64" s="58">
        <f t="shared" si="67"/>
        <v>0</v>
      </c>
      <c r="AR64" s="58">
        <f t="shared" si="67"/>
        <v>0</v>
      </c>
      <c r="AS64" s="58">
        <f t="shared" si="67"/>
        <v>0</v>
      </c>
      <c r="AT64" s="58">
        <f t="shared" si="67"/>
        <v>0</v>
      </c>
      <c r="AU64" s="58">
        <f t="shared" si="67"/>
        <v>0</v>
      </c>
      <c r="AV64" s="58">
        <f t="shared" si="67"/>
        <v>0</v>
      </c>
      <c r="AW64" s="58">
        <f t="shared" si="67"/>
        <v>0</v>
      </c>
      <c r="AX64" s="58">
        <f t="shared" si="67"/>
        <v>0</v>
      </c>
      <c r="AY64" s="58">
        <f t="shared" si="67"/>
        <v>-73641.32</v>
      </c>
      <c r="AZ64" s="58">
        <f t="shared" si="67"/>
        <v>99438.19</v>
      </c>
      <c r="BA64" s="58">
        <f t="shared" si="67"/>
        <v>0</v>
      </c>
      <c r="BB64" s="58"/>
      <c r="BC64" s="230"/>
      <c r="BD64" s="259"/>
    </row>
    <row r="65" spans="1:56">
      <c r="A65" s="14"/>
      <c r="B65" s="14"/>
      <c r="C65" s="14"/>
      <c r="D65" s="14"/>
      <c r="E65" s="177"/>
      <c r="F65" s="177"/>
      <c r="G65" s="190"/>
      <c r="H65" s="190"/>
      <c r="I65" s="190"/>
      <c r="J65" s="190"/>
      <c r="K65" s="14"/>
      <c r="L65" s="14"/>
      <c r="M65" s="14"/>
      <c r="N65" s="14"/>
      <c r="O65" s="14"/>
      <c r="P65" s="14"/>
      <c r="Q65" s="14"/>
      <c r="R65" s="215" t="s">
        <v>3498</v>
      </c>
      <c r="S65" s="61">
        <f t="shared" ref="S65:AG65" si="68">S64/S56</f>
        <v>0.181518112033746</v>
      </c>
      <c r="T65" s="62">
        <f t="shared" si="68"/>
        <v>0.0497814925538114</v>
      </c>
      <c r="U65" s="61" t="e">
        <f t="shared" si="68"/>
        <v>#DIV/0!</v>
      </c>
      <c r="V65" s="62">
        <f t="shared" si="68"/>
        <v>0.0497814925538114</v>
      </c>
      <c r="W65" s="62">
        <f t="shared" si="68"/>
        <v>0.0497814925538114</v>
      </c>
      <c r="X65" s="62" t="e">
        <f t="shared" si="68"/>
        <v>#DIV/0!</v>
      </c>
      <c r="Y65" s="62">
        <f t="shared" si="68"/>
        <v>0.0497814925538114</v>
      </c>
      <c r="Z65" s="62">
        <f t="shared" si="68"/>
        <v>0.0497814925538114</v>
      </c>
      <c r="AA65" s="61">
        <f t="shared" si="68"/>
        <v>0.0497814925538114</v>
      </c>
      <c r="AB65" s="61">
        <f t="shared" si="68"/>
        <v>0.0497814925538114</v>
      </c>
      <c r="AC65" s="61">
        <f t="shared" si="68"/>
        <v>0.0497814925538114</v>
      </c>
      <c r="AD65" s="61">
        <f t="shared" si="68"/>
        <v>0.0497814925538114</v>
      </c>
      <c r="AE65" s="61" t="e">
        <f t="shared" si="68"/>
        <v>#DIV/0!</v>
      </c>
      <c r="AF65" s="61">
        <f t="shared" si="68"/>
        <v>0.0497814925538114</v>
      </c>
      <c r="AG65" s="61">
        <f t="shared" si="68"/>
        <v>0.381482910604927</v>
      </c>
      <c r="AH65" s="82">
        <f>T65-S65</f>
        <v>-0.131736619479934</v>
      </c>
      <c r="AI65" s="82">
        <f>AF65-S65</f>
        <v>-0.131736619479934</v>
      </c>
      <c r="AJ65" s="14"/>
      <c r="AK65" s="14"/>
      <c r="AL65" s="14"/>
      <c r="AM65" s="14"/>
      <c r="AN65" s="14"/>
      <c r="AO65" s="61" t="e">
        <f t="shared" ref="AO65:BA65" si="69">AO64/AO56</f>
        <v>#DIV/0!</v>
      </c>
      <c r="AP65" s="61" t="e">
        <f t="shared" si="69"/>
        <v>#DIV/0!</v>
      </c>
      <c r="AQ65" s="61" t="e">
        <f t="shared" si="69"/>
        <v>#DIV/0!</v>
      </c>
      <c r="AR65" s="61" t="e">
        <f t="shared" si="69"/>
        <v>#DIV/0!</v>
      </c>
      <c r="AS65" s="61" t="e">
        <f t="shared" si="69"/>
        <v>#DIV/0!</v>
      </c>
      <c r="AT65" s="61" t="e">
        <f t="shared" si="69"/>
        <v>#DIV/0!</v>
      </c>
      <c r="AU65" s="61" t="e">
        <f t="shared" si="69"/>
        <v>#DIV/0!</v>
      </c>
      <c r="AV65" s="61" t="e">
        <f t="shared" si="69"/>
        <v>#DIV/0!</v>
      </c>
      <c r="AW65" s="61" t="e">
        <f t="shared" si="69"/>
        <v>#DIV/0!</v>
      </c>
      <c r="AX65" s="61" t="e">
        <f t="shared" si="69"/>
        <v>#DIV/0!</v>
      </c>
      <c r="AY65" s="61">
        <f t="shared" si="69"/>
        <v>-0.285941534934914</v>
      </c>
      <c r="AZ65" s="61">
        <f t="shared" si="69"/>
        <v>0.381482910604927</v>
      </c>
      <c r="BA65" s="61" t="e">
        <f t="shared" si="69"/>
        <v>#DIV/0!</v>
      </c>
      <c r="BB65" s="261"/>
      <c r="BC65" s="230"/>
      <c r="BD65" s="259"/>
    </row>
    <row r="66" spans="1:56">
      <c r="A66" s="186" t="s">
        <v>3636</v>
      </c>
      <c r="B66" s="194" t="s">
        <v>3337</v>
      </c>
      <c r="C66" s="188">
        <v>45931</v>
      </c>
      <c r="D66" s="264">
        <v>46326</v>
      </c>
      <c r="E66" s="211" t="s">
        <v>3637</v>
      </c>
      <c r="F66" s="211" t="s">
        <v>3637</v>
      </c>
      <c r="G66" s="190"/>
      <c r="H66" s="190"/>
      <c r="I66" s="190"/>
      <c r="J66" s="190"/>
      <c r="K66" s="201"/>
      <c r="L66" s="201"/>
      <c r="M66" s="201"/>
      <c r="N66" s="201"/>
      <c r="O66" s="201"/>
      <c r="P66" s="201"/>
      <c r="Q66" s="211" t="s">
        <v>3638</v>
      </c>
      <c r="R66" s="212" t="s">
        <v>3486</v>
      </c>
      <c r="S66" s="58">
        <v>1689889</v>
      </c>
      <c r="T66" s="57">
        <f>SUM(AO66:BC66)</f>
        <v>754732.97</v>
      </c>
      <c r="U66" s="58">
        <f>SUM(BA66:BC66)</f>
        <v>503155.31</v>
      </c>
      <c r="V66" s="70">
        <f>SUM(AO66:AZ66)</f>
        <v>251577.66</v>
      </c>
      <c r="W66" s="70">
        <f>SUM(AP66:AZ66)</f>
        <v>251577.66</v>
      </c>
      <c r="X66" s="70">
        <f>SUM(AQ66:AU66)</f>
        <v>0</v>
      </c>
      <c r="Y66" s="70">
        <f>SUM(AS66:AZ66)</f>
        <v>251577.66</v>
      </c>
      <c r="Z66" s="70">
        <f>SUM(AT66:AZ66)</f>
        <v>251577.66</v>
      </c>
      <c r="AA66" s="219">
        <f>SUM(AT66:AZ66)</f>
        <v>251577.66</v>
      </c>
      <c r="AB66" s="219">
        <f>SUM(AU66:AZ66)</f>
        <v>251577.66</v>
      </c>
      <c r="AC66" s="219">
        <f>SUM(AV66:AZ66)</f>
        <v>251577.66</v>
      </c>
      <c r="AD66" s="219">
        <f>SUM(AW66:AZ66)</f>
        <v>251577.66</v>
      </c>
      <c r="AE66" s="219"/>
      <c r="AF66" s="58">
        <f>SUM(AY66:AZ66)</f>
        <v>251577.66</v>
      </c>
      <c r="AG66" s="58">
        <f>SUM(AZ66:AZ66)</f>
        <v>83859.22</v>
      </c>
      <c r="AH66" s="75"/>
      <c r="AI66" s="75"/>
      <c r="AJ66" s="230"/>
      <c r="AK66" s="231"/>
      <c r="AL66" s="232" t="s">
        <v>377</v>
      </c>
      <c r="AM66" s="232" t="s">
        <v>377</v>
      </c>
      <c r="AN66" s="233"/>
      <c r="AO66" s="240"/>
      <c r="AP66" s="240"/>
      <c r="AQ66" s="240"/>
      <c r="AR66" s="240"/>
      <c r="AS66" s="240"/>
      <c r="AT66" s="240"/>
      <c r="AU66" s="240"/>
      <c r="AV66" s="240"/>
      <c r="AW66" s="240"/>
      <c r="AX66" s="240"/>
      <c r="AY66" s="240">
        <v>167718.44</v>
      </c>
      <c r="AZ66" s="240">
        <v>83859.22</v>
      </c>
      <c r="BA66" s="240">
        <v>503155.31</v>
      </c>
      <c r="BB66" s="240"/>
      <c r="BC66" s="230"/>
      <c r="BD66" s="259"/>
    </row>
    <row r="67" spans="1:56">
      <c r="A67" s="13"/>
      <c r="B67" s="13"/>
      <c r="C67" s="13"/>
      <c r="D67" s="81"/>
      <c r="E67" s="13"/>
      <c r="F67" s="13"/>
      <c r="G67" s="190"/>
      <c r="H67" s="190"/>
      <c r="I67" s="190"/>
      <c r="J67" s="190"/>
      <c r="K67" s="13"/>
      <c r="L67" s="13"/>
      <c r="M67" s="13"/>
      <c r="N67" s="13"/>
      <c r="O67" s="13"/>
      <c r="P67" s="13"/>
      <c r="Q67" s="13"/>
      <c r="R67" s="212" t="s">
        <v>3490</v>
      </c>
      <c r="S67" s="58">
        <v>1512999.53</v>
      </c>
      <c r="T67" s="57">
        <f>SUM(AO67:BC67)</f>
        <v>769284.77</v>
      </c>
      <c r="U67" s="58">
        <f>SUM(BA67:BC67)</f>
        <v>453573.02</v>
      </c>
      <c r="V67" s="70">
        <f>SUM(AO67:AZ67)</f>
        <v>315711.75</v>
      </c>
      <c r="W67" s="70">
        <f>SUM(AP67:AZ67)</f>
        <v>315711.75</v>
      </c>
      <c r="X67" s="70">
        <f>SUM(AQ67:AU67)</f>
        <v>0</v>
      </c>
      <c r="Y67" s="70">
        <f>SUM(AS67:AZ67)</f>
        <v>315711.75</v>
      </c>
      <c r="Z67" s="70">
        <f>SUM(AT67:AZ67)</f>
        <v>315711.75</v>
      </c>
      <c r="AA67" s="219">
        <f>SUM(AT67:AZ67)</f>
        <v>315711.75</v>
      </c>
      <c r="AB67" s="219">
        <f>SUM(AU67:AZ67)</f>
        <v>315711.75</v>
      </c>
      <c r="AC67" s="219">
        <f>SUM(AV67:AZ67)</f>
        <v>315711.75</v>
      </c>
      <c r="AD67" s="219">
        <f>SUM(AW67:AZ67)</f>
        <v>315711.75</v>
      </c>
      <c r="AE67" s="219"/>
      <c r="AF67" s="58">
        <f>SUM(AY67:AZ67)</f>
        <v>315711.75</v>
      </c>
      <c r="AG67" s="58">
        <f>SUM(AZ67:AZ67)</f>
        <v>157963.96</v>
      </c>
      <c r="AH67" s="75"/>
      <c r="AI67" s="75"/>
      <c r="AJ67" s="13"/>
      <c r="AK67" s="13"/>
      <c r="AL67" s="13"/>
      <c r="AM67" s="13"/>
      <c r="AN67" s="13"/>
      <c r="AO67" s="241"/>
      <c r="AP67" s="241"/>
      <c r="AQ67" s="241"/>
      <c r="AR67" s="241"/>
      <c r="AS67" s="241"/>
      <c r="AT67" s="241"/>
      <c r="AU67" s="241"/>
      <c r="AV67" s="241"/>
      <c r="AW67" s="241"/>
      <c r="AX67" s="241"/>
      <c r="AY67" s="241">
        <v>157747.79</v>
      </c>
      <c r="AZ67" s="241">
        <v>157963.96</v>
      </c>
      <c r="BA67" s="260">
        <v>453573.02</v>
      </c>
      <c r="BB67" s="260"/>
      <c r="BC67" s="230"/>
      <c r="BD67" s="259"/>
    </row>
    <row r="68" spans="1:56">
      <c r="A68" s="13"/>
      <c r="B68" s="13"/>
      <c r="C68" s="13"/>
      <c r="D68" s="81"/>
      <c r="E68" s="13"/>
      <c r="F68" s="13"/>
      <c r="G68" s="190"/>
      <c r="H68" s="190"/>
      <c r="I68" s="190"/>
      <c r="J68" s="190"/>
      <c r="K68" s="13"/>
      <c r="L68" s="13"/>
      <c r="M68" s="13"/>
      <c r="N68" s="13"/>
      <c r="O68" s="13"/>
      <c r="P68" s="13"/>
      <c r="Q68" s="13"/>
      <c r="R68" s="212" t="s">
        <v>3492</v>
      </c>
      <c r="S68" s="58">
        <v>13000</v>
      </c>
      <c r="T68" s="57">
        <f>SUM(AO68:BC68)</f>
        <v>0</v>
      </c>
      <c r="U68" s="58">
        <f>SUM(BA68:BC68)</f>
        <v>0</v>
      </c>
      <c r="V68" s="70">
        <f>SUM(AO68:AZ68)</f>
        <v>0</v>
      </c>
      <c r="W68" s="70">
        <f>SUM(AP68:AZ68)</f>
        <v>0</v>
      </c>
      <c r="X68" s="70">
        <f>SUM(AQ68:AU68)</f>
        <v>0</v>
      </c>
      <c r="Y68" s="70">
        <f>SUM(AS68:AZ68)</f>
        <v>0</v>
      </c>
      <c r="Z68" s="70">
        <f>SUM(AT68:AZ68)</f>
        <v>0</v>
      </c>
      <c r="AA68" s="219">
        <f>SUM(AT68:AZ68)</f>
        <v>0</v>
      </c>
      <c r="AB68" s="219">
        <f>SUM(AU68:AZ68)</f>
        <v>0</v>
      </c>
      <c r="AC68" s="219">
        <f>SUM(AV68:AZ68)</f>
        <v>0</v>
      </c>
      <c r="AD68" s="219">
        <f>SUM(AW68:AZ68)</f>
        <v>0</v>
      </c>
      <c r="AE68" s="219"/>
      <c r="AF68" s="58">
        <f>SUM(AY68:AZ68)</f>
        <v>0</v>
      </c>
      <c r="AG68" s="58">
        <f>SUM(AZ68:AZ68)</f>
        <v>0</v>
      </c>
      <c r="AH68" s="75"/>
      <c r="AI68" s="75"/>
      <c r="AJ68" s="13"/>
      <c r="AK68" s="13"/>
      <c r="AL68" s="13"/>
      <c r="AM68" s="13"/>
      <c r="AN68" s="13"/>
      <c r="AO68" s="241"/>
      <c r="AP68" s="241"/>
      <c r="AQ68" s="241"/>
      <c r="AR68" s="241"/>
      <c r="AS68" s="241"/>
      <c r="AT68" s="241"/>
      <c r="AU68" s="241"/>
      <c r="AV68" s="241"/>
      <c r="AW68" s="241"/>
      <c r="AX68" s="241"/>
      <c r="AY68" s="241">
        <v>0</v>
      </c>
      <c r="AZ68" s="241">
        <v>0</v>
      </c>
      <c r="BA68" s="260">
        <v>0</v>
      </c>
      <c r="BB68" s="260"/>
      <c r="BC68" s="230"/>
      <c r="BD68" s="259"/>
    </row>
    <row r="69" spans="1:56">
      <c r="A69" s="13"/>
      <c r="B69" s="13"/>
      <c r="C69" s="13"/>
      <c r="D69" s="81"/>
      <c r="E69" s="13"/>
      <c r="F69" s="13"/>
      <c r="G69" s="190"/>
      <c r="H69" s="190"/>
      <c r="I69" s="190"/>
      <c r="J69" s="190"/>
      <c r="K69" s="13"/>
      <c r="L69" s="13"/>
      <c r="M69" s="13"/>
      <c r="N69" s="13"/>
      <c r="O69" s="13"/>
      <c r="P69" s="13"/>
      <c r="Q69" s="13"/>
      <c r="R69" s="212" t="s">
        <v>3493</v>
      </c>
      <c r="S69" s="58">
        <v>13500</v>
      </c>
      <c r="T69" s="57">
        <f>SUM(AO69:BC69)</f>
        <v>2512.42</v>
      </c>
      <c r="U69" s="58">
        <f>SUM(BA69:BC69)</f>
        <v>1079.39</v>
      </c>
      <c r="V69" s="70">
        <f>SUM(AO69:AZ69)</f>
        <v>1433.03</v>
      </c>
      <c r="W69" s="70">
        <f>SUM(AP69:AZ69)</f>
        <v>1433.03</v>
      </c>
      <c r="X69" s="70">
        <f>SUM(AQ69:AU69)</f>
        <v>0</v>
      </c>
      <c r="Y69" s="70">
        <f>SUM(AS69:AZ69)</f>
        <v>1433.03</v>
      </c>
      <c r="Z69" s="70">
        <f>SUM(AT69:AZ69)</f>
        <v>1433.03</v>
      </c>
      <c r="AA69" s="219">
        <f>SUM(AT69:AZ69)</f>
        <v>1433.03</v>
      </c>
      <c r="AB69" s="219">
        <f>SUM(AU69:AZ69)</f>
        <v>1433.03</v>
      </c>
      <c r="AC69" s="219">
        <f>SUM(AV69:AZ69)</f>
        <v>1433.03</v>
      </c>
      <c r="AD69" s="219">
        <f>SUM(AW69:AZ69)</f>
        <v>1433.03</v>
      </c>
      <c r="AE69" s="219"/>
      <c r="AF69" s="58">
        <f>SUM(AY69:AZ69)</f>
        <v>1433.03</v>
      </c>
      <c r="AG69" s="58">
        <f>SUM(AZ69:AZ69)</f>
        <v>626.95</v>
      </c>
      <c r="AH69" s="75"/>
      <c r="AI69" s="75"/>
      <c r="AJ69" s="13"/>
      <c r="AK69" s="13"/>
      <c r="AL69" s="13"/>
      <c r="AM69" s="13"/>
      <c r="AN69" s="13"/>
      <c r="AO69" s="241"/>
      <c r="AP69" s="241"/>
      <c r="AQ69" s="241"/>
      <c r="AR69" s="241"/>
      <c r="AS69" s="241"/>
      <c r="AT69" s="241"/>
      <c r="AU69" s="241"/>
      <c r="AV69" s="241"/>
      <c r="AW69" s="241"/>
      <c r="AX69" s="241"/>
      <c r="AY69" s="272">
        <v>806.08</v>
      </c>
      <c r="AZ69" s="272">
        <v>626.95</v>
      </c>
      <c r="BA69" s="240">
        <v>1079.39</v>
      </c>
      <c r="BB69" s="240"/>
      <c r="BC69" s="230"/>
      <c r="BD69" s="259"/>
    </row>
    <row r="70" spans="1:56">
      <c r="A70" s="13"/>
      <c r="B70" s="13"/>
      <c r="C70" s="13"/>
      <c r="D70" s="81"/>
      <c r="E70" s="13"/>
      <c r="F70" s="13"/>
      <c r="G70" s="26"/>
      <c r="H70" s="26"/>
      <c r="I70" s="26"/>
      <c r="J70" s="26"/>
      <c r="K70" s="13"/>
      <c r="L70" s="13"/>
      <c r="M70" s="13"/>
      <c r="N70" s="13"/>
      <c r="O70" s="13"/>
      <c r="P70" s="13"/>
      <c r="Q70" s="13"/>
      <c r="R70" s="213" t="s">
        <v>3494</v>
      </c>
      <c r="S70" s="214">
        <f t="shared" ref="S70:AI70" si="70">SUM(S67:S69)</f>
        <v>1539499.53</v>
      </c>
      <c r="T70" s="214">
        <f t="shared" si="70"/>
        <v>771797.19</v>
      </c>
      <c r="U70" s="214">
        <f t="shared" si="70"/>
        <v>454652.41</v>
      </c>
      <c r="V70" s="214">
        <f t="shared" si="70"/>
        <v>317144.78</v>
      </c>
      <c r="W70" s="214">
        <f t="shared" si="70"/>
        <v>317144.78</v>
      </c>
      <c r="X70" s="214">
        <f t="shared" si="70"/>
        <v>0</v>
      </c>
      <c r="Y70" s="214">
        <f t="shared" si="70"/>
        <v>317144.78</v>
      </c>
      <c r="Z70" s="214">
        <f t="shared" si="70"/>
        <v>317144.78</v>
      </c>
      <c r="AA70" s="214">
        <f t="shared" si="70"/>
        <v>317144.78</v>
      </c>
      <c r="AB70" s="214">
        <f t="shared" si="70"/>
        <v>317144.78</v>
      </c>
      <c r="AC70" s="214">
        <f t="shared" si="70"/>
        <v>317144.78</v>
      </c>
      <c r="AD70" s="214">
        <f t="shared" si="70"/>
        <v>317144.78</v>
      </c>
      <c r="AE70" s="214">
        <f t="shared" si="70"/>
        <v>0</v>
      </c>
      <c r="AF70" s="214">
        <f t="shared" si="70"/>
        <v>317144.78</v>
      </c>
      <c r="AG70" s="214">
        <f t="shared" si="70"/>
        <v>158590.91</v>
      </c>
      <c r="AH70" s="214">
        <f t="shared" si="70"/>
        <v>0</v>
      </c>
      <c r="AI70" s="214">
        <f t="shared" si="70"/>
        <v>0</v>
      </c>
      <c r="AJ70" s="13"/>
      <c r="AK70" s="13"/>
      <c r="AL70" s="13"/>
      <c r="AM70" s="13"/>
      <c r="AN70" s="13"/>
      <c r="AO70" s="214">
        <f t="shared" ref="AO70:AZ70" si="71">SUM(AO67:AO69)</f>
        <v>0</v>
      </c>
      <c r="AP70" s="214">
        <f t="shared" si="71"/>
        <v>0</v>
      </c>
      <c r="AQ70" s="214">
        <f t="shared" si="71"/>
        <v>0</v>
      </c>
      <c r="AR70" s="214">
        <f t="shared" si="71"/>
        <v>0</v>
      </c>
      <c r="AS70" s="214">
        <f t="shared" si="71"/>
        <v>0</v>
      </c>
      <c r="AT70" s="214">
        <f t="shared" si="71"/>
        <v>0</v>
      </c>
      <c r="AU70" s="214">
        <f t="shared" si="71"/>
        <v>0</v>
      </c>
      <c r="AV70" s="214">
        <f t="shared" si="71"/>
        <v>0</v>
      </c>
      <c r="AW70" s="214">
        <f t="shared" si="71"/>
        <v>0</v>
      </c>
      <c r="AX70" s="214">
        <f t="shared" si="71"/>
        <v>0</v>
      </c>
      <c r="AY70" s="214">
        <f t="shared" si="71"/>
        <v>158553.87</v>
      </c>
      <c r="AZ70" s="214">
        <f t="shared" si="71"/>
        <v>158590.91</v>
      </c>
      <c r="BA70" s="214">
        <v>205783.05</v>
      </c>
      <c r="BB70" s="214"/>
      <c r="BC70" s="190"/>
      <c r="BD70" s="259"/>
    </row>
    <row r="71" spans="1:56">
      <c r="A71" s="13"/>
      <c r="B71" s="13"/>
      <c r="C71" s="13"/>
      <c r="D71" s="81"/>
      <c r="E71" s="13"/>
      <c r="F71" s="13"/>
      <c r="G71" s="190"/>
      <c r="H71" s="190"/>
      <c r="I71" s="190"/>
      <c r="J71" s="190"/>
      <c r="K71" s="13"/>
      <c r="L71" s="13"/>
      <c r="M71" s="13"/>
      <c r="N71" s="13"/>
      <c r="O71" s="13"/>
      <c r="P71" s="13"/>
      <c r="Q71" s="13"/>
      <c r="R71" s="212" t="s">
        <v>3495</v>
      </c>
      <c r="S71" s="58">
        <f t="shared" ref="S71:AG71" si="72">S66-S67</f>
        <v>176889.47</v>
      </c>
      <c r="T71" s="57">
        <f t="shared" si="72"/>
        <v>-14551.8</v>
      </c>
      <c r="U71" s="58">
        <f t="shared" si="72"/>
        <v>49582.29</v>
      </c>
      <c r="V71" s="57">
        <f t="shared" si="72"/>
        <v>-64134.09</v>
      </c>
      <c r="W71" s="57">
        <f t="shared" si="72"/>
        <v>-64134.09</v>
      </c>
      <c r="X71" s="57">
        <f t="shared" si="72"/>
        <v>0</v>
      </c>
      <c r="Y71" s="57">
        <f t="shared" si="72"/>
        <v>-64134.09</v>
      </c>
      <c r="Z71" s="57">
        <f t="shared" si="72"/>
        <v>-64134.09</v>
      </c>
      <c r="AA71" s="58">
        <f t="shared" si="72"/>
        <v>-64134.09</v>
      </c>
      <c r="AB71" s="58">
        <f t="shared" si="72"/>
        <v>-64134.09</v>
      </c>
      <c r="AC71" s="58">
        <f t="shared" si="72"/>
        <v>-64134.09</v>
      </c>
      <c r="AD71" s="58">
        <f t="shared" si="72"/>
        <v>-64134.09</v>
      </c>
      <c r="AE71" s="58">
        <f t="shared" si="72"/>
        <v>0</v>
      </c>
      <c r="AF71" s="58">
        <f t="shared" si="72"/>
        <v>-64134.09</v>
      </c>
      <c r="AG71" s="58">
        <f t="shared" si="72"/>
        <v>-74104.74</v>
      </c>
      <c r="AH71" s="75"/>
      <c r="AI71" s="75"/>
      <c r="AJ71" s="13"/>
      <c r="AK71" s="13"/>
      <c r="AL71" s="13"/>
      <c r="AM71" s="13"/>
      <c r="AN71" s="13"/>
      <c r="AO71" s="242">
        <f t="shared" ref="AO71:AZ71" si="73">AO66-AO67</f>
        <v>0</v>
      </c>
      <c r="AP71" s="242">
        <f t="shared" si="73"/>
        <v>0</v>
      </c>
      <c r="AQ71" s="242">
        <f t="shared" si="73"/>
        <v>0</v>
      </c>
      <c r="AR71" s="242">
        <f t="shared" si="73"/>
        <v>0</v>
      </c>
      <c r="AS71" s="242">
        <f t="shared" si="73"/>
        <v>0</v>
      </c>
      <c r="AT71" s="242">
        <f t="shared" si="73"/>
        <v>0</v>
      </c>
      <c r="AU71" s="242">
        <f t="shared" si="73"/>
        <v>0</v>
      </c>
      <c r="AV71" s="242">
        <f t="shared" si="73"/>
        <v>0</v>
      </c>
      <c r="AW71" s="242">
        <f t="shared" si="73"/>
        <v>0</v>
      </c>
      <c r="AX71" s="242">
        <f t="shared" si="73"/>
        <v>0</v>
      </c>
      <c r="AY71" s="242">
        <f t="shared" si="73"/>
        <v>9970.64999999999</v>
      </c>
      <c r="AZ71" s="242">
        <f t="shared" si="73"/>
        <v>-74104.74</v>
      </c>
      <c r="BA71" s="240">
        <v>49582.29</v>
      </c>
      <c r="BB71" s="240"/>
      <c r="BC71" s="230"/>
      <c r="BD71" s="259"/>
    </row>
    <row r="72" spans="1:56">
      <c r="A72" s="13"/>
      <c r="B72" s="13"/>
      <c r="C72" s="13"/>
      <c r="D72" s="81"/>
      <c r="E72" s="13"/>
      <c r="F72" s="13"/>
      <c r="G72" s="190"/>
      <c r="H72" s="190"/>
      <c r="I72" s="190"/>
      <c r="J72" s="190"/>
      <c r="K72" s="13"/>
      <c r="L72" s="13"/>
      <c r="M72" s="13"/>
      <c r="N72" s="13"/>
      <c r="O72" s="13"/>
      <c r="P72" s="13"/>
      <c r="Q72" s="13"/>
      <c r="R72" s="215" t="s">
        <v>3496</v>
      </c>
      <c r="S72" s="61">
        <f t="shared" ref="S72:AG72" si="74">S71/S66</f>
        <v>0.10467520056051</v>
      </c>
      <c r="T72" s="62">
        <f t="shared" si="74"/>
        <v>-0.0192807265329883</v>
      </c>
      <c r="U72" s="61">
        <f t="shared" si="74"/>
        <v>0.0985427143758057</v>
      </c>
      <c r="V72" s="62">
        <f t="shared" si="74"/>
        <v>-0.254927603667194</v>
      </c>
      <c r="W72" s="62">
        <f t="shared" si="74"/>
        <v>-0.254927603667194</v>
      </c>
      <c r="X72" s="62" t="e">
        <f t="shared" si="74"/>
        <v>#DIV/0!</v>
      </c>
      <c r="Y72" s="62">
        <f t="shared" si="74"/>
        <v>-0.254927603667194</v>
      </c>
      <c r="Z72" s="62">
        <f t="shared" si="74"/>
        <v>-0.254927603667194</v>
      </c>
      <c r="AA72" s="61">
        <f t="shared" si="74"/>
        <v>-0.254927603667194</v>
      </c>
      <c r="AB72" s="61">
        <f t="shared" si="74"/>
        <v>-0.254927603667194</v>
      </c>
      <c r="AC72" s="61">
        <f t="shared" si="74"/>
        <v>-0.254927603667194</v>
      </c>
      <c r="AD72" s="61">
        <f t="shared" si="74"/>
        <v>-0.254927603667194</v>
      </c>
      <c r="AE72" s="61" t="e">
        <f t="shared" si="74"/>
        <v>#DIV/0!</v>
      </c>
      <c r="AF72" s="61">
        <f t="shared" si="74"/>
        <v>-0.254927603667194</v>
      </c>
      <c r="AG72" s="61">
        <f t="shared" si="74"/>
        <v>-0.883680291803334</v>
      </c>
      <c r="AH72" s="82">
        <f>T72-S72</f>
        <v>-0.123955927093498</v>
      </c>
      <c r="AI72" s="82">
        <f>AF72-S72</f>
        <v>-0.359602804227704</v>
      </c>
      <c r="AJ72" s="13"/>
      <c r="AK72" s="13"/>
      <c r="AL72" s="13"/>
      <c r="AM72" s="13"/>
      <c r="AN72" s="13"/>
      <c r="AO72" s="61" t="e">
        <f t="shared" ref="AO72:AZ72" si="75">AO71/AO66</f>
        <v>#DIV/0!</v>
      </c>
      <c r="AP72" s="61" t="e">
        <f t="shared" si="75"/>
        <v>#DIV/0!</v>
      </c>
      <c r="AQ72" s="61" t="e">
        <f t="shared" si="75"/>
        <v>#DIV/0!</v>
      </c>
      <c r="AR72" s="61" t="e">
        <f t="shared" si="75"/>
        <v>#DIV/0!</v>
      </c>
      <c r="AS72" s="61" t="e">
        <f t="shared" si="75"/>
        <v>#DIV/0!</v>
      </c>
      <c r="AT72" s="61" t="e">
        <f t="shared" si="75"/>
        <v>#DIV/0!</v>
      </c>
      <c r="AU72" s="61" t="e">
        <f t="shared" si="75"/>
        <v>#DIV/0!</v>
      </c>
      <c r="AV72" s="61" t="e">
        <f t="shared" si="75"/>
        <v>#DIV/0!</v>
      </c>
      <c r="AW72" s="61" t="e">
        <f t="shared" si="75"/>
        <v>#DIV/0!</v>
      </c>
      <c r="AX72" s="61" t="e">
        <f t="shared" si="75"/>
        <v>#DIV/0!</v>
      </c>
      <c r="AY72" s="61">
        <f t="shared" si="75"/>
        <v>0.0594487404008766</v>
      </c>
      <c r="AZ72" s="61">
        <f t="shared" si="75"/>
        <v>-0.883680291803334</v>
      </c>
      <c r="BA72" s="61">
        <v>0.0985427143758057</v>
      </c>
      <c r="BB72" s="61"/>
      <c r="BC72" s="230"/>
      <c r="BD72" s="259"/>
    </row>
    <row r="73" spans="1:56">
      <c r="A73" s="13"/>
      <c r="B73" s="13"/>
      <c r="C73" s="13"/>
      <c r="D73" s="81"/>
      <c r="E73" s="13"/>
      <c r="F73" s="13"/>
      <c r="G73" s="190"/>
      <c r="H73" s="190"/>
      <c r="I73" s="190"/>
      <c r="J73" s="190"/>
      <c r="K73" s="13"/>
      <c r="L73" s="13"/>
      <c r="M73" s="13"/>
      <c r="N73" s="13"/>
      <c r="O73" s="13"/>
      <c r="P73" s="13"/>
      <c r="Q73" s="13"/>
      <c r="R73" s="212" t="s">
        <v>3497</v>
      </c>
      <c r="S73" s="216">
        <f t="shared" ref="S73:AG73" si="76">S66-S67-S68-S69</f>
        <v>150389.47</v>
      </c>
      <c r="T73" s="57">
        <f t="shared" si="76"/>
        <v>-17064.22</v>
      </c>
      <c r="U73" s="58">
        <f t="shared" si="76"/>
        <v>48502.9</v>
      </c>
      <c r="V73" s="57">
        <f t="shared" si="76"/>
        <v>-65567.12</v>
      </c>
      <c r="W73" s="57">
        <f t="shared" si="76"/>
        <v>-65567.12</v>
      </c>
      <c r="X73" s="57">
        <f t="shared" si="76"/>
        <v>0</v>
      </c>
      <c r="Y73" s="57">
        <f t="shared" si="76"/>
        <v>-65567.12</v>
      </c>
      <c r="Z73" s="57">
        <f t="shared" si="76"/>
        <v>-65567.12</v>
      </c>
      <c r="AA73" s="58">
        <f t="shared" si="76"/>
        <v>-65567.12</v>
      </c>
      <c r="AB73" s="58">
        <f t="shared" si="76"/>
        <v>-65567.12</v>
      </c>
      <c r="AC73" s="58">
        <f t="shared" si="76"/>
        <v>-65567.12</v>
      </c>
      <c r="AD73" s="58">
        <f t="shared" si="76"/>
        <v>-65567.12</v>
      </c>
      <c r="AE73" s="58">
        <f t="shared" si="76"/>
        <v>0</v>
      </c>
      <c r="AF73" s="58">
        <f t="shared" si="76"/>
        <v>-65567.12</v>
      </c>
      <c r="AG73" s="58">
        <f t="shared" si="76"/>
        <v>-74731.69</v>
      </c>
      <c r="AH73" s="82"/>
      <c r="AI73" s="82"/>
      <c r="AJ73" s="13"/>
      <c r="AK73" s="13"/>
      <c r="AL73" s="13"/>
      <c r="AM73" s="13"/>
      <c r="AN73" s="13"/>
      <c r="AO73" s="58">
        <f t="shared" ref="AO73:AZ73" si="77">AO66-AO67-AO68-AO69</f>
        <v>0</v>
      </c>
      <c r="AP73" s="58">
        <f t="shared" si="77"/>
        <v>0</v>
      </c>
      <c r="AQ73" s="58">
        <f t="shared" si="77"/>
        <v>0</v>
      </c>
      <c r="AR73" s="58">
        <f t="shared" si="77"/>
        <v>0</v>
      </c>
      <c r="AS73" s="58">
        <f t="shared" si="77"/>
        <v>0</v>
      </c>
      <c r="AT73" s="58">
        <f t="shared" si="77"/>
        <v>0</v>
      </c>
      <c r="AU73" s="58">
        <f t="shared" si="77"/>
        <v>0</v>
      </c>
      <c r="AV73" s="58">
        <f t="shared" si="77"/>
        <v>0</v>
      </c>
      <c r="AW73" s="58">
        <f t="shared" si="77"/>
        <v>0</v>
      </c>
      <c r="AX73" s="58">
        <f t="shared" si="77"/>
        <v>0</v>
      </c>
      <c r="AY73" s="58">
        <f t="shared" si="77"/>
        <v>9164.56999999999</v>
      </c>
      <c r="AZ73" s="58">
        <f t="shared" si="77"/>
        <v>-74731.69</v>
      </c>
      <c r="BA73" s="58">
        <v>48502.9</v>
      </c>
      <c r="BB73" s="58"/>
      <c r="BC73" s="230"/>
      <c r="BD73" s="259"/>
    </row>
    <row r="74" spans="1:56">
      <c r="A74" s="14"/>
      <c r="B74" s="14"/>
      <c r="C74" s="14"/>
      <c r="D74" s="84"/>
      <c r="E74" s="14"/>
      <c r="F74" s="14"/>
      <c r="G74" s="190"/>
      <c r="H74" s="190"/>
      <c r="I74" s="190"/>
      <c r="J74" s="190"/>
      <c r="K74" s="14"/>
      <c r="L74" s="14"/>
      <c r="M74" s="14"/>
      <c r="N74" s="14"/>
      <c r="O74" s="14"/>
      <c r="P74" s="14"/>
      <c r="Q74" s="14"/>
      <c r="R74" s="215" t="s">
        <v>3498</v>
      </c>
      <c r="S74" s="61">
        <f t="shared" ref="S74:AG74" si="78">S73/S66</f>
        <v>0.0889936972191664</v>
      </c>
      <c r="T74" s="62">
        <f t="shared" si="78"/>
        <v>-0.0226096125097066</v>
      </c>
      <c r="U74" s="61">
        <f t="shared" si="78"/>
        <v>0.0963974721840856</v>
      </c>
      <c r="V74" s="62">
        <f t="shared" si="78"/>
        <v>-0.26062377716686</v>
      </c>
      <c r="W74" s="62">
        <f t="shared" si="78"/>
        <v>-0.26062377716686</v>
      </c>
      <c r="X74" s="62" t="e">
        <f t="shared" si="78"/>
        <v>#DIV/0!</v>
      </c>
      <c r="Y74" s="62">
        <f t="shared" si="78"/>
        <v>-0.26062377716686</v>
      </c>
      <c r="Z74" s="62">
        <f t="shared" si="78"/>
        <v>-0.26062377716686</v>
      </c>
      <c r="AA74" s="61">
        <f t="shared" si="78"/>
        <v>-0.26062377716686</v>
      </c>
      <c r="AB74" s="61">
        <f t="shared" si="78"/>
        <v>-0.26062377716686</v>
      </c>
      <c r="AC74" s="61">
        <f t="shared" si="78"/>
        <v>-0.26062377716686</v>
      </c>
      <c r="AD74" s="61">
        <f t="shared" si="78"/>
        <v>-0.26062377716686</v>
      </c>
      <c r="AE74" s="61" t="e">
        <f t="shared" si="78"/>
        <v>#DIV/0!</v>
      </c>
      <c r="AF74" s="61">
        <f t="shared" si="78"/>
        <v>-0.26062377716686</v>
      </c>
      <c r="AG74" s="61">
        <f t="shared" si="78"/>
        <v>-0.891156512068679</v>
      </c>
      <c r="AH74" s="82">
        <f>T74-S74</f>
        <v>-0.111603309728873</v>
      </c>
      <c r="AI74" s="82">
        <f>AF74-S74</f>
        <v>-0.349617474386026</v>
      </c>
      <c r="AJ74" s="14"/>
      <c r="AK74" s="14"/>
      <c r="AL74" s="14"/>
      <c r="AM74" s="14"/>
      <c r="AN74" s="14"/>
      <c r="AO74" s="61" t="e">
        <f t="shared" ref="AO74:AZ74" si="79">AO73/AO66</f>
        <v>#DIV/0!</v>
      </c>
      <c r="AP74" s="61" t="e">
        <f t="shared" si="79"/>
        <v>#DIV/0!</v>
      </c>
      <c r="AQ74" s="61" t="e">
        <f t="shared" si="79"/>
        <v>#DIV/0!</v>
      </c>
      <c r="AR74" s="61" t="e">
        <f t="shared" si="79"/>
        <v>#DIV/0!</v>
      </c>
      <c r="AS74" s="61" t="e">
        <f t="shared" si="79"/>
        <v>#DIV/0!</v>
      </c>
      <c r="AT74" s="61" t="e">
        <f t="shared" si="79"/>
        <v>#DIV/0!</v>
      </c>
      <c r="AU74" s="61" t="e">
        <f t="shared" si="79"/>
        <v>#DIV/0!</v>
      </c>
      <c r="AV74" s="61" t="e">
        <f t="shared" si="79"/>
        <v>#DIV/0!</v>
      </c>
      <c r="AW74" s="61" t="e">
        <f t="shared" si="79"/>
        <v>#DIV/0!</v>
      </c>
      <c r="AX74" s="61" t="e">
        <f t="shared" si="79"/>
        <v>#DIV/0!</v>
      </c>
      <c r="AY74" s="61">
        <f t="shared" si="79"/>
        <v>0.0546425902840498</v>
      </c>
      <c r="AZ74" s="61">
        <f t="shared" si="79"/>
        <v>-0.891156512068679</v>
      </c>
      <c r="BA74" s="261">
        <v>0.0963974721840856</v>
      </c>
      <c r="BB74" s="261"/>
      <c r="BC74" s="230"/>
      <c r="BD74" s="259"/>
    </row>
    <row r="75" spans="1:56">
      <c r="A75" s="186" t="s">
        <v>3639</v>
      </c>
      <c r="B75" s="194" t="s">
        <v>3347</v>
      </c>
      <c r="C75" s="188">
        <v>46023</v>
      </c>
      <c r="D75" s="264">
        <v>46081</v>
      </c>
      <c r="E75" s="211" t="s">
        <v>3640</v>
      </c>
      <c r="F75" s="211" t="s">
        <v>3641</v>
      </c>
      <c r="G75" s="190"/>
      <c r="H75" s="190"/>
      <c r="I75" s="190"/>
      <c r="J75" s="190"/>
      <c r="K75" s="201"/>
      <c r="L75" s="201"/>
      <c r="M75" s="201"/>
      <c r="N75" s="201"/>
      <c r="O75" s="201"/>
      <c r="P75" s="201"/>
      <c r="Q75" s="211"/>
      <c r="R75" s="212" t="s">
        <v>3486</v>
      </c>
      <c r="S75" s="58">
        <v>56603.41</v>
      </c>
      <c r="T75" s="57">
        <f>SUM(AO75:BC75)</f>
        <v>56177.87</v>
      </c>
      <c r="U75" s="58">
        <f>SUM(BA75:BC75)</f>
        <v>0</v>
      </c>
      <c r="V75" s="70">
        <f>SUM(AO75:AZ75)</f>
        <v>56177.87</v>
      </c>
      <c r="W75" s="70">
        <f>SUM(AP75:AZ75)</f>
        <v>56177.87</v>
      </c>
      <c r="X75" s="70">
        <f>SUM(AQ75:AU75)</f>
        <v>0</v>
      </c>
      <c r="Y75" s="70">
        <f>SUM(AS75:AZ75)</f>
        <v>56177.87</v>
      </c>
      <c r="Z75" s="70">
        <f>SUM(AT75:AZ75)</f>
        <v>56177.87</v>
      </c>
      <c r="AA75" s="219">
        <f>SUM(AT75:AZ75)</f>
        <v>56177.87</v>
      </c>
      <c r="AB75" s="219">
        <f>SUM(AU75:AZ75)</f>
        <v>56177.87</v>
      </c>
      <c r="AC75" s="219">
        <f>SUM(AV75:AZ75)</f>
        <v>56177.87</v>
      </c>
      <c r="AD75" s="219">
        <f>SUM(AW75:AZ75)</f>
        <v>56177.87</v>
      </c>
      <c r="AE75" s="219"/>
      <c r="AF75" s="58">
        <f>SUM(AY75:AZ75)</f>
        <v>56177.87</v>
      </c>
      <c r="AG75" s="58">
        <f>SUM(AZ75:AZ75)</f>
        <v>35672.94</v>
      </c>
      <c r="AH75" s="75"/>
      <c r="AI75" s="75"/>
      <c r="AJ75" s="230"/>
      <c r="AK75" s="231"/>
      <c r="AL75" s="232" t="s">
        <v>377</v>
      </c>
      <c r="AM75" s="232" t="s">
        <v>377</v>
      </c>
      <c r="AN75" s="233"/>
      <c r="AO75" s="240"/>
      <c r="AP75" s="240"/>
      <c r="AQ75" s="240"/>
      <c r="AR75" s="240"/>
      <c r="AS75" s="240"/>
      <c r="AT75" s="240"/>
      <c r="AU75" s="240"/>
      <c r="AV75" s="240"/>
      <c r="AW75" s="240"/>
      <c r="AX75" s="240"/>
      <c r="AY75" s="240">
        <v>20504.93</v>
      </c>
      <c r="AZ75" s="240">
        <v>35672.94</v>
      </c>
      <c r="BA75" s="240"/>
      <c r="BB75" s="240"/>
      <c r="BC75" s="230"/>
      <c r="BD75" s="259"/>
    </row>
    <row r="76" spans="1:56">
      <c r="A76" s="13"/>
      <c r="B76" s="13"/>
      <c r="C76" s="13"/>
      <c r="D76" s="81"/>
      <c r="E76" s="13"/>
      <c r="F76" s="13"/>
      <c r="G76" s="190"/>
      <c r="H76" s="190"/>
      <c r="I76" s="190"/>
      <c r="J76" s="190"/>
      <c r="K76" s="13"/>
      <c r="L76" s="13"/>
      <c r="M76" s="13"/>
      <c r="N76" s="13"/>
      <c r="O76" s="13"/>
      <c r="P76" s="13"/>
      <c r="Q76" s="13"/>
      <c r="R76" s="212" t="s">
        <v>3490</v>
      </c>
      <c r="S76" s="58">
        <v>45973.12</v>
      </c>
      <c r="T76" s="57">
        <f>SUM(AO76:BC76)</f>
        <v>50651.55</v>
      </c>
      <c r="U76" s="58">
        <f>SUM(BA76:BC76)</f>
        <v>0</v>
      </c>
      <c r="V76" s="70">
        <f>SUM(AO76:AZ76)</f>
        <v>50651.55</v>
      </c>
      <c r="W76" s="70">
        <f>SUM(AP76:AZ76)</f>
        <v>50651.55</v>
      </c>
      <c r="X76" s="70">
        <f>SUM(AQ76:AU76)</f>
        <v>0</v>
      </c>
      <c r="Y76" s="70">
        <f>SUM(AS76:AZ76)</f>
        <v>50651.55</v>
      </c>
      <c r="Z76" s="70">
        <f>SUM(AT76:AZ76)</f>
        <v>50651.55</v>
      </c>
      <c r="AA76" s="219">
        <f>SUM(AT76:AZ76)</f>
        <v>50651.55</v>
      </c>
      <c r="AB76" s="219">
        <f>SUM(AU76:AZ76)</f>
        <v>50651.55</v>
      </c>
      <c r="AC76" s="219">
        <f>SUM(AV76:AZ76)</f>
        <v>50651.55</v>
      </c>
      <c r="AD76" s="219">
        <f>SUM(AW76:AZ76)</f>
        <v>50651.55</v>
      </c>
      <c r="AE76" s="219"/>
      <c r="AF76" s="58">
        <f>SUM(AY76:AZ76)</f>
        <v>50651.55</v>
      </c>
      <c r="AG76" s="58">
        <f>SUM(AZ76:AZ76)</f>
        <v>31957.33</v>
      </c>
      <c r="AH76" s="75"/>
      <c r="AI76" s="75"/>
      <c r="AJ76" s="13"/>
      <c r="AK76" s="13"/>
      <c r="AL76" s="13"/>
      <c r="AM76" s="13"/>
      <c r="AN76" s="13"/>
      <c r="AO76" s="241"/>
      <c r="AP76" s="241"/>
      <c r="AQ76" s="241"/>
      <c r="AR76" s="241"/>
      <c r="AS76" s="241"/>
      <c r="AT76" s="241"/>
      <c r="AU76" s="241"/>
      <c r="AV76" s="241"/>
      <c r="AW76" s="241"/>
      <c r="AX76" s="241"/>
      <c r="AY76" s="241">
        <v>18694.22</v>
      </c>
      <c r="AZ76" s="241">
        <v>31957.33</v>
      </c>
      <c r="BA76" s="260"/>
      <c r="BB76" s="260"/>
      <c r="BC76" s="230"/>
      <c r="BD76" s="259"/>
    </row>
    <row r="77" spans="1:56">
      <c r="A77" s="13"/>
      <c r="B77" s="13"/>
      <c r="C77" s="13"/>
      <c r="D77" s="81"/>
      <c r="E77" s="13"/>
      <c r="F77" s="13"/>
      <c r="G77" s="190"/>
      <c r="H77" s="190"/>
      <c r="I77" s="190"/>
      <c r="J77" s="190"/>
      <c r="K77" s="13"/>
      <c r="L77" s="13"/>
      <c r="M77" s="13"/>
      <c r="N77" s="13"/>
      <c r="O77" s="13"/>
      <c r="P77" s="13"/>
      <c r="Q77" s="13"/>
      <c r="R77" s="212" t="s">
        <v>3492</v>
      </c>
      <c r="S77" s="58">
        <v>0</v>
      </c>
      <c r="T77" s="57">
        <f>SUM(AO77:BC77)</f>
        <v>0</v>
      </c>
      <c r="U77" s="58">
        <f>SUM(BA77:BC77)</f>
        <v>0</v>
      </c>
      <c r="V77" s="70">
        <f>SUM(AO77:AZ77)</f>
        <v>0</v>
      </c>
      <c r="W77" s="70">
        <f>SUM(AP77:AZ77)</f>
        <v>0</v>
      </c>
      <c r="X77" s="70">
        <f>SUM(AQ77:AU77)</f>
        <v>0</v>
      </c>
      <c r="Y77" s="70">
        <f>SUM(AS77:AZ77)</f>
        <v>0</v>
      </c>
      <c r="Z77" s="70">
        <f>SUM(AT77:AZ77)</f>
        <v>0</v>
      </c>
      <c r="AA77" s="219">
        <f>SUM(AT77:AZ77)</f>
        <v>0</v>
      </c>
      <c r="AB77" s="219">
        <f>SUM(AU77:AZ77)</f>
        <v>0</v>
      </c>
      <c r="AC77" s="219">
        <f>SUM(AV77:AZ77)</f>
        <v>0</v>
      </c>
      <c r="AD77" s="219">
        <f>SUM(AW77:AZ77)</f>
        <v>0</v>
      </c>
      <c r="AE77" s="219"/>
      <c r="AF77" s="58">
        <f>SUM(AY77:AZ77)</f>
        <v>0</v>
      </c>
      <c r="AG77" s="58">
        <f>SUM(AZ77:AZ77)</f>
        <v>0</v>
      </c>
      <c r="AH77" s="75"/>
      <c r="AI77" s="75"/>
      <c r="AJ77" s="13"/>
      <c r="AK77" s="13"/>
      <c r="AL77" s="13"/>
      <c r="AM77" s="13"/>
      <c r="AN77" s="13"/>
      <c r="AO77" s="241"/>
      <c r="AP77" s="241"/>
      <c r="AQ77" s="241"/>
      <c r="AR77" s="241"/>
      <c r="AS77" s="241"/>
      <c r="AT77" s="241"/>
      <c r="AU77" s="241"/>
      <c r="AV77" s="241"/>
      <c r="AW77" s="241"/>
      <c r="AX77" s="241"/>
      <c r="AY77" s="241">
        <v>0</v>
      </c>
      <c r="AZ77" s="241">
        <v>0</v>
      </c>
      <c r="BA77" s="260"/>
      <c r="BB77" s="260"/>
      <c r="BC77" s="230"/>
      <c r="BD77" s="259"/>
    </row>
    <row r="78" spans="1:56">
      <c r="A78" s="13"/>
      <c r="B78" s="13"/>
      <c r="C78" s="13"/>
      <c r="D78" s="81"/>
      <c r="E78" s="13"/>
      <c r="F78" s="13"/>
      <c r="G78" s="190"/>
      <c r="H78" s="190"/>
      <c r="I78" s="190"/>
      <c r="J78" s="190"/>
      <c r="K78" s="13"/>
      <c r="L78" s="13"/>
      <c r="M78" s="13"/>
      <c r="N78" s="13"/>
      <c r="O78" s="13"/>
      <c r="P78" s="13"/>
      <c r="Q78" s="13"/>
      <c r="R78" s="212" t="s">
        <v>3493</v>
      </c>
      <c r="S78" s="58">
        <v>0</v>
      </c>
      <c r="T78" s="57">
        <f>SUM(AO78:BC78)</f>
        <v>98.1</v>
      </c>
      <c r="U78" s="58">
        <f>SUM(BA78:BC78)</f>
        <v>0</v>
      </c>
      <c r="V78" s="70">
        <f>SUM(AO78:AZ78)</f>
        <v>98.1</v>
      </c>
      <c r="W78" s="70">
        <f>SUM(AP78:AZ78)</f>
        <v>98.1</v>
      </c>
      <c r="X78" s="70">
        <f>SUM(AQ78:AU78)</f>
        <v>0</v>
      </c>
      <c r="Y78" s="70">
        <f>SUM(AS78:AZ78)</f>
        <v>98.1</v>
      </c>
      <c r="Z78" s="70">
        <f>SUM(AT78:AZ78)</f>
        <v>98.1</v>
      </c>
      <c r="AA78" s="219">
        <f>SUM(AT78:AZ78)</f>
        <v>98.1</v>
      </c>
      <c r="AB78" s="219">
        <f>SUM(AU78:AZ78)</f>
        <v>98.1</v>
      </c>
      <c r="AC78" s="219">
        <f>SUM(AV78:AZ78)</f>
        <v>98.1</v>
      </c>
      <c r="AD78" s="219">
        <f>SUM(AW78:AZ78)</f>
        <v>98.1</v>
      </c>
      <c r="AE78" s="219"/>
      <c r="AF78" s="58">
        <f>SUM(AY78:AZ78)</f>
        <v>98.1</v>
      </c>
      <c r="AG78" s="58">
        <f>SUM(AZ78:AZ78)</f>
        <v>38.1</v>
      </c>
      <c r="AH78" s="75"/>
      <c r="AI78" s="75"/>
      <c r="AJ78" s="13"/>
      <c r="AK78" s="13"/>
      <c r="AL78" s="13"/>
      <c r="AM78" s="13"/>
      <c r="AN78" s="13"/>
      <c r="AO78" s="241"/>
      <c r="AP78" s="241"/>
      <c r="AQ78" s="241"/>
      <c r="AR78" s="241"/>
      <c r="AS78" s="241"/>
      <c r="AT78" s="241"/>
      <c r="AU78" s="241"/>
      <c r="AV78" s="241"/>
      <c r="AW78" s="241"/>
      <c r="AX78" s="241"/>
      <c r="AY78" s="241">
        <v>60</v>
      </c>
      <c r="AZ78" s="241">
        <v>38.1</v>
      </c>
      <c r="BA78" s="240"/>
      <c r="BB78" s="240"/>
      <c r="BC78" s="230"/>
      <c r="BD78" s="259"/>
    </row>
    <row r="79" spans="1:56">
      <c r="A79" s="13"/>
      <c r="B79" s="13"/>
      <c r="C79" s="13"/>
      <c r="D79" s="81"/>
      <c r="E79" s="13"/>
      <c r="F79" s="13"/>
      <c r="G79" s="26"/>
      <c r="H79" s="26"/>
      <c r="I79" s="26"/>
      <c r="J79" s="26"/>
      <c r="K79" s="13"/>
      <c r="L79" s="13"/>
      <c r="M79" s="13"/>
      <c r="N79" s="13"/>
      <c r="O79" s="13"/>
      <c r="P79" s="13"/>
      <c r="Q79" s="13"/>
      <c r="R79" s="213" t="s">
        <v>3494</v>
      </c>
      <c r="S79" s="214">
        <f t="shared" ref="S79:AI79" si="80">SUM(S76:S78)</f>
        <v>45973.12</v>
      </c>
      <c r="T79" s="214">
        <f t="shared" si="80"/>
        <v>50749.65</v>
      </c>
      <c r="U79" s="214">
        <f t="shared" si="80"/>
        <v>0</v>
      </c>
      <c r="V79" s="214">
        <f t="shared" si="80"/>
        <v>50749.65</v>
      </c>
      <c r="W79" s="214">
        <f t="shared" si="80"/>
        <v>50749.65</v>
      </c>
      <c r="X79" s="214">
        <f t="shared" si="80"/>
        <v>0</v>
      </c>
      <c r="Y79" s="214">
        <f t="shared" si="80"/>
        <v>50749.65</v>
      </c>
      <c r="Z79" s="214">
        <f t="shared" si="80"/>
        <v>50749.65</v>
      </c>
      <c r="AA79" s="214">
        <f t="shared" si="80"/>
        <v>50749.65</v>
      </c>
      <c r="AB79" s="214">
        <f t="shared" si="80"/>
        <v>50749.65</v>
      </c>
      <c r="AC79" s="214">
        <f t="shared" si="80"/>
        <v>50749.65</v>
      </c>
      <c r="AD79" s="214">
        <f t="shared" si="80"/>
        <v>50749.65</v>
      </c>
      <c r="AE79" s="214">
        <f t="shared" si="80"/>
        <v>0</v>
      </c>
      <c r="AF79" s="214">
        <f t="shared" si="80"/>
        <v>50749.65</v>
      </c>
      <c r="AG79" s="214">
        <f t="shared" si="80"/>
        <v>31995.43</v>
      </c>
      <c r="AH79" s="214">
        <f t="shared" si="80"/>
        <v>0</v>
      </c>
      <c r="AI79" s="214">
        <f t="shared" si="80"/>
        <v>0</v>
      </c>
      <c r="AJ79" s="13"/>
      <c r="AK79" s="13"/>
      <c r="AL79" s="13"/>
      <c r="AM79" s="13"/>
      <c r="AN79" s="13"/>
      <c r="AO79" s="214">
        <f t="shared" ref="AO79:AZ79" si="81">SUM(AO76:AO78)</f>
        <v>0</v>
      </c>
      <c r="AP79" s="214">
        <f t="shared" si="81"/>
        <v>0</v>
      </c>
      <c r="AQ79" s="214">
        <f t="shared" si="81"/>
        <v>0</v>
      </c>
      <c r="AR79" s="214">
        <f t="shared" si="81"/>
        <v>0</v>
      </c>
      <c r="AS79" s="214">
        <f t="shared" si="81"/>
        <v>0</v>
      </c>
      <c r="AT79" s="214">
        <f t="shared" si="81"/>
        <v>0</v>
      </c>
      <c r="AU79" s="214">
        <f t="shared" si="81"/>
        <v>0</v>
      </c>
      <c r="AV79" s="214">
        <f t="shared" si="81"/>
        <v>0</v>
      </c>
      <c r="AW79" s="214">
        <f t="shared" si="81"/>
        <v>0</v>
      </c>
      <c r="AX79" s="214">
        <f t="shared" si="81"/>
        <v>0</v>
      </c>
      <c r="AY79" s="214">
        <f t="shared" si="81"/>
        <v>18754.22</v>
      </c>
      <c r="AZ79" s="214">
        <f t="shared" si="81"/>
        <v>31995.43</v>
      </c>
      <c r="BA79" s="214"/>
      <c r="BB79" s="214"/>
      <c r="BC79" s="190"/>
      <c r="BD79" s="259"/>
    </row>
    <row r="80" spans="1:56">
      <c r="A80" s="13"/>
      <c r="B80" s="13"/>
      <c r="C80" s="13"/>
      <c r="D80" s="81"/>
      <c r="E80" s="13"/>
      <c r="F80" s="13"/>
      <c r="G80" s="190"/>
      <c r="H80" s="190"/>
      <c r="I80" s="190"/>
      <c r="J80" s="190"/>
      <c r="K80" s="13"/>
      <c r="L80" s="13"/>
      <c r="M80" s="13"/>
      <c r="N80" s="13"/>
      <c r="O80" s="13"/>
      <c r="P80" s="13"/>
      <c r="Q80" s="13"/>
      <c r="R80" s="212" t="s">
        <v>3495</v>
      </c>
      <c r="S80" s="58">
        <f t="shared" ref="S80:AG80" si="82">S75-S76</f>
        <v>10630.29</v>
      </c>
      <c r="T80" s="57">
        <f t="shared" si="82"/>
        <v>5526.32</v>
      </c>
      <c r="U80" s="58">
        <f t="shared" si="82"/>
        <v>0</v>
      </c>
      <c r="V80" s="57">
        <f t="shared" si="82"/>
        <v>5526.32</v>
      </c>
      <c r="W80" s="57">
        <f t="shared" si="82"/>
        <v>5526.32</v>
      </c>
      <c r="X80" s="57">
        <f t="shared" si="82"/>
        <v>0</v>
      </c>
      <c r="Y80" s="57">
        <f t="shared" si="82"/>
        <v>5526.32</v>
      </c>
      <c r="Z80" s="57">
        <f t="shared" si="82"/>
        <v>5526.32</v>
      </c>
      <c r="AA80" s="58">
        <f t="shared" si="82"/>
        <v>5526.32</v>
      </c>
      <c r="AB80" s="58">
        <f t="shared" si="82"/>
        <v>5526.32</v>
      </c>
      <c r="AC80" s="58">
        <f t="shared" si="82"/>
        <v>5526.32</v>
      </c>
      <c r="AD80" s="58">
        <f t="shared" si="82"/>
        <v>5526.32</v>
      </c>
      <c r="AE80" s="58">
        <f t="shared" si="82"/>
        <v>0</v>
      </c>
      <c r="AF80" s="58">
        <f t="shared" si="82"/>
        <v>5526.32</v>
      </c>
      <c r="AG80" s="58">
        <f t="shared" si="82"/>
        <v>3715.61</v>
      </c>
      <c r="AH80" s="75"/>
      <c r="AI80" s="75"/>
      <c r="AJ80" s="13"/>
      <c r="AK80" s="13"/>
      <c r="AL80" s="13"/>
      <c r="AM80" s="13"/>
      <c r="AN80" s="13"/>
      <c r="AO80" s="242">
        <f t="shared" ref="AO80:AZ80" si="83">AO75-AO76</f>
        <v>0</v>
      </c>
      <c r="AP80" s="242">
        <f t="shared" si="83"/>
        <v>0</v>
      </c>
      <c r="AQ80" s="242">
        <f t="shared" si="83"/>
        <v>0</v>
      </c>
      <c r="AR80" s="242">
        <f t="shared" si="83"/>
        <v>0</v>
      </c>
      <c r="AS80" s="242">
        <f t="shared" si="83"/>
        <v>0</v>
      </c>
      <c r="AT80" s="242">
        <f t="shared" si="83"/>
        <v>0</v>
      </c>
      <c r="AU80" s="242">
        <f t="shared" si="83"/>
        <v>0</v>
      </c>
      <c r="AV80" s="242">
        <f t="shared" si="83"/>
        <v>0</v>
      </c>
      <c r="AW80" s="242">
        <f t="shared" si="83"/>
        <v>0</v>
      </c>
      <c r="AX80" s="242">
        <f t="shared" si="83"/>
        <v>0</v>
      </c>
      <c r="AY80" s="242">
        <f t="shared" si="83"/>
        <v>1810.71</v>
      </c>
      <c r="AZ80" s="242">
        <f t="shared" si="83"/>
        <v>3715.61</v>
      </c>
      <c r="BA80" s="240"/>
      <c r="BB80" s="240"/>
      <c r="BC80" s="230"/>
      <c r="BD80" s="259"/>
    </row>
    <row r="81" spans="1:56">
      <c r="A81" s="13"/>
      <c r="B81" s="13"/>
      <c r="C81" s="13"/>
      <c r="D81" s="81"/>
      <c r="E81" s="13"/>
      <c r="F81" s="13"/>
      <c r="G81" s="190"/>
      <c r="H81" s="190"/>
      <c r="I81" s="190"/>
      <c r="J81" s="190"/>
      <c r="K81" s="13"/>
      <c r="L81" s="13"/>
      <c r="M81" s="13"/>
      <c r="N81" s="13"/>
      <c r="O81" s="13"/>
      <c r="P81" s="13"/>
      <c r="Q81" s="13"/>
      <c r="R81" s="215" t="s">
        <v>3496</v>
      </c>
      <c r="S81" s="61">
        <f t="shared" ref="S81:AG81" si="84">S80/S75</f>
        <v>0.187802996321246</v>
      </c>
      <c r="T81" s="62">
        <f t="shared" si="84"/>
        <v>0.0983718321823166</v>
      </c>
      <c r="U81" s="61" t="e">
        <f t="shared" si="84"/>
        <v>#DIV/0!</v>
      </c>
      <c r="V81" s="62">
        <f t="shared" si="84"/>
        <v>0.0983718321823166</v>
      </c>
      <c r="W81" s="62">
        <f t="shared" si="84"/>
        <v>0.0983718321823166</v>
      </c>
      <c r="X81" s="62" t="e">
        <f t="shared" si="84"/>
        <v>#DIV/0!</v>
      </c>
      <c r="Y81" s="62">
        <f t="shared" si="84"/>
        <v>0.0983718321823166</v>
      </c>
      <c r="Z81" s="62">
        <f t="shared" si="84"/>
        <v>0.0983718321823166</v>
      </c>
      <c r="AA81" s="61">
        <f t="shared" si="84"/>
        <v>0.0983718321823166</v>
      </c>
      <c r="AB81" s="61">
        <f t="shared" si="84"/>
        <v>0.0983718321823166</v>
      </c>
      <c r="AC81" s="61">
        <f t="shared" si="84"/>
        <v>0.0983718321823166</v>
      </c>
      <c r="AD81" s="61">
        <f t="shared" si="84"/>
        <v>0.0983718321823166</v>
      </c>
      <c r="AE81" s="61" t="e">
        <f t="shared" si="84"/>
        <v>#DIV/0!</v>
      </c>
      <c r="AF81" s="61">
        <f t="shared" si="84"/>
        <v>0.0983718321823166</v>
      </c>
      <c r="AG81" s="61">
        <f t="shared" si="84"/>
        <v>0.104157661241266</v>
      </c>
      <c r="AH81" s="82">
        <f>T81-S81</f>
        <v>-0.0894311641389297</v>
      </c>
      <c r="AI81" s="82">
        <f>AF81-S81</f>
        <v>-0.0894311641389297</v>
      </c>
      <c r="AJ81" s="13"/>
      <c r="AK81" s="13"/>
      <c r="AL81" s="13"/>
      <c r="AM81" s="13"/>
      <c r="AN81" s="13"/>
      <c r="AO81" s="61" t="e">
        <f t="shared" ref="AO81:AZ81" si="85">AO80/AO75</f>
        <v>#DIV/0!</v>
      </c>
      <c r="AP81" s="61" t="e">
        <f t="shared" si="85"/>
        <v>#DIV/0!</v>
      </c>
      <c r="AQ81" s="61" t="e">
        <f t="shared" si="85"/>
        <v>#DIV/0!</v>
      </c>
      <c r="AR81" s="61" t="e">
        <f t="shared" si="85"/>
        <v>#DIV/0!</v>
      </c>
      <c r="AS81" s="61" t="e">
        <f t="shared" si="85"/>
        <v>#DIV/0!</v>
      </c>
      <c r="AT81" s="61" t="e">
        <f t="shared" si="85"/>
        <v>#DIV/0!</v>
      </c>
      <c r="AU81" s="61" t="e">
        <f t="shared" si="85"/>
        <v>#DIV/0!</v>
      </c>
      <c r="AV81" s="61" t="e">
        <f t="shared" si="85"/>
        <v>#DIV/0!</v>
      </c>
      <c r="AW81" s="61" t="e">
        <f t="shared" si="85"/>
        <v>#DIV/0!</v>
      </c>
      <c r="AX81" s="61" t="e">
        <f t="shared" si="85"/>
        <v>#DIV/0!</v>
      </c>
      <c r="AY81" s="61">
        <f t="shared" si="85"/>
        <v>0.0883060805377048</v>
      </c>
      <c r="AZ81" s="61">
        <f t="shared" si="85"/>
        <v>0.104157661241266</v>
      </c>
      <c r="BA81" s="61"/>
      <c r="BB81" s="61"/>
      <c r="BC81" s="230"/>
      <c r="BD81" s="259"/>
    </row>
    <row r="82" spans="1:56">
      <c r="A82" s="13"/>
      <c r="B82" s="13"/>
      <c r="C82" s="13"/>
      <c r="D82" s="81"/>
      <c r="E82" s="13"/>
      <c r="F82" s="13"/>
      <c r="G82" s="190"/>
      <c r="H82" s="190"/>
      <c r="I82" s="190"/>
      <c r="J82" s="190"/>
      <c r="K82" s="13"/>
      <c r="L82" s="13"/>
      <c r="M82" s="13"/>
      <c r="N82" s="13"/>
      <c r="O82" s="13"/>
      <c r="P82" s="13"/>
      <c r="Q82" s="13"/>
      <c r="R82" s="212" t="s">
        <v>3497</v>
      </c>
      <c r="S82" s="216">
        <f t="shared" ref="S82:AG82" si="86">S75-S76-S77-S78</f>
        <v>10630.29</v>
      </c>
      <c r="T82" s="57">
        <f t="shared" si="86"/>
        <v>5428.22</v>
      </c>
      <c r="U82" s="58">
        <f t="shared" si="86"/>
        <v>0</v>
      </c>
      <c r="V82" s="57">
        <f t="shared" si="86"/>
        <v>5428.22</v>
      </c>
      <c r="W82" s="57">
        <f t="shared" si="86"/>
        <v>5428.22</v>
      </c>
      <c r="X82" s="57">
        <f t="shared" si="86"/>
        <v>0</v>
      </c>
      <c r="Y82" s="57">
        <f t="shared" si="86"/>
        <v>5428.22</v>
      </c>
      <c r="Z82" s="57">
        <f t="shared" si="86"/>
        <v>5428.22</v>
      </c>
      <c r="AA82" s="58">
        <f t="shared" si="86"/>
        <v>5428.22</v>
      </c>
      <c r="AB82" s="58">
        <f t="shared" si="86"/>
        <v>5428.22</v>
      </c>
      <c r="AC82" s="58">
        <f t="shared" si="86"/>
        <v>5428.22</v>
      </c>
      <c r="AD82" s="58">
        <f t="shared" si="86"/>
        <v>5428.22</v>
      </c>
      <c r="AE82" s="58">
        <f t="shared" si="86"/>
        <v>0</v>
      </c>
      <c r="AF82" s="58">
        <f t="shared" si="86"/>
        <v>5428.22</v>
      </c>
      <c r="AG82" s="58">
        <f t="shared" si="86"/>
        <v>3677.51</v>
      </c>
      <c r="AH82" s="82"/>
      <c r="AI82" s="82"/>
      <c r="AJ82" s="13"/>
      <c r="AK82" s="13"/>
      <c r="AL82" s="13"/>
      <c r="AM82" s="13"/>
      <c r="AN82" s="13"/>
      <c r="AO82" s="58">
        <f t="shared" ref="AO82:AZ82" si="87">AO75-AO76-AO77-AO78</f>
        <v>0</v>
      </c>
      <c r="AP82" s="58">
        <f t="shared" si="87"/>
        <v>0</v>
      </c>
      <c r="AQ82" s="58">
        <f t="shared" si="87"/>
        <v>0</v>
      </c>
      <c r="AR82" s="58">
        <f t="shared" si="87"/>
        <v>0</v>
      </c>
      <c r="AS82" s="58">
        <f t="shared" si="87"/>
        <v>0</v>
      </c>
      <c r="AT82" s="58">
        <f t="shared" si="87"/>
        <v>0</v>
      </c>
      <c r="AU82" s="58">
        <f t="shared" si="87"/>
        <v>0</v>
      </c>
      <c r="AV82" s="58">
        <f t="shared" si="87"/>
        <v>0</v>
      </c>
      <c r="AW82" s="58">
        <f t="shared" si="87"/>
        <v>0</v>
      </c>
      <c r="AX82" s="58">
        <f t="shared" si="87"/>
        <v>0</v>
      </c>
      <c r="AY82" s="58">
        <f t="shared" si="87"/>
        <v>1750.71</v>
      </c>
      <c r="AZ82" s="58">
        <f t="shared" si="87"/>
        <v>3677.51</v>
      </c>
      <c r="BA82" s="58"/>
      <c r="BB82" s="58"/>
      <c r="BC82" s="230"/>
      <c r="BD82" s="259"/>
    </row>
    <row r="83" ht="16.65" customHeight="1" spans="1:56">
      <c r="A83" s="14"/>
      <c r="B83" s="14"/>
      <c r="C83" s="14"/>
      <c r="D83" s="84"/>
      <c r="E83" s="14"/>
      <c r="F83" s="14"/>
      <c r="G83" s="190"/>
      <c r="H83" s="190"/>
      <c r="I83" s="190"/>
      <c r="J83" s="190"/>
      <c r="K83" s="14"/>
      <c r="L83" s="14"/>
      <c r="M83" s="14"/>
      <c r="N83" s="14"/>
      <c r="O83" s="14"/>
      <c r="P83" s="14"/>
      <c r="Q83" s="14"/>
      <c r="R83" s="215" t="s">
        <v>3498</v>
      </c>
      <c r="S83" s="61">
        <f t="shared" ref="S83:AG83" si="88">S82/S75</f>
        <v>0.187802996321246</v>
      </c>
      <c r="T83" s="62">
        <f t="shared" si="88"/>
        <v>0.0966255929603596</v>
      </c>
      <c r="U83" s="61" t="e">
        <f t="shared" si="88"/>
        <v>#DIV/0!</v>
      </c>
      <c r="V83" s="62">
        <f t="shared" si="88"/>
        <v>0.0966255929603596</v>
      </c>
      <c r="W83" s="62">
        <f t="shared" si="88"/>
        <v>0.0966255929603596</v>
      </c>
      <c r="X83" s="62" t="e">
        <f t="shared" si="88"/>
        <v>#DIV/0!</v>
      </c>
      <c r="Y83" s="62">
        <f t="shared" si="88"/>
        <v>0.0966255929603596</v>
      </c>
      <c r="Z83" s="62">
        <f t="shared" si="88"/>
        <v>0.0966255929603596</v>
      </c>
      <c r="AA83" s="61">
        <f t="shared" si="88"/>
        <v>0.0966255929603596</v>
      </c>
      <c r="AB83" s="61">
        <f t="shared" si="88"/>
        <v>0.0966255929603596</v>
      </c>
      <c r="AC83" s="61">
        <f t="shared" si="88"/>
        <v>0.0966255929603596</v>
      </c>
      <c r="AD83" s="61">
        <f t="shared" si="88"/>
        <v>0.0966255929603596</v>
      </c>
      <c r="AE83" s="61" t="e">
        <f t="shared" si="88"/>
        <v>#DIV/0!</v>
      </c>
      <c r="AF83" s="61">
        <f t="shared" si="88"/>
        <v>0.0966255929603596</v>
      </c>
      <c r="AG83" s="61">
        <f t="shared" si="88"/>
        <v>0.103089624796835</v>
      </c>
      <c r="AH83" s="82">
        <f>T83-S83</f>
        <v>-0.0911774033608867</v>
      </c>
      <c r="AI83" s="82">
        <f>AF83-S83</f>
        <v>-0.0911774033608867</v>
      </c>
      <c r="AJ83" s="14"/>
      <c r="AK83" s="14"/>
      <c r="AL83" s="14"/>
      <c r="AM83" s="14"/>
      <c r="AN83" s="14"/>
      <c r="AO83" s="61" t="e">
        <f t="shared" ref="AO83:AZ83" si="89">AO82/AO75</f>
        <v>#DIV/0!</v>
      </c>
      <c r="AP83" s="61" t="e">
        <f t="shared" si="89"/>
        <v>#DIV/0!</v>
      </c>
      <c r="AQ83" s="61" t="e">
        <f t="shared" si="89"/>
        <v>#DIV/0!</v>
      </c>
      <c r="AR83" s="61" t="e">
        <f t="shared" si="89"/>
        <v>#DIV/0!</v>
      </c>
      <c r="AS83" s="61" t="e">
        <f t="shared" si="89"/>
        <v>#DIV/0!</v>
      </c>
      <c r="AT83" s="61" t="e">
        <f t="shared" si="89"/>
        <v>#DIV/0!</v>
      </c>
      <c r="AU83" s="61" t="e">
        <f t="shared" si="89"/>
        <v>#DIV/0!</v>
      </c>
      <c r="AV83" s="61" t="e">
        <f t="shared" si="89"/>
        <v>#DIV/0!</v>
      </c>
      <c r="AW83" s="61" t="e">
        <f t="shared" si="89"/>
        <v>#DIV/0!</v>
      </c>
      <c r="AX83" s="61" t="e">
        <f t="shared" si="89"/>
        <v>#DIV/0!</v>
      </c>
      <c r="AY83" s="61">
        <f t="shared" si="89"/>
        <v>0.0853799549669274</v>
      </c>
      <c r="AZ83" s="61">
        <f t="shared" si="89"/>
        <v>0.103089624796835</v>
      </c>
      <c r="BA83" s="261"/>
      <c r="BB83" s="261"/>
      <c r="BC83" s="230"/>
      <c r="BD83" s="259"/>
    </row>
    <row r="84" spans="1:56">
      <c r="A84" s="186" t="s">
        <v>3642</v>
      </c>
      <c r="B84" s="194" t="s">
        <v>3348</v>
      </c>
      <c r="C84" s="188">
        <v>46023</v>
      </c>
      <c r="D84" s="264">
        <v>46203</v>
      </c>
      <c r="E84" s="211" t="s">
        <v>3643</v>
      </c>
      <c r="F84" s="211" t="s">
        <v>3644</v>
      </c>
      <c r="G84" s="190"/>
      <c r="H84" s="190"/>
      <c r="I84" s="190"/>
      <c r="J84" s="190"/>
      <c r="K84" s="201"/>
      <c r="L84" s="201"/>
      <c r="M84" s="201"/>
      <c r="N84" s="201"/>
      <c r="O84" s="201"/>
      <c r="P84" s="201"/>
      <c r="Q84" s="211" t="s">
        <v>3645</v>
      </c>
      <c r="R84" s="212" t="s">
        <v>3486</v>
      </c>
      <c r="S84" s="58">
        <v>2995469.92</v>
      </c>
      <c r="T84" s="57">
        <f>SUM(AO84:BC84)</f>
        <v>1125538.45</v>
      </c>
      <c r="U84" s="58">
        <f>SUM(BA84:BC84)</f>
        <v>0</v>
      </c>
      <c r="V84" s="70">
        <f>SUM(AO84:AZ84)</f>
        <v>1125538.45</v>
      </c>
      <c r="W84" s="70">
        <f>SUM(AP84:AZ84)</f>
        <v>1125538.45</v>
      </c>
      <c r="X84" s="70">
        <f>SUM(AQ84:AU84)</f>
        <v>0</v>
      </c>
      <c r="Y84" s="70">
        <f>SUM(AS84:AZ84)</f>
        <v>1125538.45</v>
      </c>
      <c r="Z84" s="70">
        <f>SUM(AT84:AZ84)</f>
        <v>1125538.45</v>
      </c>
      <c r="AA84" s="219">
        <f>SUM(AT84:AZ84)</f>
        <v>1125538.45</v>
      </c>
      <c r="AB84" s="219">
        <f>SUM(AU84:AZ84)</f>
        <v>1125538.45</v>
      </c>
      <c r="AC84" s="219">
        <f>SUM(AV84:AZ84)</f>
        <v>1125538.45</v>
      </c>
      <c r="AD84" s="219">
        <f>SUM(AW84:AZ84)</f>
        <v>1125538.45</v>
      </c>
      <c r="AE84" s="219"/>
      <c r="AF84" s="58">
        <f>SUM(AY84:AZ84)</f>
        <v>1125538.45</v>
      </c>
      <c r="AG84" s="58">
        <f>SUM(AZ84:AZ84)</f>
        <v>609443.69</v>
      </c>
      <c r="AH84" s="75"/>
      <c r="AI84" s="75"/>
      <c r="AJ84" s="230"/>
      <c r="AK84" s="231"/>
      <c r="AL84" s="232" t="s">
        <v>377</v>
      </c>
      <c r="AM84" s="232" t="s">
        <v>377</v>
      </c>
      <c r="AN84" s="233"/>
      <c r="AO84" s="240"/>
      <c r="AP84" s="240"/>
      <c r="AQ84" s="240"/>
      <c r="AR84" s="240"/>
      <c r="AS84" s="240"/>
      <c r="AT84" s="240"/>
      <c r="AU84" s="240"/>
      <c r="AV84" s="240"/>
      <c r="AW84" s="240"/>
      <c r="AX84" s="240"/>
      <c r="AY84" s="240">
        <v>516094.76</v>
      </c>
      <c r="AZ84" s="240">
        <v>609443.69</v>
      </c>
      <c r="BA84" s="240"/>
      <c r="BB84" s="240"/>
      <c r="BC84" s="230"/>
      <c r="BD84" s="259"/>
    </row>
    <row r="85" spans="1:56">
      <c r="A85" s="13"/>
      <c r="B85" s="13"/>
      <c r="C85" s="13"/>
      <c r="D85" s="81"/>
      <c r="E85" s="13"/>
      <c r="F85" s="13"/>
      <c r="G85" s="190"/>
      <c r="H85" s="190"/>
      <c r="I85" s="190"/>
      <c r="J85" s="190"/>
      <c r="K85" s="13"/>
      <c r="L85" s="13"/>
      <c r="M85" s="13"/>
      <c r="N85" s="13"/>
      <c r="O85" s="13"/>
      <c r="P85" s="13"/>
      <c r="Q85" s="13"/>
      <c r="R85" s="212" t="s">
        <v>3490</v>
      </c>
      <c r="S85" s="58">
        <v>2403478.99</v>
      </c>
      <c r="T85" s="57">
        <f>SUM(AO85:BC85)</f>
        <v>1021623.51</v>
      </c>
      <c r="U85" s="58">
        <f>SUM(BA85:BC85)</f>
        <v>0</v>
      </c>
      <c r="V85" s="70">
        <f>SUM(AO85:AZ85)</f>
        <v>1021623.51</v>
      </c>
      <c r="W85" s="70">
        <f>SUM(AP85:AZ85)</f>
        <v>1021623.51</v>
      </c>
      <c r="X85" s="70">
        <f>SUM(AQ85:AU85)</f>
        <v>0</v>
      </c>
      <c r="Y85" s="70">
        <f>SUM(AS85:AZ85)</f>
        <v>1021623.51</v>
      </c>
      <c r="Z85" s="70">
        <f>SUM(AT85:AZ85)</f>
        <v>1021623.51</v>
      </c>
      <c r="AA85" s="219">
        <f>SUM(AT85:AZ85)</f>
        <v>1021623.51</v>
      </c>
      <c r="AB85" s="219">
        <f>SUM(AU85:AZ85)</f>
        <v>1021623.51</v>
      </c>
      <c r="AC85" s="219">
        <f>SUM(AV85:AZ85)</f>
        <v>1021623.51</v>
      </c>
      <c r="AD85" s="219">
        <f>SUM(AW85:AZ85)</f>
        <v>1021623.51</v>
      </c>
      <c r="AE85" s="219"/>
      <c r="AF85" s="58">
        <f>SUM(AY85:AZ85)</f>
        <v>1021623.51</v>
      </c>
      <c r="AG85" s="58">
        <f>SUM(AZ85:AZ85)</f>
        <v>512868.7</v>
      </c>
      <c r="AH85" s="75"/>
      <c r="AI85" s="75"/>
      <c r="AJ85" s="13"/>
      <c r="AK85" s="13"/>
      <c r="AL85" s="13"/>
      <c r="AM85" s="13"/>
      <c r="AN85" s="13"/>
      <c r="AO85" s="241"/>
      <c r="AP85" s="241"/>
      <c r="AQ85" s="241"/>
      <c r="AR85" s="241"/>
      <c r="AS85" s="241"/>
      <c r="AT85" s="241"/>
      <c r="AU85" s="241"/>
      <c r="AV85" s="241"/>
      <c r="AW85" s="241"/>
      <c r="AX85" s="241"/>
      <c r="AY85" s="241">
        <v>508754.81</v>
      </c>
      <c r="AZ85" s="241">
        <v>512868.7</v>
      </c>
      <c r="BA85" s="260"/>
      <c r="BB85" s="260"/>
      <c r="BC85" s="230"/>
      <c r="BD85" s="259"/>
    </row>
    <row r="86" spans="1:56">
      <c r="A86" s="13"/>
      <c r="B86" s="13"/>
      <c r="C86" s="13"/>
      <c r="D86" s="81"/>
      <c r="E86" s="13"/>
      <c r="F86" s="13"/>
      <c r="G86" s="190"/>
      <c r="H86" s="190"/>
      <c r="I86" s="190"/>
      <c r="J86" s="190"/>
      <c r="K86" s="13"/>
      <c r="L86" s="13"/>
      <c r="M86" s="13"/>
      <c r="N86" s="13"/>
      <c r="O86" s="13"/>
      <c r="P86" s="13"/>
      <c r="Q86" s="13"/>
      <c r="R86" s="212" t="s">
        <v>3492</v>
      </c>
      <c r="S86" s="58">
        <v>35000</v>
      </c>
      <c r="T86" s="57">
        <f>SUM(AO86:BC86)</f>
        <v>0</v>
      </c>
      <c r="U86" s="58">
        <f>SUM(BA86:BC86)</f>
        <v>0</v>
      </c>
      <c r="V86" s="70">
        <f>SUM(AO86:AZ86)</f>
        <v>0</v>
      </c>
      <c r="W86" s="70">
        <f>SUM(AP86:AZ86)</f>
        <v>0</v>
      </c>
      <c r="X86" s="70">
        <f>SUM(AQ86:AU86)</f>
        <v>0</v>
      </c>
      <c r="Y86" s="70">
        <f>SUM(AS86:AZ86)</f>
        <v>0</v>
      </c>
      <c r="Z86" s="70">
        <f>SUM(AT86:AZ86)</f>
        <v>0</v>
      </c>
      <c r="AA86" s="219">
        <f>SUM(AT86:AZ86)</f>
        <v>0</v>
      </c>
      <c r="AB86" s="219">
        <f>SUM(AU86:AZ86)</f>
        <v>0</v>
      </c>
      <c r="AC86" s="219">
        <f>SUM(AV86:AZ86)</f>
        <v>0</v>
      </c>
      <c r="AD86" s="219">
        <f>SUM(AW86:AZ86)</f>
        <v>0</v>
      </c>
      <c r="AE86" s="219"/>
      <c r="AF86" s="58">
        <f>SUM(AY86:AZ86)</f>
        <v>0</v>
      </c>
      <c r="AG86" s="58">
        <f>SUM(AZ86:AZ86)</f>
        <v>0</v>
      </c>
      <c r="AH86" s="75"/>
      <c r="AI86" s="75"/>
      <c r="AJ86" s="13"/>
      <c r="AK86" s="13"/>
      <c r="AL86" s="13"/>
      <c r="AM86" s="13"/>
      <c r="AN86" s="13"/>
      <c r="AO86" s="241"/>
      <c r="AP86" s="241"/>
      <c r="AQ86" s="241"/>
      <c r="AR86" s="241"/>
      <c r="AS86" s="241"/>
      <c r="AT86" s="241"/>
      <c r="AU86" s="241"/>
      <c r="AV86" s="241"/>
      <c r="AW86" s="241"/>
      <c r="AX86" s="241"/>
      <c r="AY86" s="241">
        <v>0</v>
      </c>
      <c r="AZ86" s="241">
        <v>0</v>
      </c>
      <c r="BA86" s="260"/>
      <c r="BB86" s="260"/>
      <c r="BC86" s="230"/>
      <c r="BD86" s="259"/>
    </row>
    <row r="87" spans="1:56">
      <c r="A87" s="13"/>
      <c r="B87" s="13"/>
      <c r="C87" s="13"/>
      <c r="D87" s="81"/>
      <c r="E87" s="13"/>
      <c r="F87" s="13"/>
      <c r="G87" s="190"/>
      <c r="H87" s="190"/>
      <c r="I87" s="190"/>
      <c r="J87" s="190"/>
      <c r="K87" s="13"/>
      <c r="L87" s="13"/>
      <c r="M87" s="13"/>
      <c r="N87" s="13"/>
      <c r="O87" s="13"/>
      <c r="P87" s="13"/>
      <c r="Q87" s="13"/>
      <c r="R87" s="212" t="s">
        <v>3493</v>
      </c>
      <c r="S87" s="58">
        <v>0</v>
      </c>
      <c r="T87" s="57">
        <f>SUM(AO87:BC87)</f>
        <v>1853.05</v>
      </c>
      <c r="U87" s="58">
        <f>SUM(BA87:BC87)</f>
        <v>0</v>
      </c>
      <c r="V87" s="70">
        <f>SUM(AO87:AZ87)</f>
        <v>1853.05</v>
      </c>
      <c r="W87" s="70">
        <f>SUM(AP87:AZ87)</f>
        <v>1853.05</v>
      </c>
      <c r="X87" s="70">
        <f>SUM(AQ87:AU87)</f>
        <v>0</v>
      </c>
      <c r="Y87" s="70">
        <f>SUM(AS87:AZ87)</f>
        <v>1853.05</v>
      </c>
      <c r="Z87" s="70">
        <f>SUM(AT87:AZ87)</f>
        <v>1853.05</v>
      </c>
      <c r="AA87" s="219">
        <f>SUM(AT87:AZ87)</f>
        <v>1853.05</v>
      </c>
      <c r="AB87" s="219">
        <f>SUM(AU87:AZ87)</f>
        <v>1853.05</v>
      </c>
      <c r="AC87" s="219">
        <f>SUM(AV87:AZ87)</f>
        <v>1853.05</v>
      </c>
      <c r="AD87" s="219">
        <f>SUM(AW87:AZ87)</f>
        <v>1853.05</v>
      </c>
      <c r="AE87" s="219"/>
      <c r="AF87" s="58">
        <f>SUM(AY87:AZ87)</f>
        <v>1853.05</v>
      </c>
      <c r="AG87" s="58">
        <f>SUM(AZ87:AZ87)</f>
        <v>650.92</v>
      </c>
      <c r="AH87" s="75"/>
      <c r="AI87" s="75"/>
      <c r="AJ87" s="13"/>
      <c r="AK87" s="13"/>
      <c r="AL87" s="13"/>
      <c r="AM87" s="13"/>
      <c r="AN87" s="13"/>
      <c r="AO87" s="241"/>
      <c r="AP87" s="241"/>
      <c r="AQ87" s="241"/>
      <c r="AR87" s="241"/>
      <c r="AS87" s="241"/>
      <c r="AT87" s="241"/>
      <c r="AU87" s="241"/>
      <c r="AV87" s="241"/>
      <c r="AW87" s="241"/>
      <c r="AX87" s="241"/>
      <c r="AY87" s="241">
        <v>1202.13</v>
      </c>
      <c r="AZ87" s="241">
        <v>650.92</v>
      </c>
      <c r="BA87" s="240"/>
      <c r="BB87" s="240"/>
      <c r="BC87" s="230"/>
      <c r="BD87" s="259"/>
    </row>
    <row r="88" spans="1:56">
      <c r="A88" s="13"/>
      <c r="B88" s="13"/>
      <c r="C88" s="13"/>
      <c r="D88" s="81"/>
      <c r="E88" s="13"/>
      <c r="F88" s="13"/>
      <c r="G88" s="26"/>
      <c r="H88" s="26"/>
      <c r="I88" s="26"/>
      <c r="J88" s="26"/>
      <c r="K88" s="13"/>
      <c r="L88" s="13"/>
      <c r="M88" s="13"/>
      <c r="N88" s="13"/>
      <c r="O88" s="13"/>
      <c r="P88" s="13"/>
      <c r="Q88" s="13"/>
      <c r="R88" s="213" t="s">
        <v>3494</v>
      </c>
      <c r="S88" s="214">
        <f t="shared" ref="S88:AI88" si="90">SUM(S85:S87)</f>
        <v>2438478.99</v>
      </c>
      <c r="T88" s="214">
        <f t="shared" si="90"/>
        <v>1023476.56</v>
      </c>
      <c r="U88" s="214">
        <f t="shared" si="90"/>
        <v>0</v>
      </c>
      <c r="V88" s="214">
        <f t="shared" si="90"/>
        <v>1023476.56</v>
      </c>
      <c r="W88" s="214">
        <f t="shared" si="90"/>
        <v>1023476.56</v>
      </c>
      <c r="X88" s="214">
        <f t="shared" si="90"/>
        <v>0</v>
      </c>
      <c r="Y88" s="214">
        <f t="shared" si="90"/>
        <v>1023476.56</v>
      </c>
      <c r="Z88" s="214">
        <f t="shared" si="90"/>
        <v>1023476.56</v>
      </c>
      <c r="AA88" s="214">
        <f t="shared" si="90"/>
        <v>1023476.56</v>
      </c>
      <c r="AB88" s="214">
        <f t="shared" si="90"/>
        <v>1023476.56</v>
      </c>
      <c r="AC88" s="214">
        <f t="shared" si="90"/>
        <v>1023476.56</v>
      </c>
      <c r="AD88" s="214">
        <f t="shared" si="90"/>
        <v>1023476.56</v>
      </c>
      <c r="AE88" s="214">
        <f t="shared" si="90"/>
        <v>0</v>
      </c>
      <c r="AF88" s="214">
        <f t="shared" si="90"/>
        <v>1023476.56</v>
      </c>
      <c r="AG88" s="214">
        <f t="shared" si="90"/>
        <v>513519.62</v>
      </c>
      <c r="AH88" s="214">
        <f t="shared" si="90"/>
        <v>0</v>
      </c>
      <c r="AI88" s="214">
        <f t="shared" si="90"/>
        <v>0</v>
      </c>
      <c r="AJ88" s="13"/>
      <c r="AK88" s="13"/>
      <c r="AL88" s="13"/>
      <c r="AM88" s="13"/>
      <c r="AN88" s="13"/>
      <c r="AO88" s="214">
        <f t="shared" ref="AO88:AZ88" si="91">SUM(AO85:AO87)</f>
        <v>0</v>
      </c>
      <c r="AP88" s="214">
        <f t="shared" si="91"/>
        <v>0</v>
      </c>
      <c r="AQ88" s="214">
        <f t="shared" si="91"/>
        <v>0</v>
      </c>
      <c r="AR88" s="214">
        <f t="shared" si="91"/>
        <v>0</v>
      </c>
      <c r="AS88" s="214">
        <f t="shared" si="91"/>
        <v>0</v>
      </c>
      <c r="AT88" s="214">
        <f t="shared" si="91"/>
        <v>0</v>
      </c>
      <c r="AU88" s="214">
        <f t="shared" si="91"/>
        <v>0</v>
      </c>
      <c r="AV88" s="214">
        <f t="shared" si="91"/>
        <v>0</v>
      </c>
      <c r="AW88" s="214">
        <f t="shared" si="91"/>
        <v>0</v>
      </c>
      <c r="AX88" s="214">
        <f t="shared" si="91"/>
        <v>0</v>
      </c>
      <c r="AY88" s="214">
        <f t="shared" si="91"/>
        <v>509956.94</v>
      </c>
      <c r="AZ88" s="214">
        <f t="shared" si="91"/>
        <v>513519.62</v>
      </c>
      <c r="BA88" s="214"/>
      <c r="BB88" s="214"/>
      <c r="BC88" s="190"/>
      <c r="BD88" s="259"/>
    </row>
    <row r="89" spans="1:56">
      <c r="A89" s="13"/>
      <c r="B89" s="13"/>
      <c r="C89" s="13"/>
      <c r="D89" s="81"/>
      <c r="E89" s="13"/>
      <c r="F89" s="13"/>
      <c r="G89" s="190"/>
      <c r="H89" s="190"/>
      <c r="I89" s="190"/>
      <c r="J89" s="190"/>
      <c r="K89" s="13"/>
      <c r="L89" s="13"/>
      <c r="M89" s="13"/>
      <c r="N89" s="13"/>
      <c r="O89" s="13"/>
      <c r="P89" s="13"/>
      <c r="Q89" s="13"/>
      <c r="R89" s="212" t="s">
        <v>3495</v>
      </c>
      <c r="S89" s="58">
        <f t="shared" ref="S89:AG89" si="92">S84-S85</f>
        <v>591990.93</v>
      </c>
      <c r="T89" s="57">
        <f t="shared" si="92"/>
        <v>103914.94</v>
      </c>
      <c r="U89" s="58">
        <f t="shared" si="92"/>
        <v>0</v>
      </c>
      <c r="V89" s="57">
        <f t="shared" si="92"/>
        <v>103914.94</v>
      </c>
      <c r="W89" s="57">
        <f t="shared" si="92"/>
        <v>103914.94</v>
      </c>
      <c r="X89" s="57">
        <f t="shared" si="92"/>
        <v>0</v>
      </c>
      <c r="Y89" s="57">
        <f t="shared" si="92"/>
        <v>103914.94</v>
      </c>
      <c r="Z89" s="57">
        <f t="shared" si="92"/>
        <v>103914.94</v>
      </c>
      <c r="AA89" s="58">
        <f t="shared" si="92"/>
        <v>103914.94</v>
      </c>
      <c r="AB89" s="58">
        <f t="shared" si="92"/>
        <v>103914.94</v>
      </c>
      <c r="AC89" s="58">
        <f t="shared" si="92"/>
        <v>103914.94</v>
      </c>
      <c r="AD89" s="58">
        <f t="shared" si="92"/>
        <v>103914.94</v>
      </c>
      <c r="AE89" s="58">
        <f t="shared" si="92"/>
        <v>0</v>
      </c>
      <c r="AF89" s="58">
        <f t="shared" si="92"/>
        <v>103914.94</v>
      </c>
      <c r="AG89" s="58">
        <f t="shared" si="92"/>
        <v>96574.9899999999</v>
      </c>
      <c r="AH89" s="75"/>
      <c r="AI89" s="75"/>
      <c r="AJ89" s="13"/>
      <c r="AK89" s="13"/>
      <c r="AL89" s="13"/>
      <c r="AM89" s="13"/>
      <c r="AN89" s="13"/>
      <c r="AO89" s="242">
        <f t="shared" ref="AO89:AZ89" si="93">AO84-AO85</f>
        <v>0</v>
      </c>
      <c r="AP89" s="242">
        <f t="shared" si="93"/>
        <v>0</v>
      </c>
      <c r="AQ89" s="242">
        <f t="shared" si="93"/>
        <v>0</v>
      </c>
      <c r="AR89" s="242">
        <f t="shared" si="93"/>
        <v>0</v>
      </c>
      <c r="AS89" s="242">
        <f t="shared" si="93"/>
        <v>0</v>
      </c>
      <c r="AT89" s="242">
        <f t="shared" si="93"/>
        <v>0</v>
      </c>
      <c r="AU89" s="242">
        <f t="shared" si="93"/>
        <v>0</v>
      </c>
      <c r="AV89" s="242">
        <f t="shared" si="93"/>
        <v>0</v>
      </c>
      <c r="AW89" s="242">
        <f t="shared" si="93"/>
        <v>0</v>
      </c>
      <c r="AX89" s="242">
        <f t="shared" si="93"/>
        <v>0</v>
      </c>
      <c r="AY89" s="242">
        <f t="shared" si="93"/>
        <v>7339.95000000001</v>
      </c>
      <c r="AZ89" s="242">
        <f t="shared" si="93"/>
        <v>96574.9899999999</v>
      </c>
      <c r="BA89" s="240"/>
      <c r="BB89" s="240"/>
      <c r="BC89" s="230"/>
      <c r="BD89" s="259"/>
    </row>
    <row r="90" spans="1:56">
      <c r="A90" s="13"/>
      <c r="B90" s="13"/>
      <c r="C90" s="13"/>
      <c r="D90" s="81"/>
      <c r="E90" s="13"/>
      <c r="F90" s="13"/>
      <c r="G90" s="190"/>
      <c r="H90" s="190"/>
      <c r="I90" s="190"/>
      <c r="J90" s="190"/>
      <c r="K90" s="13"/>
      <c r="L90" s="13"/>
      <c r="M90" s="13"/>
      <c r="N90" s="13"/>
      <c r="O90" s="13"/>
      <c r="P90" s="13"/>
      <c r="Q90" s="13"/>
      <c r="R90" s="215" t="s">
        <v>3496</v>
      </c>
      <c r="S90" s="61">
        <f t="shared" ref="S90:AG90" si="94">S89/S84</f>
        <v>0.197628734659435</v>
      </c>
      <c r="T90" s="62">
        <f t="shared" si="94"/>
        <v>0.092324646927877</v>
      </c>
      <c r="U90" s="61" t="e">
        <f t="shared" si="94"/>
        <v>#DIV/0!</v>
      </c>
      <c r="V90" s="62">
        <f t="shared" si="94"/>
        <v>0.092324646927877</v>
      </c>
      <c r="W90" s="62">
        <f t="shared" si="94"/>
        <v>0.092324646927877</v>
      </c>
      <c r="X90" s="62" t="e">
        <f t="shared" si="94"/>
        <v>#DIV/0!</v>
      </c>
      <c r="Y90" s="62">
        <f t="shared" si="94"/>
        <v>0.092324646927877</v>
      </c>
      <c r="Z90" s="62">
        <f t="shared" si="94"/>
        <v>0.092324646927877</v>
      </c>
      <c r="AA90" s="61">
        <f t="shared" si="94"/>
        <v>0.092324646927877</v>
      </c>
      <c r="AB90" s="61">
        <f t="shared" si="94"/>
        <v>0.092324646927877</v>
      </c>
      <c r="AC90" s="61">
        <f t="shared" si="94"/>
        <v>0.092324646927877</v>
      </c>
      <c r="AD90" s="61">
        <f t="shared" si="94"/>
        <v>0.092324646927877</v>
      </c>
      <c r="AE90" s="61" t="e">
        <f t="shared" si="94"/>
        <v>#DIV/0!</v>
      </c>
      <c r="AF90" s="61">
        <f t="shared" si="94"/>
        <v>0.092324646927877</v>
      </c>
      <c r="AG90" s="61">
        <f t="shared" si="94"/>
        <v>0.15846417246522</v>
      </c>
      <c r="AH90" s="82">
        <f>T90-S90</f>
        <v>-0.105304087731558</v>
      </c>
      <c r="AI90" s="82">
        <f>AF90-S90</f>
        <v>-0.105304087731558</v>
      </c>
      <c r="AJ90" s="13"/>
      <c r="AK90" s="13"/>
      <c r="AL90" s="13"/>
      <c r="AM90" s="13"/>
      <c r="AN90" s="13"/>
      <c r="AO90" s="61" t="e">
        <f t="shared" ref="AO90:AZ90" si="95">AO89/AO84</f>
        <v>#DIV/0!</v>
      </c>
      <c r="AP90" s="61" t="e">
        <f t="shared" si="95"/>
        <v>#DIV/0!</v>
      </c>
      <c r="AQ90" s="61" t="e">
        <f t="shared" si="95"/>
        <v>#DIV/0!</v>
      </c>
      <c r="AR90" s="61" t="e">
        <f t="shared" si="95"/>
        <v>#DIV/0!</v>
      </c>
      <c r="AS90" s="61" t="e">
        <f t="shared" si="95"/>
        <v>#DIV/0!</v>
      </c>
      <c r="AT90" s="61" t="e">
        <f t="shared" si="95"/>
        <v>#DIV/0!</v>
      </c>
      <c r="AU90" s="61" t="e">
        <f t="shared" si="95"/>
        <v>#DIV/0!</v>
      </c>
      <c r="AV90" s="61" t="e">
        <f t="shared" si="95"/>
        <v>#DIV/0!</v>
      </c>
      <c r="AW90" s="61" t="e">
        <f t="shared" si="95"/>
        <v>#DIV/0!</v>
      </c>
      <c r="AX90" s="61" t="e">
        <f t="shared" si="95"/>
        <v>#DIV/0!</v>
      </c>
      <c r="AY90" s="61">
        <f t="shared" si="95"/>
        <v>0.0142220975078298</v>
      </c>
      <c r="AZ90" s="61">
        <f t="shared" si="95"/>
        <v>0.15846417246522</v>
      </c>
      <c r="BA90" s="61"/>
      <c r="BB90" s="61"/>
      <c r="BC90" s="230"/>
      <c r="BD90" s="259"/>
    </row>
    <row r="91" spans="1:56">
      <c r="A91" s="13"/>
      <c r="B91" s="13"/>
      <c r="C91" s="13"/>
      <c r="D91" s="81"/>
      <c r="E91" s="13"/>
      <c r="F91" s="13"/>
      <c r="G91" s="190"/>
      <c r="H91" s="190"/>
      <c r="I91" s="190"/>
      <c r="J91" s="190"/>
      <c r="K91" s="13"/>
      <c r="L91" s="13"/>
      <c r="M91" s="13"/>
      <c r="N91" s="13"/>
      <c r="O91" s="13"/>
      <c r="P91" s="13"/>
      <c r="Q91" s="13"/>
      <c r="R91" s="212" t="s">
        <v>3497</v>
      </c>
      <c r="S91" s="216">
        <f t="shared" ref="S91:AG91" si="96">S84-S85-S86-S87</f>
        <v>556990.93</v>
      </c>
      <c r="T91" s="57">
        <f t="shared" si="96"/>
        <v>102061.89</v>
      </c>
      <c r="U91" s="58">
        <f t="shared" si="96"/>
        <v>0</v>
      </c>
      <c r="V91" s="57">
        <f t="shared" si="96"/>
        <v>102061.89</v>
      </c>
      <c r="W91" s="57">
        <f t="shared" si="96"/>
        <v>102061.89</v>
      </c>
      <c r="X91" s="57">
        <f t="shared" si="96"/>
        <v>0</v>
      </c>
      <c r="Y91" s="57">
        <f t="shared" si="96"/>
        <v>102061.89</v>
      </c>
      <c r="Z91" s="57">
        <f t="shared" si="96"/>
        <v>102061.89</v>
      </c>
      <c r="AA91" s="58">
        <f t="shared" si="96"/>
        <v>102061.89</v>
      </c>
      <c r="AB91" s="58">
        <f t="shared" si="96"/>
        <v>102061.89</v>
      </c>
      <c r="AC91" s="58">
        <f t="shared" si="96"/>
        <v>102061.89</v>
      </c>
      <c r="AD91" s="58">
        <f t="shared" si="96"/>
        <v>102061.89</v>
      </c>
      <c r="AE91" s="58">
        <f t="shared" si="96"/>
        <v>0</v>
      </c>
      <c r="AF91" s="58">
        <f t="shared" si="96"/>
        <v>102061.89</v>
      </c>
      <c r="AG91" s="58">
        <f t="shared" si="96"/>
        <v>95924.0699999999</v>
      </c>
      <c r="AH91" s="82"/>
      <c r="AI91" s="82"/>
      <c r="AJ91" s="13"/>
      <c r="AK91" s="13"/>
      <c r="AL91" s="13"/>
      <c r="AM91" s="13"/>
      <c r="AN91" s="13"/>
      <c r="AO91" s="58">
        <f t="shared" ref="AO91:AZ91" si="97">AO84-AO85-AO86-AO87</f>
        <v>0</v>
      </c>
      <c r="AP91" s="58">
        <f t="shared" si="97"/>
        <v>0</v>
      </c>
      <c r="AQ91" s="58">
        <f t="shared" si="97"/>
        <v>0</v>
      </c>
      <c r="AR91" s="58">
        <f t="shared" si="97"/>
        <v>0</v>
      </c>
      <c r="AS91" s="58">
        <f t="shared" si="97"/>
        <v>0</v>
      </c>
      <c r="AT91" s="58">
        <f t="shared" si="97"/>
        <v>0</v>
      </c>
      <c r="AU91" s="58">
        <f t="shared" si="97"/>
        <v>0</v>
      </c>
      <c r="AV91" s="58">
        <f t="shared" si="97"/>
        <v>0</v>
      </c>
      <c r="AW91" s="58">
        <f t="shared" si="97"/>
        <v>0</v>
      </c>
      <c r="AX91" s="58">
        <f t="shared" si="97"/>
        <v>0</v>
      </c>
      <c r="AY91" s="58">
        <f t="shared" si="97"/>
        <v>6137.82000000001</v>
      </c>
      <c r="AZ91" s="58">
        <f t="shared" si="97"/>
        <v>95924.0699999999</v>
      </c>
      <c r="BA91" s="58"/>
      <c r="BB91" s="58"/>
      <c r="BC91" s="230"/>
      <c r="BD91" s="259"/>
    </row>
    <row r="92" spans="1:56">
      <c r="A92" s="14"/>
      <c r="B92" s="14"/>
      <c r="C92" s="14"/>
      <c r="D92" s="84"/>
      <c r="E92" s="14"/>
      <c r="F92" s="14"/>
      <c r="G92" s="190"/>
      <c r="H92" s="190"/>
      <c r="I92" s="190"/>
      <c r="J92" s="190"/>
      <c r="K92" s="14"/>
      <c r="L92" s="14"/>
      <c r="M92" s="14"/>
      <c r="N92" s="14"/>
      <c r="O92" s="14"/>
      <c r="P92" s="14"/>
      <c r="Q92" s="14"/>
      <c r="R92" s="215" t="s">
        <v>3498</v>
      </c>
      <c r="S92" s="61">
        <f t="shared" ref="S92:AG92" si="98">S91/S84</f>
        <v>0.185944424372654</v>
      </c>
      <c r="T92" s="62">
        <f t="shared" si="98"/>
        <v>0.0906782793604252</v>
      </c>
      <c r="U92" s="61" t="e">
        <f t="shared" si="98"/>
        <v>#DIV/0!</v>
      </c>
      <c r="V92" s="62">
        <f t="shared" si="98"/>
        <v>0.0906782793604252</v>
      </c>
      <c r="W92" s="62">
        <f t="shared" si="98"/>
        <v>0.0906782793604252</v>
      </c>
      <c r="X92" s="62" t="e">
        <f t="shared" si="98"/>
        <v>#DIV/0!</v>
      </c>
      <c r="Y92" s="62">
        <f t="shared" si="98"/>
        <v>0.0906782793604252</v>
      </c>
      <c r="Z92" s="62">
        <f t="shared" si="98"/>
        <v>0.0906782793604252</v>
      </c>
      <c r="AA92" s="61">
        <f t="shared" si="98"/>
        <v>0.0906782793604252</v>
      </c>
      <c r="AB92" s="61">
        <f t="shared" si="98"/>
        <v>0.0906782793604252</v>
      </c>
      <c r="AC92" s="61">
        <f t="shared" si="98"/>
        <v>0.0906782793604252</v>
      </c>
      <c r="AD92" s="61">
        <f t="shared" si="98"/>
        <v>0.0906782793604252</v>
      </c>
      <c r="AE92" s="61" t="e">
        <f t="shared" si="98"/>
        <v>#DIV/0!</v>
      </c>
      <c r="AF92" s="61">
        <f t="shared" si="98"/>
        <v>0.0906782793604252</v>
      </c>
      <c r="AG92" s="61">
        <f t="shared" si="98"/>
        <v>0.157396116448428</v>
      </c>
      <c r="AH92" s="82">
        <f>T92-S92</f>
        <v>-0.0952661450122288</v>
      </c>
      <c r="AI92" s="82">
        <f>AF92-S92</f>
        <v>-0.0952661450122288</v>
      </c>
      <c r="AJ92" s="14"/>
      <c r="AK92" s="14"/>
      <c r="AL92" s="14"/>
      <c r="AM92" s="14"/>
      <c r="AN92" s="14"/>
      <c r="AO92" s="61" t="e">
        <f t="shared" ref="AO92:AZ92" si="99">AO91/AO84</f>
        <v>#DIV/0!</v>
      </c>
      <c r="AP92" s="61" t="e">
        <f t="shared" si="99"/>
        <v>#DIV/0!</v>
      </c>
      <c r="AQ92" s="61" t="e">
        <f t="shared" si="99"/>
        <v>#DIV/0!</v>
      </c>
      <c r="AR92" s="61" t="e">
        <f t="shared" si="99"/>
        <v>#DIV/0!</v>
      </c>
      <c r="AS92" s="61" t="e">
        <f t="shared" si="99"/>
        <v>#DIV/0!</v>
      </c>
      <c r="AT92" s="61" t="e">
        <f t="shared" si="99"/>
        <v>#DIV/0!</v>
      </c>
      <c r="AU92" s="61" t="e">
        <f t="shared" si="99"/>
        <v>#DIV/0!</v>
      </c>
      <c r="AV92" s="61" t="e">
        <f t="shared" si="99"/>
        <v>#DIV/0!</v>
      </c>
      <c r="AW92" s="61" t="e">
        <f t="shared" si="99"/>
        <v>#DIV/0!</v>
      </c>
      <c r="AX92" s="61" t="e">
        <f t="shared" si="99"/>
        <v>#DIV/0!</v>
      </c>
      <c r="AY92" s="61">
        <f t="shared" si="99"/>
        <v>0.011892815962712</v>
      </c>
      <c r="AZ92" s="61">
        <f t="shared" si="99"/>
        <v>0.157396116448428</v>
      </c>
      <c r="BA92" s="261"/>
      <c r="BB92" s="261"/>
      <c r="BC92" s="230"/>
      <c r="BD92" s="259"/>
    </row>
    <row r="93" spans="1:56">
      <c r="A93" s="186" t="s">
        <v>3646</v>
      </c>
      <c r="B93" s="194" t="s">
        <v>3349</v>
      </c>
      <c r="C93" s="188">
        <v>46023</v>
      </c>
      <c r="D93" s="188">
        <v>46387</v>
      </c>
      <c r="E93" s="195" t="s">
        <v>3647</v>
      </c>
      <c r="F93" s="195" t="s">
        <v>3648</v>
      </c>
      <c r="G93" s="190"/>
      <c r="H93" s="190"/>
      <c r="I93" s="190"/>
      <c r="J93" s="190"/>
      <c r="K93" s="201"/>
      <c r="L93" s="201"/>
      <c r="M93" s="201"/>
      <c r="N93" s="201"/>
      <c r="O93" s="201"/>
      <c r="P93" s="201"/>
      <c r="Q93" s="211" t="s">
        <v>3645</v>
      </c>
      <c r="R93" s="212" t="s">
        <v>3486</v>
      </c>
      <c r="S93" s="58">
        <v>598200</v>
      </c>
      <c r="T93" s="57">
        <f>SUM(AO93:BC93)</f>
        <v>71243.04</v>
      </c>
      <c r="U93" s="58">
        <f>SUM(BA93:BC93)</f>
        <v>0</v>
      </c>
      <c r="V93" s="70">
        <f>SUM(AO93:AZ93)</f>
        <v>71243.04</v>
      </c>
      <c r="W93" s="70">
        <f>SUM(AP93:AZ93)</f>
        <v>71243.04</v>
      </c>
      <c r="X93" s="70">
        <f>SUM(AQ93:AU93)</f>
        <v>0</v>
      </c>
      <c r="Y93" s="70">
        <f>SUM(AS93:AZ93)</f>
        <v>71243.04</v>
      </c>
      <c r="Z93" s="70">
        <f>SUM(AT93:AZ93)</f>
        <v>71243.04</v>
      </c>
      <c r="AA93" s="219">
        <f>SUM(AT93:AZ93)</f>
        <v>71243.04</v>
      </c>
      <c r="AB93" s="219">
        <f>SUM(AU93:AZ93)</f>
        <v>71243.04</v>
      </c>
      <c r="AC93" s="219">
        <f>SUM(AV93:AZ93)</f>
        <v>71243.04</v>
      </c>
      <c r="AD93" s="219">
        <f>SUM(AW93:AZ93)</f>
        <v>71243.04</v>
      </c>
      <c r="AE93" s="219"/>
      <c r="AF93" s="58">
        <f>SUM(AY93:AZ93)</f>
        <v>71243.04</v>
      </c>
      <c r="AG93" s="58">
        <f>SUM(AZ93:AZ93)</f>
        <v>51050.98</v>
      </c>
      <c r="AH93" s="75"/>
      <c r="AI93" s="75"/>
      <c r="AJ93" s="230"/>
      <c r="AK93" s="231"/>
      <c r="AL93" s="232" t="s">
        <v>377</v>
      </c>
      <c r="AM93" s="232" t="s">
        <v>377</v>
      </c>
      <c r="AN93" s="233"/>
      <c r="AO93" s="240"/>
      <c r="AP93" s="240"/>
      <c r="AQ93" s="240"/>
      <c r="AR93" s="240"/>
      <c r="AS93" s="240"/>
      <c r="AT93" s="240"/>
      <c r="AU93" s="240"/>
      <c r="AV93" s="240"/>
      <c r="AW93" s="240"/>
      <c r="AX93" s="240"/>
      <c r="AY93" s="240">
        <v>20192.06</v>
      </c>
      <c r="AZ93" s="240">
        <v>51050.98</v>
      </c>
      <c r="BA93" s="240"/>
      <c r="BB93" s="240"/>
      <c r="BC93" s="230"/>
      <c r="BD93" s="259"/>
    </row>
    <row r="94" spans="1:56">
      <c r="A94" s="13"/>
      <c r="B94" s="13"/>
      <c r="C94" s="13"/>
      <c r="D94" s="13"/>
      <c r="E94" s="22"/>
      <c r="F94" s="22"/>
      <c r="G94" s="190"/>
      <c r="H94" s="190"/>
      <c r="I94" s="190"/>
      <c r="J94" s="190"/>
      <c r="K94" s="13"/>
      <c r="L94" s="13"/>
      <c r="M94" s="13"/>
      <c r="N94" s="13"/>
      <c r="O94" s="13"/>
      <c r="P94" s="13"/>
      <c r="Q94" s="13"/>
      <c r="R94" s="212" t="s">
        <v>3490</v>
      </c>
      <c r="S94" s="58">
        <v>473644.09</v>
      </c>
      <c r="T94" s="57">
        <f>SUM(AO94:BC94)</f>
        <v>52433.76</v>
      </c>
      <c r="U94" s="58">
        <f>SUM(BA94:BC94)</f>
        <v>0</v>
      </c>
      <c r="V94" s="70">
        <f>SUM(AO94:AZ94)</f>
        <v>52433.76</v>
      </c>
      <c r="W94" s="70">
        <f>SUM(AP94:AZ94)</f>
        <v>52433.76</v>
      </c>
      <c r="X94" s="70">
        <f>SUM(AQ94:AU94)</f>
        <v>0</v>
      </c>
      <c r="Y94" s="70">
        <f>SUM(AS94:AZ94)</f>
        <v>52433.76</v>
      </c>
      <c r="Z94" s="70">
        <f>SUM(AT94:AZ94)</f>
        <v>52433.76</v>
      </c>
      <c r="AA94" s="219">
        <f>SUM(AT94:AZ94)</f>
        <v>52433.76</v>
      </c>
      <c r="AB94" s="219">
        <f>SUM(AU94:AZ94)</f>
        <v>52433.76</v>
      </c>
      <c r="AC94" s="219">
        <f>SUM(AV94:AZ94)</f>
        <v>52433.76</v>
      </c>
      <c r="AD94" s="219">
        <f>SUM(AW94:AZ94)</f>
        <v>52433.76</v>
      </c>
      <c r="AE94" s="219"/>
      <c r="AF94" s="58">
        <f>SUM(AY94:AZ94)</f>
        <v>52433.76</v>
      </c>
      <c r="AG94" s="58">
        <f>SUM(AZ94:AZ94)</f>
        <v>36319.55</v>
      </c>
      <c r="AH94" s="75"/>
      <c r="AI94" s="75"/>
      <c r="AJ94" s="13"/>
      <c r="AK94" s="13"/>
      <c r="AL94" s="13"/>
      <c r="AM94" s="13"/>
      <c r="AN94" s="13"/>
      <c r="AO94" s="241"/>
      <c r="AP94" s="241"/>
      <c r="AQ94" s="241"/>
      <c r="AR94" s="241"/>
      <c r="AS94" s="241"/>
      <c r="AT94" s="241"/>
      <c r="AU94" s="241"/>
      <c r="AV94" s="241"/>
      <c r="AW94" s="241"/>
      <c r="AX94" s="241"/>
      <c r="AY94" s="241">
        <v>16114.21</v>
      </c>
      <c r="AZ94" s="241">
        <v>36319.55</v>
      </c>
      <c r="BA94" s="260"/>
      <c r="BB94" s="260"/>
      <c r="BC94" s="230"/>
      <c r="BD94" s="259"/>
    </row>
    <row r="95" spans="1:56">
      <c r="A95" s="13"/>
      <c r="B95" s="13"/>
      <c r="C95" s="13"/>
      <c r="D95" s="13"/>
      <c r="E95" s="22"/>
      <c r="F95" s="22"/>
      <c r="G95" s="190"/>
      <c r="H95" s="190"/>
      <c r="I95" s="190"/>
      <c r="J95" s="190"/>
      <c r="K95" s="13"/>
      <c r="L95" s="13"/>
      <c r="M95" s="13"/>
      <c r="N95" s="13"/>
      <c r="O95" s="13"/>
      <c r="P95" s="13"/>
      <c r="Q95" s="13"/>
      <c r="R95" s="212" t="s">
        <v>3492</v>
      </c>
      <c r="S95" s="58">
        <v>0</v>
      </c>
      <c r="T95" s="57">
        <f>SUM(AO95:BC95)</f>
        <v>0</v>
      </c>
      <c r="U95" s="58">
        <f>SUM(BA95:BC95)</f>
        <v>0</v>
      </c>
      <c r="V95" s="70">
        <f>SUM(AO95:AZ95)</f>
        <v>0</v>
      </c>
      <c r="W95" s="70">
        <f>SUM(AP95:AZ95)</f>
        <v>0</v>
      </c>
      <c r="X95" s="70">
        <f>SUM(AQ95:AU95)</f>
        <v>0</v>
      </c>
      <c r="Y95" s="70">
        <f>SUM(AS95:AZ95)</f>
        <v>0</v>
      </c>
      <c r="Z95" s="70">
        <f>SUM(AT95:AZ95)</f>
        <v>0</v>
      </c>
      <c r="AA95" s="219">
        <f>SUM(AT95:AZ95)</f>
        <v>0</v>
      </c>
      <c r="AB95" s="219">
        <f>SUM(AU95:AZ95)</f>
        <v>0</v>
      </c>
      <c r="AC95" s="219">
        <f>SUM(AV95:AZ95)</f>
        <v>0</v>
      </c>
      <c r="AD95" s="219">
        <f>SUM(AW95:AZ95)</f>
        <v>0</v>
      </c>
      <c r="AE95" s="219"/>
      <c r="AF95" s="58">
        <f>SUM(AY95:AZ95)</f>
        <v>0</v>
      </c>
      <c r="AG95" s="58">
        <f>SUM(AZ95:AZ95)</f>
        <v>0</v>
      </c>
      <c r="AH95" s="75"/>
      <c r="AI95" s="75"/>
      <c r="AJ95" s="13"/>
      <c r="AK95" s="13"/>
      <c r="AL95" s="13"/>
      <c r="AM95" s="13"/>
      <c r="AN95" s="13"/>
      <c r="AO95" s="241"/>
      <c r="AP95" s="241"/>
      <c r="AQ95" s="241"/>
      <c r="AR95" s="241"/>
      <c r="AS95" s="241"/>
      <c r="AT95" s="241"/>
      <c r="AU95" s="241"/>
      <c r="AV95" s="241"/>
      <c r="AW95" s="241"/>
      <c r="AX95" s="241"/>
      <c r="AY95" s="241">
        <v>0</v>
      </c>
      <c r="AZ95" s="241">
        <v>0</v>
      </c>
      <c r="BA95" s="260"/>
      <c r="BB95" s="260"/>
      <c r="BC95" s="230"/>
      <c r="BD95" s="259"/>
    </row>
    <row r="96" spans="1:56">
      <c r="A96" s="13"/>
      <c r="B96" s="13"/>
      <c r="C96" s="13"/>
      <c r="D96" s="13"/>
      <c r="E96" s="22"/>
      <c r="F96" s="22"/>
      <c r="G96" s="190"/>
      <c r="H96" s="190"/>
      <c r="I96" s="190"/>
      <c r="J96" s="190"/>
      <c r="K96" s="13"/>
      <c r="L96" s="13"/>
      <c r="M96" s="13"/>
      <c r="N96" s="13"/>
      <c r="O96" s="13"/>
      <c r="P96" s="13"/>
      <c r="Q96" s="13"/>
      <c r="R96" s="212" t="s">
        <v>3493</v>
      </c>
      <c r="S96" s="58">
        <v>0</v>
      </c>
      <c r="T96" s="57">
        <f>SUM(AO96:BC96)</f>
        <v>130.61</v>
      </c>
      <c r="U96" s="58">
        <f>SUM(BA96:BC96)</f>
        <v>0</v>
      </c>
      <c r="V96" s="70">
        <f>SUM(AO96:AZ96)</f>
        <v>130.61</v>
      </c>
      <c r="W96" s="70">
        <f>SUM(AP96:AZ96)</f>
        <v>130.61</v>
      </c>
      <c r="X96" s="70">
        <f>SUM(AQ96:AU96)</f>
        <v>0</v>
      </c>
      <c r="Y96" s="70">
        <f>SUM(AS96:AZ96)</f>
        <v>130.61</v>
      </c>
      <c r="Z96" s="70">
        <f>SUM(AT96:AZ96)</f>
        <v>130.61</v>
      </c>
      <c r="AA96" s="219">
        <f>SUM(AT96:AZ96)</f>
        <v>130.61</v>
      </c>
      <c r="AB96" s="219">
        <f>SUM(AU96:AZ96)</f>
        <v>130.61</v>
      </c>
      <c r="AC96" s="219">
        <f>SUM(AV96:AZ96)</f>
        <v>130.61</v>
      </c>
      <c r="AD96" s="219">
        <f>SUM(AW96:AZ96)</f>
        <v>130.61</v>
      </c>
      <c r="AE96" s="219"/>
      <c r="AF96" s="58">
        <f>SUM(AY96:AZ96)</f>
        <v>130.61</v>
      </c>
      <c r="AG96" s="58">
        <f>SUM(AZ96:AZ96)</f>
        <v>54.52</v>
      </c>
      <c r="AH96" s="75"/>
      <c r="AI96" s="75"/>
      <c r="AJ96" s="13"/>
      <c r="AK96" s="13"/>
      <c r="AL96" s="13"/>
      <c r="AM96" s="13"/>
      <c r="AN96" s="13"/>
      <c r="AO96" s="241"/>
      <c r="AP96" s="241"/>
      <c r="AQ96" s="241"/>
      <c r="AR96" s="241"/>
      <c r="AS96" s="241"/>
      <c r="AT96" s="241"/>
      <c r="AU96" s="241"/>
      <c r="AV96" s="241"/>
      <c r="AW96" s="241"/>
      <c r="AX96" s="241"/>
      <c r="AY96" s="241">
        <v>76.09</v>
      </c>
      <c r="AZ96" s="241">
        <v>54.52</v>
      </c>
      <c r="BA96" s="240"/>
      <c r="BB96" s="240"/>
      <c r="BC96" s="230"/>
      <c r="BD96" s="259"/>
    </row>
    <row r="97" spans="1:56">
      <c r="A97" s="13"/>
      <c r="B97" s="13"/>
      <c r="C97" s="13"/>
      <c r="D97" s="13"/>
      <c r="E97" s="22"/>
      <c r="F97" s="22"/>
      <c r="G97" s="26"/>
      <c r="H97" s="26"/>
      <c r="I97" s="26"/>
      <c r="J97" s="26"/>
      <c r="K97" s="13"/>
      <c r="L97" s="13"/>
      <c r="M97" s="13"/>
      <c r="N97" s="13"/>
      <c r="O97" s="13"/>
      <c r="P97" s="13"/>
      <c r="Q97" s="13"/>
      <c r="R97" s="213" t="s">
        <v>3494</v>
      </c>
      <c r="S97" s="214">
        <f t="shared" ref="S97:AI97" si="100">SUM(S94:S96)</f>
        <v>473644.09</v>
      </c>
      <c r="T97" s="214">
        <f t="shared" si="100"/>
        <v>52564.37</v>
      </c>
      <c r="U97" s="214">
        <f t="shared" si="100"/>
        <v>0</v>
      </c>
      <c r="V97" s="214">
        <f t="shared" si="100"/>
        <v>52564.37</v>
      </c>
      <c r="W97" s="214">
        <f t="shared" si="100"/>
        <v>52564.37</v>
      </c>
      <c r="X97" s="214">
        <f t="shared" si="100"/>
        <v>0</v>
      </c>
      <c r="Y97" s="214">
        <f t="shared" si="100"/>
        <v>52564.37</v>
      </c>
      <c r="Z97" s="214">
        <f t="shared" si="100"/>
        <v>52564.37</v>
      </c>
      <c r="AA97" s="214">
        <f t="shared" si="100"/>
        <v>52564.37</v>
      </c>
      <c r="AB97" s="214">
        <f t="shared" si="100"/>
        <v>52564.37</v>
      </c>
      <c r="AC97" s="214">
        <f t="shared" si="100"/>
        <v>52564.37</v>
      </c>
      <c r="AD97" s="214">
        <f t="shared" si="100"/>
        <v>52564.37</v>
      </c>
      <c r="AE97" s="214">
        <f t="shared" si="100"/>
        <v>0</v>
      </c>
      <c r="AF97" s="214">
        <f t="shared" si="100"/>
        <v>52564.37</v>
      </c>
      <c r="AG97" s="214">
        <f t="shared" si="100"/>
        <v>36374.07</v>
      </c>
      <c r="AH97" s="214">
        <f t="shared" si="100"/>
        <v>0</v>
      </c>
      <c r="AI97" s="214">
        <f t="shared" si="100"/>
        <v>0</v>
      </c>
      <c r="AJ97" s="13"/>
      <c r="AK97" s="13"/>
      <c r="AL97" s="13"/>
      <c r="AM97" s="13"/>
      <c r="AN97" s="13"/>
      <c r="AO97" s="214">
        <f t="shared" ref="AO97:AZ97" si="101">SUM(AO94:AO96)</f>
        <v>0</v>
      </c>
      <c r="AP97" s="214">
        <f t="shared" si="101"/>
        <v>0</v>
      </c>
      <c r="AQ97" s="214">
        <f t="shared" si="101"/>
        <v>0</v>
      </c>
      <c r="AR97" s="214">
        <f t="shared" si="101"/>
        <v>0</v>
      </c>
      <c r="AS97" s="214">
        <f t="shared" si="101"/>
        <v>0</v>
      </c>
      <c r="AT97" s="214">
        <f t="shared" si="101"/>
        <v>0</v>
      </c>
      <c r="AU97" s="214">
        <f t="shared" si="101"/>
        <v>0</v>
      </c>
      <c r="AV97" s="214">
        <f t="shared" si="101"/>
        <v>0</v>
      </c>
      <c r="AW97" s="214">
        <f t="shared" si="101"/>
        <v>0</v>
      </c>
      <c r="AX97" s="214">
        <f t="shared" si="101"/>
        <v>0</v>
      </c>
      <c r="AY97" s="214">
        <f t="shared" si="101"/>
        <v>16190.3</v>
      </c>
      <c r="AZ97" s="214">
        <f t="shared" si="101"/>
        <v>36374.07</v>
      </c>
      <c r="BA97" s="214"/>
      <c r="BB97" s="214"/>
      <c r="BC97" s="190"/>
      <c r="BD97" s="259"/>
    </row>
    <row r="98" spans="1:56">
      <c r="A98" s="13"/>
      <c r="B98" s="13"/>
      <c r="C98" s="13"/>
      <c r="D98" s="13"/>
      <c r="E98" s="22"/>
      <c r="F98" s="22"/>
      <c r="G98" s="190"/>
      <c r="H98" s="190"/>
      <c r="I98" s="190"/>
      <c r="J98" s="190"/>
      <c r="K98" s="13"/>
      <c r="L98" s="13"/>
      <c r="M98" s="13"/>
      <c r="N98" s="13"/>
      <c r="O98" s="13"/>
      <c r="P98" s="13"/>
      <c r="Q98" s="13"/>
      <c r="R98" s="212" t="s">
        <v>3495</v>
      </c>
      <c r="S98" s="58">
        <f t="shared" ref="S98:AG98" si="102">S93-S94</f>
        <v>124555.91</v>
      </c>
      <c r="T98" s="57">
        <f t="shared" si="102"/>
        <v>18809.28</v>
      </c>
      <c r="U98" s="58">
        <f t="shared" si="102"/>
        <v>0</v>
      </c>
      <c r="V98" s="57">
        <f t="shared" si="102"/>
        <v>18809.28</v>
      </c>
      <c r="W98" s="57">
        <f t="shared" si="102"/>
        <v>18809.28</v>
      </c>
      <c r="X98" s="57">
        <f t="shared" si="102"/>
        <v>0</v>
      </c>
      <c r="Y98" s="57">
        <f t="shared" si="102"/>
        <v>18809.28</v>
      </c>
      <c r="Z98" s="57">
        <f t="shared" si="102"/>
        <v>18809.28</v>
      </c>
      <c r="AA98" s="58">
        <f t="shared" si="102"/>
        <v>18809.28</v>
      </c>
      <c r="AB98" s="58">
        <f t="shared" si="102"/>
        <v>18809.28</v>
      </c>
      <c r="AC98" s="58">
        <f t="shared" si="102"/>
        <v>18809.28</v>
      </c>
      <c r="AD98" s="58">
        <f t="shared" si="102"/>
        <v>18809.28</v>
      </c>
      <c r="AE98" s="58">
        <f t="shared" si="102"/>
        <v>0</v>
      </c>
      <c r="AF98" s="58">
        <f t="shared" si="102"/>
        <v>18809.28</v>
      </c>
      <c r="AG98" s="58">
        <f t="shared" si="102"/>
        <v>14731.43</v>
      </c>
      <c r="AH98" s="75"/>
      <c r="AI98" s="75"/>
      <c r="AJ98" s="13"/>
      <c r="AK98" s="13"/>
      <c r="AL98" s="13"/>
      <c r="AM98" s="13"/>
      <c r="AN98" s="13"/>
      <c r="AO98" s="242">
        <f t="shared" ref="AO98:AZ98" si="103">AO93-AO94</f>
        <v>0</v>
      </c>
      <c r="AP98" s="242">
        <f t="shared" si="103"/>
        <v>0</v>
      </c>
      <c r="AQ98" s="242">
        <f t="shared" si="103"/>
        <v>0</v>
      </c>
      <c r="AR98" s="242">
        <f t="shared" si="103"/>
        <v>0</v>
      </c>
      <c r="AS98" s="242">
        <f t="shared" si="103"/>
        <v>0</v>
      </c>
      <c r="AT98" s="242">
        <f t="shared" si="103"/>
        <v>0</v>
      </c>
      <c r="AU98" s="242">
        <f t="shared" si="103"/>
        <v>0</v>
      </c>
      <c r="AV98" s="242">
        <f t="shared" si="103"/>
        <v>0</v>
      </c>
      <c r="AW98" s="242">
        <f t="shared" si="103"/>
        <v>0</v>
      </c>
      <c r="AX98" s="242">
        <f t="shared" si="103"/>
        <v>0</v>
      </c>
      <c r="AY98" s="242">
        <f t="shared" si="103"/>
        <v>4077.85</v>
      </c>
      <c r="AZ98" s="242">
        <f t="shared" si="103"/>
        <v>14731.43</v>
      </c>
      <c r="BA98" s="240"/>
      <c r="BB98" s="240"/>
      <c r="BC98" s="230"/>
      <c r="BD98" s="259"/>
    </row>
    <row r="99" spans="1:56">
      <c r="A99" s="13"/>
      <c r="B99" s="13"/>
      <c r="C99" s="13"/>
      <c r="D99" s="13"/>
      <c r="E99" s="22"/>
      <c r="F99" s="22"/>
      <c r="G99" s="190"/>
      <c r="H99" s="190"/>
      <c r="I99" s="190"/>
      <c r="J99" s="190"/>
      <c r="K99" s="13"/>
      <c r="L99" s="13"/>
      <c r="M99" s="13"/>
      <c r="N99" s="13"/>
      <c r="O99" s="13"/>
      <c r="P99" s="13"/>
      <c r="Q99" s="13"/>
      <c r="R99" s="215" t="s">
        <v>3496</v>
      </c>
      <c r="S99" s="61">
        <f t="shared" ref="S99:AG99" si="104">S98/S93</f>
        <v>0.208217836843865</v>
      </c>
      <c r="T99" s="62">
        <f t="shared" si="104"/>
        <v>0.264015684900588</v>
      </c>
      <c r="U99" s="61" t="e">
        <f t="shared" si="104"/>
        <v>#DIV/0!</v>
      </c>
      <c r="V99" s="62">
        <f t="shared" si="104"/>
        <v>0.264015684900588</v>
      </c>
      <c r="W99" s="62">
        <f t="shared" si="104"/>
        <v>0.264015684900588</v>
      </c>
      <c r="X99" s="62" t="e">
        <f t="shared" si="104"/>
        <v>#DIV/0!</v>
      </c>
      <c r="Y99" s="62">
        <f t="shared" si="104"/>
        <v>0.264015684900588</v>
      </c>
      <c r="Z99" s="62">
        <f t="shared" si="104"/>
        <v>0.264015684900588</v>
      </c>
      <c r="AA99" s="61">
        <f t="shared" si="104"/>
        <v>0.264015684900588</v>
      </c>
      <c r="AB99" s="61">
        <f t="shared" si="104"/>
        <v>0.264015684900588</v>
      </c>
      <c r="AC99" s="61">
        <f t="shared" si="104"/>
        <v>0.264015684900588</v>
      </c>
      <c r="AD99" s="61">
        <f t="shared" si="104"/>
        <v>0.264015684900588</v>
      </c>
      <c r="AE99" s="61" t="e">
        <f t="shared" si="104"/>
        <v>#DIV/0!</v>
      </c>
      <c r="AF99" s="61">
        <f t="shared" si="104"/>
        <v>0.264015684900588</v>
      </c>
      <c r="AG99" s="61">
        <f t="shared" si="104"/>
        <v>0.288563118670787</v>
      </c>
      <c r="AH99" s="82">
        <f>T99-S99</f>
        <v>0.0557978480567234</v>
      </c>
      <c r="AI99" s="82">
        <f>AF99-S99</f>
        <v>0.0557978480567234</v>
      </c>
      <c r="AJ99" s="13"/>
      <c r="AK99" s="13"/>
      <c r="AL99" s="13"/>
      <c r="AM99" s="13"/>
      <c r="AN99" s="13"/>
      <c r="AO99" s="61" t="e">
        <f t="shared" ref="AO99:AZ99" si="105">AO98/AO93</f>
        <v>#DIV/0!</v>
      </c>
      <c r="AP99" s="61" t="e">
        <f t="shared" si="105"/>
        <v>#DIV/0!</v>
      </c>
      <c r="AQ99" s="61" t="e">
        <f t="shared" si="105"/>
        <v>#DIV/0!</v>
      </c>
      <c r="AR99" s="61" t="e">
        <f t="shared" si="105"/>
        <v>#DIV/0!</v>
      </c>
      <c r="AS99" s="61" t="e">
        <f t="shared" si="105"/>
        <v>#DIV/0!</v>
      </c>
      <c r="AT99" s="61" t="e">
        <f t="shared" si="105"/>
        <v>#DIV/0!</v>
      </c>
      <c r="AU99" s="61" t="e">
        <f t="shared" si="105"/>
        <v>#DIV/0!</v>
      </c>
      <c r="AV99" s="61" t="e">
        <f t="shared" si="105"/>
        <v>#DIV/0!</v>
      </c>
      <c r="AW99" s="61" t="e">
        <f t="shared" si="105"/>
        <v>#DIV/0!</v>
      </c>
      <c r="AX99" s="61" t="e">
        <f t="shared" si="105"/>
        <v>#DIV/0!</v>
      </c>
      <c r="AY99" s="61">
        <f t="shared" si="105"/>
        <v>0.201953143958566</v>
      </c>
      <c r="AZ99" s="61">
        <f t="shared" si="105"/>
        <v>0.288563118670787</v>
      </c>
      <c r="BA99" s="61"/>
      <c r="BB99" s="61"/>
      <c r="BC99" s="230"/>
      <c r="BD99" s="259"/>
    </row>
    <row r="100" spans="1:56">
      <c r="A100" s="13"/>
      <c r="B100" s="13"/>
      <c r="C100" s="13"/>
      <c r="D100" s="13"/>
      <c r="E100" s="22"/>
      <c r="F100" s="22"/>
      <c r="G100" s="190"/>
      <c r="H100" s="190"/>
      <c r="I100" s="190"/>
      <c r="J100" s="190"/>
      <c r="K100" s="13"/>
      <c r="L100" s="13"/>
      <c r="M100" s="13"/>
      <c r="N100" s="13"/>
      <c r="O100" s="13"/>
      <c r="P100" s="13"/>
      <c r="Q100" s="13"/>
      <c r="R100" s="212" t="s">
        <v>3497</v>
      </c>
      <c r="S100" s="216">
        <f t="shared" ref="S100:AG100" si="106">S93-S94-S95-S96</f>
        <v>124555.91</v>
      </c>
      <c r="T100" s="57">
        <f t="shared" si="106"/>
        <v>18678.67</v>
      </c>
      <c r="U100" s="58">
        <f t="shared" si="106"/>
        <v>0</v>
      </c>
      <c r="V100" s="57">
        <f t="shared" si="106"/>
        <v>18678.67</v>
      </c>
      <c r="W100" s="57">
        <f t="shared" si="106"/>
        <v>18678.67</v>
      </c>
      <c r="X100" s="57">
        <f t="shared" si="106"/>
        <v>0</v>
      </c>
      <c r="Y100" s="57">
        <f t="shared" si="106"/>
        <v>18678.67</v>
      </c>
      <c r="Z100" s="57">
        <f t="shared" si="106"/>
        <v>18678.67</v>
      </c>
      <c r="AA100" s="58">
        <f t="shared" si="106"/>
        <v>18678.67</v>
      </c>
      <c r="AB100" s="58">
        <f t="shared" si="106"/>
        <v>18678.67</v>
      </c>
      <c r="AC100" s="58">
        <f t="shared" si="106"/>
        <v>18678.67</v>
      </c>
      <c r="AD100" s="58">
        <f t="shared" si="106"/>
        <v>18678.67</v>
      </c>
      <c r="AE100" s="58">
        <f t="shared" si="106"/>
        <v>0</v>
      </c>
      <c r="AF100" s="58">
        <f t="shared" si="106"/>
        <v>18678.67</v>
      </c>
      <c r="AG100" s="58">
        <f t="shared" si="106"/>
        <v>14676.91</v>
      </c>
      <c r="AH100" s="82"/>
      <c r="AI100" s="82"/>
      <c r="AJ100" s="13"/>
      <c r="AK100" s="13"/>
      <c r="AL100" s="13"/>
      <c r="AM100" s="13"/>
      <c r="AN100" s="13"/>
      <c r="AO100" s="58">
        <f t="shared" ref="AO100:AZ100" si="107">AO93-AO94-AO95-AO96</f>
        <v>0</v>
      </c>
      <c r="AP100" s="58">
        <f t="shared" si="107"/>
        <v>0</v>
      </c>
      <c r="AQ100" s="58">
        <f t="shared" si="107"/>
        <v>0</v>
      </c>
      <c r="AR100" s="58">
        <f t="shared" si="107"/>
        <v>0</v>
      </c>
      <c r="AS100" s="58">
        <f t="shared" si="107"/>
        <v>0</v>
      </c>
      <c r="AT100" s="58">
        <f t="shared" si="107"/>
        <v>0</v>
      </c>
      <c r="AU100" s="58">
        <f t="shared" si="107"/>
        <v>0</v>
      </c>
      <c r="AV100" s="58">
        <f t="shared" si="107"/>
        <v>0</v>
      </c>
      <c r="AW100" s="58">
        <f t="shared" si="107"/>
        <v>0</v>
      </c>
      <c r="AX100" s="58">
        <f t="shared" si="107"/>
        <v>0</v>
      </c>
      <c r="AY100" s="58">
        <f t="shared" si="107"/>
        <v>4001.76</v>
      </c>
      <c r="AZ100" s="58">
        <f t="shared" si="107"/>
        <v>14676.91</v>
      </c>
      <c r="BA100" s="58"/>
      <c r="BB100" s="58"/>
      <c r="BC100" s="230"/>
      <c r="BD100" s="259"/>
    </row>
    <row r="101" spans="1:56">
      <c r="A101" s="14"/>
      <c r="B101" s="14"/>
      <c r="C101" s="14"/>
      <c r="D101" s="14"/>
      <c r="E101" s="177"/>
      <c r="F101" s="177"/>
      <c r="G101" s="190"/>
      <c r="H101" s="190"/>
      <c r="I101" s="190"/>
      <c r="J101" s="190"/>
      <c r="K101" s="14"/>
      <c r="L101" s="14"/>
      <c r="M101" s="14"/>
      <c r="N101" s="14"/>
      <c r="O101" s="14"/>
      <c r="P101" s="14"/>
      <c r="Q101" s="14"/>
      <c r="R101" s="215" t="s">
        <v>3498</v>
      </c>
      <c r="S101" s="61">
        <f t="shared" ref="S101:AG101" si="108">S100/S93</f>
        <v>0.208217836843865</v>
      </c>
      <c r="T101" s="62">
        <f t="shared" si="108"/>
        <v>0.262182383008923</v>
      </c>
      <c r="U101" s="61" t="e">
        <f t="shared" si="108"/>
        <v>#DIV/0!</v>
      </c>
      <c r="V101" s="62">
        <f t="shared" si="108"/>
        <v>0.262182383008923</v>
      </c>
      <c r="W101" s="62">
        <f t="shared" si="108"/>
        <v>0.262182383008923</v>
      </c>
      <c r="X101" s="62" t="e">
        <f t="shared" si="108"/>
        <v>#DIV/0!</v>
      </c>
      <c r="Y101" s="62">
        <f t="shared" si="108"/>
        <v>0.262182383008923</v>
      </c>
      <c r="Z101" s="62">
        <f t="shared" si="108"/>
        <v>0.262182383008923</v>
      </c>
      <c r="AA101" s="61">
        <f t="shared" si="108"/>
        <v>0.262182383008923</v>
      </c>
      <c r="AB101" s="61">
        <f t="shared" si="108"/>
        <v>0.262182383008923</v>
      </c>
      <c r="AC101" s="61">
        <f t="shared" si="108"/>
        <v>0.262182383008923</v>
      </c>
      <c r="AD101" s="61">
        <f t="shared" si="108"/>
        <v>0.262182383008923</v>
      </c>
      <c r="AE101" s="61" t="e">
        <f t="shared" si="108"/>
        <v>#DIV/0!</v>
      </c>
      <c r="AF101" s="61">
        <f t="shared" si="108"/>
        <v>0.262182383008923</v>
      </c>
      <c r="AG101" s="61">
        <f t="shared" si="108"/>
        <v>0.287495166596214</v>
      </c>
      <c r="AH101" s="82">
        <f>T101-S101</f>
        <v>0.0539645461650579</v>
      </c>
      <c r="AI101" s="82">
        <f>AF101-S101</f>
        <v>0.0539645461650579</v>
      </c>
      <c r="AJ101" s="14"/>
      <c r="AK101" s="14"/>
      <c r="AL101" s="14"/>
      <c r="AM101" s="14"/>
      <c r="AN101" s="14"/>
      <c r="AO101" s="61" t="e">
        <f t="shared" ref="AO101:AZ101" si="109">AO100/AO93</f>
        <v>#DIV/0!</v>
      </c>
      <c r="AP101" s="61" t="e">
        <f t="shared" si="109"/>
        <v>#DIV/0!</v>
      </c>
      <c r="AQ101" s="61" t="e">
        <f t="shared" si="109"/>
        <v>#DIV/0!</v>
      </c>
      <c r="AR101" s="61" t="e">
        <f t="shared" si="109"/>
        <v>#DIV/0!</v>
      </c>
      <c r="AS101" s="61" t="e">
        <f t="shared" si="109"/>
        <v>#DIV/0!</v>
      </c>
      <c r="AT101" s="61" t="e">
        <f t="shared" si="109"/>
        <v>#DIV/0!</v>
      </c>
      <c r="AU101" s="61" t="e">
        <f t="shared" si="109"/>
        <v>#DIV/0!</v>
      </c>
      <c r="AV101" s="61" t="e">
        <f t="shared" si="109"/>
        <v>#DIV/0!</v>
      </c>
      <c r="AW101" s="61" t="e">
        <f t="shared" si="109"/>
        <v>#DIV/0!</v>
      </c>
      <c r="AX101" s="61" t="e">
        <f t="shared" si="109"/>
        <v>#DIV/0!</v>
      </c>
      <c r="AY101" s="61">
        <f t="shared" si="109"/>
        <v>0.198184831067261</v>
      </c>
      <c r="AZ101" s="61">
        <f t="shared" si="109"/>
        <v>0.287495166596214</v>
      </c>
      <c r="BA101" s="261"/>
      <c r="BB101" s="261"/>
      <c r="BC101" s="230"/>
      <c r="BD101" s="259"/>
    </row>
    <row r="102" spans="1:58">
      <c r="A102" s="186" t="s">
        <v>3649</v>
      </c>
      <c r="B102" s="194" t="s">
        <v>3352</v>
      </c>
      <c r="C102" s="188">
        <v>45855</v>
      </c>
      <c r="D102" s="188">
        <v>46387</v>
      </c>
      <c r="E102" s="211" t="s">
        <v>3650</v>
      </c>
      <c r="F102" s="211" t="s">
        <v>3650</v>
      </c>
      <c r="G102" s="190"/>
      <c r="H102" s="190"/>
      <c r="I102" s="190"/>
      <c r="J102" s="190"/>
      <c r="K102" s="201"/>
      <c r="L102" s="201"/>
      <c r="M102" s="201"/>
      <c r="N102" s="201"/>
      <c r="O102" s="201"/>
      <c r="P102" s="201"/>
      <c r="Q102" s="211" t="s">
        <v>3633</v>
      </c>
      <c r="R102" s="212" t="s">
        <v>3486</v>
      </c>
      <c r="S102" s="58">
        <v>110400</v>
      </c>
      <c r="T102" s="57">
        <f>SUM(AO102:BC102)</f>
        <v>97000.56</v>
      </c>
      <c r="U102" s="58">
        <f>SUM(BA102:BC102)</f>
        <v>89652.71</v>
      </c>
      <c r="V102" s="70">
        <f>SUM(AO102:AZ102)</f>
        <v>7347.85</v>
      </c>
      <c r="W102" s="70">
        <f>SUM(AP102:AZ102)</f>
        <v>7347.85</v>
      </c>
      <c r="X102" s="70">
        <f>SUM(AQ102:AU102)</f>
        <v>0</v>
      </c>
      <c r="Y102" s="70">
        <f>SUM(AS102:AZ102)</f>
        <v>7347.85</v>
      </c>
      <c r="Z102" s="70">
        <f>SUM(AT102:AZ102)</f>
        <v>7347.85</v>
      </c>
      <c r="AA102" s="219">
        <f>SUM(AT102:AZ102)</f>
        <v>7347.85</v>
      </c>
      <c r="AB102" s="219">
        <f>SUM(AU102:AZ102)</f>
        <v>7347.85</v>
      </c>
      <c r="AC102" s="219">
        <f>SUM(AV102:AZ102)</f>
        <v>7347.85</v>
      </c>
      <c r="AD102" s="219">
        <f>SUM(AW102:AZ102)</f>
        <v>7347.85</v>
      </c>
      <c r="AE102" s="219"/>
      <c r="AF102" s="58">
        <f>SUM(AY102:AZ102)</f>
        <v>7347.85</v>
      </c>
      <c r="AG102" s="58">
        <f>SUM(AZ102:AZ102)</f>
        <v>7347.85</v>
      </c>
      <c r="AH102" s="75"/>
      <c r="AI102" s="75"/>
      <c r="AJ102" s="230"/>
      <c r="AK102" s="231"/>
      <c r="AL102" s="232" t="s">
        <v>377</v>
      </c>
      <c r="AM102" s="232" t="s">
        <v>377</v>
      </c>
      <c r="AN102" s="233"/>
      <c r="AO102" s="240"/>
      <c r="AP102" s="240"/>
      <c r="AQ102" s="240"/>
      <c r="AR102" s="240"/>
      <c r="AS102" s="240"/>
      <c r="AT102" s="240"/>
      <c r="AU102" s="240"/>
      <c r="AV102" s="240"/>
      <c r="AW102" s="240"/>
      <c r="AX102" s="240"/>
      <c r="AY102" s="240">
        <v>0</v>
      </c>
      <c r="AZ102" s="273">
        <v>7347.85</v>
      </c>
      <c r="BA102" s="240">
        <v>89652.71</v>
      </c>
      <c r="BB102" s="274"/>
      <c r="BC102" s="274"/>
      <c r="BD102" s="259"/>
      <c r="BE102" s="288"/>
      <c r="BF102" s="288"/>
    </row>
    <row r="103" spans="1:58">
      <c r="A103" s="13"/>
      <c r="B103" s="13"/>
      <c r="C103" s="13"/>
      <c r="D103" s="13"/>
      <c r="E103" s="13"/>
      <c r="F103" s="13"/>
      <c r="G103" s="190"/>
      <c r="H103" s="190"/>
      <c r="I103" s="190"/>
      <c r="J103" s="190"/>
      <c r="K103" s="13"/>
      <c r="L103" s="13"/>
      <c r="M103" s="13"/>
      <c r="N103" s="13"/>
      <c r="O103" s="13"/>
      <c r="P103" s="13"/>
      <c r="Q103" s="13"/>
      <c r="R103" s="212" t="s">
        <v>3490</v>
      </c>
      <c r="S103" s="58">
        <v>90881.67</v>
      </c>
      <c r="T103" s="57">
        <f>SUM(AO103:BC103)</f>
        <v>46206.6</v>
      </c>
      <c r="U103" s="58">
        <f>SUM(BA103:BC103)</f>
        <v>46206.6</v>
      </c>
      <c r="V103" s="70">
        <f>SUM(AO103:AZ103)</f>
        <v>0</v>
      </c>
      <c r="W103" s="70">
        <f>SUM(AP103:AZ103)</f>
        <v>0</v>
      </c>
      <c r="X103" s="70">
        <f>SUM(AQ103:AU103)</f>
        <v>0</v>
      </c>
      <c r="Y103" s="70">
        <f>SUM(AS103:AZ103)</f>
        <v>0</v>
      </c>
      <c r="Z103" s="70">
        <f>SUM(AT103:AZ103)</f>
        <v>0</v>
      </c>
      <c r="AA103" s="219">
        <f>SUM(AT103:AZ103)</f>
        <v>0</v>
      </c>
      <c r="AB103" s="219">
        <f>SUM(AU103:AZ103)</f>
        <v>0</v>
      </c>
      <c r="AC103" s="219">
        <f>SUM(AV103:AZ103)</f>
        <v>0</v>
      </c>
      <c r="AD103" s="219">
        <f>SUM(AW103:AZ103)</f>
        <v>0</v>
      </c>
      <c r="AE103" s="219"/>
      <c r="AF103" s="58">
        <f>SUM(AY103:AZ103)</f>
        <v>0</v>
      </c>
      <c r="AG103" s="58">
        <f>SUM(AZ103:AZ103)</f>
        <v>0</v>
      </c>
      <c r="AH103" s="75"/>
      <c r="AI103" s="75"/>
      <c r="AJ103" s="13"/>
      <c r="AK103" s="13"/>
      <c r="AL103" s="13"/>
      <c r="AM103" s="13"/>
      <c r="AN103" s="13"/>
      <c r="AO103" s="241"/>
      <c r="AP103" s="241"/>
      <c r="AQ103" s="241"/>
      <c r="AR103" s="241"/>
      <c r="AS103" s="241"/>
      <c r="AT103" s="241"/>
      <c r="AU103" s="241"/>
      <c r="AV103" s="241"/>
      <c r="AW103" s="241"/>
      <c r="AX103" s="241"/>
      <c r="AY103" s="241">
        <v>0</v>
      </c>
      <c r="AZ103" s="275">
        <v>0</v>
      </c>
      <c r="BA103" s="240">
        <v>46206.6</v>
      </c>
      <c r="BB103" s="276"/>
      <c r="BC103" s="276"/>
      <c r="BD103" s="259"/>
      <c r="BE103" s="289"/>
      <c r="BF103" s="289"/>
    </row>
    <row r="104" spans="1:57">
      <c r="A104" s="13"/>
      <c r="B104" s="13"/>
      <c r="C104" s="13"/>
      <c r="D104" s="13"/>
      <c r="E104" s="13"/>
      <c r="F104" s="13"/>
      <c r="G104" s="190"/>
      <c r="H104" s="190"/>
      <c r="I104" s="190"/>
      <c r="J104" s="190"/>
      <c r="K104" s="13"/>
      <c r="L104" s="13"/>
      <c r="M104" s="13"/>
      <c r="N104" s="13"/>
      <c r="O104" s="13"/>
      <c r="P104" s="13"/>
      <c r="Q104" s="13"/>
      <c r="R104" s="212" t="s">
        <v>3492</v>
      </c>
      <c r="S104" s="58">
        <v>0</v>
      </c>
      <c r="T104" s="57">
        <f>SUM(AO104:BC104)</f>
        <v>0</v>
      </c>
      <c r="U104" s="58">
        <f>SUM(BA104:BC104)</f>
        <v>0</v>
      </c>
      <c r="V104" s="70">
        <f>SUM(AO104:AZ104)</f>
        <v>0</v>
      </c>
      <c r="W104" s="70">
        <f>SUM(AP104:AZ104)</f>
        <v>0</v>
      </c>
      <c r="X104" s="70">
        <f>SUM(AQ104:AU104)</f>
        <v>0</v>
      </c>
      <c r="Y104" s="70">
        <f>SUM(AS104:AZ104)</f>
        <v>0</v>
      </c>
      <c r="Z104" s="70">
        <f>SUM(AT104:AZ104)</f>
        <v>0</v>
      </c>
      <c r="AA104" s="219">
        <f>SUM(AT104:AZ104)</f>
        <v>0</v>
      </c>
      <c r="AB104" s="219">
        <f>SUM(AU104:AZ104)</f>
        <v>0</v>
      </c>
      <c r="AC104" s="219">
        <f>SUM(AV104:AZ104)</f>
        <v>0</v>
      </c>
      <c r="AD104" s="219">
        <f>SUM(AW104:AZ104)</f>
        <v>0</v>
      </c>
      <c r="AE104" s="219"/>
      <c r="AF104" s="58">
        <f>SUM(AY104:AZ104)</f>
        <v>0</v>
      </c>
      <c r="AG104" s="58">
        <f>SUM(AZ104:AZ104)</f>
        <v>0</v>
      </c>
      <c r="AH104" s="75"/>
      <c r="AI104" s="75"/>
      <c r="AJ104" s="13"/>
      <c r="AK104" s="13"/>
      <c r="AL104" s="13"/>
      <c r="AM104" s="13"/>
      <c r="AN104" s="13"/>
      <c r="AO104" s="241"/>
      <c r="AP104" s="241"/>
      <c r="AQ104" s="241"/>
      <c r="AR104" s="241"/>
      <c r="AS104" s="241"/>
      <c r="AT104" s="241"/>
      <c r="AU104" s="241"/>
      <c r="AV104" s="241"/>
      <c r="AW104" s="241"/>
      <c r="AX104" s="241"/>
      <c r="AY104" s="241">
        <v>0</v>
      </c>
      <c r="AZ104" s="275">
        <v>0</v>
      </c>
      <c r="BA104" s="240">
        <v>0</v>
      </c>
      <c r="BB104" s="271"/>
      <c r="BC104" s="271"/>
      <c r="BD104" s="259"/>
      <c r="BE104" s="290"/>
    </row>
    <row r="105" spans="1:58">
      <c r="A105" s="13"/>
      <c r="B105" s="13"/>
      <c r="C105" s="13"/>
      <c r="D105" s="13"/>
      <c r="E105" s="13"/>
      <c r="F105" s="13"/>
      <c r="G105" s="190"/>
      <c r="H105" s="190"/>
      <c r="I105" s="190"/>
      <c r="J105" s="190"/>
      <c r="K105" s="13"/>
      <c r="L105" s="13"/>
      <c r="M105" s="13"/>
      <c r="N105" s="13"/>
      <c r="O105" s="13"/>
      <c r="P105" s="13"/>
      <c r="Q105" s="13"/>
      <c r="R105" s="212" t="s">
        <v>3493</v>
      </c>
      <c r="S105" s="58">
        <v>0</v>
      </c>
      <c r="T105" s="57">
        <f>SUM(AO105:BC105)</f>
        <v>376.51</v>
      </c>
      <c r="U105" s="58">
        <f>SUM(BA105:BC105)</f>
        <v>239.53</v>
      </c>
      <c r="V105" s="70">
        <f>SUM(AO105:AZ105)</f>
        <v>136.98</v>
      </c>
      <c r="W105" s="70">
        <f>SUM(AP105:AZ105)</f>
        <v>136.98</v>
      </c>
      <c r="X105" s="70">
        <f>SUM(AQ105:AU105)</f>
        <v>0</v>
      </c>
      <c r="Y105" s="70">
        <f>SUM(AS105:AZ105)</f>
        <v>136.98</v>
      </c>
      <c r="Z105" s="70">
        <f>SUM(AT105:AZ105)</f>
        <v>136.98</v>
      </c>
      <c r="AA105" s="219">
        <f>SUM(AT105:AZ105)</f>
        <v>136.98</v>
      </c>
      <c r="AB105" s="219">
        <f>SUM(AU105:AZ105)</f>
        <v>136.98</v>
      </c>
      <c r="AC105" s="219">
        <f>SUM(AV105:AZ105)</f>
        <v>136.98</v>
      </c>
      <c r="AD105" s="219">
        <f>SUM(AW105:AZ105)</f>
        <v>136.98</v>
      </c>
      <c r="AE105" s="219"/>
      <c r="AF105" s="58">
        <f>SUM(AY105:AZ105)</f>
        <v>136.98</v>
      </c>
      <c r="AG105" s="58">
        <f>SUM(AZ105:AZ105)</f>
        <v>68.49</v>
      </c>
      <c r="AH105" s="75"/>
      <c r="AI105" s="75"/>
      <c r="AJ105" s="13"/>
      <c r="AK105" s="13"/>
      <c r="AL105" s="13"/>
      <c r="AM105" s="13"/>
      <c r="AN105" s="13"/>
      <c r="AO105" s="241"/>
      <c r="AP105" s="241"/>
      <c r="AQ105" s="241"/>
      <c r="AR105" s="241"/>
      <c r="AS105" s="241"/>
      <c r="AT105" s="241"/>
      <c r="AU105" s="241"/>
      <c r="AV105" s="241"/>
      <c r="AW105" s="241"/>
      <c r="AX105" s="241"/>
      <c r="AY105" s="241">
        <v>68.49</v>
      </c>
      <c r="AZ105" s="275">
        <v>68.49</v>
      </c>
      <c r="BA105" s="240">
        <v>239.53</v>
      </c>
      <c r="BB105" s="277"/>
      <c r="BC105" s="277"/>
      <c r="BD105" s="259"/>
      <c r="BE105" s="289"/>
      <c r="BF105" s="289"/>
    </row>
    <row r="106" spans="1:58">
      <c r="A106" s="13"/>
      <c r="B106" s="13"/>
      <c r="C106" s="13"/>
      <c r="D106" s="13"/>
      <c r="E106" s="13"/>
      <c r="F106" s="13"/>
      <c r="G106" s="265"/>
      <c r="H106" s="265"/>
      <c r="I106" s="265"/>
      <c r="J106" s="265"/>
      <c r="K106" s="13"/>
      <c r="L106" s="13"/>
      <c r="M106" s="13"/>
      <c r="N106" s="13"/>
      <c r="O106" s="13"/>
      <c r="P106" s="13"/>
      <c r="Q106" s="13"/>
      <c r="R106" s="213" t="s">
        <v>3494</v>
      </c>
      <c r="S106" s="214">
        <f t="shared" ref="S106:AI106" si="110">SUM(S103:S105)</f>
        <v>90881.67</v>
      </c>
      <c r="T106" s="214">
        <f t="shared" si="110"/>
        <v>46583.11</v>
      </c>
      <c r="U106" s="214">
        <f t="shared" si="110"/>
        <v>46446.13</v>
      </c>
      <c r="V106" s="214">
        <f t="shared" si="110"/>
        <v>136.98</v>
      </c>
      <c r="W106" s="214">
        <f t="shared" si="110"/>
        <v>136.98</v>
      </c>
      <c r="X106" s="214">
        <f t="shared" si="110"/>
        <v>0</v>
      </c>
      <c r="Y106" s="214">
        <f t="shared" si="110"/>
        <v>136.98</v>
      </c>
      <c r="Z106" s="214">
        <f t="shared" si="110"/>
        <v>136.98</v>
      </c>
      <c r="AA106" s="214">
        <f t="shared" si="110"/>
        <v>136.98</v>
      </c>
      <c r="AB106" s="214">
        <f t="shared" si="110"/>
        <v>136.98</v>
      </c>
      <c r="AC106" s="214">
        <f t="shared" si="110"/>
        <v>136.98</v>
      </c>
      <c r="AD106" s="214">
        <f t="shared" si="110"/>
        <v>136.98</v>
      </c>
      <c r="AE106" s="214">
        <f t="shared" si="110"/>
        <v>0</v>
      </c>
      <c r="AF106" s="214">
        <f t="shared" si="110"/>
        <v>136.98</v>
      </c>
      <c r="AG106" s="214">
        <f t="shared" si="110"/>
        <v>68.49</v>
      </c>
      <c r="AH106" s="214">
        <f t="shared" si="110"/>
        <v>0</v>
      </c>
      <c r="AI106" s="214">
        <f t="shared" si="110"/>
        <v>0</v>
      </c>
      <c r="AJ106" s="13"/>
      <c r="AK106" s="13"/>
      <c r="AL106" s="13"/>
      <c r="AM106" s="13"/>
      <c r="AN106" s="13"/>
      <c r="AO106" s="214">
        <f t="shared" ref="AO106:AZ106" si="111">SUM(AO103:AO105)</f>
        <v>0</v>
      </c>
      <c r="AP106" s="214">
        <f t="shared" si="111"/>
        <v>0</v>
      </c>
      <c r="AQ106" s="214">
        <f t="shared" si="111"/>
        <v>0</v>
      </c>
      <c r="AR106" s="214">
        <f t="shared" si="111"/>
        <v>0</v>
      </c>
      <c r="AS106" s="214">
        <f t="shared" si="111"/>
        <v>0</v>
      </c>
      <c r="AT106" s="214">
        <f t="shared" si="111"/>
        <v>0</v>
      </c>
      <c r="AU106" s="214">
        <f t="shared" si="111"/>
        <v>0</v>
      </c>
      <c r="AV106" s="214">
        <f t="shared" si="111"/>
        <v>0</v>
      </c>
      <c r="AW106" s="214">
        <f t="shared" si="111"/>
        <v>0</v>
      </c>
      <c r="AX106" s="214">
        <f t="shared" si="111"/>
        <v>0</v>
      </c>
      <c r="AY106" s="214">
        <f t="shared" si="111"/>
        <v>68.49</v>
      </c>
      <c r="AZ106" s="214">
        <f t="shared" si="111"/>
        <v>68.49</v>
      </c>
      <c r="BA106" s="214">
        <v>46446.13</v>
      </c>
      <c r="BB106" s="214"/>
      <c r="BC106" s="214"/>
      <c r="BD106" s="259"/>
      <c r="BE106" s="291"/>
      <c r="BF106" s="291"/>
    </row>
    <row r="107" spans="1:58">
      <c r="A107" s="13"/>
      <c r="B107" s="13"/>
      <c r="C107" s="13"/>
      <c r="D107" s="13"/>
      <c r="E107" s="13"/>
      <c r="F107" s="13"/>
      <c r="G107" s="190"/>
      <c r="H107" s="190"/>
      <c r="I107" s="190"/>
      <c r="J107" s="190"/>
      <c r="K107" s="13"/>
      <c r="L107" s="13"/>
      <c r="M107" s="13"/>
      <c r="N107" s="13"/>
      <c r="O107" s="13"/>
      <c r="P107" s="13"/>
      <c r="Q107" s="13"/>
      <c r="R107" s="212" t="s">
        <v>3495</v>
      </c>
      <c r="S107" s="58">
        <f t="shared" ref="S107:AG107" si="112">S102-S103</f>
        <v>19518.33</v>
      </c>
      <c r="T107" s="57">
        <f t="shared" si="112"/>
        <v>50793.96</v>
      </c>
      <c r="U107" s="58">
        <f t="shared" si="112"/>
        <v>43446.11</v>
      </c>
      <c r="V107" s="57">
        <f t="shared" si="112"/>
        <v>7347.85</v>
      </c>
      <c r="W107" s="57">
        <f t="shared" si="112"/>
        <v>7347.85</v>
      </c>
      <c r="X107" s="57">
        <f t="shared" si="112"/>
        <v>0</v>
      </c>
      <c r="Y107" s="57">
        <f t="shared" si="112"/>
        <v>7347.85</v>
      </c>
      <c r="Z107" s="57">
        <f t="shared" si="112"/>
        <v>7347.85</v>
      </c>
      <c r="AA107" s="58">
        <f t="shared" si="112"/>
        <v>7347.85</v>
      </c>
      <c r="AB107" s="58">
        <f t="shared" si="112"/>
        <v>7347.85</v>
      </c>
      <c r="AC107" s="58">
        <f t="shared" si="112"/>
        <v>7347.85</v>
      </c>
      <c r="AD107" s="58">
        <f t="shared" si="112"/>
        <v>7347.85</v>
      </c>
      <c r="AE107" s="58">
        <f t="shared" si="112"/>
        <v>0</v>
      </c>
      <c r="AF107" s="58">
        <f t="shared" si="112"/>
        <v>7347.85</v>
      </c>
      <c r="AG107" s="58">
        <f t="shared" si="112"/>
        <v>7347.85</v>
      </c>
      <c r="AH107" s="75"/>
      <c r="AI107" s="75"/>
      <c r="AJ107" s="13"/>
      <c r="AK107" s="13"/>
      <c r="AL107" s="13"/>
      <c r="AM107" s="13"/>
      <c r="AN107" s="13"/>
      <c r="AO107" s="242">
        <f t="shared" ref="AO107:BA107" si="113">AO102-AO103</f>
        <v>0</v>
      </c>
      <c r="AP107" s="242">
        <f t="shared" si="113"/>
        <v>0</v>
      </c>
      <c r="AQ107" s="242">
        <f t="shared" si="113"/>
        <v>0</v>
      </c>
      <c r="AR107" s="242">
        <f t="shared" si="113"/>
        <v>0</v>
      </c>
      <c r="AS107" s="242">
        <f t="shared" si="113"/>
        <v>0</v>
      </c>
      <c r="AT107" s="242">
        <f t="shared" si="113"/>
        <v>0</v>
      </c>
      <c r="AU107" s="242">
        <f t="shared" si="113"/>
        <v>0</v>
      </c>
      <c r="AV107" s="242">
        <f t="shared" si="113"/>
        <v>0</v>
      </c>
      <c r="AW107" s="242">
        <f t="shared" si="113"/>
        <v>0</v>
      </c>
      <c r="AX107" s="242">
        <f t="shared" si="113"/>
        <v>0</v>
      </c>
      <c r="AY107" s="242">
        <f t="shared" si="113"/>
        <v>0</v>
      </c>
      <c r="AZ107" s="278">
        <f t="shared" si="113"/>
        <v>7347.85</v>
      </c>
      <c r="BA107" s="58">
        <f t="shared" si="113"/>
        <v>43446.11</v>
      </c>
      <c r="BB107" s="58"/>
      <c r="BC107" s="58"/>
      <c r="BD107" s="259"/>
      <c r="BE107" s="292"/>
      <c r="BF107" s="292"/>
    </row>
    <row r="108" spans="1:58">
      <c r="A108" s="13"/>
      <c r="B108" s="13"/>
      <c r="C108" s="13"/>
      <c r="D108" s="13"/>
      <c r="E108" s="13"/>
      <c r="F108" s="13"/>
      <c r="G108" s="190"/>
      <c r="H108" s="190"/>
      <c r="I108" s="190"/>
      <c r="J108" s="190"/>
      <c r="K108" s="13"/>
      <c r="L108" s="13"/>
      <c r="M108" s="13"/>
      <c r="N108" s="13"/>
      <c r="O108" s="13"/>
      <c r="P108" s="13"/>
      <c r="Q108" s="13"/>
      <c r="R108" s="215" t="s">
        <v>3496</v>
      </c>
      <c r="S108" s="61">
        <f t="shared" ref="S108:AG108" si="114">S107/S102</f>
        <v>0.176796467391304</v>
      </c>
      <c r="T108" s="62">
        <f t="shared" si="114"/>
        <v>0.523646049053737</v>
      </c>
      <c r="U108" s="61">
        <f t="shared" si="114"/>
        <v>0.484604536773066</v>
      </c>
      <c r="V108" s="62">
        <f t="shared" si="114"/>
        <v>1</v>
      </c>
      <c r="W108" s="62">
        <f t="shared" si="114"/>
        <v>1</v>
      </c>
      <c r="X108" s="62" t="e">
        <f t="shared" si="114"/>
        <v>#DIV/0!</v>
      </c>
      <c r="Y108" s="62">
        <f t="shared" si="114"/>
        <v>1</v>
      </c>
      <c r="Z108" s="62">
        <f t="shared" si="114"/>
        <v>1</v>
      </c>
      <c r="AA108" s="61">
        <f t="shared" si="114"/>
        <v>1</v>
      </c>
      <c r="AB108" s="61">
        <f t="shared" si="114"/>
        <v>1</v>
      </c>
      <c r="AC108" s="61">
        <f t="shared" si="114"/>
        <v>1</v>
      </c>
      <c r="AD108" s="61">
        <f t="shared" si="114"/>
        <v>1</v>
      </c>
      <c r="AE108" s="61" t="e">
        <f t="shared" si="114"/>
        <v>#DIV/0!</v>
      </c>
      <c r="AF108" s="61">
        <f t="shared" si="114"/>
        <v>1</v>
      </c>
      <c r="AG108" s="61">
        <f t="shared" si="114"/>
        <v>1</v>
      </c>
      <c r="AH108" s="82">
        <f>T108-S108</f>
        <v>0.346849581662433</v>
      </c>
      <c r="AI108" s="82">
        <f>AF108-S108</f>
        <v>0.823203532608696</v>
      </c>
      <c r="AJ108" s="13"/>
      <c r="AK108" s="13"/>
      <c r="AL108" s="13"/>
      <c r="AM108" s="13"/>
      <c r="AN108" s="13"/>
      <c r="AO108" s="61" t="e">
        <f t="shared" ref="AO108:BA108" si="115">AO107/AO102</f>
        <v>#DIV/0!</v>
      </c>
      <c r="AP108" s="61" t="e">
        <f t="shared" si="115"/>
        <v>#DIV/0!</v>
      </c>
      <c r="AQ108" s="61" t="e">
        <f t="shared" si="115"/>
        <v>#DIV/0!</v>
      </c>
      <c r="AR108" s="61" t="e">
        <f t="shared" si="115"/>
        <v>#DIV/0!</v>
      </c>
      <c r="AS108" s="61" t="e">
        <f t="shared" si="115"/>
        <v>#DIV/0!</v>
      </c>
      <c r="AT108" s="61" t="e">
        <f t="shared" si="115"/>
        <v>#DIV/0!</v>
      </c>
      <c r="AU108" s="61" t="e">
        <f t="shared" si="115"/>
        <v>#DIV/0!</v>
      </c>
      <c r="AV108" s="61" t="e">
        <f t="shared" si="115"/>
        <v>#DIV/0!</v>
      </c>
      <c r="AW108" s="61" t="e">
        <f t="shared" si="115"/>
        <v>#DIV/0!</v>
      </c>
      <c r="AX108" s="61" t="e">
        <f t="shared" si="115"/>
        <v>#DIV/0!</v>
      </c>
      <c r="AY108" s="61" t="e">
        <f t="shared" si="115"/>
        <v>#DIV/0!</v>
      </c>
      <c r="AZ108" s="279">
        <f t="shared" si="115"/>
        <v>1</v>
      </c>
      <c r="BA108" s="61">
        <f t="shared" si="115"/>
        <v>0.484604536773066</v>
      </c>
      <c r="BB108" s="61"/>
      <c r="BC108" s="61"/>
      <c r="BD108" s="259"/>
      <c r="BE108" s="293"/>
      <c r="BF108" s="293"/>
    </row>
    <row r="109" spans="1:58">
      <c r="A109" s="13"/>
      <c r="B109" s="13"/>
      <c r="C109" s="13"/>
      <c r="D109" s="13"/>
      <c r="E109" s="13"/>
      <c r="F109" s="13"/>
      <c r="G109" s="190"/>
      <c r="H109" s="190"/>
      <c r="I109" s="190"/>
      <c r="J109" s="190"/>
      <c r="K109" s="13"/>
      <c r="L109" s="13"/>
      <c r="M109" s="13"/>
      <c r="N109" s="13"/>
      <c r="O109" s="13"/>
      <c r="P109" s="13"/>
      <c r="Q109" s="13"/>
      <c r="R109" s="212" t="s">
        <v>3497</v>
      </c>
      <c r="S109" s="216">
        <f t="shared" ref="S109:AG109" si="116">S102-S103-S104-S105</f>
        <v>19518.33</v>
      </c>
      <c r="T109" s="57">
        <f t="shared" si="116"/>
        <v>50417.45</v>
      </c>
      <c r="U109" s="58">
        <f t="shared" si="116"/>
        <v>43206.58</v>
      </c>
      <c r="V109" s="57">
        <f t="shared" si="116"/>
        <v>7210.87</v>
      </c>
      <c r="W109" s="57">
        <f t="shared" si="116"/>
        <v>7210.87</v>
      </c>
      <c r="X109" s="57">
        <f t="shared" si="116"/>
        <v>0</v>
      </c>
      <c r="Y109" s="57">
        <f t="shared" si="116"/>
        <v>7210.87</v>
      </c>
      <c r="Z109" s="57">
        <f t="shared" si="116"/>
        <v>7210.87</v>
      </c>
      <c r="AA109" s="58">
        <f t="shared" si="116"/>
        <v>7210.87</v>
      </c>
      <c r="AB109" s="58">
        <f t="shared" si="116"/>
        <v>7210.87</v>
      </c>
      <c r="AC109" s="58">
        <f t="shared" si="116"/>
        <v>7210.87</v>
      </c>
      <c r="AD109" s="58">
        <f t="shared" si="116"/>
        <v>7210.87</v>
      </c>
      <c r="AE109" s="58">
        <f t="shared" si="116"/>
        <v>0</v>
      </c>
      <c r="AF109" s="58">
        <f t="shared" si="116"/>
        <v>7210.87</v>
      </c>
      <c r="AG109" s="58">
        <f t="shared" si="116"/>
        <v>7279.36</v>
      </c>
      <c r="AH109" s="82"/>
      <c r="AI109" s="82"/>
      <c r="AJ109" s="13"/>
      <c r="AK109" s="13"/>
      <c r="AL109" s="13"/>
      <c r="AM109" s="13"/>
      <c r="AN109" s="13"/>
      <c r="AO109" s="58">
        <f t="shared" ref="AO109:BA109" si="117">AO102-AO103-AO104-AO105</f>
        <v>0</v>
      </c>
      <c r="AP109" s="58">
        <f t="shared" si="117"/>
        <v>0</v>
      </c>
      <c r="AQ109" s="58">
        <f t="shared" si="117"/>
        <v>0</v>
      </c>
      <c r="AR109" s="58">
        <f t="shared" si="117"/>
        <v>0</v>
      </c>
      <c r="AS109" s="58">
        <f t="shared" si="117"/>
        <v>0</v>
      </c>
      <c r="AT109" s="58">
        <f t="shared" si="117"/>
        <v>0</v>
      </c>
      <c r="AU109" s="58">
        <f t="shared" si="117"/>
        <v>0</v>
      </c>
      <c r="AV109" s="58">
        <f t="shared" si="117"/>
        <v>0</v>
      </c>
      <c r="AW109" s="58">
        <f t="shared" si="117"/>
        <v>0</v>
      </c>
      <c r="AX109" s="58">
        <f t="shared" si="117"/>
        <v>0</v>
      </c>
      <c r="AY109" s="58">
        <f t="shared" si="117"/>
        <v>-68.49</v>
      </c>
      <c r="AZ109" s="280">
        <f t="shared" si="117"/>
        <v>7279.36</v>
      </c>
      <c r="BA109" s="58">
        <f t="shared" si="117"/>
        <v>43206.58</v>
      </c>
      <c r="BB109" s="58"/>
      <c r="BC109" s="58"/>
      <c r="BD109" s="259"/>
      <c r="BE109" s="292"/>
      <c r="BF109" s="292"/>
    </row>
    <row r="110" spans="1:58">
      <c r="A110" s="14"/>
      <c r="B110" s="14"/>
      <c r="C110" s="14"/>
      <c r="D110" s="14"/>
      <c r="E110" s="14"/>
      <c r="F110" s="14"/>
      <c r="G110" s="266"/>
      <c r="H110" s="266"/>
      <c r="I110" s="266"/>
      <c r="J110" s="266"/>
      <c r="K110" s="14"/>
      <c r="L110" s="14"/>
      <c r="M110" s="14"/>
      <c r="N110" s="14"/>
      <c r="O110" s="14"/>
      <c r="P110" s="14"/>
      <c r="Q110" s="14"/>
      <c r="R110" s="267" t="s">
        <v>3498</v>
      </c>
      <c r="S110" s="268">
        <f t="shared" ref="S110:AG110" si="118">S109/S102</f>
        <v>0.176796467391304</v>
      </c>
      <c r="T110" s="269">
        <f t="shared" si="118"/>
        <v>0.519764525070783</v>
      </c>
      <c r="U110" s="268">
        <f t="shared" si="118"/>
        <v>0.48193278262308</v>
      </c>
      <c r="V110" s="269">
        <f t="shared" si="118"/>
        <v>0.981357812149132</v>
      </c>
      <c r="W110" s="269">
        <f t="shared" si="118"/>
        <v>0.981357812149132</v>
      </c>
      <c r="X110" s="269" t="e">
        <f t="shared" si="118"/>
        <v>#DIV/0!</v>
      </c>
      <c r="Y110" s="269">
        <f t="shared" si="118"/>
        <v>0.981357812149132</v>
      </c>
      <c r="Z110" s="269">
        <f t="shared" si="118"/>
        <v>0.981357812149132</v>
      </c>
      <c r="AA110" s="268">
        <f t="shared" si="118"/>
        <v>0.981357812149132</v>
      </c>
      <c r="AB110" s="268">
        <f t="shared" si="118"/>
        <v>0.981357812149132</v>
      </c>
      <c r="AC110" s="268">
        <f t="shared" si="118"/>
        <v>0.981357812149132</v>
      </c>
      <c r="AD110" s="268">
        <f t="shared" si="118"/>
        <v>0.981357812149132</v>
      </c>
      <c r="AE110" s="268" t="e">
        <f t="shared" si="118"/>
        <v>#DIV/0!</v>
      </c>
      <c r="AF110" s="61">
        <f t="shared" si="118"/>
        <v>0.981357812149132</v>
      </c>
      <c r="AG110" s="61">
        <f t="shared" si="118"/>
        <v>0.990678906074566</v>
      </c>
      <c r="AH110" s="270">
        <f>T110-S110</f>
        <v>0.342968057679479</v>
      </c>
      <c r="AI110" s="82">
        <f>AF110-S110</f>
        <v>0.804561344757828</v>
      </c>
      <c r="AJ110" s="14"/>
      <c r="AK110" s="14"/>
      <c r="AL110" s="14"/>
      <c r="AM110" s="14"/>
      <c r="AN110" s="14"/>
      <c r="AO110" s="268" t="e">
        <f t="shared" ref="AO110:BA110" si="119">AO109/AO102</f>
        <v>#DIV/0!</v>
      </c>
      <c r="AP110" s="268" t="e">
        <f t="shared" si="119"/>
        <v>#DIV/0!</v>
      </c>
      <c r="AQ110" s="268" t="e">
        <f t="shared" si="119"/>
        <v>#DIV/0!</v>
      </c>
      <c r="AR110" s="268" t="e">
        <f t="shared" si="119"/>
        <v>#DIV/0!</v>
      </c>
      <c r="AS110" s="268" t="e">
        <f t="shared" si="119"/>
        <v>#DIV/0!</v>
      </c>
      <c r="AT110" s="268" t="e">
        <f t="shared" si="119"/>
        <v>#DIV/0!</v>
      </c>
      <c r="AU110" s="268" t="e">
        <f t="shared" si="119"/>
        <v>#DIV/0!</v>
      </c>
      <c r="AV110" s="268" t="e">
        <f t="shared" si="119"/>
        <v>#DIV/0!</v>
      </c>
      <c r="AW110" s="268" t="e">
        <f t="shared" si="119"/>
        <v>#DIV/0!</v>
      </c>
      <c r="AX110" s="268" t="e">
        <f t="shared" si="119"/>
        <v>#DIV/0!</v>
      </c>
      <c r="AY110" s="268" t="e">
        <f t="shared" si="119"/>
        <v>#DIV/0!</v>
      </c>
      <c r="AZ110" s="281">
        <f t="shared" si="119"/>
        <v>0.990678906074566</v>
      </c>
      <c r="BA110" s="61">
        <f t="shared" si="119"/>
        <v>0.48193278262308</v>
      </c>
      <c r="BB110" s="61"/>
      <c r="BC110" s="61"/>
      <c r="BD110" s="259"/>
      <c r="BE110" s="293"/>
      <c r="BF110" s="293"/>
    </row>
    <row r="111" ht="17.25" customHeight="1" spans="1:58">
      <c r="A111" s="186" t="s">
        <v>3651</v>
      </c>
      <c r="B111" s="194" t="s">
        <v>3354</v>
      </c>
      <c r="C111" s="188">
        <v>45855</v>
      </c>
      <c r="D111" s="188">
        <v>46387</v>
      </c>
      <c r="E111" s="211" t="s">
        <v>3650</v>
      </c>
      <c r="F111" s="211" t="s">
        <v>3650</v>
      </c>
      <c r="G111" s="190"/>
      <c r="H111" s="190"/>
      <c r="I111" s="190"/>
      <c r="J111" s="190"/>
      <c r="K111" s="201"/>
      <c r="L111" s="201"/>
      <c r="M111" s="201"/>
      <c r="N111" s="201"/>
      <c r="O111" s="201"/>
      <c r="P111" s="201"/>
      <c r="Q111" s="211" t="s">
        <v>3633</v>
      </c>
      <c r="R111" s="212" t="s">
        <v>3486</v>
      </c>
      <c r="S111" s="58">
        <v>144905.66</v>
      </c>
      <c r="T111" s="58">
        <f>SUM(AO111:BC111)</f>
        <v>128396.83</v>
      </c>
      <c r="U111" s="58">
        <f>SUM(BA111:BC111)</f>
        <v>102711.71</v>
      </c>
      <c r="V111" s="219">
        <f>SUM(AO111:AZ111)</f>
        <v>25685.12</v>
      </c>
      <c r="W111" s="219">
        <f>SUM(AP111:AZ111)</f>
        <v>25685.12</v>
      </c>
      <c r="X111" s="219">
        <f>SUM(AQ111:AU111)</f>
        <v>0</v>
      </c>
      <c r="Y111" s="219">
        <f>SUM(AS111:AZ111)</f>
        <v>25685.12</v>
      </c>
      <c r="Z111" s="219">
        <f>SUM(AT111:AZ111)</f>
        <v>25685.12</v>
      </c>
      <c r="AA111" s="219">
        <f>SUM(AT111:AZ111)</f>
        <v>25685.12</v>
      </c>
      <c r="AB111" s="219">
        <f>SUM(AU111:AZ111)</f>
        <v>25685.12</v>
      </c>
      <c r="AC111" s="219">
        <f>SUM(AV111:AZ111)</f>
        <v>25685.12</v>
      </c>
      <c r="AD111" s="219">
        <f>SUM(AW111:AZ111)</f>
        <v>25685.12</v>
      </c>
      <c r="AE111" s="219"/>
      <c r="AF111" s="58">
        <f>SUM(AY111:AZ111)</f>
        <v>25685.12</v>
      </c>
      <c r="AG111" s="58">
        <f>SUM(AZ111:AZ111)</f>
        <v>25685.12</v>
      </c>
      <c r="AH111" s="75"/>
      <c r="AI111" s="75"/>
      <c r="AJ111" s="230"/>
      <c r="AK111" s="231"/>
      <c r="AL111" s="232" t="s">
        <v>377</v>
      </c>
      <c r="AM111" s="232" t="s">
        <v>377</v>
      </c>
      <c r="AN111" s="233"/>
      <c r="AO111" s="240"/>
      <c r="AP111" s="240"/>
      <c r="AQ111" s="240"/>
      <c r="AR111" s="240"/>
      <c r="AS111" s="240"/>
      <c r="AT111" s="240"/>
      <c r="AU111" s="240"/>
      <c r="AV111" s="240"/>
      <c r="AW111" s="240"/>
      <c r="AX111" s="240"/>
      <c r="AY111" s="240">
        <v>0</v>
      </c>
      <c r="AZ111" s="282">
        <v>25685.12</v>
      </c>
      <c r="BA111" s="240">
        <v>102711.71</v>
      </c>
      <c r="BB111" s="283"/>
      <c r="BC111" s="283"/>
      <c r="BD111" s="259"/>
      <c r="BE111" s="294"/>
      <c r="BF111" s="294"/>
    </row>
    <row r="112" ht="17.25" customHeight="1" spans="1:60">
      <c r="A112" s="13"/>
      <c r="B112" s="13"/>
      <c r="C112" s="13"/>
      <c r="D112" s="13"/>
      <c r="E112" s="13"/>
      <c r="F112" s="13"/>
      <c r="G112" s="190"/>
      <c r="H112" s="190"/>
      <c r="I112" s="190"/>
      <c r="J112" s="190"/>
      <c r="K112" s="13"/>
      <c r="L112" s="13"/>
      <c r="M112" s="13"/>
      <c r="N112" s="13"/>
      <c r="O112" s="13"/>
      <c r="P112" s="13"/>
      <c r="Q112" s="13"/>
      <c r="R112" s="212" t="s">
        <v>3490</v>
      </c>
      <c r="S112" s="58">
        <v>118208.93</v>
      </c>
      <c r="T112" s="58">
        <f>SUM(AO112:BC112)</f>
        <v>80635.46</v>
      </c>
      <c r="U112" s="58">
        <f>SUM(BA112:BC112)</f>
        <v>80635.46</v>
      </c>
      <c r="V112" s="219">
        <f>SUM(AO112:AZ112)</f>
        <v>0</v>
      </c>
      <c r="W112" s="219">
        <f>SUM(AP112:AZ112)</f>
        <v>0</v>
      </c>
      <c r="X112" s="219">
        <f>SUM(AQ112:AU112)</f>
        <v>0</v>
      </c>
      <c r="Y112" s="219">
        <f>SUM(AS112:AZ112)</f>
        <v>0</v>
      </c>
      <c r="Z112" s="219">
        <f>SUM(AT112:AZ112)</f>
        <v>0</v>
      </c>
      <c r="AA112" s="219">
        <f>SUM(AT112:AZ112)</f>
        <v>0</v>
      </c>
      <c r="AB112" s="219">
        <f>SUM(AU112:AZ112)</f>
        <v>0</v>
      </c>
      <c r="AC112" s="219">
        <f>SUM(AV112:AZ112)</f>
        <v>0</v>
      </c>
      <c r="AD112" s="219">
        <f>SUM(AW112:AZ112)</f>
        <v>0</v>
      </c>
      <c r="AE112" s="219"/>
      <c r="AF112" s="58">
        <f>SUM(AY112:AZ112)</f>
        <v>0</v>
      </c>
      <c r="AG112" s="58">
        <f>SUM(AZ112:AZ112)</f>
        <v>0</v>
      </c>
      <c r="AH112" s="75"/>
      <c r="AI112" s="75"/>
      <c r="AJ112" s="13"/>
      <c r="AK112" s="13"/>
      <c r="AL112" s="13"/>
      <c r="AM112" s="13"/>
      <c r="AN112" s="13"/>
      <c r="AO112" s="271"/>
      <c r="AP112" s="271"/>
      <c r="AQ112" s="271"/>
      <c r="AR112" s="271"/>
      <c r="AS112" s="271"/>
      <c r="AT112" s="271"/>
      <c r="AU112" s="271"/>
      <c r="AV112" s="271"/>
      <c r="AW112" s="271"/>
      <c r="AX112" s="271"/>
      <c r="AY112" s="271">
        <v>0</v>
      </c>
      <c r="AZ112" s="271">
        <v>0</v>
      </c>
      <c r="BA112" s="240">
        <v>80635.46</v>
      </c>
      <c r="BB112" s="276"/>
      <c r="BC112" s="276"/>
      <c r="BD112" s="259"/>
      <c r="BE112" s="295"/>
      <c r="BF112" s="296"/>
      <c r="BG112" s="296"/>
      <c r="BH112" s="296"/>
    </row>
    <row r="113" spans="1:56">
      <c r="A113" s="13"/>
      <c r="B113" s="13"/>
      <c r="C113" s="13"/>
      <c r="D113" s="13"/>
      <c r="E113" s="13"/>
      <c r="F113" s="13"/>
      <c r="G113" s="190"/>
      <c r="H113" s="190"/>
      <c r="I113" s="190"/>
      <c r="J113" s="190"/>
      <c r="K113" s="13"/>
      <c r="L113" s="13"/>
      <c r="M113" s="13"/>
      <c r="N113" s="13"/>
      <c r="O113" s="13"/>
      <c r="P113" s="13"/>
      <c r="Q113" s="13"/>
      <c r="R113" s="212" t="s">
        <v>3492</v>
      </c>
      <c r="S113" s="58">
        <v>0</v>
      </c>
      <c r="T113" s="58">
        <f>SUM(AO113:BC113)</f>
        <v>0</v>
      </c>
      <c r="U113" s="58">
        <f>SUM(BA113:BC113)</f>
        <v>0</v>
      </c>
      <c r="V113" s="219">
        <f>SUM(AO113:AZ113)</f>
        <v>0</v>
      </c>
      <c r="W113" s="219">
        <f>SUM(AP113:AZ113)</f>
        <v>0</v>
      </c>
      <c r="X113" s="219">
        <f>SUM(AQ113:AU113)</f>
        <v>0</v>
      </c>
      <c r="Y113" s="219">
        <f>SUM(AS113:AZ113)</f>
        <v>0</v>
      </c>
      <c r="Z113" s="219">
        <f>SUM(AT113:AZ113)</f>
        <v>0</v>
      </c>
      <c r="AA113" s="219">
        <f>SUM(AT113:AZ113)</f>
        <v>0</v>
      </c>
      <c r="AB113" s="219">
        <f>SUM(AU113:AZ113)</f>
        <v>0</v>
      </c>
      <c r="AC113" s="219">
        <f>SUM(AV113:AZ113)</f>
        <v>0</v>
      </c>
      <c r="AD113" s="219">
        <f>SUM(AW113:AZ113)</f>
        <v>0</v>
      </c>
      <c r="AE113" s="219"/>
      <c r="AF113" s="58">
        <f>SUM(AY113:AZ113)</f>
        <v>0</v>
      </c>
      <c r="AG113" s="58">
        <f>SUM(AZ113:AZ113)</f>
        <v>0</v>
      </c>
      <c r="AH113" s="75"/>
      <c r="AI113" s="75"/>
      <c r="AJ113" s="13"/>
      <c r="AK113" s="13"/>
      <c r="AL113" s="13"/>
      <c r="AM113" s="13"/>
      <c r="AN113" s="13"/>
      <c r="AO113" s="271"/>
      <c r="AP113" s="271"/>
      <c r="AQ113" s="271"/>
      <c r="AR113" s="271"/>
      <c r="AS113" s="271"/>
      <c r="AT113" s="271"/>
      <c r="AU113" s="271"/>
      <c r="AV113" s="271"/>
      <c r="AW113" s="271"/>
      <c r="AX113" s="271"/>
      <c r="AY113" s="271">
        <v>0</v>
      </c>
      <c r="AZ113" s="271">
        <v>0</v>
      </c>
      <c r="BA113" s="240">
        <v>0</v>
      </c>
      <c r="BB113" s="240"/>
      <c r="BC113" s="230"/>
      <c r="BD113" s="259"/>
    </row>
    <row r="114" ht="17.25" customHeight="1" spans="1:59">
      <c r="A114" s="13"/>
      <c r="B114" s="13"/>
      <c r="C114" s="13"/>
      <c r="D114" s="13"/>
      <c r="E114" s="13"/>
      <c r="F114" s="13"/>
      <c r="G114" s="190"/>
      <c r="H114" s="190"/>
      <c r="I114" s="190"/>
      <c r="J114" s="190"/>
      <c r="K114" s="13"/>
      <c r="L114" s="13"/>
      <c r="M114" s="13"/>
      <c r="N114" s="13"/>
      <c r="O114" s="13"/>
      <c r="P114" s="13"/>
      <c r="Q114" s="13"/>
      <c r="R114" s="212" t="s">
        <v>3493</v>
      </c>
      <c r="S114" s="58">
        <v>0</v>
      </c>
      <c r="T114" s="58">
        <f>SUM(AO114:BC114)</f>
        <v>386.63</v>
      </c>
      <c r="U114" s="58">
        <f>SUM(BA114:BC114)</f>
        <v>204.53</v>
      </c>
      <c r="V114" s="219">
        <f>SUM(AO114:AZ114)</f>
        <v>182.1</v>
      </c>
      <c r="W114" s="219">
        <f>SUM(AP114:AZ114)</f>
        <v>182.1</v>
      </c>
      <c r="X114" s="219">
        <f>SUM(AQ114:AU114)</f>
        <v>0</v>
      </c>
      <c r="Y114" s="219">
        <f>SUM(AS114:AZ114)</f>
        <v>182.1</v>
      </c>
      <c r="Z114" s="219">
        <f>SUM(AT114:AZ114)</f>
        <v>182.1</v>
      </c>
      <c r="AA114" s="219">
        <f>SUM(AT114:AZ114)</f>
        <v>182.1</v>
      </c>
      <c r="AB114" s="219">
        <f>SUM(AU114:AZ114)</f>
        <v>182.1</v>
      </c>
      <c r="AC114" s="219">
        <f>SUM(AV114:AZ114)</f>
        <v>182.1</v>
      </c>
      <c r="AD114" s="219">
        <f>SUM(AW114:AZ114)</f>
        <v>182.1</v>
      </c>
      <c r="AE114" s="219"/>
      <c r="AF114" s="58">
        <f>SUM(AY114:AZ114)</f>
        <v>182.1</v>
      </c>
      <c r="AG114" s="58">
        <f>SUM(AZ114:AZ114)</f>
        <v>91.05</v>
      </c>
      <c r="AH114" s="75"/>
      <c r="AI114" s="75"/>
      <c r="AJ114" s="13"/>
      <c r="AK114" s="13"/>
      <c r="AL114" s="13"/>
      <c r="AM114" s="13"/>
      <c r="AN114" s="13"/>
      <c r="AO114" s="271"/>
      <c r="AP114" s="271"/>
      <c r="AQ114" s="271"/>
      <c r="AR114" s="271"/>
      <c r="AS114" s="271"/>
      <c r="AT114" s="271"/>
      <c r="AU114" s="271"/>
      <c r="AV114" s="271"/>
      <c r="AW114" s="271"/>
      <c r="AX114" s="271"/>
      <c r="AY114" s="271">
        <v>91.05</v>
      </c>
      <c r="AZ114" s="271">
        <v>91.05</v>
      </c>
      <c r="BA114" s="240">
        <v>204.53</v>
      </c>
      <c r="BB114" s="277"/>
      <c r="BC114" s="277"/>
      <c r="BD114" s="259"/>
      <c r="BE114" s="296"/>
      <c r="BF114" s="296"/>
      <c r="BG114" s="296"/>
    </row>
    <row r="115" spans="1:56">
      <c r="A115" s="13"/>
      <c r="B115" s="13"/>
      <c r="C115" s="13"/>
      <c r="D115" s="13"/>
      <c r="E115" s="13"/>
      <c r="F115" s="13"/>
      <c r="G115" s="265"/>
      <c r="H115" s="265"/>
      <c r="I115" s="265"/>
      <c r="J115" s="265"/>
      <c r="K115" s="13"/>
      <c r="L115" s="13"/>
      <c r="M115" s="13"/>
      <c r="N115" s="13"/>
      <c r="O115" s="13"/>
      <c r="P115" s="13"/>
      <c r="Q115" s="13"/>
      <c r="R115" s="213" t="s">
        <v>3494</v>
      </c>
      <c r="S115" s="214">
        <f t="shared" ref="S115:AI115" si="120">SUM(S112:S114)</f>
        <v>118208.93</v>
      </c>
      <c r="T115" s="214">
        <f t="shared" si="120"/>
        <v>81022.09</v>
      </c>
      <c r="U115" s="214">
        <f t="shared" si="120"/>
        <v>80839.99</v>
      </c>
      <c r="V115" s="214">
        <f t="shared" si="120"/>
        <v>182.1</v>
      </c>
      <c r="W115" s="214">
        <f t="shared" si="120"/>
        <v>182.1</v>
      </c>
      <c r="X115" s="214">
        <f t="shared" si="120"/>
        <v>0</v>
      </c>
      <c r="Y115" s="214">
        <f t="shared" si="120"/>
        <v>182.1</v>
      </c>
      <c r="Z115" s="214">
        <f t="shared" si="120"/>
        <v>182.1</v>
      </c>
      <c r="AA115" s="214">
        <f t="shared" si="120"/>
        <v>182.1</v>
      </c>
      <c r="AB115" s="214">
        <f t="shared" si="120"/>
        <v>182.1</v>
      </c>
      <c r="AC115" s="214">
        <f t="shared" si="120"/>
        <v>182.1</v>
      </c>
      <c r="AD115" s="214">
        <f t="shared" si="120"/>
        <v>182.1</v>
      </c>
      <c r="AE115" s="214">
        <f t="shared" si="120"/>
        <v>0</v>
      </c>
      <c r="AF115" s="214">
        <f t="shared" si="120"/>
        <v>182.1</v>
      </c>
      <c r="AG115" s="214">
        <f t="shared" si="120"/>
        <v>91.05</v>
      </c>
      <c r="AH115" s="214">
        <f t="shared" si="120"/>
        <v>0</v>
      </c>
      <c r="AI115" s="214">
        <f t="shared" si="120"/>
        <v>0</v>
      </c>
      <c r="AJ115" s="13"/>
      <c r="AK115" s="13"/>
      <c r="AL115" s="13"/>
      <c r="AM115" s="13"/>
      <c r="AN115" s="13"/>
      <c r="AO115" s="214">
        <f t="shared" ref="AO115:BA115" si="121">SUM(AO112:AO114)</f>
        <v>0</v>
      </c>
      <c r="AP115" s="214">
        <f t="shared" si="121"/>
        <v>0</v>
      </c>
      <c r="AQ115" s="214">
        <f t="shared" si="121"/>
        <v>0</v>
      </c>
      <c r="AR115" s="214">
        <f t="shared" si="121"/>
        <v>0</v>
      </c>
      <c r="AS115" s="214">
        <f t="shared" si="121"/>
        <v>0</v>
      </c>
      <c r="AT115" s="214">
        <f t="shared" si="121"/>
        <v>0</v>
      </c>
      <c r="AU115" s="214">
        <f t="shared" si="121"/>
        <v>0</v>
      </c>
      <c r="AV115" s="214">
        <f t="shared" si="121"/>
        <v>0</v>
      </c>
      <c r="AW115" s="214">
        <f t="shared" si="121"/>
        <v>0</v>
      </c>
      <c r="AX115" s="214">
        <f t="shared" si="121"/>
        <v>0</v>
      </c>
      <c r="AY115" s="214">
        <f t="shared" si="121"/>
        <v>91.05</v>
      </c>
      <c r="AZ115" s="214">
        <f t="shared" si="121"/>
        <v>91.05</v>
      </c>
      <c r="BA115" s="214">
        <f t="shared" si="121"/>
        <v>80839.99</v>
      </c>
      <c r="BB115" s="214"/>
      <c r="BC115" s="190"/>
      <c r="BD115" s="259"/>
    </row>
    <row r="116" spans="1:56">
      <c r="A116" s="13"/>
      <c r="B116" s="13"/>
      <c r="C116" s="13"/>
      <c r="D116" s="13"/>
      <c r="E116" s="13"/>
      <c r="F116" s="13"/>
      <c r="G116" s="190"/>
      <c r="H116" s="190"/>
      <c r="I116" s="190"/>
      <c r="J116" s="190"/>
      <c r="K116" s="13"/>
      <c r="L116" s="13"/>
      <c r="M116" s="13"/>
      <c r="N116" s="13"/>
      <c r="O116" s="13"/>
      <c r="P116" s="13"/>
      <c r="Q116" s="13"/>
      <c r="R116" s="212" t="s">
        <v>3495</v>
      </c>
      <c r="S116" s="58">
        <f t="shared" ref="S116:AG116" si="122">S111-S112</f>
        <v>26696.73</v>
      </c>
      <c r="T116" s="58">
        <f t="shared" si="122"/>
        <v>47761.37</v>
      </c>
      <c r="U116" s="58">
        <f t="shared" si="122"/>
        <v>22076.25</v>
      </c>
      <c r="V116" s="58">
        <f t="shared" si="122"/>
        <v>25685.12</v>
      </c>
      <c r="W116" s="58">
        <f t="shared" si="122"/>
        <v>25685.12</v>
      </c>
      <c r="X116" s="58">
        <f t="shared" si="122"/>
        <v>0</v>
      </c>
      <c r="Y116" s="58">
        <f t="shared" si="122"/>
        <v>25685.12</v>
      </c>
      <c r="Z116" s="58">
        <f t="shared" si="122"/>
        <v>25685.12</v>
      </c>
      <c r="AA116" s="58">
        <f t="shared" si="122"/>
        <v>25685.12</v>
      </c>
      <c r="AB116" s="58">
        <f t="shared" si="122"/>
        <v>25685.12</v>
      </c>
      <c r="AC116" s="58">
        <f t="shared" si="122"/>
        <v>25685.12</v>
      </c>
      <c r="AD116" s="58">
        <f t="shared" si="122"/>
        <v>25685.12</v>
      </c>
      <c r="AE116" s="58">
        <f t="shared" si="122"/>
        <v>0</v>
      </c>
      <c r="AF116" s="58">
        <f t="shared" si="122"/>
        <v>25685.12</v>
      </c>
      <c r="AG116" s="58">
        <f t="shared" si="122"/>
        <v>25685.12</v>
      </c>
      <c r="AH116" s="75"/>
      <c r="AI116" s="75"/>
      <c r="AJ116" s="13"/>
      <c r="AK116" s="13"/>
      <c r="AL116" s="13"/>
      <c r="AM116" s="13"/>
      <c r="AN116" s="13"/>
      <c r="AO116" s="58">
        <f t="shared" ref="AO116:BA116" si="123">AO111-AO112</f>
        <v>0</v>
      </c>
      <c r="AP116" s="58">
        <f t="shared" si="123"/>
        <v>0</v>
      </c>
      <c r="AQ116" s="58">
        <f t="shared" si="123"/>
        <v>0</v>
      </c>
      <c r="AR116" s="58">
        <f t="shared" si="123"/>
        <v>0</v>
      </c>
      <c r="AS116" s="58">
        <f t="shared" si="123"/>
        <v>0</v>
      </c>
      <c r="AT116" s="58">
        <f t="shared" si="123"/>
        <v>0</v>
      </c>
      <c r="AU116" s="58">
        <f t="shared" si="123"/>
        <v>0</v>
      </c>
      <c r="AV116" s="58">
        <f t="shared" si="123"/>
        <v>0</v>
      </c>
      <c r="AW116" s="58">
        <f t="shared" si="123"/>
        <v>0</v>
      </c>
      <c r="AX116" s="58">
        <f t="shared" si="123"/>
        <v>0</v>
      </c>
      <c r="AY116" s="58">
        <f t="shared" si="123"/>
        <v>0</v>
      </c>
      <c r="AZ116" s="58">
        <f t="shared" si="123"/>
        <v>25685.12</v>
      </c>
      <c r="BA116" s="58">
        <f t="shared" si="123"/>
        <v>22076.25</v>
      </c>
      <c r="BB116" s="240"/>
      <c r="BC116" s="230"/>
      <c r="BD116" s="259"/>
    </row>
    <row r="117" spans="1:56">
      <c r="A117" s="13"/>
      <c r="B117" s="13"/>
      <c r="C117" s="13"/>
      <c r="D117" s="13"/>
      <c r="E117" s="13"/>
      <c r="F117" s="13"/>
      <c r="G117" s="190"/>
      <c r="H117" s="190"/>
      <c r="I117" s="190"/>
      <c r="J117" s="190"/>
      <c r="K117" s="13"/>
      <c r="L117" s="13"/>
      <c r="M117" s="13"/>
      <c r="N117" s="13"/>
      <c r="O117" s="13"/>
      <c r="P117" s="13"/>
      <c r="Q117" s="13"/>
      <c r="R117" s="215" t="s">
        <v>3496</v>
      </c>
      <c r="S117" s="61">
        <f t="shared" ref="S117:AG117" si="124">S116/S111</f>
        <v>0.184235246573529</v>
      </c>
      <c r="T117" s="61">
        <f t="shared" si="124"/>
        <v>0.371982470283729</v>
      </c>
      <c r="U117" s="61">
        <f t="shared" si="124"/>
        <v>0.214934110239232</v>
      </c>
      <c r="V117" s="61">
        <f t="shared" si="124"/>
        <v>1</v>
      </c>
      <c r="W117" s="61">
        <f t="shared" si="124"/>
        <v>1</v>
      </c>
      <c r="X117" s="61" t="e">
        <f t="shared" si="124"/>
        <v>#DIV/0!</v>
      </c>
      <c r="Y117" s="61">
        <f t="shared" si="124"/>
        <v>1</v>
      </c>
      <c r="Z117" s="61">
        <f t="shared" si="124"/>
        <v>1</v>
      </c>
      <c r="AA117" s="61">
        <f t="shared" si="124"/>
        <v>1</v>
      </c>
      <c r="AB117" s="61">
        <f t="shared" si="124"/>
        <v>1</v>
      </c>
      <c r="AC117" s="61">
        <f t="shared" si="124"/>
        <v>1</v>
      </c>
      <c r="AD117" s="61">
        <f t="shared" si="124"/>
        <v>1</v>
      </c>
      <c r="AE117" s="61" t="e">
        <f t="shared" si="124"/>
        <v>#DIV/0!</v>
      </c>
      <c r="AF117" s="61">
        <f t="shared" si="124"/>
        <v>1</v>
      </c>
      <c r="AG117" s="61">
        <f t="shared" si="124"/>
        <v>1</v>
      </c>
      <c r="AH117" s="82">
        <f>T117-S117</f>
        <v>0.1877472237102</v>
      </c>
      <c r="AI117" s="82">
        <f>AF117-S117</f>
        <v>0.815764753426471</v>
      </c>
      <c r="AJ117" s="13"/>
      <c r="AK117" s="13"/>
      <c r="AL117" s="13"/>
      <c r="AM117" s="13"/>
      <c r="AN117" s="13"/>
      <c r="AO117" s="61" t="e">
        <f t="shared" ref="AO117:BA117" si="125">AO116/AO111</f>
        <v>#DIV/0!</v>
      </c>
      <c r="AP117" s="61" t="e">
        <f t="shared" si="125"/>
        <v>#DIV/0!</v>
      </c>
      <c r="AQ117" s="61" t="e">
        <f t="shared" si="125"/>
        <v>#DIV/0!</v>
      </c>
      <c r="AR117" s="61" t="e">
        <f t="shared" si="125"/>
        <v>#DIV/0!</v>
      </c>
      <c r="AS117" s="61" t="e">
        <f t="shared" si="125"/>
        <v>#DIV/0!</v>
      </c>
      <c r="AT117" s="61" t="e">
        <f t="shared" si="125"/>
        <v>#DIV/0!</v>
      </c>
      <c r="AU117" s="61" t="e">
        <f t="shared" si="125"/>
        <v>#DIV/0!</v>
      </c>
      <c r="AV117" s="61" t="e">
        <f t="shared" si="125"/>
        <v>#DIV/0!</v>
      </c>
      <c r="AW117" s="61" t="e">
        <f t="shared" si="125"/>
        <v>#DIV/0!</v>
      </c>
      <c r="AX117" s="61" t="e">
        <f t="shared" si="125"/>
        <v>#DIV/0!</v>
      </c>
      <c r="AY117" s="61" t="e">
        <f t="shared" si="125"/>
        <v>#DIV/0!</v>
      </c>
      <c r="AZ117" s="61">
        <f t="shared" si="125"/>
        <v>1</v>
      </c>
      <c r="BA117" s="61">
        <f t="shared" si="125"/>
        <v>0.214934110239232</v>
      </c>
      <c r="BB117" s="61"/>
      <c r="BC117" s="230"/>
      <c r="BD117" s="259"/>
    </row>
    <row r="118" spans="1:56">
      <c r="A118" s="13"/>
      <c r="B118" s="13"/>
      <c r="C118" s="13"/>
      <c r="D118" s="13"/>
      <c r="E118" s="13"/>
      <c r="F118" s="13"/>
      <c r="G118" s="190"/>
      <c r="H118" s="190"/>
      <c r="I118" s="190"/>
      <c r="J118" s="190"/>
      <c r="K118" s="13"/>
      <c r="L118" s="13"/>
      <c r="M118" s="13"/>
      <c r="N118" s="13"/>
      <c r="O118" s="13"/>
      <c r="P118" s="13"/>
      <c r="Q118" s="13"/>
      <c r="R118" s="212" t="s">
        <v>3497</v>
      </c>
      <c r="S118" s="216">
        <f t="shared" ref="S118:AG118" si="126">S111-S112-S113-S114</f>
        <v>26696.73</v>
      </c>
      <c r="T118" s="58">
        <f t="shared" si="126"/>
        <v>47374.74</v>
      </c>
      <c r="U118" s="58">
        <f t="shared" si="126"/>
        <v>21871.72</v>
      </c>
      <c r="V118" s="58">
        <f t="shared" si="126"/>
        <v>25503.02</v>
      </c>
      <c r="W118" s="58">
        <f t="shared" si="126"/>
        <v>25503.02</v>
      </c>
      <c r="X118" s="58">
        <f t="shared" si="126"/>
        <v>0</v>
      </c>
      <c r="Y118" s="58">
        <f t="shared" si="126"/>
        <v>25503.02</v>
      </c>
      <c r="Z118" s="58">
        <f t="shared" si="126"/>
        <v>25503.02</v>
      </c>
      <c r="AA118" s="58">
        <f t="shared" si="126"/>
        <v>25503.02</v>
      </c>
      <c r="AB118" s="58">
        <f t="shared" si="126"/>
        <v>25503.02</v>
      </c>
      <c r="AC118" s="58">
        <f t="shared" si="126"/>
        <v>25503.02</v>
      </c>
      <c r="AD118" s="58">
        <f t="shared" si="126"/>
        <v>25503.02</v>
      </c>
      <c r="AE118" s="58">
        <f t="shared" si="126"/>
        <v>0</v>
      </c>
      <c r="AF118" s="58">
        <f t="shared" si="126"/>
        <v>25503.02</v>
      </c>
      <c r="AG118" s="58">
        <f t="shared" si="126"/>
        <v>25594.07</v>
      </c>
      <c r="AH118" s="82"/>
      <c r="AI118" s="82"/>
      <c r="AJ118" s="13"/>
      <c r="AK118" s="13"/>
      <c r="AL118" s="13"/>
      <c r="AM118" s="13"/>
      <c r="AN118" s="13"/>
      <c r="AO118" s="58">
        <f t="shared" ref="AO118:BA118" si="127">AO111-AO112-AO113-AO114</f>
        <v>0</v>
      </c>
      <c r="AP118" s="58">
        <f t="shared" si="127"/>
        <v>0</v>
      </c>
      <c r="AQ118" s="58">
        <f t="shared" si="127"/>
        <v>0</v>
      </c>
      <c r="AR118" s="58">
        <f t="shared" si="127"/>
        <v>0</v>
      </c>
      <c r="AS118" s="58">
        <f t="shared" si="127"/>
        <v>0</v>
      </c>
      <c r="AT118" s="58">
        <f t="shared" si="127"/>
        <v>0</v>
      </c>
      <c r="AU118" s="58">
        <f t="shared" si="127"/>
        <v>0</v>
      </c>
      <c r="AV118" s="58">
        <f t="shared" si="127"/>
        <v>0</v>
      </c>
      <c r="AW118" s="58">
        <f t="shared" si="127"/>
        <v>0</v>
      </c>
      <c r="AX118" s="58">
        <f t="shared" si="127"/>
        <v>0</v>
      </c>
      <c r="AY118" s="58">
        <f t="shared" si="127"/>
        <v>-91.05</v>
      </c>
      <c r="AZ118" s="58">
        <f t="shared" si="127"/>
        <v>25594.07</v>
      </c>
      <c r="BA118" s="58">
        <f t="shared" si="127"/>
        <v>21871.72</v>
      </c>
      <c r="BB118" s="58"/>
      <c r="BC118" s="230"/>
      <c r="BD118" s="259"/>
    </row>
    <row r="119" spans="1:56">
      <c r="A119" s="14"/>
      <c r="B119" s="14"/>
      <c r="C119" s="14"/>
      <c r="D119" s="14"/>
      <c r="E119" s="14"/>
      <c r="F119" s="14"/>
      <c r="G119" s="190"/>
      <c r="H119" s="190"/>
      <c r="I119" s="190"/>
      <c r="J119" s="190"/>
      <c r="K119" s="14"/>
      <c r="L119" s="14"/>
      <c r="M119" s="14"/>
      <c r="N119" s="14"/>
      <c r="O119" s="14"/>
      <c r="P119" s="14"/>
      <c r="Q119" s="14"/>
      <c r="R119" s="215" t="s">
        <v>3498</v>
      </c>
      <c r="S119" s="61">
        <f t="shared" ref="S119:AG119" si="128">S118/S111</f>
        <v>0.184235246573529</v>
      </c>
      <c r="T119" s="61">
        <f t="shared" si="128"/>
        <v>0.368971258869865</v>
      </c>
      <c r="U119" s="61">
        <f t="shared" si="128"/>
        <v>0.212942808565839</v>
      </c>
      <c r="V119" s="61">
        <f t="shared" si="128"/>
        <v>0.992910292029004</v>
      </c>
      <c r="W119" s="61">
        <f t="shared" si="128"/>
        <v>0.992910292029004</v>
      </c>
      <c r="X119" s="61" t="e">
        <f t="shared" si="128"/>
        <v>#DIV/0!</v>
      </c>
      <c r="Y119" s="61">
        <f t="shared" si="128"/>
        <v>0.992910292029004</v>
      </c>
      <c r="Z119" s="61">
        <f t="shared" si="128"/>
        <v>0.992910292029004</v>
      </c>
      <c r="AA119" s="61">
        <f t="shared" si="128"/>
        <v>0.992910292029004</v>
      </c>
      <c r="AB119" s="61">
        <f t="shared" si="128"/>
        <v>0.992910292029004</v>
      </c>
      <c r="AC119" s="61">
        <f t="shared" si="128"/>
        <v>0.992910292029004</v>
      </c>
      <c r="AD119" s="61">
        <f t="shared" si="128"/>
        <v>0.992910292029004</v>
      </c>
      <c r="AE119" s="61" t="e">
        <f t="shared" si="128"/>
        <v>#DIV/0!</v>
      </c>
      <c r="AF119" s="61">
        <f t="shared" si="128"/>
        <v>0.992910292029004</v>
      </c>
      <c r="AG119" s="61">
        <f t="shared" si="128"/>
        <v>0.996455146014502</v>
      </c>
      <c r="AH119" s="82">
        <f>T119-S119</f>
        <v>0.184736012296335</v>
      </c>
      <c r="AI119" s="82">
        <f>AF119-S119</f>
        <v>0.808675045455474</v>
      </c>
      <c r="AJ119" s="14"/>
      <c r="AK119" s="14"/>
      <c r="AL119" s="14"/>
      <c r="AM119" s="14"/>
      <c r="AN119" s="14"/>
      <c r="AO119" s="61" t="e">
        <f t="shared" ref="AO119:BA119" si="129">AO118/AO111</f>
        <v>#DIV/0!</v>
      </c>
      <c r="AP119" s="61" t="e">
        <f t="shared" si="129"/>
        <v>#DIV/0!</v>
      </c>
      <c r="AQ119" s="61" t="e">
        <f t="shared" si="129"/>
        <v>#DIV/0!</v>
      </c>
      <c r="AR119" s="61" t="e">
        <f t="shared" si="129"/>
        <v>#DIV/0!</v>
      </c>
      <c r="AS119" s="61" t="e">
        <f t="shared" si="129"/>
        <v>#DIV/0!</v>
      </c>
      <c r="AT119" s="61" t="e">
        <f t="shared" si="129"/>
        <v>#DIV/0!</v>
      </c>
      <c r="AU119" s="61" t="e">
        <f t="shared" si="129"/>
        <v>#DIV/0!</v>
      </c>
      <c r="AV119" s="61" t="e">
        <f t="shared" si="129"/>
        <v>#DIV/0!</v>
      </c>
      <c r="AW119" s="61" t="e">
        <f t="shared" si="129"/>
        <v>#DIV/0!</v>
      </c>
      <c r="AX119" s="61" t="e">
        <f t="shared" si="129"/>
        <v>#DIV/0!</v>
      </c>
      <c r="AY119" s="61" t="e">
        <f t="shared" si="129"/>
        <v>#DIV/0!</v>
      </c>
      <c r="AZ119" s="61">
        <f t="shared" si="129"/>
        <v>0.996455146014502</v>
      </c>
      <c r="BA119" s="61">
        <f t="shared" si="129"/>
        <v>0.212942808565839</v>
      </c>
      <c r="BB119" s="61"/>
      <c r="BC119" s="230"/>
      <c r="BD119" s="259"/>
    </row>
    <row r="120" ht="17.25" customHeight="1" spans="1:58">
      <c r="A120" s="186" t="s">
        <v>3652</v>
      </c>
      <c r="B120" s="194" t="s">
        <v>3355</v>
      </c>
      <c r="C120" s="188">
        <v>45855</v>
      </c>
      <c r="D120" s="188">
        <v>46219</v>
      </c>
      <c r="E120" s="211" t="s">
        <v>3650</v>
      </c>
      <c r="F120" s="211" t="s">
        <v>3650</v>
      </c>
      <c r="G120" s="190"/>
      <c r="H120" s="190"/>
      <c r="I120" s="190"/>
      <c r="J120" s="190"/>
      <c r="K120" s="201"/>
      <c r="L120" s="201"/>
      <c r="M120" s="201"/>
      <c r="N120" s="201"/>
      <c r="O120" s="201"/>
      <c r="P120" s="201"/>
      <c r="Q120" s="211" t="s">
        <v>3633</v>
      </c>
      <c r="R120" s="212" t="s">
        <v>3486</v>
      </c>
      <c r="S120" s="58">
        <v>244105.66</v>
      </c>
      <c r="T120" s="58">
        <f>SUM(AO120:BC120)</f>
        <v>140695.3</v>
      </c>
      <c r="U120" s="58">
        <f>SUM(BA120:BF120)</f>
        <v>120686.78</v>
      </c>
      <c r="V120" s="219">
        <f>SUM(AO120:AZ120)</f>
        <v>20008.52</v>
      </c>
      <c r="W120" s="219">
        <f>SUM(AP120:AZ120)</f>
        <v>20008.52</v>
      </c>
      <c r="X120" s="219">
        <f>SUM(AQ120:AU120)</f>
        <v>0</v>
      </c>
      <c r="Y120" s="219">
        <f>SUM(AS120:AZ120)</f>
        <v>20008.52</v>
      </c>
      <c r="Z120" s="219">
        <f>SUM(AT120:AZ120)</f>
        <v>20008.52</v>
      </c>
      <c r="AA120" s="219">
        <f>SUM(AT120:AZ120)</f>
        <v>20008.52</v>
      </c>
      <c r="AB120" s="219">
        <f>SUM(AU120:AZ120)</f>
        <v>20008.52</v>
      </c>
      <c r="AC120" s="219">
        <f>SUM(AV120:AZ120)</f>
        <v>20008.52</v>
      </c>
      <c r="AD120" s="219">
        <f>SUM(AW120:AZ120)</f>
        <v>20008.52</v>
      </c>
      <c r="AE120" s="219"/>
      <c r="AF120" s="58">
        <f>SUM(AY120:AZ120)</f>
        <v>20008.52</v>
      </c>
      <c r="AG120" s="58">
        <f>SUM(AZ120:AZ120)</f>
        <v>9238.58</v>
      </c>
      <c r="AH120" s="75"/>
      <c r="AI120" s="75"/>
      <c r="AJ120" s="230"/>
      <c r="AK120" s="231"/>
      <c r="AL120" s="232" t="s">
        <v>377</v>
      </c>
      <c r="AM120" s="232" t="s">
        <v>377</v>
      </c>
      <c r="AN120" s="233"/>
      <c r="AO120" s="240"/>
      <c r="AP120" s="240"/>
      <c r="AQ120" s="240"/>
      <c r="AR120" s="240"/>
      <c r="AS120" s="240"/>
      <c r="AT120" s="240"/>
      <c r="AU120" s="240"/>
      <c r="AV120" s="240"/>
      <c r="AW120" s="240"/>
      <c r="AX120" s="240"/>
      <c r="AY120" s="284">
        <v>10769.94</v>
      </c>
      <c r="AZ120" s="240">
        <v>9238.58</v>
      </c>
      <c r="BA120" s="240">
        <v>120686.78</v>
      </c>
      <c r="BB120" s="285"/>
      <c r="BC120" s="285"/>
      <c r="BD120" s="259"/>
      <c r="BE120" s="294"/>
      <c r="BF120" s="294"/>
    </row>
    <row r="121" ht="17.25" customHeight="1" spans="1:58">
      <c r="A121" s="13"/>
      <c r="B121" s="13"/>
      <c r="C121" s="13"/>
      <c r="D121" s="13"/>
      <c r="E121" s="13"/>
      <c r="F121" s="13"/>
      <c r="G121" s="190"/>
      <c r="H121" s="190"/>
      <c r="I121" s="190"/>
      <c r="J121" s="190"/>
      <c r="K121" s="13"/>
      <c r="L121" s="13"/>
      <c r="M121" s="13"/>
      <c r="N121" s="13"/>
      <c r="O121" s="13"/>
      <c r="P121" s="13"/>
      <c r="Q121" s="13"/>
      <c r="R121" s="212" t="s">
        <v>3490</v>
      </c>
      <c r="S121" s="58">
        <v>200029.57</v>
      </c>
      <c r="T121" s="58">
        <f>SUM(AO121:BC121)</f>
        <v>88130.69</v>
      </c>
      <c r="U121" s="58">
        <f>SUM(BA121:BF121)</f>
        <v>88130.69</v>
      </c>
      <c r="V121" s="219">
        <f>SUM(AO121:AZ121)</f>
        <v>0</v>
      </c>
      <c r="W121" s="219">
        <f>SUM(AP121:AZ121)</f>
        <v>0</v>
      </c>
      <c r="X121" s="219">
        <f>SUM(AQ121:AU121)</f>
        <v>0</v>
      </c>
      <c r="Y121" s="219">
        <f>SUM(AS121:AZ121)</f>
        <v>0</v>
      </c>
      <c r="Z121" s="219">
        <f>SUM(AT121:AZ121)</f>
        <v>0</v>
      </c>
      <c r="AA121" s="219">
        <f>SUM(AT121:AZ121)</f>
        <v>0</v>
      </c>
      <c r="AB121" s="219">
        <f>SUM(AU121:AZ121)</f>
        <v>0</v>
      </c>
      <c r="AC121" s="219">
        <f>SUM(AV121:AZ121)</f>
        <v>0</v>
      </c>
      <c r="AD121" s="219">
        <f>SUM(AW121:AZ121)</f>
        <v>0</v>
      </c>
      <c r="AE121" s="219"/>
      <c r="AF121" s="58">
        <f>SUM(AY121:AZ121)</f>
        <v>0</v>
      </c>
      <c r="AG121" s="58">
        <f>SUM(AZ121:AZ121)</f>
        <v>0</v>
      </c>
      <c r="AH121" s="75"/>
      <c r="AI121" s="75"/>
      <c r="AJ121" s="13"/>
      <c r="AK121" s="13"/>
      <c r="AL121" s="13"/>
      <c r="AM121" s="13"/>
      <c r="AN121" s="13"/>
      <c r="AO121" s="271"/>
      <c r="AP121" s="271"/>
      <c r="AQ121" s="271"/>
      <c r="AR121" s="271"/>
      <c r="AS121" s="271"/>
      <c r="AT121" s="271"/>
      <c r="AU121" s="271"/>
      <c r="AV121" s="271"/>
      <c r="AW121" s="271"/>
      <c r="AX121" s="271"/>
      <c r="AY121" s="271">
        <v>0</v>
      </c>
      <c r="AZ121" s="271">
        <v>0</v>
      </c>
      <c r="BA121" s="240">
        <v>88130.69</v>
      </c>
      <c r="BB121" s="286"/>
      <c r="BC121" s="286"/>
      <c r="BD121" s="259"/>
      <c r="BE121" s="295"/>
      <c r="BF121" s="296"/>
    </row>
    <row r="122" spans="1:56">
      <c r="A122" s="13"/>
      <c r="B122" s="13"/>
      <c r="C122" s="13"/>
      <c r="D122" s="13"/>
      <c r="E122" s="13"/>
      <c r="F122" s="13"/>
      <c r="G122" s="190"/>
      <c r="H122" s="190"/>
      <c r="I122" s="190"/>
      <c r="J122" s="190"/>
      <c r="K122" s="13"/>
      <c r="L122" s="13"/>
      <c r="M122" s="13"/>
      <c r="N122" s="13"/>
      <c r="O122" s="13"/>
      <c r="P122" s="13"/>
      <c r="Q122" s="13"/>
      <c r="R122" s="212" t="s">
        <v>3492</v>
      </c>
      <c r="S122" s="58">
        <v>0</v>
      </c>
      <c r="T122" s="58">
        <f>SUM(AO122:BC122)</f>
        <v>0</v>
      </c>
      <c r="U122" s="58">
        <f>SUM(BA122:BF122)</f>
        <v>0</v>
      </c>
      <c r="V122" s="219">
        <f>SUM(AO122:AZ122)</f>
        <v>0</v>
      </c>
      <c r="W122" s="219">
        <f>SUM(AP122:AZ122)</f>
        <v>0</v>
      </c>
      <c r="X122" s="219">
        <f>SUM(AQ122:AU122)</f>
        <v>0</v>
      </c>
      <c r="Y122" s="219">
        <f>SUM(AS122:AZ122)</f>
        <v>0</v>
      </c>
      <c r="Z122" s="219">
        <f>SUM(AT122:AZ122)</f>
        <v>0</v>
      </c>
      <c r="AA122" s="219">
        <f>SUM(AT122:AZ122)</f>
        <v>0</v>
      </c>
      <c r="AB122" s="219">
        <f>SUM(AU122:AZ122)</f>
        <v>0</v>
      </c>
      <c r="AC122" s="219">
        <f>SUM(AV122:AZ122)</f>
        <v>0</v>
      </c>
      <c r="AD122" s="219">
        <f>SUM(AW122:AZ122)</f>
        <v>0</v>
      </c>
      <c r="AE122" s="219"/>
      <c r="AF122" s="58">
        <f>SUM(AY122:AZ122)</f>
        <v>0</v>
      </c>
      <c r="AG122" s="58">
        <f>SUM(AZ122:AZ122)</f>
        <v>0</v>
      </c>
      <c r="AH122" s="75"/>
      <c r="AI122" s="75"/>
      <c r="AJ122" s="13"/>
      <c r="AK122" s="13"/>
      <c r="AL122" s="13"/>
      <c r="AM122" s="13"/>
      <c r="AN122" s="13"/>
      <c r="AO122" s="271"/>
      <c r="AP122" s="271"/>
      <c r="AQ122" s="271"/>
      <c r="AR122" s="271"/>
      <c r="AS122" s="271"/>
      <c r="AT122" s="271"/>
      <c r="AU122" s="271"/>
      <c r="AV122" s="271"/>
      <c r="AW122" s="271"/>
      <c r="AX122" s="271"/>
      <c r="AY122" s="271">
        <v>0</v>
      </c>
      <c r="AZ122" s="271">
        <v>0</v>
      </c>
      <c r="BA122" s="240">
        <v>0</v>
      </c>
      <c r="BB122" s="240"/>
      <c r="BC122" s="230"/>
      <c r="BD122" s="259"/>
    </row>
    <row r="123" ht="17.25" customHeight="1" spans="1:58">
      <c r="A123" s="13"/>
      <c r="B123" s="13"/>
      <c r="C123" s="13"/>
      <c r="D123" s="13"/>
      <c r="E123" s="13"/>
      <c r="F123" s="13"/>
      <c r="G123" s="190"/>
      <c r="H123" s="190"/>
      <c r="I123" s="190"/>
      <c r="J123" s="190"/>
      <c r="K123" s="13"/>
      <c r="L123" s="13"/>
      <c r="M123" s="13"/>
      <c r="N123" s="13"/>
      <c r="O123" s="13"/>
      <c r="P123" s="13"/>
      <c r="Q123" s="13"/>
      <c r="R123" s="212" t="s">
        <v>3493</v>
      </c>
      <c r="S123" s="58">
        <v>0</v>
      </c>
      <c r="T123" s="58">
        <f>SUM(AO123:BC123)</f>
        <v>303.64</v>
      </c>
      <c r="U123" s="58">
        <f>SUM(BA123:BF123)</f>
        <v>169.86</v>
      </c>
      <c r="V123" s="219">
        <f>SUM(AO123:AZ123)</f>
        <v>133.78</v>
      </c>
      <c r="W123" s="219">
        <f>SUM(AP123:AZ123)</f>
        <v>133.78</v>
      </c>
      <c r="X123" s="219">
        <f>SUM(AQ123:AU123)</f>
        <v>0</v>
      </c>
      <c r="Y123" s="219">
        <f>SUM(AS123:AZ123)</f>
        <v>133.78</v>
      </c>
      <c r="Z123" s="219">
        <f>SUM(AT123:AZ123)</f>
        <v>133.78</v>
      </c>
      <c r="AA123" s="219">
        <f>SUM(AT123:AZ123)</f>
        <v>133.78</v>
      </c>
      <c r="AB123" s="219">
        <f>SUM(AU123:AZ123)</f>
        <v>133.78</v>
      </c>
      <c r="AC123" s="219">
        <f>SUM(AV123:AZ123)</f>
        <v>133.78</v>
      </c>
      <c r="AD123" s="219">
        <f>SUM(AW123:AZ123)</f>
        <v>133.78</v>
      </c>
      <c r="AE123" s="219"/>
      <c r="AF123" s="58">
        <f>SUM(AY123:AZ123)</f>
        <v>133.78</v>
      </c>
      <c r="AG123" s="58">
        <f>SUM(AZ123:AZ123)</f>
        <v>61.14</v>
      </c>
      <c r="AH123" s="75"/>
      <c r="AI123" s="75"/>
      <c r="AJ123" s="13"/>
      <c r="AK123" s="13"/>
      <c r="AL123" s="13"/>
      <c r="AM123" s="13"/>
      <c r="AN123" s="13"/>
      <c r="AO123" s="271"/>
      <c r="AP123" s="271"/>
      <c r="AQ123" s="271"/>
      <c r="AR123" s="271"/>
      <c r="AS123" s="271"/>
      <c r="AT123" s="271"/>
      <c r="AU123" s="271"/>
      <c r="AV123" s="271"/>
      <c r="AW123" s="271"/>
      <c r="AX123" s="271"/>
      <c r="AY123" s="271">
        <v>72.64</v>
      </c>
      <c r="AZ123" s="272">
        <v>61.14</v>
      </c>
      <c r="BA123" s="240">
        <v>169.86</v>
      </c>
      <c r="BB123" s="287"/>
      <c r="BC123" s="287"/>
      <c r="BD123" s="259"/>
      <c r="BE123" s="296"/>
      <c r="BF123" s="296"/>
    </row>
    <row r="124" spans="1:56">
      <c r="A124" s="13"/>
      <c r="B124" s="13"/>
      <c r="C124" s="13"/>
      <c r="D124" s="13"/>
      <c r="E124" s="13"/>
      <c r="F124" s="13"/>
      <c r="G124" s="265"/>
      <c r="H124" s="265"/>
      <c r="I124" s="265"/>
      <c r="J124" s="265"/>
      <c r="K124" s="13"/>
      <c r="L124" s="13"/>
      <c r="M124" s="13"/>
      <c r="N124" s="13"/>
      <c r="O124" s="13"/>
      <c r="P124" s="13"/>
      <c r="Q124" s="13"/>
      <c r="R124" s="213" t="s">
        <v>3494</v>
      </c>
      <c r="S124" s="214">
        <f t="shared" ref="S124:AI124" si="130">SUM(S121:S123)</f>
        <v>200029.57</v>
      </c>
      <c r="T124" s="214">
        <f t="shared" si="130"/>
        <v>88434.33</v>
      </c>
      <c r="U124" s="214">
        <f t="shared" si="130"/>
        <v>88300.55</v>
      </c>
      <c r="V124" s="214">
        <f t="shared" si="130"/>
        <v>133.78</v>
      </c>
      <c r="W124" s="214">
        <f t="shared" si="130"/>
        <v>133.78</v>
      </c>
      <c r="X124" s="214">
        <f t="shared" si="130"/>
        <v>0</v>
      </c>
      <c r="Y124" s="214">
        <f t="shared" si="130"/>
        <v>133.78</v>
      </c>
      <c r="Z124" s="214">
        <f t="shared" si="130"/>
        <v>133.78</v>
      </c>
      <c r="AA124" s="214">
        <f t="shared" si="130"/>
        <v>133.78</v>
      </c>
      <c r="AB124" s="214">
        <f t="shared" si="130"/>
        <v>133.78</v>
      </c>
      <c r="AC124" s="214">
        <f t="shared" si="130"/>
        <v>133.78</v>
      </c>
      <c r="AD124" s="214">
        <f t="shared" si="130"/>
        <v>133.78</v>
      </c>
      <c r="AE124" s="214">
        <f t="shared" si="130"/>
        <v>0</v>
      </c>
      <c r="AF124" s="214">
        <f t="shared" si="130"/>
        <v>133.78</v>
      </c>
      <c r="AG124" s="214">
        <f t="shared" si="130"/>
        <v>61.14</v>
      </c>
      <c r="AH124" s="214">
        <f t="shared" si="130"/>
        <v>0</v>
      </c>
      <c r="AI124" s="214">
        <f t="shared" si="130"/>
        <v>0</v>
      </c>
      <c r="AJ124" s="13"/>
      <c r="AK124" s="13"/>
      <c r="AL124" s="13"/>
      <c r="AM124" s="13"/>
      <c r="AN124" s="13"/>
      <c r="AO124" s="214">
        <f t="shared" ref="AO124:AZ124" si="131">SUM(AO121:AO123)</f>
        <v>0</v>
      </c>
      <c r="AP124" s="214">
        <f t="shared" si="131"/>
        <v>0</v>
      </c>
      <c r="AQ124" s="214">
        <f t="shared" si="131"/>
        <v>0</v>
      </c>
      <c r="AR124" s="214">
        <f t="shared" si="131"/>
        <v>0</v>
      </c>
      <c r="AS124" s="214">
        <f t="shared" si="131"/>
        <v>0</v>
      </c>
      <c r="AT124" s="214">
        <f t="shared" si="131"/>
        <v>0</v>
      </c>
      <c r="AU124" s="214">
        <f t="shared" si="131"/>
        <v>0</v>
      </c>
      <c r="AV124" s="214">
        <f t="shared" si="131"/>
        <v>0</v>
      </c>
      <c r="AW124" s="214">
        <f t="shared" si="131"/>
        <v>0</v>
      </c>
      <c r="AX124" s="214">
        <f t="shared" si="131"/>
        <v>0</v>
      </c>
      <c r="AY124" s="214">
        <f t="shared" si="131"/>
        <v>72.64</v>
      </c>
      <c r="AZ124" s="214">
        <f t="shared" si="131"/>
        <v>61.14</v>
      </c>
      <c r="BA124" s="214">
        <v>88300.55</v>
      </c>
      <c r="BB124" s="214"/>
      <c r="BC124" s="190"/>
      <c r="BD124" s="259"/>
    </row>
    <row r="125" spans="1:56">
      <c r="A125" s="13"/>
      <c r="B125" s="13"/>
      <c r="C125" s="13"/>
      <c r="D125" s="13"/>
      <c r="E125" s="13"/>
      <c r="F125" s="13"/>
      <c r="G125" s="190"/>
      <c r="H125" s="190"/>
      <c r="I125" s="190"/>
      <c r="J125" s="190"/>
      <c r="K125" s="13"/>
      <c r="L125" s="13"/>
      <c r="M125" s="13"/>
      <c r="N125" s="13"/>
      <c r="O125" s="13"/>
      <c r="P125" s="13"/>
      <c r="Q125" s="13"/>
      <c r="R125" s="212" t="s">
        <v>3495</v>
      </c>
      <c r="S125" s="58">
        <f t="shared" ref="S125:AG125" si="132">S120-S121</f>
        <v>44076.09</v>
      </c>
      <c r="T125" s="58">
        <f t="shared" si="132"/>
        <v>52564.61</v>
      </c>
      <c r="U125" s="58">
        <f t="shared" si="132"/>
        <v>32556.09</v>
      </c>
      <c r="V125" s="58">
        <f t="shared" si="132"/>
        <v>20008.52</v>
      </c>
      <c r="W125" s="58">
        <f t="shared" si="132"/>
        <v>20008.52</v>
      </c>
      <c r="X125" s="58">
        <f t="shared" si="132"/>
        <v>0</v>
      </c>
      <c r="Y125" s="58">
        <f t="shared" si="132"/>
        <v>20008.52</v>
      </c>
      <c r="Z125" s="58">
        <f t="shared" si="132"/>
        <v>20008.52</v>
      </c>
      <c r="AA125" s="58">
        <f t="shared" si="132"/>
        <v>20008.52</v>
      </c>
      <c r="AB125" s="58">
        <f t="shared" si="132"/>
        <v>20008.52</v>
      </c>
      <c r="AC125" s="58">
        <f t="shared" si="132"/>
        <v>20008.52</v>
      </c>
      <c r="AD125" s="58">
        <f t="shared" si="132"/>
        <v>20008.52</v>
      </c>
      <c r="AE125" s="58">
        <f t="shared" si="132"/>
        <v>0</v>
      </c>
      <c r="AF125" s="58">
        <f t="shared" si="132"/>
        <v>20008.52</v>
      </c>
      <c r="AG125" s="58">
        <f t="shared" si="132"/>
        <v>9238.58</v>
      </c>
      <c r="AH125" s="75"/>
      <c r="AI125" s="75"/>
      <c r="AJ125" s="13"/>
      <c r="AK125" s="13"/>
      <c r="AL125" s="13"/>
      <c r="AM125" s="13"/>
      <c r="AN125" s="13"/>
      <c r="AO125" s="58">
        <f t="shared" ref="AO125:BA125" si="133">AO120-AO121</f>
        <v>0</v>
      </c>
      <c r="AP125" s="58">
        <f t="shared" si="133"/>
        <v>0</v>
      </c>
      <c r="AQ125" s="58">
        <f t="shared" si="133"/>
        <v>0</v>
      </c>
      <c r="AR125" s="58">
        <f t="shared" si="133"/>
        <v>0</v>
      </c>
      <c r="AS125" s="58">
        <f t="shared" si="133"/>
        <v>0</v>
      </c>
      <c r="AT125" s="58">
        <f t="shared" si="133"/>
        <v>0</v>
      </c>
      <c r="AU125" s="58">
        <f t="shared" si="133"/>
        <v>0</v>
      </c>
      <c r="AV125" s="58">
        <f t="shared" si="133"/>
        <v>0</v>
      </c>
      <c r="AW125" s="58">
        <f t="shared" si="133"/>
        <v>0</v>
      </c>
      <c r="AX125" s="58">
        <f t="shared" si="133"/>
        <v>0</v>
      </c>
      <c r="AY125" s="58">
        <f t="shared" si="133"/>
        <v>10769.94</v>
      </c>
      <c r="AZ125" s="58">
        <f t="shared" si="133"/>
        <v>9238.58</v>
      </c>
      <c r="BA125" s="58">
        <f t="shared" si="133"/>
        <v>32556.09</v>
      </c>
      <c r="BB125" s="240"/>
      <c r="BC125" s="230"/>
      <c r="BD125" s="259"/>
    </row>
    <row r="126" spans="1:56">
      <c r="A126" s="13"/>
      <c r="B126" s="13"/>
      <c r="C126" s="13"/>
      <c r="D126" s="13"/>
      <c r="E126" s="13"/>
      <c r="F126" s="13"/>
      <c r="G126" s="190"/>
      <c r="H126" s="190"/>
      <c r="I126" s="190"/>
      <c r="J126" s="190"/>
      <c r="K126" s="13"/>
      <c r="L126" s="13"/>
      <c r="M126" s="13"/>
      <c r="N126" s="13"/>
      <c r="O126" s="13"/>
      <c r="P126" s="13"/>
      <c r="Q126" s="13"/>
      <c r="R126" s="215" t="s">
        <v>3496</v>
      </c>
      <c r="S126" s="61">
        <f t="shared" ref="S126:AG126" si="134">S125/S120</f>
        <v>0.180561524054788</v>
      </c>
      <c r="T126" s="61">
        <f t="shared" si="134"/>
        <v>0.373606012425433</v>
      </c>
      <c r="U126" s="61">
        <f t="shared" si="134"/>
        <v>0.269756886379768</v>
      </c>
      <c r="V126" s="61">
        <f t="shared" si="134"/>
        <v>1</v>
      </c>
      <c r="W126" s="61">
        <f t="shared" si="134"/>
        <v>1</v>
      </c>
      <c r="X126" s="61" t="e">
        <f t="shared" si="134"/>
        <v>#DIV/0!</v>
      </c>
      <c r="Y126" s="61">
        <f t="shared" si="134"/>
        <v>1</v>
      </c>
      <c r="Z126" s="61">
        <f t="shared" si="134"/>
        <v>1</v>
      </c>
      <c r="AA126" s="61">
        <f t="shared" si="134"/>
        <v>1</v>
      </c>
      <c r="AB126" s="61">
        <f t="shared" si="134"/>
        <v>1</v>
      </c>
      <c r="AC126" s="61">
        <f t="shared" si="134"/>
        <v>1</v>
      </c>
      <c r="AD126" s="61">
        <f t="shared" si="134"/>
        <v>1</v>
      </c>
      <c r="AE126" s="61" t="e">
        <f t="shared" si="134"/>
        <v>#DIV/0!</v>
      </c>
      <c r="AF126" s="61">
        <f t="shared" si="134"/>
        <v>1</v>
      </c>
      <c r="AG126" s="61">
        <f t="shared" si="134"/>
        <v>1</v>
      </c>
      <c r="AH126" s="82">
        <f>T126-S126</f>
        <v>0.193044488370644</v>
      </c>
      <c r="AI126" s="82">
        <f>AF126-S126</f>
        <v>0.819438475945212</v>
      </c>
      <c r="AJ126" s="13"/>
      <c r="AK126" s="13"/>
      <c r="AL126" s="13"/>
      <c r="AM126" s="13"/>
      <c r="AN126" s="13"/>
      <c r="AO126" s="61" t="e">
        <f t="shared" ref="AO126:BA126" si="135">AO125/AO120</f>
        <v>#DIV/0!</v>
      </c>
      <c r="AP126" s="61" t="e">
        <f t="shared" si="135"/>
        <v>#DIV/0!</v>
      </c>
      <c r="AQ126" s="61" t="e">
        <f t="shared" si="135"/>
        <v>#DIV/0!</v>
      </c>
      <c r="AR126" s="61" t="e">
        <f t="shared" si="135"/>
        <v>#DIV/0!</v>
      </c>
      <c r="AS126" s="61" t="e">
        <f t="shared" si="135"/>
        <v>#DIV/0!</v>
      </c>
      <c r="AT126" s="61" t="e">
        <f t="shared" si="135"/>
        <v>#DIV/0!</v>
      </c>
      <c r="AU126" s="61" t="e">
        <f t="shared" si="135"/>
        <v>#DIV/0!</v>
      </c>
      <c r="AV126" s="61" t="e">
        <f t="shared" si="135"/>
        <v>#DIV/0!</v>
      </c>
      <c r="AW126" s="61" t="e">
        <f t="shared" si="135"/>
        <v>#DIV/0!</v>
      </c>
      <c r="AX126" s="61" t="e">
        <f t="shared" si="135"/>
        <v>#DIV/0!</v>
      </c>
      <c r="AY126" s="61">
        <f t="shared" si="135"/>
        <v>1</v>
      </c>
      <c r="AZ126" s="61">
        <f t="shared" si="135"/>
        <v>1</v>
      </c>
      <c r="BA126" s="61">
        <f t="shared" si="135"/>
        <v>0.269756886379768</v>
      </c>
      <c r="BB126" s="61"/>
      <c r="BC126" s="230"/>
      <c r="BD126" s="259"/>
    </row>
    <row r="127" spans="1:56">
      <c r="A127" s="13"/>
      <c r="B127" s="13"/>
      <c r="C127" s="13"/>
      <c r="D127" s="13"/>
      <c r="E127" s="13"/>
      <c r="F127" s="13"/>
      <c r="G127" s="190"/>
      <c r="H127" s="190"/>
      <c r="I127" s="190"/>
      <c r="J127" s="190"/>
      <c r="K127" s="13"/>
      <c r="L127" s="13"/>
      <c r="M127" s="13"/>
      <c r="N127" s="13"/>
      <c r="O127" s="13"/>
      <c r="P127" s="13"/>
      <c r="Q127" s="13"/>
      <c r="R127" s="212" t="s">
        <v>3497</v>
      </c>
      <c r="S127" s="216">
        <f t="shared" ref="S127:AG127" si="136">S120-S121-S122-S123</f>
        <v>44076.09</v>
      </c>
      <c r="T127" s="58">
        <f t="shared" si="136"/>
        <v>52260.97</v>
      </c>
      <c r="U127" s="58">
        <f t="shared" si="136"/>
        <v>32386.23</v>
      </c>
      <c r="V127" s="58">
        <f t="shared" si="136"/>
        <v>19874.74</v>
      </c>
      <c r="W127" s="58">
        <f t="shared" si="136"/>
        <v>19874.74</v>
      </c>
      <c r="X127" s="58">
        <f t="shared" si="136"/>
        <v>0</v>
      </c>
      <c r="Y127" s="58">
        <f t="shared" si="136"/>
        <v>19874.74</v>
      </c>
      <c r="Z127" s="58">
        <f t="shared" si="136"/>
        <v>19874.74</v>
      </c>
      <c r="AA127" s="58">
        <f t="shared" si="136"/>
        <v>19874.74</v>
      </c>
      <c r="AB127" s="58">
        <f t="shared" si="136"/>
        <v>19874.74</v>
      </c>
      <c r="AC127" s="58">
        <f t="shared" si="136"/>
        <v>19874.74</v>
      </c>
      <c r="AD127" s="58">
        <f t="shared" si="136"/>
        <v>19874.74</v>
      </c>
      <c r="AE127" s="58">
        <f t="shared" si="136"/>
        <v>0</v>
      </c>
      <c r="AF127" s="58">
        <f t="shared" si="136"/>
        <v>19874.74</v>
      </c>
      <c r="AG127" s="58">
        <f t="shared" si="136"/>
        <v>9177.44</v>
      </c>
      <c r="AH127" s="82"/>
      <c r="AI127" s="82"/>
      <c r="AJ127" s="13"/>
      <c r="AK127" s="13"/>
      <c r="AL127" s="13"/>
      <c r="AM127" s="13"/>
      <c r="AN127" s="13"/>
      <c r="AO127" s="58">
        <f t="shared" ref="AO127:BA127" si="137">AO120-AO121-AO122-AO123</f>
        <v>0</v>
      </c>
      <c r="AP127" s="58">
        <f t="shared" si="137"/>
        <v>0</v>
      </c>
      <c r="AQ127" s="58">
        <f t="shared" si="137"/>
        <v>0</v>
      </c>
      <c r="AR127" s="58">
        <f t="shared" si="137"/>
        <v>0</v>
      </c>
      <c r="AS127" s="58">
        <f t="shared" si="137"/>
        <v>0</v>
      </c>
      <c r="AT127" s="58">
        <f t="shared" si="137"/>
        <v>0</v>
      </c>
      <c r="AU127" s="58">
        <f t="shared" si="137"/>
        <v>0</v>
      </c>
      <c r="AV127" s="58">
        <f t="shared" si="137"/>
        <v>0</v>
      </c>
      <c r="AW127" s="58">
        <f t="shared" si="137"/>
        <v>0</v>
      </c>
      <c r="AX127" s="58">
        <f t="shared" si="137"/>
        <v>0</v>
      </c>
      <c r="AY127" s="58">
        <f t="shared" si="137"/>
        <v>10697.3</v>
      </c>
      <c r="AZ127" s="58">
        <f t="shared" si="137"/>
        <v>9177.44</v>
      </c>
      <c r="BA127" s="58">
        <f t="shared" si="137"/>
        <v>32386.23</v>
      </c>
      <c r="BB127" s="58"/>
      <c r="BC127" s="230"/>
      <c r="BD127" s="259"/>
    </row>
    <row r="128" spans="1:56">
      <c r="A128" s="14"/>
      <c r="B128" s="14"/>
      <c r="C128" s="14"/>
      <c r="D128" s="14"/>
      <c r="E128" s="14"/>
      <c r="F128" s="14"/>
      <c r="G128" s="190"/>
      <c r="H128" s="190"/>
      <c r="I128" s="190"/>
      <c r="J128" s="190"/>
      <c r="K128" s="14"/>
      <c r="L128" s="14"/>
      <c r="M128" s="14"/>
      <c r="N128" s="14"/>
      <c r="O128" s="14"/>
      <c r="P128" s="14"/>
      <c r="Q128" s="14"/>
      <c r="R128" s="215" t="s">
        <v>3498</v>
      </c>
      <c r="S128" s="61">
        <f t="shared" ref="S128:AG128" si="138">S127/S120</f>
        <v>0.180561524054788</v>
      </c>
      <c r="T128" s="61">
        <f t="shared" si="138"/>
        <v>0.37144787352527</v>
      </c>
      <c r="U128" s="61">
        <f t="shared" si="138"/>
        <v>0.268349441421836</v>
      </c>
      <c r="V128" s="61">
        <f t="shared" si="138"/>
        <v>0.993313848300624</v>
      </c>
      <c r="W128" s="61">
        <f t="shared" si="138"/>
        <v>0.993313848300624</v>
      </c>
      <c r="X128" s="61" t="e">
        <f t="shared" si="138"/>
        <v>#DIV/0!</v>
      </c>
      <c r="Y128" s="61">
        <f t="shared" si="138"/>
        <v>0.993313848300624</v>
      </c>
      <c r="Z128" s="61">
        <f t="shared" si="138"/>
        <v>0.993313848300624</v>
      </c>
      <c r="AA128" s="61">
        <f t="shared" si="138"/>
        <v>0.993313848300624</v>
      </c>
      <c r="AB128" s="61">
        <f t="shared" si="138"/>
        <v>0.993313848300624</v>
      </c>
      <c r="AC128" s="61">
        <f t="shared" si="138"/>
        <v>0.993313848300624</v>
      </c>
      <c r="AD128" s="61">
        <f t="shared" si="138"/>
        <v>0.993313848300624</v>
      </c>
      <c r="AE128" s="61" t="e">
        <f t="shared" si="138"/>
        <v>#DIV/0!</v>
      </c>
      <c r="AF128" s="61">
        <f t="shared" si="138"/>
        <v>0.993313848300624</v>
      </c>
      <c r="AG128" s="61">
        <f t="shared" si="138"/>
        <v>0.993382099846513</v>
      </c>
      <c r="AH128" s="82">
        <f>T128-S128</f>
        <v>0.190886349470482</v>
      </c>
      <c r="AI128" s="82">
        <f>AF128-S128</f>
        <v>0.812752324245836</v>
      </c>
      <c r="AJ128" s="14"/>
      <c r="AK128" s="14"/>
      <c r="AL128" s="14"/>
      <c r="AM128" s="14"/>
      <c r="AN128" s="14"/>
      <c r="AO128" s="61" t="e">
        <f t="shared" ref="AO128:BA128" si="139">AO127/AO120</f>
        <v>#DIV/0!</v>
      </c>
      <c r="AP128" s="61" t="e">
        <f t="shared" si="139"/>
        <v>#DIV/0!</v>
      </c>
      <c r="AQ128" s="61" t="e">
        <f t="shared" si="139"/>
        <v>#DIV/0!</v>
      </c>
      <c r="AR128" s="61" t="e">
        <f t="shared" si="139"/>
        <v>#DIV/0!</v>
      </c>
      <c r="AS128" s="61" t="e">
        <f t="shared" si="139"/>
        <v>#DIV/0!</v>
      </c>
      <c r="AT128" s="61" t="e">
        <f t="shared" si="139"/>
        <v>#DIV/0!</v>
      </c>
      <c r="AU128" s="61" t="e">
        <f t="shared" si="139"/>
        <v>#DIV/0!</v>
      </c>
      <c r="AV128" s="61" t="e">
        <f t="shared" si="139"/>
        <v>#DIV/0!</v>
      </c>
      <c r="AW128" s="61" t="e">
        <f t="shared" si="139"/>
        <v>#DIV/0!</v>
      </c>
      <c r="AX128" s="61" t="e">
        <f t="shared" si="139"/>
        <v>#DIV/0!</v>
      </c>
      <c r="AY128" s="61">
        <f t="shared" si="139"/>
        <v>0.993255301329441</v>
      </c>
      <c r="AZ128" s="61">
        <f t="shared" si="139"/>
        <v>0.993382099846513</v>
      </c>
      <c r="BA128" s="61">
        <f t="shared" si="139"/>
        <v>0.268349441421836</v>
      </c>
      <c r="BB128" s="61"/>
      <c r="BC128" s="230"/>
      <c r="BD128" s="259"/>
    </row>
    <row r="129" spans="1:56">
      <c r="A129" s="186" t="s">
        <v>3356</v>
      </c>
      <c r="B129" s="194" t="s">
        <v>3357</v>
      </c>
      <c r="C129" s="188">
        <v>46054</v>
      </c>
      <c r="D129" s="188">
        <v>46234</v>
      </c>
      <c r="E129" s="211" t="s">
        <v>3653</v>
      </c>
      <c r="F129" s="211" t="s">
        <v>3648</v>
      </c>
      <c r="G129" s="190"/>
      <c r="H129" s="190"/>
      <c r="I129" s="190"/>
      <c r="J129" s="190"/>
      <c r="K129" s="201"/>
      <c r="L129" s="201"/>
      <c r="M129" s="201"/>
      <c r="N129" s="201"/>
      <c r="O129" s="201"/>
      <c r="P129" s="201"/>
      <c r="Q129" s="211" t="s">
        <v>3645</v>
      </c>
      <c r="R129" s="212" t="s">
        <v>3486</v>
      </c>
      <c r="S129" s="58">
        <v>885054.11</v>
      </c>
      <c r="T129" s="57">
        <f>SUM(AO129:BC129)</f>
        <v>23892.05</v>
      </c>
      <c r="U129" s="58">
        <f>SUM(BA129:BC129)</f>
        <v>0</v>
      </c>
      <c r="V129" s="70">
        <f>SUM(AO129:AZ129)</f>
        <v>23892.05</v>
      </c>
      <c r="W129" s="70">
        <f>SUM(AP129:AZ129)</f>
        <v>23892.05</v>
      </c>
      <c r="X129" s="70">
        <f>SUM(AQ129:AU129)</f>
        <v>0</v>
      </c>
      <c r="Y129" s="70">
        <f>SUM(AS129:AZ129)</f>
        <v>23892.05</v>
      </c>
      <c r="Z129" s="70">
        <f>SUM(AT129:AZ129)</f>
        <v>23892.05</v>
      </c>
      <c r="AA129" s="219">
        <f>SUM(AT129:AZ129)</f>
        <v>23892.05</v>
      </c>
      <c r="AB129" s="219">
        <f>SUM(AU129:AZ129)</f>
        <v>23892.05</v>
      </c>
      <c r="AC129" s="219">
        <f>SUM(AV129:AZ129)</f>
        <v>23892.05</v>
      </c>
      <c r="AD129" s="219">
        <f>SUM(AW129:AZ129)</f>
        <v>23892.05</v>
      </c>
      <c r="AE129" s="219"/>
      <c r="AF129" s="58">
        <f>SUM(AY129:AZ129)</f>
        <v>23892.05</v>
      </c>
      <c r="AG129" s="58"/>
      <c r="AH129" s="75"/>
      <c r="AI129" s="75"/>
      <c r="AJ129" s="230"/>
      <c r="AK129" s="231"/>
      <c r="AL129" s="232" t="s">
        <v>377</v>
      </c>
      <c r="AM129" s="232" t="s">
        <v>377</v>
      </c>
      <c r="AN129" s="233"/>
      <c r="AO129" s="240"/>
      <c r="AP129" s="240"/>
      <c r="AQ129" s="240"/>
      <c r="AR129" s="240"/>
      <c r="AS129" s="240"/>
      <c r="AT129" s="240"/>
      <c r="AU129" s="240"/>
      <c r="AV129" s="240"/>
      <c r="AW129" s="240"/>
      <c r="AX129" s="240"/>
      <c r="AY129" s="240">
        <v>23892.05</v>
      </c>
      <c r="AZ129" s="240"/>
      <c r="BA129" s="240"/>
      <c r="BB129" s="240"/>
      <c r="BC129" s="230"/>
      <c r="BD129" s="259"/>
    </row>
    <row r="130" spans="1:56">
      <c r="A130" s="13"/>
      <c r="B130" s="13"/>
      <c r="C130" s="13"/>
      <c r="D130" s="13"/>
      <c r="E130" s="13"/>
      <c r="F130" s="13"/>
      <c r="G130" s="190"/>
      <c r="H130" s="190"/>
      <c r="I130" s="190"/>
      <c r="J130" s="190"/>
      <c r="K130" s="13"/>
      <c r="L130" s="13"/>
      <c r="M130" s="13"/>
      <c r="N130" s="13"/>
      <c r="O130" s="13"/>
      <c r="P130" s="13"/>
      <c r="Q130" s="13"/>
      <c r="R130" s="212" t="s">
        <v>3490</v>
      </c>
      <c r="S130" s="58">
        <v>714458.21</v>
      </c>
      <c r="T130" s="57">
        <f>SUM(AO130:BC130)</f>
        <v>27097.93</v>
      </c>
      <c r="U130" s="58">
        <f>SUM(BA130:BC130)</f>
        <v>0</v>
      </c>
      <c r="V130" s="70">
        <f>SUM(AO130:AZ130)</f>
        <v>27097.93</v>
      </c>
      <c r="W130" s="70">
        <f>SUM(AP130:AZ130)</f>
        <v>27097.93</v>
      </c>
      <c r="X130" s="70">
        <f>SUM(AQ130:AU130)</f>
        <v>0</v>
      </c>
      <c r="Y130" s="70">
        <f>SUM(AS130:AZ130)</f>
        <v>27097.93</v>
      </c>
      <c r="Z130" s="70">
        <f>SUM(AT130:AZ130)</f>
        <v>27097.93</v>
      </c>
      <c r="AA130" s="219">
        <f>SUM(AT130:AZ130)</f>
        <v>27097.93</v>
      </c>
      <c r="AB130" s="219">
        <f>SUM(AU130:AZ130)</f>
        <v>27097.93</v>
      </c>
      <c r="AC130" s="219">
        <f>SUM(AV130:AZ130)</f>
        <v>27097.93</v>
      </c>
      <c r="AD130" s="219">
        <f>SUM(AW130:AZ130)</f>
        <v>27097.93</v>
      </c>
      <c r="AE130" s="219"/>
      <c r="AF130" s="58">
        <f>SUM(AY130:AZ130)</f>
        <v>27097.93</v>
      </c>
      <c r="AG130" s="58"/>
      <c r="AH130" s="75"/>
      <c r="AI130" s="75"/>
      <c r="AJ130" s="13"/>
      <c r="AK130" s="13"/>
      <c r="AL130" s="13"/>
      <c r="AM130" s="13"/>
      <c r="AN130" s="13"/>
      <c r="AO130" s="241"/>
      <c r="AP130" s="241"/>
      <c r="AQ130" s="241"/>
      <c r="AR130" s="241"/>
      <c r="AS130" s="241"/>
      <c r="AT130" s="241"/>
      <c r="AU130" s="241"/>
      <c r="AV130" s="241"/>
      <c r="AW130" s="241"/>
      <c r="AX130" s="241"/>
      <c r="AY130" s="241">
        <v>27097.93</v>
      </c>
      <c r="AZ130" s="241"/>
      <c r="BA130" s="260"/>
      <c r="BB130" s="240"/>
      <c r="BC130" s="230"/>
      <c r="BD130" s="259"/>
    </row>
    <row r="131" spans="1:56">
      <c r="A131" s="13"/>
      <c r="B131" s="13"/>
      <c r="C131" s="13"/>
      <c r="D131" s="13"/>
      <c r="E131" s="13"/>
      <c r="F131" s="13"/>
      <c r="G131" s="190"/>
      <c r="H131" s="190"/>
      <c r="I131" s="190"/>
      <c r="J131" s="190"/>
      <c r="K131" s="13"/>
      <c r="L131" s="13"/>
      <c r="M131" s="13"/>
      <c r="N131" s="13"/>
      <c r="O131" s="13"/>
      <c r="P131" s="13"/>
      <c r="Q131" s="13"/>
      <c r="R131" s="212" t="s">
        <v>3492</v>
      </c>
      <c r="S131" s="58">
        <v>30000</v>
      </c>
      <c r="T131" s="57">
        <f>SUM(AO131:BC131)</f>
        <v>0</v>
      </c>
      <c r="U131" s="58">
        <f>SUM(BA131:BC131)</f>
        <v>0</v>
      </c>
      <c r="V131" s="70">
        <f>SUM(AO131:AZ131)</f>
        <v>0</v>
      </c>
      <c r="W131" s="70">
        <f>SUM(AP131:AZ131)</f>
        <v>0</v>
      </c>
      <c r="X131" s="70">
        <f>SUM(AQ131:AU131)</f>
        <v>0</v>
      </c>
      <c r="Y131" s="70">
        <f>SUM(AS131:AZ131)</f>
        <v>0</v>
      </c>
      <c r="Z131" s="70">
        <f>SUM(AT131:AZ131)</f>
        <v>0</v>
      </c>
      <c r="AA131" s="219">
        <f>SUM(AT131:AZ131)</f>
        <v>0</v>
      </c>
      <c r="AB131" s="219">
        <f>SUM(AU131:AZ131)</f>
        <v>0</v>
      </c>
      <c r="AC131" s="219">
        <f>SUM(AV131:AZ131)</f>
        <v>0</v>
      </c>
      <c r="AD131" s="219">
        <f>SUM(AW131:AZ131)</f>
        <v>0</v>
      </c>
      <c r="AE131" s="219"/>
      <c r="AF131" s="58">
        <f>SUM(AY131:AZ131)</f>
        <v>0</v>
      </c>
      <c r="AG131" s="58"/>
      <c r="AH131" s="75"/>
      <c r="AI131" s="75"/>
      <c r="AJ131" s="13"/>
      <c r="AK131" s="13"/>
      <c r="AL131" s="13"/>
      <c r="AM131" s="13"/>
      <c r="AN131" s="13"/>
      <c r="AO131" s="241"/>
      <c r="AP131" s="241"/>
      <c r="AQ131" s="241"/>
      <c r="AR131" s="241"/>
      <c r="AS131" s="241"/>
      <c r="AT131" s="241"/>
      <c r="AU131" s="241"/>
      <c r="AV131" s="241"/>
      <c r="AW131" s="241"/>
      <c r="AX131" s="241"/>
      <c r="AY131" s="241">
        <v>0</v>
      </c>
      <c r="AZ131" s="241"/>
      <c r="BA131" s="260"/>
      <c r="BB131" s="240"/>
      <c r="BC131" s="230"/>
      <c r="BD131" s="259"/>
    </row>
    <row r="132" spans="1:56">
      <c r="A132" s="13"/>
      <c r="B132" s="13"/>
      <c r="C132" s="13"/>
      <c r="D132" s="13"/>
      <c r="E132" s="13"/>
      <c r="F132" s="13"/>
      <c r="G132" s="190"/>
      <c r="H132" s="190"/>
      <c r="I132" s="190"/>
      <c r="J132" s="190"/>
      <c r="K132" s="13"/>
      <c r="L132" s="13"/>
      <c r="M132" s="13"/>
      <c r="N132" s="13"/>
      <c r="O132" s="13"/>
      <c r="P132" s="13"/>
      <c r="Q132" s="13"/>
      <c r="R132" s="212" t="s">
        <v>3493</v>
      </c>
      <c r="S132" s="58">
        <v>0</v>
      </c>
      <c r="T132" s="57">
        <f>SUM(AO132:BC132)</f>
        <v>25.52</v>
      </c>
      <c r="U132" s="58">
        <f>SUM(BA132:BC132)</f>
        <v>0</v>
      </c>
      <c r="V132" s="70">
        <f>SUM(AO132:AZ132)</f>
        <v>25.52</v>
      </c>
      <c r="W132" s="70">
        <f>SUM(AP132:AZ132)</f>
        <v>25.52</v>
      </c>
      <c r="X132" s="70">
        <f>SUM(AQ132:AU132)</f>
        <v>0</v>
      </c>
      <c r="Y132" s="70">
        <f>SUM(AS132:AZ132)</f>
        <v>25.52</v>
      </c>
      <c r="Z132" s="70">
        <f>SUM(AT132:AZ132)</f>
        <v>25.52</v>
      </c>
      <c r="AA132" s="219">
        <f>SUM(AT132:AZ132)</f>
        <v>25.52</v>
      </c>
      <c r="AB132" s="219">
        <f>SUM(AU132:AZ132)</f>
        <v>25.52</v>
      </c>
      <c r="AC132" s="219">
        <f>SUM(AV132:AZ132)</f>
        <v>25.52</v>
      </c>
      <c r="AD132" s="219">
        <f>SUM(AW132:AZ132)</f>
        <v>25.52</v>
      </c>
      <c r="AE132" s="219"/>
      <c r="AF132" s="58">
        <f>SUM(AY132:AZ132)</f>
        <v>25.52</v>
      </c>
      <c r="AG132" s="58"/>
      <c r="AH132" s="75"/>
      <c r="AI132" s="75"/>
      <c r="AJ132" s="13"/>
      <c r="AK132" s="13"/>
      <c r="AL132" s="13"/>
      <c r="AM132" s="13"/>
      <c r="AN132" s="13"/>
      <c r="AO132" s="241"/>
      <c r="AP132" s="241"/>
      <c r="AQ132" s="241"/>
      <c r="AR132" s="241"/>
      <c r="AS132" s="241"/>
      <c r="AT132" s="241"/>
      <c r="AU132" s="241"/>
      <c r="AV132" s="241"/>
      <c r="AW132" s="241"/>
      <c r="AX132" s="241"/>
      <c r="AY132" s="241">
        <v>25.52</v>
      </c>
      <c r="AZ132" s="275"/>
      <c r="BA132" s="240"/>
      <c r="BB132" s="240"/>
      <c r="BC132" s="230"/>
      <c r="BD132" s="259"/>
    </row>
    <row r="133" spans="1:56">
      <c r="A133" s="13"/>
      <c r="B133" s="13"/>
      <c r="C133" s="13"/>
      <c r="D133" s="13"/>
      <c r="E133" s="13"/>
      <c r="F133" s="13"/>
      <c r="G133" s="265"/>
      <c r="H133" s="265"/>
      <c r="I133" s="265"/>
      <c r="J133" s="265"/>
      <c r="K133" s="13"/>
      <c r="L133" s="13"/>
      <c r="M133" s="13"/>
      <c r="N133" s="13"/>
      <c r="O133" s="13"/>
      <c r="P133" s="13"/>
      <c r="Q133" s="13"/>
      <c r="R133" s="213" t="s">
        <v>3494</v>
      </c>
      <c r="S133" s="214">
        <f t="shared" ref="S133:AI133" si="140">SUM(S130:S132)</f>
        <v>744458.21</v>
      </c>
      <c r="T133" s="214">
        <f t="shared" si="140"/>
        <v>27123.45</v>
      </c>
      <c r="U133" s="214">
        <f t="shared" si="140"/>
        <v>0</v>
      </c>
      <c r="V133" s="214">
        <f t="shared" si="140"/>
        <v>27123.45</v>
      </c>
      <c r="W133" s="214">
        <f t="shared" si="140"/>
        <v>27123.45</v>
      </c>
      <c r="X133" s="214">
        <f t="shared" si="140"/>
        <v>0</v>
      </c>
      <c r="Y133" s="214">
        <f t="shared" si="140"/>
        <v>27123.45</v>
      </c>
      <c r="Z133" s="214">
        <f t="shared" si="140"/>
        <v>27123.45</v>
      </c>
      <c r="AA133" s="214">
        <f t="shared" si="140"/>
        <v>27123.45</v>
      </c>
      <c r="AB133" s="214">
        <f t="shared" si="140"/>
        <v>27123.45</v>
      </c>
      <c r="AC133" s="214">
        <f t="shared" si="140"/>
        <v>27123.45</v>
      </c>
      <c r="AD133" s="214">
        <f t="shared" si="140"/>
        <v>27123.45</v>
      </c>
      <c r="AE133" s="214">
        <f t="shared" si="140"/>
        <v>0</v>
      </c>
      <c r="AF133" s="214">
        <f t="shared" si="140"/>
        <v>27123.45</v>
      </c>
      <c r="AG133" s="214">
        <f t="shared" si="140"/>
        <v>0</v>
      </c>
      <c r="AH133" s="214">
        <f t="shared" si="140"/>
        <v>0</v>
      </c>
      <c r="AI133" s="214">
        <f t="shared" si="140"/>
        <v>0</v>
      </c>
      <c r="AJ133" s="13"/>
      <c r="AK133" s="13"/>
      <c r="AL133" s="13"/>
      <c r="AM133" s="13"/>
      <c r="AN133" s="13"/>
      <c r="AO133" s="214">
        <f t="shared" ref="AO133:AY133" si="141">SUM(AO130:AO132)</f>
        <v>0</v>
      </c>
      <c r="AP133" s="214">
        <f t="shared" si="141"/>
        <v>0</v>
      </c>
      <c r="AQ133" s="214">
        <f t="shared" si="141"/>
        <v>0</v>
      </c>
      <c r="AR133" s="214">
        <f t="shared" si="141"/>
        <v>0</v>
      </c>
      <c r="AS133" s="214">
        <f t="shared" si="141"/>
        <v>0</v>
      </c>
      <c r="AT133" s="214">
        <f t="shared" si="141"/>
        <v>0</v>
      </c>
      <c r="AU133" s="214">
        <f t="shared" si="141"/>
        <v>0</v>
      </c>
      <c r="AV133" s="214">
        <f t="shared" si="141"/>
        <v>0</v>
      </c>
      <c r="AW133" s="214">
        <f t="shared" si="141"/>
        <v>0</v>
      </c>
      <c r="AX133" s="214">
        <f t="shared" si="141"/>
        <v>0</v>
      </c>
      <c r="AY133" s="214">
        <f t="shared" si="141"/>
        <v>27123.45</v>
      </c>
      <c r="AZ133" s="297"/>
      <c r="BA133" s="214"/>
      <c r="BB133" s="214"/>
      <c r="BC133" s="190"/>
      <c r="BD133" s="259"/>
    </row>
    <row r="134" spans="1:56">
      <c r="A134" s="13"/>
      <c r="B134" s="13"/>
      <c r="C134" s="13"/>
      <c r="D134" s="13"/>
      <c r="E134" s="13"/>
      <c r="F134" s="13"/>
      <c r="G134" s="190"/>
      <c r="H134" s="190"/>
      <c r="I134" s="190"/>
      <c r="J134" s="190"/>
      <c r="K134" s="13"/>
      <c r="L134" s="13"/>
      <c r="M134" s="13"/>
      <c r="N134" s="13"/>
      <c r="O134" s="13"/>
      <c r="P134" s="13"/>
      <c r="Q134" s="13"/>
      <c r="R134" s="212" t="s">
        <v>3495</v>
      </c>
      <c r="S134" s="58">
        <f t="shared" ref="S134:AG134" si="142">S129-S130</f>
        <v>170595.9</v>
      </c>
      <c r="T134" s="57">
        <f t="shared" si="142"/>
        <v>-3205.88</v>
      </c>
      <c r="U134" s="58">
        <f t="shared" si="142"/>
        <v>0</v>
      </c>
      <c r="V134" s="57">
        <f t="shared" si="142"/>
        <v>-3205.88</v>
      </c>
      <c r="W134" s="57">
        <f t="shared" si="142"/>
        <v>-3205.88</v>
      </c>
      <c r="X134" s="57">
        <f t="shared" si="142"/>
        <v>0</v>
      </c>
      <c r="Y134" s="57">
        <f t="shared" si="142"/>
        <v>-3205.88</v>
      </c>
      <c r="Z134" s="57">
        <f t="shared" si="142"/>
        <v>-3205.88</v>
      </c>
      <c r="AA134" s="58">
        <f t="shared" si="142"/>
        <v>-3205.88</v>
      </c>
      <c r="AB134" s="58">
        <f t="shared" si="142"/>
        <v>-3205.88</v>
      </c>
      <c r="AC134" s="58">
        <f t="shared" si="142"/>
        <v>-3205.88</v>
      </c>
      <c r="AD134" s="58">
        <f t="shared" si="142"/>
        <v>-3205.88</v>
      </c>
      <c r="AE134" s="58">
        <f t="shared" si="142"/>
        <v>0</v>
      </c>
      <c r="AF134" s="58">
        <f t="shared" si="142"/>
        <v>-3205.88</v>
      </c>
      <c r="AG134" s="58">
        <f t="shared" si="142"/>
        <v>0</v>
      </c>
      <c r="AH134" s="75"/>
      <c r="AI134" s="75"/>
      <c r="AJ134" s="13"/>
      <c r="AK134" s="13"/>
      <c r="AL134" s="13"/>
      <c r="AM134" s="13"/>
      <c r="AN134" s="13"/>
      <c r="AO134" s="242">
        <f t="shared" ref="AO134:AZ134" si="143">AO129-AO130</f>
        <v>0</v>
      </c>
      <c r="AP134" s="242">
        <f t="shared" si="143"/>
        <v>0</v>
      </c>
      <c r="AQ134" s="242">
        <f t="shared" si="143"/>
        <v>0</v>
      </c>
      <c r="AR134" s="242">
        <f t="shared" si="143"/>
        <v>0</v>
      </c>
      <c r="AS134" s="242">
        <f t="shared" si="143"/>
        <v>0</v>
      </c>
      <c r="AT134" s="242">
        <f t="shared" si="143"/>
        <v>0</v>
      </c>
      <c r="AU134" s="242">
        <f t="shared" si="143"/>
        <v>0</v>
      </c>
      <c r="AV134" s="242">
        <f t="shared" si="143"/>
        <v>0</v>
      </c>
      <c r="AW134" s="242">
        <f t="shared" si="143"/>
        <v>0</v>
      </c>
      <c r="AX134" s="242">
        <f t="shared" si="143"/>
        <v>0</v>
      </c>
      <c r="AY134" s="242">
        <f t="shared" si="143"/>
        <v>-3205.88</v>
      </c>
      <c r="AZ134" s="278">
        <f t="shared" si="143"/>
        <v>0</v>
      </c>
      <c r="BA134" s="240"/>
      <c r="BB134" s="240"/>
      <c r="BC134" s="230"/>
      <c r="BD134" s="259"/>
    </row>
    <row r="135" spans="1:56">
      <c r="A135" s="13"/>
      <c r="B135" s="13"/>
      <c r="C135" s="13"/>
      <c r="D135" s="13"/>
      <c r="E135" s="13"/>
      <c r="F135" s="13"/>
      <c r="G135" s="190"/>
      <c r="H135" s="190"/>
      <c r="I135" s="190"/>
      <c r="J135" s="190"/>
      <c r="K135" s="13"/>
      <c r="L135" s="13"/>
      <c r="M135" s="13"/>
      <c r="N135" s="13"/>
      <c r="O135" s="13"/>
      <c r="P135" s="13"/>
      <c r="Q135" s="13"/>
      <c r="R135" s="215" t="s">
        <v>3496</v>
      </c>
      <c r="S135" s="61">
        <f t="shared" ref="S135:AG135" si="144">S134/S129</f>
        <v>0.192751943720142</v>
      </c>
      <c r="T135" s="62">
        <f t="shared" si="144"/>
        <v>-0.134181872212724</v>
      </c>
      <c r="U135" s="61" t="e">
        <f t="shared" si="144"/>
        <v>#DIV/0!</v>
      </c>
      <c r="V135" s="62">
        <f t="shared" si="144"/>
        <v>-0.134181872212724</v>
      </c>
      <c r="W135" s="62">
        <f t="shared" si="144"/>
        <v>-0.134181872212724</v>
      </c>
      <c r="X135" s="62" t="e">
        <f t="shared" si="144"/>
        <v>#DIV/0!</v>
      </c>
      <c r="Y135" s="62">
        <f t="shared" si="144"/>
        <v>-0.134181872212724</v>
      </c>
      <c r="Z135" s="62">
        <f t="shared" si="144"/>
        <v>-0.134181872212724</v>
      </c>
      <c r="AA135" s="61">
        <f t="shared" si="144"/>
        <v>-0.134181872212724</v>
      </c>
      <c r="AB135" s="61">
        <f t="shared" si="144"/>
        <v>-0.134181872212724</v>
      </c>
      <c r="AC135" s="61">
        <f t="shared" si="144"/>
        <v>-0.134181872212724</v>
      </c>
      <c r="AD135" s="61">
        <f t="shared" si="144"/>
        <v>-0.134181872212724</v>
      </c>
      <c r="AE135" s="61" t="e">
        <f t="shared" si="144"/>
        <v>#DIV/0!</v>
      </c>
      <c r="AF135" s="61">
        <f t="shared" si="144"/>
        <v>-0.134181872212724</v>
      </c>
      <c r="AG135" s="61" t="e">
        <f t="shared" si="144"/>
        <v>#DIV/0!</v>
      </c>
      <c r="AH135" s="82">
        <f>T135-S135</f>
        <v>-0.326933815932865</v>
      </c>
      <c r="AI135" s="82">
        <f>AF135-S135</f>
        <v>-0.326933815932865</v>
      </c>
      <c r="AJ135" s="13"/>
      <c r="AK135" s="13"/>
      <c r="AL135" s="13"/>
      <c r="AM135" s="13"/>
      <c r="AN135" s="13"/>
      <c r="AO135" s="61" t="e">
        <f t="shared" ref="AO135:AZ135" si="145">AO134/AO129</f>
        <v>#DIV/0!</v>
      </c>
      <c r="AP135" s="61" t="e">
        <f t="shared" si="145"/>
        <v>#DIV/0!</v>
      </c>
      <c r="AQ135" s="61" t="e">
        <f t="shared" si="145"/>
        <v>#DIV/0!</v>
      </c>
      <c r="AR135" s="61" t="e">
        <f t="shared" si="145"/>
        <v>#DIV/0!</v>
      </c>
      <c r="AS135" s="61" t="e">
        <f t="shared" si="145"/>
        <v>#DIV/0!</v>
      </c>
      <c r="AT135" s="61" t="e">
        <f t="shared" si="145"/>
        <v>#DIV/0!</v>
      </c>
      <c r="AU135" s="61" t="e">
        <f t="shared" si="145"/>
        <v>#DIV/0!</v>
      </c>
      <c r="AV135" s="61" t="e">
        <f t="shared" si="145"/>
        <v>#DIV/0!</v>
      </c>
      <c r="AW135" s="61" t="e">
        <f t="shared" si="145"/>
        <v>#DIV/0!</v>
      </c>
      <c r="AX135" s="61" t="e">
        <f t="shared" si="145"/>
        <v>#DIV/0!</v>
      </c>
      <c r="AY135" s="61">
        <f t="shared" si="145"/>
        <v>-0.134181872212724</v>
      </c>
      <c r="AZ135" s="279" t="e">
        <f t="shared" si="145"/>
        <v>#DIV/0!</v>
      </c>
      <c r="BA135" s="61"/>
      <c r="BB135" s="61"/>
      <c r="BC135" s="230"/>
      <c r="BD135" s="259"/>
    </row>
    <row r="136" spans="1:56">
      <c r="A136" s="13"/>
      <c r="B136" s="13"/>
      <c r="C136" s="13"/>
      <c r="D136" s="13"/>
      <c r="E136" s="13"/>
      <c r="F136" s="13"/>
      <c r="G136" s="190"/>
      <c r="H136" s="190"/>
      <c r="I136" s="190"/>
      <c r="J136" s="190"/>
      <c r="K136" s="13"/>
      <c r="L136" s="13"/>
      <c r="M136" s="13"/>
      <c r="N136" s="13"/>
      <c r="O136" s="13"/>
      <c r="P136" s="13"/>
      <c r="Q136" s="13"/>
      <c r="R136" s="212" t="s">
        <v>3497</v>
      </c>
      <c r="S136" s="216">
        <f t="shared" ref="S136:AG136" si="146">S129-S130-S131-S132</f>
        <v>140595.9</v>
      </c>
      <c r="T136" s="57">
        <f t="shared" si="146"/>
        <v>-3231.4</v>
      </c>
      <c r="U136" s="58">
        <f t="shared" si="146"/>
        <v>0</v>
      </c>
      <c r="V136" s="57">
        <f t="shared" si="146"/>
        <v>-3231.4</v>
      </c>
      <c r="W136" s="57">
        <f t="shared" si="146"/>
        <v>-3231.4</v>
      </c>
      <c r="X136" s="57">
        <f t="shared" si="146"/>
        <v>0</v>
      </c>
      <c r="Y136" s="57">
        <f t="shared" si="146"/>
        <v>-3231.4</v>
      </c>
      <c r="Z136" s="57">
        <f t="shared" si="146"/>
        <v>-3231.4</v>
      </c>
      <c r="AA136" s="58">
        <f t="shared" si="146"/>
        <v>-3231.4</v>
      </c>
      <c r="AB136" s="58">
        <f t="shared" si="146"/>
        <v>-3231.4</v>
      </c>
      <c r="AC136" s="58">
        <f t="shared" si="146"/>
        <v>-3231.4</v>
      </c>
      <c r="AD136" s="58">
        <f t="shared" si="146"/>
        <v>-3231.4</v>
      </c>
      <c r="AE136" s="58">
        <f t="shared" si="146"/>
        <v>0</v>
      </c>
      <c r="AF136" s="58">
        <f t="shared" si="146"/>
        <v>-3231.4</v>
      </c>
      <c r="AG136" s="58">
        <f t="shared" si="146"/>
        <v>0</v>
      </c>
      <c r="AH136" s="82"/>
      <c r="AI136" s="82"/>
      <c r="AJ136" s="13"/>
      <c r="AK136" s="13"/>
      <c r="AL136" s="13"/>
      <c r="AM136" s="13"/>
      <c r="AN136" s="13"/>
      <c r="AO136" s="58">
        <f t="shared" ref="AO136:AZ136" si="147">AO129-AO130-AO131-AO132</f>
        <v>0</v>
      </c>
      <c r="AP136" s="58">
        <f t="shared" si="147"/>
        <v>0</v>
      </c>
      <c r="AQ136" s="58">
        <f t="shared" si="147"/>
        <v>0</v>
      </c>
      <c r="AR136" s="58">
        <f t="shared" si="147"/>
        <v>0</v>
      </c>
      <c r="AS136" s="58">
        <f t="shared" si="147"/>
        <v>0</v>
      </c>
      <c r="AT136" s="58">
        <f t="shared" si="147"/>
        <v>0</v>
      </c>
      <c r="AU136" s="58">
        <f t="shared" si="147"/>
        <v>0</v>
      </c>
      <c r="AV136" s="58">
        <f t="shared" si="147"/>
        <v>0</v>
      </c>
      <c r="AW136" s="58">
        <f t="shared" si="147"/>
        <v>0</v>
      </c>
      <c r="AX136" s="58">
        <f t="shared" si="147"/>
        <v>0</v>
      </c>
      <c r="AY136" s="58">
        <f t="shared" si="147"/>
        <v>-3231.4</v>
      </c>
      <c r="AZ136" s="280">
        <f t="shared" si="147"/>
        <v>0</v>
      </c>
      <c r="BA136" s="58"/>
      <c r="BB136" s="58"/>
      <c r="BC136" s="230"/>
      <c r="BD136" s="259"/>
    </row>
    <row r="137" spans="1:56">
      <c r="A137" s="14"/>
      <c r="B137" s="14"/>
      <c r="C137" s="14"/>
      <c r="D137" s="14"/>
      <c r="E137" s="14"/>
      <c r="F137" s="14"/>
      <c r="G137" s="190"/>
      <c r="H137" s="190"/>
      <c r="I137" s="190"/>
      <c r="J137" s="190"/>
      <c r="K137" s="14"/>
      <c r="L137" s="14"/>
      <c r="M137" s="14"/>
      <c r="N137" s="14"/>
      <c r="O137" s="14"/>
      <c r="P137" s="14"/>
      <c r="Q137" s="14"/>
      <c r="R137" s="267" t="s">
        <v>3498</v>
      </c>
      <c r="S137" s="268">
        <f t="shared" ref="S137:AG137" si="148">S136/S129</f>
        <v>0.15885571109319</v>
      </c>
      <c r="T137" s="269">
        <f t="shared" si="148"/>
        <v>-0.135250009940545</v>
      </c>
      <c r="U137" s="268" t="e">
        <f t="shared" si="148"/>
        <v>#DIV/0!</v>
      </c>
      <c r="V137" s="269">
        <f t="shared" si="148"/>
        <v>-0.135250009940545</v>
      </c>
      <c r="W137" s="269">
        <f t="shared" si="148"/>
        <v>-0.135250009940545</v>
      </c>
      <c r="X137" s="269" t="e">
        <f t="shared" si="148"/>
        <v>#DIV/0!</v>
      </c>
      <c r="Y137" s="269">
        <f t="shared" si="148"/>
        <v>-0.135250009940545</v>
      </c>
      <c r="Z137" s="269">
        <f t="shared" si="148"/>
        <v>-0.135250009940545</v>
      </c>
      <c r="AA137" s="268">
        <f t="shared" si="148"/>
        <v>-0.135250009940545</v>
      </c>
      <c r="AB137" s="268">
        <f t="shared" si="148"/>
        <v>-0.135250009940545</v>
      </c>
      <c r="AC137" s="268">
        <f t="shared" si="148"/>
        <v>-0.135250009940545</v>
      </c>
      <c r="AD137" s="268">
        <f t="shared" si="148"/>
        <v>-0.135250009940545</v>
      </c>
      <c r="AE137" s="268" t="e">
        <f t="shared" si="148"/>
        <v>#DIV/0!</v>
      </c>
      <c r="AF137" s="61">
        <f t="shared" si="148"/>
        <v>-0.135250009940545</v>
      </c>
      <c r="AG137" s="268" t="e">
        <f t="shared" si="148"/>
        <v>#DIV/0!</v>
      </c>
      <c r="AH137" s="270">
        <f>T137-S137</f>
        <v>-0.294105721033735</v>
      </c>
      <c r="AI137" s="82">
        <f>AF137-S137</f>
        <v>-0.294105721033735</v>
      </c>
      <c r="AJ137" s="14"/>
      <c r="AK137" s="14"/>
      <c r="AL137" s="14"/>
      <c r="AM137" s="14"/>
      <c r="AN137" s="14"/>
      <c r="AO137" s="61" t="e">
        <f t="shared" ref="AO137:AZ137" si="149">AO136/AO129</f>
        <v>#DIV/0!</v>
      </c>
      <c r="AP137" s="61" t="e">
        <f t="shared" si="149"/>
        <v>#DIV/0!</v>
      </c>
      <c r="AQ137" s="61" t="e">
        <f t="shared" si="149"/>
        <v>#DIV/0!</v>
      </c>
      <c r="AR137" s="61" t="e">
        <f t="shared" si="149"/>
        <v>#DIV/0!</v>
      </c>
      <c r="AS137" s="61" t="e">
        <f t="shared" si="149"/>
        <v>#DIV/0!</v>
      </c>
      <c r="AT137" s="61" t="e">
        <f t="shared" si="149"/>
        <v>#DIV/0!</v>
      </c>
      <c r="AU137" s="61" t="e">
        <f t="shared" si="149"/>
        <v>#DIV/0!</v>
      </c>
      <c r="AV137" s="61" t="e">
        <f t="shared" si="149"/>
        <v>#DIV/0!</v>
      </c>
      <c r="AW137" s="61" t="e">
        <f t="shared" si="149"/>
        <v>#DIV/0!</v>
      </c>
      <c r="AX137" s="61" t="e">
        <f t="shared" si="149"/>
        <v>#DIV/0!</v>
      </c>
      <c r="AY137" s="61">
        <f t="shared" si="149"/>
        <v>-0.135250009940545</v>
      </c>
      <c r="AZ137" s="279" t="e">
        <f t="shared" si="149"/>
        <v>#DIV/0!</v>
      </c>
      <c r="BA137" s="61"/>
      <c r="BB137" s="61"/>
      <c r="BC137" s="230"/>
      <c r="BD137" s="259"/>
    </row>
  </sheetData>
  <autoFilter xmlns:etc="http://www.wps.cn/officeDocument/2017/etCustomData" ref="A1:BE137" etc:filterBottomFollowUsedRange="0">
    <extLst/>
  </autoFilter>
  <mergeCells count="273">
    <mergeCell ref="A2:A10"/>
    <mergeCell ref="A11:A19"/>
    <mergeCell ref="A20:A28"/>
    <mergeCell ref="A29:A37"/>
    <mergeCell ref="A38:A46"/>
    <mergeCell ref="A47:A55"/>
    <mergeCell ref="A56:A65"/>
    <mergeCell ref="A66:A74"/>
    <mergeCell ref="A75:A83"/>
    <mergeCell ref="A84:A92"/>
    <mergeCell ref="A93:A101"/>
    <mergeCell ref="A102:A110"/>
    <mergeCell ref="A111:A119"/>
    <mergeCell ref="A120:A128"/>
    <mergeCell ref="A129:A137"/>
    <mergeCell ref="B2:B10"/>
    <mergeCell ref="B11:B19"/>
    <mergeCell ref="B20:B28"/>
    <mergeCell ref="B29:B37"/>
    <mergeCell ref="B38:B46"/>
    <mergeCell ref="B47:B55"/>
    <mergeCell ref="B56:B65"/>
    <mergeCell ref="B66:B74"/>
    <mergeCell ref="B75:B83"/>
    <mergeCell ref="B84:B92"/>
    <mergeCell ref="B93:B101"/>
    <mergeCell ref="B102:B110"/>
    <mergeCell ref="B111:B119"/>
    <mergeCell ref="B120:B128"/>
    <mergeCell ref="B129:B137"/>
    <mergeCell ref="C2:C10"/>
    <mergeCell ref="C11:C19"/>
    <mergeCell ref="C20:C28"/>
    <mergeCell ref="C29:C37"/>
    <mergeCell ref="C38:C46"/>
    <mergeCell ref="C47:C55"/>
    <mergeCell ref="C56:C65"/>
    <mergeCell ref="C66:C74"/>
    <mergeCell ref="C75:C83"/>
    <mergeCell ref="C84:C92"/>
    <mergeCell ref="C93:C101"/>
    <mergeCell ref="C102:C110"/>
    <mergeCell ref="C111:C119"/>
    <mergeCell ref="C120:C128"/>
    <mergeCell ref="C129:C137"/>
    <mergeCell ref="D2:D10"/>
    <mergeCell ref="D11:D19"/>
    <mergeCell ref="D20:D28"/>
    <mergeCell ref="D29:D37"/>
    <mergeCell ref="D38:D46"/>
    <mergeCell ref="D47:D55"/>
    <mergeCell ref="D56:D65"/>
    <mergeCell ref="D66:D74"/>
    <mergeCell ref="D75:D83"/>
    <mergeCell ref="D84:D92"/>
    <mergeCell ref="D93:D101"/>
    <mergeCell ref="D102:D110"/>
    <mergeCell ref="D111:D119"/>
    <mergeCell ref="D120:D128"/>
    <mergeCell ref="D129:D137"/>
    <mergeCell ref="E2:E10"/>
    <mergeCell ref="E11:E19"/>
    <mergeCell ref="E20:E28"/>
    <mergeCell ref="E29:E37"/>
    <mergeCell ref="E38:E46"/>
    <mergeCell ref="E47:E55"/>
    <mergeCell ref="E56:E65"/>
    <mergeCell ref="E66:E74"/>
    <mergeCell ref="E75:E83"/>
    <mergeCell ref="E84:E92"/>
    <mergeCell ref="E93:E101"/>
    <mergeCell ref="E102:E110"/>
    <mergeCell ref="E111:E119"/>
    <mergeCell ref="E120:E128"/>
    <mergeCell ref="E129:E137"/>
    <mergeCell ref="F2:F10"/>
    <mergeCell ref="F11:F19"/>
    <mergeCell ref="F20:F28"/>
    <mergeCell ref="F29:F37"/>
    <mergeCell ref="F38:F46"/>
    <mergeCell ref="F47:F55"/>
    <mergeCell ref="F56:F65"/>
    <mergeCell ref="F66:F74"/>
    <mergeCell ref="F75:F83"/>
    <mergeCell ref="F84:F92"/>
    <mergeCell ref="F93:F101"/>
    <mergeCell ref="F102:F110"/>
    <mergeCell ref="F111:F119"/>
    <mergeCell ref="F120:F128"/>
    <mergeCell ref="F129:F137"/>
    <mergeCell ref="G2:G10"/>
    <mergeCell ref="G11:G19"/>
    <mergeCell ref="G20:G28"/>
    <mergeCell ref="H11:H19"/>
    <mergeCell ref="H20:H28"/>
    <mergeCell ref="I11:I19"/>
    <mergeCell ref="I20:I28"/>
    <mergeCell ref="J11:J19"/>
    <mergeCell ref="J20:J28"/>
    <mergeCell ref="K11:K19"/>
    <mergeCell ref="K20:K28"/>
    <mergeCell ref="K29:K37"/>
    <mergeCell ref="K38:K46"/>
    <mergeCell ref="K47:K55"/>
    <mergeCell ref="K56:K65"/>
    <mergeCell ref="K66:K74"/>
    <mergeCell ref="K75:K83"/>
    <mergeCell ref="K84:K92"/>
    <mergeCell ref="K93:K101"/>
    <mergeCell ref="K102:K110"/>
    <mergeCell ref="K111:K119"/>
    <mergeCell ref="K120:K128"/>
    <mergeCell ref="K129:K137"/>
    <mergeCell ref="L11:L19"/>
    <mergeCell ref="L20:L28"/>
    <mergeCell ref="L29:L37"/>
    <mergeCell ref="L38:L46"/>
    <mergeCell ref="L47:L55"/>
    <mergeCell ref="L56:L65"/>
    <mergeCell ref="L66:L74"/>
    <mergeCell ref="L75:L83"/>
    <mergeCell ref="L84:L92"/>
    <mergeCell ref="L93:L101"/>
    <mergeCell ref="L102:L110"/>
    <mergeCell ref="L111:L119"/>
    <mergeCell ref="L120:L128"/>
    <mergeCell ref="L129:L137"/>
    <mergeCell ref="M11:M19"/>
    <mergeCell ref="M20:M28"/>
    <mergeCell ref="M29:M37"/>
    <mergeCell ref="M38:M46"/>
    <mergeCell ref="M47:M55"/>
    <mergeCell ref="M56:M65"/>
    <mergeCell ref="M66:M74"/>
    <mergeCell ref="M75:M83"/>
    <mergeCell ref="M84:M92"/>
    <mergeCell ref="M93:M101"/>
    <mergeCell ref="M102:M110"/>
    <mergeCell ref="M111:M119"/>
    <mergeCell ref="M120:M128"/>
    <mergeCell ref="M129:M137"/>
    <mergeCell ref="N11:N19"/>
    <mergeCell ref="N20:N28"/>
    <mergeCell ref="N29:N37"/>
    <mergeCell ref="N38:N46"/>
    <mergeCell ref="N47:N55"/>
    <mergeCell ref="N56:N65"/>
    <mergeCell ref="N66:N74"/>
    <mergeCell ref="N75:N83"/>
    <mergeCell ref="N84:N92"/>
    <mergeCell ref="N93:N101"/>
    <mergeCell ref="N102:N110"/>
    <mergeCell ref="N111:N119"/>
    <mergeCell ref="N120:N128"/>
    <mergeCell ref="N129:N137"/>
    <mergeCell ref="O11:O19"/>
    <mergeCell ref="O20:O28"/>
    <mergeCell ref="O29:O37"/>
    <mergeCell ref="O38:O46"/>
    <mergeCell ref="O47:O55"/>
    <mergeCell ref="O56:O65"/>
    <mergeCell ref="O66:O74"/>
    <mergeCell ref="O75:O83"/>
    <mergeCell ref="O84:O92"/>
    <mergeCell ref="O93:O101"/>
    <mergeCell ref="O102:O110"/>
    <mergeCell ref="O111:O119"/>
    <mergeCell ref="O120:O128"/>
    <mergeCell ref="O129:O137"/>
    <mergeCell ref="P11:P19"/>
    <mergeCell ref="P20:P28"/>
    <mergeCell ref="P29:P37"/>
    <mergeCell ref="P38:P46"/>
    <mergeCell ref="P47:P55"/>
    <mergeCell ref="P56:P65"/>
    <mergeCell ref="P66:P74"/>
    <mergeCell ref="P75:P83"/>
    <mergeCell ref="P84:P92"/>
    <mergeCell ref="P93:P101"/>
    <mergeCell ref="P102:P110"/>
    <mergeCell ref="P111:P119"/>
    <mergeCell ref="P120:P128"/>
    <mergeCell ref="P129:P137"/>
    <mergeCell ref="Q2:Q10"/>
    <mergeCell ref="Q11:Q19"/>
    <mergeCell ref="Q20:Q28"/>
    <mergeCell ref="Q29:Q37"/>
    <mergeCell ref="Q38:Q46"/>
    <mergeCell ref="Q47:Q55"/>
    <mergeCell ref="Q56:Q65"/>
    <mergeCell ref="Q66:Q74"/>
    <mergeCell ref="Q75:Q83"/>
    <mergeCell ref="Q84:Q92"/>
    <mergeCell ref="Q93:Q101"/>
    <mergeCell ref="Q102:Q110"/>
    <mergeCell ref="Q111:Q119"/>
    <mergeCell ref="Q120:Q128"/>
    <mergeCell ref="Q129:Q137"/>
    <mergeCell ref="AJ2:AJ10"/>
    <mergeCell ref="AJ11:AJ19"/>
    <mergeCell ref="AJ20:AJ28"/>
    <mergeCell ref="AJ29:AJ37"/>
    <mergeCell ref="AJ38:AJ46"/>
    <mergeCell ref="AJ47:AJ55"/>
    <mergeCell ref="AJ56:AJ65"/>
    <mergeCell ref="AJ66:AJ74"/>
    <mergeCell ref="AJ75:AJ83"/>
    <mergeCell ref="AJ84:AJ92"/>
    <mergeCell ref="AJ93:AJ101"/>
    <mergeCell ref="AJ102:AJ110"/>
    <mergeCell ref="AJ111:AJ119"/>
    <mergeCell ref="AJ120:AJ128"/>
    <mergeCell ref="AJ129:AJ137"/>
    <mergeCell ref="AK2:AK10"/>
    <mergeCell ref="AK11:AK19"/>
    <mergeCell ref="AK20:AK28"/>
    <mergeCell ref="AK29:AK37"/>
    <mergeCell ref="AK38:AK46"/>
    <mergeCell ref="AK47:AK55"/>
    <mergeCell ref="AK56:AK65"/>
    <mergeCell ref="AK66:AK74"/>
    <mergeCell ref="AK75:AK83"/>
    <mergeCell ref="AK84:AK92"/>
    <mergeCell ref="AK93:AK101"/>
    <mergeCell ref="AK102:AK110"/>
    <mergeCell ref="AK111:AK119"/>
    <mergeCell ref="AK120:AK128"/>
    <mergeCell ref="AK129:AK137"/>
    <mergeCell ref="AL2:AL10"/>
    <mergeCell ref="AL11:AL19"/>
    <mergeCell ref="AL20:AL28"/>
    <mergeCell ref="AL29:AL37"/>
    <mergeCell ref="AL38:AL46"/>
    <mergeCell ref="AL47:AL55"/>
    <mergeCell ref="AL56:AL65"/>
    <mergeCell ref="AL66:AL74"/>
    <mergeCell ref="AL75:AL83"/>
    <mergeCell ref="AL84:AL92"/>
    <mergeCell ref="AL93:AL101"/>
    <mergeCell ref="AL102:AL110"/>
    <mergeCell ref="AL111:AL119"/>
    <mergeCell ref="AL120:AL128"/>
    <mergeCell ref="AL129:AL137"/>
    <mergeCell ref="AM2:AM10"/>
    <mergeCell ref="AM11:AM19"/>
    <mergeCell ref="AM20:AM28"/>
    <mergeCell ref="AM29:AM37"/>
    <mergeCell ref="AM38:AM46"/>
    <mergeCell ref="AM47:AM55"/>
    <mergeCell ref="AM56:AM65"/>
    <mergeCell ref="AM66:AM74"/>
    <mergeCell ref="AM75:AM83"/>
    <mergeCell ref="AM84:AM92"/>
    <mergeCell ref="AM93:AM101"/>
    <mergeCell ref="AM102:AM110"/>
    <mergeCell ref="AM111:AM119"/>
    <mergeCell ref="AM120:AM128"/>
    <mergeCell ref="AM129:AM137"/>
    <mergeCell ref="AN2:AN10"/>
    <mergeCell ref="AN11:AN19"/>
    <mergeCell ref="AN20:AN28"/>
    <mergeCell ref="AN29:AN37"/>
    <mergeCell ref="AN38:AN46"/>
    <mergeCell ref="AN47:AN55"/>
    <mergeCell ref="AN56:AN65"/>
    <mergeCell ref="AN66:AN74"/>
    <mergeCell ref="AN75:AN83"/>
    <mergeCell ref="AN84:AN92"/>
    <mergeCell ref="AN93:AN101"/>
    <mergeCell ref="AN102:AN110"/>
    <mergeCell ref="AN111:AN119"/>
    <mergeCell ref="AN120:AN128"/>
    <mergeCell ref="AN129:AN137"/>
  </mergeCells>
  <conditionalFormatting sqref="AG33">
    <cfRule type="cellIs" dxfId="5" priority="91" operator="lessThan">
      <formula>0</formula>
    </cfRule>
    <cfRule type="cellIs" dxfId="4" priority="90" operator="lessThan">
      <formula>0</formula>
    </cfRule>
  </conditionalFormatting>
  <conditionalFormatting sqref="BA42">
    <cfRule type="cellIs" dxfId="5" priority="618" operator="lessThan">
      <formula>0</formula>
    </cfRule>
    <cfRule type="cellIs" dxfId="4" priority="612" operator="lessThan">
      <formula>0</formula>
    </cfRule>
  </conditionalFormatting>
  <conditionalFormatting sqref="BB42">
    <cfRule type="cellIs" dxfId="5" priority="617" operator="lessThan">
      <formula>0</formula>
    </cfRule>
    <cfRule type="cellIs" dxfId="4" priority="611" operator="lessThan">
      <formula>0</formula>
    </cfRule>
  </conditionalFormatting>
  <conditionalFormatting sqref="BA51">
    <cfRule type="cellIs" dxfId="5" priority="616" operator="lessThan">
      <formula>0</formula>
    </cfRule>
    <cfRule type="cellIs" dxfId="4" priority="610" operator="lessThan">
      <formula>0</formula>
    </cfRule>
  </conditionalFormatting>
  <conditionalFormatting sqref="BB51">
    <cfRule type="cellIs" dxfId="5" priority="615" operator="lessThan">
      <formula>0</formula>
    </cfRule>
    <cfRule type="cellIs" dxfId="4" priority="609" operator="lessThan">
      <formula>0</formula>
    </cfRule>
  </conditionalFormatting>
  <conditionalFormatting sqref="S61">
    <cfRule type="cellIs" dxfId="4" priority="548" operator="lessThan">
      <formula>0</formula>
    </cfRule>
    <cfRule type="cellIs" dxfId="5" priority="549" operator="lessThan">
      <formula>0</formula>
    </cfRule>
  </conditionalFormatting>
  <conditionalFormatting sqref="AO61">
    <cfRule type="cellIs" dxfId="4" priority="570" operator="lessThan">
      <formula>0</formula>
    </cfRule>
    <cfRule type="cellIs" dxfId="5" priority="581" operator="lessThan">
      <formula>0</formula>
    </cfRule>
  </conditionalFormatting>
  <conditionalFormatting sqref="AP61">
    <cfRule type="cellIs" dxfId="4" priority="569" operator="lessThan">
      <formula>0</formula>
    </cfRule>
    <cfRule type="cellIs" dxfId="5" priority="580" operator="lessThan">
      <formula>0</formula>
    </cfRule>
  </conditionalFormatting>
  <conditionalFormatting sqref="AQ61">
    <cfRule type="cellIs" dxfId="4" priority="568" operator="lessThan">
      <formula>0</formula>
    </cfRule>
    <cfRule type="cellIs" dxfId="5" priority="579" operator="lessThan">
      <formula>0</formula>
    </cfRule>
  </conditionalFormatting>
  <conditionalFormatting sqref="AR61">
    <cfRule type="cellIs" dxfId="4" priority="567" operator="lessThan">
      <formula>0</formula>
    </cfRule>
    <cfRule type="cellIs" dxfId="5" priority="578" operator="lessThan">
      <formula>0</formula>
    </cfRule>
  </conditionalFormatting>
  <conditionalFormatting sqref="AS61">
    <cfRule type="cellIs" dxfId="4" priority="566" operator="lessThan">
      <formula>0</formula>
    </cfRule>
    <cfRule type="cellIs" dxfId="5" priority="577" operator="lessThan">
      <formula>0</formula>
    </cfRule>
  </conditionalFormatting>
  <conditionalFormatting sqref="AT61">
    <cfRule type="cellIs" dxfId="4" priority="565" operator="lessThan">
      <formula>0</formula>
    </cfRule>
    <cfRule type="cellIs" dxfId="5" priority="576" operator="lessThan">
      <formula>0</formula>
    </cfRule>
  </conditionalFormatting>
  <conditionalFormatting sqref="AU61">
    <cfRule type="cellIs" dxfId="4" priority="564" operator="lessThan">
      <formula>0</formula>
    </cfRule>
    <cfRule type="cellIs" dxfId="5" priority="575" operator="lessThan">
      <formula>0</formula>
    </cfRule>
  </conditionalFormatting>
  <conditionalFormatting sqref="AV61">
    <cfRule type="cellIs" dxfId="4" priority="563" operator="lessThan">
      <formula>0</formula>
    </cfRule>
    <cfRule type="cellIs" dxfId="5" priority="574" operator="lessThan">
      <formula>0</formula>
    </cfRule>
  </conditionalFormatting>
  <conditionalFormatting sqref="AW61">
    <cfRule type="cellIs" dxfId="4" priority="562" operator="lessThan">
      <formula>0</formula>
    </cfRule>
    <cfRule type="cellIs" dxfId="5" priority="573" operator="lessThan">
      <formula>0</formula>
    </cfRule>
  </conditionalFormatting>
  <conditionalFormatting sqref="AX61">
    <cfRule type="cellIs" dxfId="4" priority="561" operator="lessThan">
      <formula>0</formula>
    </cfRule>
    <cfRule type="cellIs" dxfId="5" priority="572" operator="lessThan">
      <formula>0</formula>
    </cfRule>
  </conditionalFormatting>
  <conditionalFormatting sqref="AY61">
    <cfRule type="cellIs" dxfId="4" priority="560" operator="lessThan">
      <formula>0</formula>
    </cfRule>
    <cfRule type="cellIs" dxfId="5" priority="571" operator="lessThan">
      <formula>0</formula>
    </cfRule>
  </conditionalFormatting>
  <conditionalFormatting sqref="BA61">
    <cfRule type="cellIs" dxfId="4" priority="551" operator="lessThan">
      <formula>0</formula>
    </cfRule>
    <cfRule type="cellIs" dxfId="5" priority="552" operator="lessThan">
      <formula>0</formula>
    </cfRule>
  </conditionalFormatting>
  <conditionalFormatting sqref="BB61">
    <cfRule type="cellIs" dxfId="4" priority="554" operator="lessThan">
      <formula>0</formula>
    </cfRule>
    <cfRule type="cellIs" dxfId="5" priority="556" operator="lessThan">
      <formula>0</formula>
    </cfRule>
  </conditionalFormatting>
  <conditionalFormatting sqref="AG70">
    <cfRule type="cellIs" dxfId="4" priority="87" operator="lessThan">
      <formula>0</formula>
    </cfRule>
    <cfRule type="cellIs" dxfId="5" priority="88" operator="lessThan">
      <formula>0</formula>
    </cfRule>
  </conditionalFormatting>
  <conditionalFormatting sqref="BA70">
    <cfRule type="cellIs" dxfId="4" priority="608" operator="lessThan">
      <formula>0</formula>
    </cfRule>
    <cfRule type="cellIs" dxfId="5" priority="614" operator="lessThan">
      <formula>0</formula>
    </cfRule>
  </conditionalFormatting>
  <conditionalFormatting sqref="BB70">
    <cfRule type="cellIs" dxfId="4" priority="607" operator="lessThan">
      <formula>0</formula>
    </cfRule>
    <cfRule type="cellIs" dxfId="5" priority="613" operator="lessThan">
      <formula>0</formula>
    </cfRule>
  </conditionalFormatting>
  <conditionalFormatting sqref="AG79">
    <cfRule type="cellIs" dxfId="5" priority="85" operator="lessThan">
      <formula>0</formula>
    </cfRule>
    <cfRule type="cellIs" dxfId="4" priority="84" operator="lessThan">
      <formula>0</formula>
    </cfRule>
  </conditionalFormatting>
  <conditionalFormatting sqref="AO79">
    <cfRule type="cellIs" dxfId="5" priority="522" operator="lessThan">
      <formula>0</formula>
    </cfRule>
    <cfRule type="cellIs" dxfId="4" priority="511" operator="lessThan">
      <formula>0</formula>
    </cfRule>
  </conditionalFormatting>
  <conditionalFormatting sqref="AP79">
    <cfRule type="cellIs" dxfId="5" priority="521" operator="lessThan">
      <formula>0</formula>
    </cfRule>
    <cfRule type="cellIs" dxfId="4" priority="510" operator="lessThan">
      <formula>0</formula>
    </cfRule>
  </conditionalFormatting>
  <conditionalFormatting sqref="AQ79">
    <cfRule type="cellIs" dxfId="5" priority="520" operator="lessThan">
      <formula>0</formula>
    </cfRule>
    <cfRule type="cellIs" dxfId="4" priority="509" operator="lessThan">
      <formula>0</formula>
    </cfRule>
  </conditionalFormatting>
  <conditionalFormatting sqref="AR79">
    <cfRule type="cellIs" dxfId="5" priority="519" operator="lessThan">
      <formula>0</formula>
    </cfRule>
    <cfRule type="cellIs" dxfId="4" priority="508" operator="lessThan">
      <formula>0</formula>
    </cfRule>
  </conditionalFormatting>
  <conditionalFormatting sqref="AS79">
    <cfRule type="cellIs" dxfId="5" priority="518" operator="lessThan">
      <formula>0</formula>
    </cfRule>
    <cfRule type="cellIs" dxfId="4" priority="507" operator="lessThan">
      <formula>0</formula>
    </cfRule>
  </conditionalFormatting>
  <conditionalFormatting sqref="AT79">
    <cfRule type="cellIs" dxfId="5" priority="517" operator="lessThan">
      <formula>0</formula>
    </cfRule>
    <cfRule type="cellIs" dxfId="4" priority="506" operator="lessThan">
      <formula>0</formula>
    </cfRule>
  </conditionalFormatting>
  <conditionalFormatting sqref="AU79">
    <cfRule type="cellIs" dxfId="5" priority="516" operator="lessThan">
      <formula>0</formula>
    </cfRule>
    <cfRule type="cellIs" dxfId="4" priority="505" operator="lessThan">
      <formula>0</formula>
    </cfRule>
  </conditionalFormatting>
  <conditionalFormatting sqref="AV79">
    <cfRule type="cellIs" dxfId="5" priority="515" operator="lessThan">
      <formula>0</formula>
    </cfRule>
    <cfRule type="cellIs" dxfId="4" priority="504" operator="lessThan">
      <formula>0</formula>
    </cfRule>
  </conditionalFormatting>
  <conditionalFormatting sqref="AW79">
    <cfRule type="cellIs" dxfId="5" priority="514" operator="lessThan">
      <formula>0</formula>
    </cfRule>
    <cfRule type="cellIs" dxfId="4" priority="503" operator="lessThan">
      <formula>0</formula>
    </cfRule>
  </conditionalFormatting>
  <conditionalFormatting sqref="AX79">
    <cfRule type="cellIs" dxfId="5" priority="513" operator="lessThan">
      <formula>0</formula>
    </cfRule>
    <cfRule type="cellIs" dxfId="4" priority="502" operator="lessThan">
      <formula>0</formula>
    </cfRule>
  </conditionalFormatting>
  <conditionalFormatting sqref="AY79">
    <cfRule type="cellIs" dxfId="5" priority="512" operator="lessThan">
      <formula>0</formula>
    </cfRule>
    <cfRule type="cellIs" dxfId="4" priority="501" operator="lessThan">
      <formula>0</formula>
    </cfRule>
  </conditionalFormatting>
  <conditionalFormatting sqref="BA79">
    <cfRule type="cellIs" dxfId="5" priority="498" operator="lessThan">
      <formula>0</formula>
    </cfRule>
    <cfRule type="cellIs" dxfId="4" priority="496" operator="lessThan">
      <formula>0</formula>
    </cfRule>
  </conditionalFormatting>
  <conditionalFormatting sqref="BB79">
    <cfRule type="cellIs" dxfId="5" priority="497" operator="lessThan">
      <formula>0</formula>
    </cfRule>
    <cfRule type="cellIs" dxfId="4" priority="495" operator="lessThan">
      <formula>0</formula>
    </cfRule>
  </conditionalFormatting>
  <conditionalFormatting sqref="AG88">
    <cfRule type="cellIs" dxfId="5" priority="82" operator="lessThan">
      <formula>0</formula>
    </cfRule>
    <cfRule type="cellIs" dxfId="4" priority="81" operator="lessThan">
      <formula>0</formula>
    </cfRule>
  </conditionalFormatting>
  <conditionalFormatting sqref="AO88">
    <cfRule type="cellIs" dxfId="5" priority="469" operator="lessThan">
      <formula>0</formula>
    </cfRule>
    <cfRule type="cellIs" dxfId="4" priority="458" operator="lessThan">
      <formula>0</formula>
    </cfRule>
  </conditionalFormatting>
  <conditionalFormatting sqref="AP88">
    <cfRule type="cellIs" dxfId="5" priority="468" operator="lessThan">
      <formula>0</formula>
    </cfRule>
    <cfRule type="cellIs" dxfId="4" priority="457" operator="lessThan">
      <formula>0</formula>
    </cfRule>
  </conditionalFormatting>
  <conditionalFormatting sqref="AQ88">
    <cfRule type="cellIs" dxfId="5" priority="467" operator="lessThan">
      <formula>0</formula>
    </cfRule>
    <cfRule type="cellIs" dxfId="4" priority="456" operator="lessThan">
      <formula>0</formula>
    </cfRule>
  </conditionalFormatting>
  <conditionalFormatting sqref="AR88">
    <cfRule type="cellIs" dxfId="5" priority="466" operator="lessThan">
      <formula>0</formula>
    </cfRule>
    <cfRule type="cellIs" dxfId="4" priority="455" operator="lessThan">
      <formula>0</formula>
    </cfRule>
  </conditionalFormatting>
  <conditionalFormatting sqref="AS88">
    <cfRule type="cellIs" dxfId="5" priority="465" operator="lessThan">
      <formula>0</formula>
    </cfRule>
    <cfRule type="cellIs" dxfId="4" priority="454" operator="lessThan">
      <formula>0</formula>
    </cfRule>
  </conditionalFormatting>
  <conditionalFormatting sqref="AT88">
    <cfRule type="cellIs" dxfId="5" priority="464" operator="lessThan">
      <formula>0</formula>
    </cfRule>
    <cfRule type="cellIs" dxfId="4" priority="453" operator="lessThan">
      <formula>0</formula>
    </cfRule>
  </conditionalFormatting>
  <conditionalFormatting sqref="AU88">
    <cfRule type="cellIs" dxfId="5" priority="463" operator="lessThan">
      <formula>0</formula>
    </cfRule>
    <cfRule type="cellIs" dxfId="4" priority="452" operator="lessThan">
      <formula>0</formula>
    </cfRule>
  </conditionalFormatting>
  <conditionalFormatting sqref="AV88">
    <cfRule type="cellIs" dxfId="5" priority="462" operator="lessThan">
      <formula>0</formula>
    </cfRule>
    <cfRule type="cellIs" dxfId="4" priority="451" operator="lessThan">
      <formula>0</formula>
    </cfRule>
  </conditionalFormatting>
  <conditionalFormatting sqref="AW88">
    <cfRule type="cellIs" dxfId="5" priority="461" operator="lessThan">
      <formula>0</formula>
    </cfRule>
    <cfRule type="cellIs" dxfId="4" priority="450" operator="lessThan">
      <formula>0</formula>
    </cfRule>
  </conditionalFormatting>
  <conditionalFormatting sqref="AX88">
    <cfRule type="cellIs" dxfId="5" priority="460" operator="lessThan">
      <formula>0</formula>
    </cfRule>
    <cfRule type="cellIs" dxfId="4" priority="449" operator="lessThan">
      <formula>0</formula>
    </cfRule>
  </conditionalFormatting>
  <conditionalFormatting sqref="AY88">
    <cfRule type="cellIs" dxfId="5" priority="459" operator="lessThan">
      <formula>0</formula>
    </cfRule>
    <cfRule type="cellIs" dxfId="4" priority="448" operator="lessThan">
      <formula>0</formula>
    </cfRule>
  </conditionalFormatting>
  <conditionalFormatting sqref="BA88">
    <cfRule type="cellIs" dxfId="5" priority="445" operator="lessThan">
      <formula>0</formula>
    </cfRule>
    <cfRule type="cellIs" dxfId="4" priority="443" operator="lessThan">
      <formula>0</formula>
    </cfRule>
  </conditionalFormatting>
  <conditionalFormatting sqref="BB88">
    <cfRule type="cellIs" dxfId="5" priority="444" operator="lessThan">
      <formula>0</formula>
    </cfRule>
    <cfRule type="cellIs" dxfId="4" priority="442" operator="lessThan">
      <formula>0</formula>
    </cfRule>
  </conditionalFormatting>
  <conditionalFormatting sqref="AG97">
    <cfRule type="cellIs" dxfId="5" priority="79" operator="lessThan">
      <formula>0</formula>
    </cfRule>
    <cfRule type="cellIs" dxfId="4" priority="78" operator="lessThan">
      <formula>0</formula>
    </cfRule>
  </conditionalFormatting>
  <conditionalFormatting sqref="AO97">
    <cfRule type="cellIs" dxfId="5" priority="416" operator="lessThan">
      <formula>0</formula>
    </cfRule>
    <cfRule type="cellIs" dxfId="4" priority="405" operator="lessThan">
      <formula>0</formula>
    </cfRule>
  </conditionalFormatting>
  <conditionalFormatting sqref="AP97">
    <cfRule type="cellIs" dxfId="5" priority="415" operator="lessThan">
      <formula>0</formula>
    </cfRule>
    <cfRule type="cellIs" dxfId="4" priority="404" operator="lessThan">
      <formula>0</formula>
    </cfRule>
  </conditionalFormatting>
  <conditionalFormatting sqref="AQ97">
    <cfRule type="cellIs" dxfId="5" priority="414" operator="lessThan">
      <formula>0</formula>
    </cfRule>
    <cfRule type="cellIs" dxfId="4" priority="403" operator="lessThan">
      <formula>0</formula>
    </cfRule>
  </conditionalFormatting>
  <conditionalFormatting sqref="AR97">
    <cfRule type="cellIs" dxfId="5" priority="413" operator="lessThan">
      <formula>0</formula>
    </cfRule>
    <cfRule type="cellIs" dxfId="4" priority="402" operator="lessThan">
      <formula>0</formula>
    </cfRule>
  </conditionalFormatting>
  <conditionalFormatting sqref="AS97">
    <cfRule type="cellIs" dxfId="5" priority="412" operator="lessThan">
      <formula>0</formula>
    </cfRule>
    <cfRule type="cellIs" dxfId="4" priority="401" operator="lessThan">
      <formula>0</formula>
    </cfRule>
  </conditionalFormatting>
  <conditionalFormatting sqref="AT97">
    <cfRule type="cellIs" dxfId="5" priority="411" operator="lessThan">
      <formula>0</formula>
    </cfRule>
    <cfRule type="cellIs" dxfId="4" priority="400" operator="lessThan">
      <formula>0</formula>
    </cfRule>
  </conditionalFormatting>
  <conditionalFormatting sqref="AU97">
    <cfRule type="cellIs" dxfId="5" priority="410" operator="lessThan">
      <formula>0</formula>
    </cfRule>
    <cfRule type="cellIs" dxfId="4" priority="399" operator="lessThan">
      <formula>0</formula>
    </cfRule>
  </conditionalFormatting>
  <conditionalFormatting sqref="AV97">
    <cfRule type="cellIs" dxfId="5" priority="409" operator="lessThan">
      <formula>0</formula>
    </cfRule>
    <cfRule type="cellIs" dxfId="4" priority="398" operator="lessThan">
      <formula>0</formula>
    </cfRule>
  </conditionalFormatting>
  <conditionalFormatting sqref="AW97">
    <cfRule type="cellIs" dxfId="5" priority="408" operator="lessThan">
      <formula>0</formula>
    </cfRule>
    <cfRule type="cellIs" dxfId="4" priority="397" operator="lessThan">
      <formula>0</formula>
    </cfRule>
  </conditionalFormatting>
  <conditionalFormatting sqref="AX97">
    <cfRule type="cellIs" dxfId="5" priority="407" operator="lessThan">
      <formula>0</formula>
    </cfRule>
    <cfRule type="cellIs" dxfId="4" priority="396" operator="lessThan">
      <formula>0</formula>
    </cfRule>
  </conditionalFormatting>
  <conditionalFormatting sqref="AY97">
    <cfRule type="cellIs" dxfId="5" priority="406" operator="lessThan">
      <formula>0</formula>
    </cfRule>
    <cfRule type="cellIs" dxfId="4" priority="395" operator="lessThan">
      <formula>0</formula>
    </cfRule>
  </conditionalFormatting>
  <conditionalFormatting sqref="BA97">
    <cfRule type="cellIs" dxfId="5" priority="392" operator="lessThan">
      <formula>0</formula>
    </cfRule>
    <cfRule type="cellIs" dxfId="4" priority="390" operator="lessThan">
      <formula>0</formula>
    </cfRule>
  </conditionalFormatting>
  <conditionalFormatting sqref="BB97">
    <cfRule type="cellIs" dxfId="5" priority="391" operator="lessThan">
      <formula>0</formula>
    </cfRule>
    <cfRule type="cellIs" dxfId="4" priority="389" operator="lessThan">
      <formula>0</formula>
    </cfRule>
  </conditionalFormatting>
  <conditionalFormatting sqref="U106">
    <cfRule type="cellIs" dxfId="4" priority="240" operator="lessThan">
      <formula>0</formula>
    </cfRule>
    <cfRule type="cellIs" dxfId="5" priority="241" operator="lessThan">
      <formula>0</formula>
    </cfRule>
  </conditionalFormatting>
  <conditionalFormatting sqref="AG106">
    <cfRule type="cellIs" dxfId="4" priority="59" operator="lessThan">
      <formula>0</formula>
    </cfRule>
    <cfRule type="cellIs" dxfId="5" priority="60" operator="lessThan">
      <formula>0</formula>
    </cfRule>
  </conditionalFormatting>
  <conditionalFormatting sqref="AO106">
    <cfRule type="cellIs" dxfId="4" priority="215" operator="lessThan">
      <formula>0</formula>
    </cfRule>
    <cfRule type="cellIs" dxfId="5" priority="226" operator="lessThan">
      <formula>0</formula>
    </cfRule>
  </conditionalFormatting>
  <conditionalFormatting sqref="AP106">
    <cfRule type="cellIs" dxfId="4" priority="214" operator="lessThan">
      <formula>0</formula>
    </cfRule>
    <cfRule type="cellIs" dxfId="5" priority="225" operator="lessThan">
      <formula>0</formula>
    </cfRule>
  </conditionalFormatting>
  <conditionalFormatting sqref="AQ106">
    <cfRule type="cellIs" dxfId="4" priority="213" operator="lessThan">
      <formula>0</formula>
    </cfRule>
    <cfRule type="cellIs" dxfId="5" priority="224" operator="lessThan">
      <formula>0</formula>
    </cfRule>
  </conditionalFormatting>
  <conditionalFormatting sqref="AR106">
    <cfRule type="cellIs" dxfId="4" priority="212" operator="lessThan">
      <formula>0</formula>
    </cfRule>
    <cfRule type="cellIs" dxfId="5" priority="223" operator="lessThan">
      <formula>0</formula>
    </cfRule>
  </conditionalFormatting>
  <conditionalFormatting sqref="AS106">
    <cfRule type="cellIs" dxfId="4" priority="211" operator="lessThan">
      <formula>0</formula>
    </cfRule>
    <cfRule type="cellIs" dxfId="5" priority="222" operator="lessThan">
      <formula>0</formula>
    </cfRule>
  </conditionalFormatting>
  <conditionalFormatting sqref="AT106">
    <cfRule type="cellIs" dxfId="4" priority="210" operator="lessThan">
      <formula>0</formula>
    </cfRule>
    <cfRule type="cellIs" dxfId="5" priority="221" operator="lessThan">
      <formula>0</formula>
    </cfRule>
  </conditionalFormatting>
  <conditionalFormatting sqref="AU106">
    <cfRule type="cellIs" dxfId="4" priority="209" operator="lessThan">
      <formula>0</formula>
    </cfRule>
    <cfRule type="cellIs" dxfId="5" priority="220" operator="lessThan">
      <formula>0</formula>
    </cfRule>
  </conditionalFormatting>
  <conditionalFormatting sqref="AV106">
    <cfRule type="cellIs" dxfId="4" priority="208" operator="lessThan">
      <formula>0</formula>
    </cfRule>
    <cfRule type="cellIs" dxfId="5" priority="219" operator="lessThan">
      <formula>0</formula>
    </cfRule>
  </conditionalFormatting>
  <conditionalFormatting sqref="AW106">
    <cfRule type="cellIs" dxfId="4" priority="207" operator="lessThan">
      <formula>0</formula>
    </cfRule>
    <cfRule type="cellIs" dxfId="5" priority="218" operator="lessThan">
      <formula>0</formula>
    </cfRule>
  </conditionalFormatting>
  <conditionalFormatting sqref="AX106">
    <cfRule type="cellIs" dxfId="4" priority="206" operator="lessThan">
      <formula>0</formula>
    </cfRule>
    <cfRule type="cellIs" dxfId="5" priority="217" operator="lessThan">
      <formula>0</formula>
    </cfRule>
  </conditionalFormatting>
  <conditionalFormatting sqref="AY106">
    <cfRule type="cellIs" dxfId="4" priority="205" operator="lessThan">
      <formula>0</formula>
    </cfRule>
    <cfRule type="cellIs" dxfId="5" priority="216" operator="lessThan">
      <formula>0</formula>
    </cfRule>
  </conditionalFormatting>
  <conditionalFormatting sqref="AZ106">
    <cfRule type="cellIs" dxfId="5" priority="43" operator="lessThan">
      <formula>0</formula>
    </cfRule>
    <cfRule type="cellIs" dxfId="4" priority="42" operator="lessThan">
      <formula>0</formula>
    </cfRule>
  </conditionalFormatting>
  <conditionalFormatting sqref="BA106">
    <cfRule type="cellIs" dxfId="4" priority="200" operator="lessThan">
      <formula>0</formula>
    </cfRule>
    <cfRule type="cellIs" dxfId="5" priority="202" operator="lessThan">
      <formula>0</formula>
    </cfRule>
  </conditionalFormatting>
  <conditionalFormatting sqref="U115">
    <cfRule type="cellIs" dxfId="4" priority="187" operator="lessThan">
      <formula>0</formula>
    </cfRule>
    <cfRule type="cellIs" dxfId="5" priority="188" operator="lessThan">
      <formula>0</formula>
    </cfRule>
  </conditionalFormatting>
  <conditionalFormatting sqref="AG115">
    <cfRule type="cellIs" dxfId="5" priority="51" operator="lessThan">
      <formula>0</formula>
    </cfRule>
    <cfRule type="cellIs" dxfId="4" priority="50" operator="lessThan">
      <formula>0</formula>
    </cfRule>
  </conditionalFormatting>
  <conditionalFormatting sqref="AO115">
    <cfRule type="cellIs" dxfId="4" priority="162" operator="lessThan">
      <formula>0</formula>
    </cfRule>
    <cfRule type="cellIs" dxfId="5" priority="173" operator="lessThan">
      <formula>0</formula>
    </cfRule>
  </conditionalFormatting>
  <conditionalFormatting sqref="AP115">
    <cfRule type="cellIs" dxfId="4" priority="161" operator="lessThan">
      <formula>0</formula>
    </cfRule>
    <cfRule type="cellIs" dxfId="5" priority="172" operator="lessThan">
      <formula>0</formula>
    </cfRule>
  </conditionalFormatting>
  <conditionalFormatting sqref="AQ115">
    <cfRule type="cellIs" dxfId="4" priority="160" operator="lessThan">
      <formula>0</formula>
    </cfRule>
    <cfRule type="cellIs" dxfId="5" priority="171" operator="lessThan">
      <formula>0</formula>
    </cfRule>
  </conditionalFormatting>
  <conditionalFormatting sqref="AR115">
    <cfRule type="cellIs" dxfId="4" priority="159" operator="lessThan">
      <formula>0</formula>
    </cfRule>
    <cfRule type="cellIs" dxfId="5" priority="170" operator="lessThan">
      <formula>0</formula>
    </cfRule>
  </conditionalFormatting>
  <conditionalFormatting sqref="AS115">
    <cfRule type="cellIs" dxfId="4" priority="158" operator="lessThan">
      <formula>0</formula>
    </cfRule>
    <cfRule type="cellIs" dxfId="5" priority="169" operator="lessThan">
      <formula>0</formula>
    </cfRule>
  </conditionalFormatting>
  <conditionalFormatting sqref="AT115">
    <cfRule type="cellIs" dxfId="4" priority="157" operator="lessThan">
      <formula>0</formula>
    </cfRule>
    <cfRule type="cellIs" dxfId="5" priority="168" operator="lessThan">
      <formula>0</formula>
    </cfRule>
  </conditionalFormatting>
  <conditionalFormatting sqref="AU115">
    <cfRule type="cellIs" dxfId="4" priority="156" operator="lessThan">
      <formula>0</formula>
    </cfRule>
    <cfRule type="cellIs" dxfId="5" priority="167" operator="lessThan">
      <formula>0</formula>
    </cfRule>
  </conditionalFormatting>
  <conditionalFormatting sqref="AV115">
    <cfRule type="cellIs" dxfId="4" priority="155" operator="lessThan">
      <formula>0</formula>
    </cfRule>
    <cfRule type="cellIs" dxfId="5" priority="166" operator="lessThan">
      <formula>0</formula>
    </cfRule>
  </conditionalFormatting>
  <conditionalFormatting sqref="AW115">
    <cfRule type="cellIs" dxfId="4" priority="154" operator="lessThan">
      <formula>0</formula>
    </cfRule>
    <cfRule type="cellIs" dxfId="5" priority="165" operator="lessThan">
      <formula>0</formula>
    </cfRule>
  </conditionalFormatting>
  <conditionalFormatting sqref="AX115">
    <cfRule type="cellIs" dxfId="4" priority="153" operator="lessThan">
      <formula>0</formula>
    </cfRule>
    <cfRule type="cellIs" dxfId="5" priority="164" operator="lessThan">
      <formula>0</formula>
    </cfRule>
  </conditionalFormatting>
  <conditionalFormatting sqref="AY115">
    <cfRule type="cellIs" dxfId="4" priority="152" operator="lessThan">
      <formula>0</formula>
    </cfRule>
    <cfRule type="cellIs" dxfId="5" priority="163" operator="lessThan">
      <formula>0</formula>
    </cfRule>
  </conditionalFormatting>
  <conditionalFormatting sqref="AZ115:BA115">
    <cfRule type="cellIs" dxfId="4" priority="54" operator="lessThan">
      <formula>0</formula>
    </cfRule>
    <cfRule type="cellIs" dxfId="5" priority="55" operator="lessThan">
      <formula>0</formula>
    </cfRule>
  </conditionalFormatting>
  <conditionalFormatting sqref="BB115">
    <cfRule type="cellIs" dxfId="4" priority="146" operator="lessThan">
      <formula>0</formula>
    </cfRule>
    <cfRule type="cellIs" dxfId="5" priority="148" operator="lessThan">
      <formula>0</formula>
    </cfRule>
  </conditionalFormatting>
  <conditionalFormatting sqref="U124">
    <cfRule type="cellIs" dxfId="4" priority="134" operator="lessThan">
      <formula>0</formula>
    </cfRule>
    <cfRule type="cellIs" dxfId="5" priority="135" operator="lessThan">
      <formula>0</formula>
    </cfRule>
  </conditionalFormatting>
  <conditionalFormatting sqref="AG124">
    <cfRule type="cellIs" dxfId="5" priority="45" operator="lessThan">
      <formula>0</formula>
    </cfRule>
    <cfRule type="cellIs" dxfId="4" priority="44" operator="lessThan">
      <formula>0</formula>
    </cfRule>
  </conditionalFormatting>
  <conditionalFormatting sqref="AO124">
    <cfRule type="cellIs" dxfId="4" priority="109" operator="lessThan">
      <formula>0</formula>
    </cfRule>
    <cfRule type="cellIs" dxfId="5" priority="120" operator="lessThan">
      <formula>0</formula>
    </cfRule>
  </conditionalFormatting>
  <conditionalFormatting sqref="AP124">
    <cfRule type="cellIs" dxfId="4" priority="108" operator="lessThan">
      <formula>0</formula>
    </cfRule>
    <cfRule type="cellIs" dxfId="5" priority="119" operator="lessThan">
      <formula>0</formula>
    </cfRule>
  </conditionalFormatting>
  <conditionalFormatting sqref="AQ124">
    <cfRule type="cellIs" dxfId="4" priority="107" operator="lessThan">
      <formula>0</formula>
    </cfRule>
    <cfRule type="cellIs" dxfId="5" priority="118" operator="lessThan">
      <formula>0</formula>
    </cfRule>
  </conditionalFormatting>
  <conditionalFormatting sqref="AR124">
    <cfRule type="cellIs" dxfId="4" priority="106" operator="lessThan">
      <formula>0</formula>
    </cfRule>
    <cfRule type="cellIs" dxfId="5" priority="117" operator="lessThan">
      <formula>0</formula>
    </cfRule>
  </conditionalFormatting>
  <conditionalFormatting sqref="AS124">
    <cfRule type="cellIs" dxfId="4" priority="105" operator="lessThan">
      <formula>0</formula>
    </cfRule>
    <cfRule type="cellIs" dxfId="5" priority="116" operator="lessThan">
      <formula>0</formula>
    </cfRule>
  </conditionalFormatting>
  <conditionalFormatting sqref="AT124">
    <cfRule type="cellIs" dxfId="4" priority="104" operator="lessThan">
      <formula>0</formula>
    </cfRule>
    <cfRule type="cellIs" dxfId="5" priority="115" operator="lessThan">
      <formula>0</formula>
    </cfRule>
  </conditionalFormatting>
  <conditionalFormatting sqref="AU124">
    <cfRule type="cellIs" dxfId="4" priority="103" operator="lessThan">
      <formula>0</formula>
    </cfRule>
    <cfRule type="cellIs" dxfId="5" priority="114" operator="lessThan">
      <formula>0</formula>
    </cfRule>
  </conditionalFormatting>
  <conditionalFormatting sqref="AV124">
    <cfRule type="cellIs" dxfId="4" priority="102" operator="lessThan">
      <formula>0</formula>
    </cfRule>
    <cfRule type="cellIs" dxfId="5" priority="113" operator="lessThan">
      <formula>0</formula>
    </cfRule>
  </conditionalFormatting>
  <conditionalFormatting sqref="AW124">
    <cfRule type="cellIs" dxfId="4" priority="101" operator="lessThan">
      <formula>0</formula>
    </cfRule>
    <cfRule type="cellIs" dxfId="5" priority="112" operator="lessThan">
      <formula>0</formula>
    </cfRule>
  </conditionalFormatting>
  <conditionalFormatting sqref="AX124">
    <cfRule type="cellIs" dxfId="4" priority="100" operator="lessThan">
      <formula>0</formula>
    </cfRule>
    <cfRule type="cellIs" dxfId="5" priority="111" operator="lessThan">
      <formula>0</formula>
    </cfRule>
  </conditionalFormatting>
  <conditionalFormatting sqref="AY124">
    <cfRule type="cellIs" dxfId="4" priority="99" operator="lessThan">
      <formula>0</formula>
    </cfRule>
    <cfRule type="cellIs" dxfId="5" priority="110" operator="lessThan">
      <formula>0</formula>
    </cfRule>
  </conditionalFormatting>
  <conditionalFormatting sqref="AZ124">
    <cfRule type="cellIs" dxfId="5" priority="41" operator="lessThan">
      <formula>0</formula>
    </cfRule>
    <cfRule type="cellIs" dxfId="4" priority="40" operator="lessThan">
      <formula>0</formula>
    </cfRule>
  </conditionalFormatting>
  <conditionalFormatting sqref="BA124">
    <cfRule type="cellIs" dxfId="4" priority="94" operator="lessThan">
      <formula>0</formula>
    </cfRule>
    <cfRule type="cellIs" dxfId="5" priority="96" operator="lessThan">
      <formula>0</formula>
    </cfRule>
  </conditionalFormatting>
  <conditionalFormatting sqref="BB124">
    <cfRule type="cellIs" dxfId="4" priority="93" operator="lessThan">
      <formula>0</formula>
    </cfRule>
    <cfRule type="cellIs" dxfId="5" priority="95" operator="lessThan">
      <formula>0</formula>
    </cfRule>
  </conditionalFormatting>
  <conditionalFormatting sqref="AO133">
    <cfRule type="cellIs" dxfId="4" priority="352" operator="lessThan">
      <formula>0</formula>
    </cfRule>
    <cfRule type="cellIs" dxfId="5" priority="363" operator="lessThan">
      <formula>0</formula>
    </cfRule>
  </conditionalFormatting>
  <conditionalFormatting sqref="AP133">
    <cfRule type="cellIs" dxfId="4" priority="351" operator="lessThan">
      <formula>0</formula>
    </cfRule>
    <cfRule type="cellIs" dxfId="5" priority="362" operator="lessThan">
      <formula>0</formula>
    </cfRule>
  </conditionalFormatting>
  <conditionalFormatting sqref="AQ133">
    <cfRule type="cellIs" dxfId="4" priority="350" operator="lessThan">
      <formula>0</formula>
    </cfRule>
    <cfRule type="cellIs" dxfId="5" priority="361" operator="lessThan">
      <formula>0</formula>
    </cfRule>
  </conditionalFormatting>
  <conditionalFormatting sqref="AR133">
    <cfRule type="cellIs" dxfId="4" priority="349" operator="lessThan">
      <formula>0</formula>
    </cfRule>
    <cfRule type="cellIs" dxfId="5" priority="360" operator="lessThan">
      <formula>0</formula>
    </cfRule>
  </conditionalFormatting>
  <conditionalFormatting sqref="AS133">
    <cfRule type="cellIs" dxfId="4" priority="348" operator="lessThan">
      <formula>0</formula>
    </cfRule>
    <cfRule type="cellIs" dxfId="5" priority="359" operator="lessThan">
      <formula>0</formula>
    </cfRule>
  </conditionalFormatting>
  <conditionalFormatting sqref="AT133">
    <cfRule type="cellIs" dxfId="4" priority="347" operator="lessThan">
      <formula>0</formula>
    </cfRule>
    <cfRule type="cellIs" dxfId="5" priority="358" operator="lessThan">
      <formula>0</formula>
    </cfRule>
  </conditionalFormatting>
  <conditionalFormatting sqref="AU133">
    <cfRule type="cellIs" dxfId="4" priority="346" operator="lessThan">
      <formula>0</formula>
    </cfRule>
    <cfRule type="cellIs" dxfId="5" priority="357" operator="lessThan">
      <formula>0</formula>
    </cfRule>
  </conditionalFormatting>
  <conditionalFormatting sqref="AV133">
    <cfRule type="cellIs" dxfId="4" priority="345" operator="lessThan">
      <formula>0</formula>
    </cfRule>
    <cfRule type="cellIs" dxfId="5" priority="356" operator="lessThan">
      <formula>0</formula>
    </cfRule>
  </conditionalFormatting>
  <conditionalFormatting sqref="AW133">
    <cfRule type="cellIs" dxfId="4" priority="344" operator="lessThan">
      <formula>0</formula>
    </cfRule>
    <cfRule type="cellIs" dxfId="5" priority="355" operator="lessThan">
      <formula>0</formula>
    </cfRule>
  </conditionalFormatting>
  <conditionalFormatting sqref="AX133">
    <cfRule type="cellIs" dxfId="4" priority="343" operator="lessThan">
      <formula>0</formula>
    </cfRule>
    <cfRule type="cellIs" dxfId="5" priority="354" operator="lessThan">
      <formula>0</formula>
    </cfRule>
  </conditionalFormatting>
  <conditionalFormatting sqref="AY133">
    <cfRule type="cellIs" dxfId="4" priority="342" operator="lessThan">
      <formula>0</formula>
    </cfRule>
    <cfRule type="cellIs" dxfId="5" priority="353" operator="lessThan">
      <formula>0</formula>
    </cfRule>
  </conditionalFormatting>
  <conditionalFormatting sqref="BA133">
    <cfRule type="cellIs" dxfId="4" priority="337" operator="lessThan">
      <formula>0</formula>
    </cfRule>
    <cfRule type="cellIs" dxfId="5" priority="339" operator="lessThan">
      <formula>0</formula>
    </cfRule>
  </conditionalFormatting>
  <conditionalFormatting sqref="BB133">
    <cfRule type="cellIs" dxfId="4" priority="336" operator="lessThan">
      <formula>0</formula>
    </cfRule>
    <cfRule type="cellIs" dxfId="5" priority="338" operator="lessThan">
      <formula>0</formula>
    </cfRule>
  </conditionalFormatting>
  <conditionalFormatting sqref="S17:S19">
    <cfRule type="cellIs" dxfId="4" priority="1150" operator="lessThan">
      <formula>0</formula>
    </cfRule>
  </conditionalFormatting>
  <conditionalFormatting sqref="S56:S60">
    <cfRule type="cellIs" dxfId="4" priority="597" operator="lessThan">
      <formula>0</formula>
    </cfRule>
  </conditionalFormatting>
  <conditionalFormatting sqref="S62:S65">
    <cfRule type="cellIs" dxfId="4" priority="550" operator="lessThan">
      <formula>0</formula>
    </cfRule>
  </conditionalFormatting>
  <conditionalFormatting sqref="T52:T55">
    <cfRule type="cellIs" dxfId="4" priority="878" operator="lessThan">
      <formula>0</formula>
    </cfRule>
  </conditionalFormatting>
  <conditionalFormatting sqref="T62:T65">
    <cfRule type="cellIs" dxfId="4" priority="604" operator="lessThan">
      <formula>0</formula>
    </cfRule>
  </conditionalFormatting>
  <conditionalFormatting sqref="T71:T74">
    <cfRule type="cellIs" dxfId="4" priority="855" operator="lessThan">
      <formula>0</formula>
    </cfRule>
  </conditionalFormatting>
  <conditionalFormatting sqref="T80:T83">
    <cfRule type="cellIs" dxfId="4" priority="545" operator="lessThan">
      <formula>0</formula>
    </cfRule>
  </conditionalFormatting>
  <conditionalFormatting sqref="T89:T92">
    <cfRule type="cellIs" dxfId="4" priority="492" operator="lessThan">
      <formula>0</formula>
    </cfRule>
  </conditionalFormatting>
  <conditionalFormatting sqref="T98:T101">
    <cfRule type="cellIs" dxfId="4" priority="439" operator="lessThan">
      <formula>0</formula>
    </cfRule>
  </conditionalFormatting>
  <conditionalFormatting sqref="T107:T110">
    <cfRule type="cellIs" dxfId="4" priority="249" operator="lessThan">
      <formula>0</formula>
    </cfRule>
  </conditionalFormatting>
  <conditionalFormatting sqref="T116:T119">
    <cfRule type="cellIs" dxfId="4" priority="196" operator="lessThan">
      <formula>0</formula>
    </cfRule>
  </conditionalFormatting>
  <conditionalFormatting sqref="T125:T128">
    <cfRule type="cellIs" dxfId="4" priority="143" operator="lessThan">
      <formula>0</formula>
    </cfRule>
  </conditionalFormatting>
  <conditionalFormatting sqref="T134:T137">
    <cfRule type="cellIs" dxfId="4" priority="386" operator="lessThan">
      <formula>0</formula>
    </cfRule>
  </conditionalFormatting>
  <conditionalFormatting sqref="U63:U65">
    <cfRule type="cellIs" dxfId="4" priority="606" operator="lessThan">
      <formula>0</formula>
    </cfRule>
  </conditionalFormatting>
  <conditionalFormatting sqref="U81:U83">
    <cfRule type="cellIs" dxfId="4" priority="547" operator="lessThan">
      <formula>0</formula>
    </cfRule>
  </conditionalFormatting>
  <conditionalFormatting sqref="U90:U92">
    <cfRule type="cellIs" dxfId="4" priority="494" operator="lessThan">
      <formula>0</formula>
    </cfRule>
  </conditionalFormatting>
  <conditionalFormatting sqref="U99:U101">
    <cfRule type="cellIs" dxfId="4" priority="441" operator="lessThan">
      <formula>0</formula>
    </cfRule>
  </conditionalFormatting>
  <conditionalFormatting sqref="U108:U110">
    <cfRule type="cellIs" dxfId="4" priority="251" operator="lessThan">
      <formula>0</formula>
    </cfRule>
  </conditionalFormatting>
  <conditionalFormatting sqref="U117:U119">
    <cfRule type="cellIs" dxfId="4" priority="198" operator="lessThan">
      <formula>0</formula>
    </cfRule>
  </conditionalFormatting>
  <conditionalFormatting sqref="U126:U128">
    <cfRule type="cellIs" dxfId="4" priority="145" operator="lessThan">
      <formula>0</formula>
    </cfRule>
  </conditionalFormatting>
  <conditionalFormatting sqref="U135:U137">
    <cfRule type="cellIs" dxfId="4" priority="388" operator="lessThan">
      <formula>0</formula>
    </cfRule>
  </conditionalFormatting>
  <conditionalFormatting sqref="AG17:AG19">
    <cfRule type="cellIs" dxfId="4" priority="1202" operator="lessThan">
      <formula>0</formula>
    </cfRule>
  </conditionalFormatting>
  <conditionalFormatting sqref="AG35:AG37">
    <cfRule type="cellIs" dxfId="4" priority="92" operator="lessThan">
      <formula>0</formula>
    </cfRule>
  </conditionalFormatting>
  <conditionalFormatting sqref="AG44:AG46">
    <cfRule type="cellIs" dxfId="4" priority="914" operator="lessThan">
      <formula>0</formula>
    </cfRule>
  </conditionalFormatting>
  <conditionalFormatting sqref="AG53:AG55">
    <cfRule type="cellIs" dxfId="4" priority="875" operator="lessThan">
      <formula>0</formula>
    </cfRule>
  </conditionalFormatting>
  <conditionalFormatting sqref="AG63:AG65">
    <cfRule type="cellIs" dxfId="4" priority="601" operator="lessThan">
      <formula>0</formula>
    </cfRule>
  </conditionalFormatting>
  <conditionalFormatting sqref="AG72:AG74">
    <cfRule type="cellIs" dxfId="4" priority="89" operator="lessThan">
      <formula>0</formula>
    </cfRule>
  </conditionalFormatting>
  <conditionalFormatting sqref="AG81:AG83">
    <cfRule type="cellIs" dxfId="4" priority="86" operator="lessThan">
      <formula>0</formula>
    </cfRule>
  </conditionalFormatting>
  <conditionalFormatting sqref="AG90:AG92">
    <cfRule type="cellIs" dxfId="4" priority="83" operator="lessThan">
      <formula>0</formula>
    </cfRule>
  </conditionalFormatting>
  <conditionalFormatting sqref="AG99:AG101">
    <cfRule type="cellIs" dxfId="4" priority="80" operator="lessThan">
      <formula>0</formula>
    </cfRule>
  </conditionalFormatting>
  <conditionalFormatting sqref="AG108:AG110">
    <cfRule type="cellIs" dxfId="4" priority="61" operator="lessThan">
      <formula>0</formula>
    </cfRule>
  </conditionalFormatting>
  <conditionalFormatting sqref="AG117:AG119">
    <cfRule type="cellIs" dxfId="4" priority="52" operator="lessThan">
      <formula>0</formula>
    </cfRule>
  </conditionalFormatting>
  <conditionalFormatting sqref="AG126:AG128">
    <cfRule type="cellIs" dxfId="4" priority="46" operator="lessThan">
      <formula>0</formula>
    </cfRule>
  </conditionalFormatting>
  <conditionalFormatting sqref="AG135:AG137">
    <cfRule type="cellIs" dxfId="4" priority="383" operator="lessThan">
      <formula>0</formula>
    </cfRule>
  </conditionalFormatting>
  <conditionalFormatting sqref="AO62:AO65">
    <cfRule type="cellIs" dxfId="4" priority="592" operator="lessThan">
      <formula>0</formula>
    </cfRule>
  </conditionalFormatting>
  <conditionalFormatting sqref="AO80:AO83">
    <cfRule type="cellIs" dxfId="4" priority="533" operator="lessThan">
      <formula>0</formula>
    </cfRule>
  </conditionalFormatting>
  <conditionalFormatting sqref="AO89:AO92">
    <cfRule type="cellIs" dxfId="4" priority="480" operator="lessThan">
      <formula>0</formula>
    </cfRule>
  </conditionalFormatting>
  <conditionalFormatting sqref="AO98:AO101">
    <cfRule type="cellIs" dxfId="4" priority="427" operator="lessThan">
      <formula>0</formula>
    </cfRule>
  </conditionalFormatting>
  <conditionalFormatting sqref="AO107:AO110">
    <cfRule type="cellIs" dxfId="4" priority="237" operator="lessThan">
      <formula>0</formula>
    </cfRule>
  </conditionalFormatting>
  <conditionalFormatting sqref="AO116:AO119">
    <cfRule type="cellIs" dxfId="4" priority="184" operator="lessThan">
      <formula>0</formula>
    </cfRule>
  </conditionalFormatting>
  <conditionalFormatting sqref="AO125:AO128">
    <cfRule type="cellIs" dxfId="4" priority="131" operator="lessThan">
      <formula>0</formula>
    </cfRule>
  </conditionalFormatting>
  <conditionalFormatting sqref="AO134:AO137">
    <cfRule type="cellIs" dxfId="4" priority="374" operator="lessThan">
      <formula>0</formula>
    </cfRule>
  </conditionalFormatting>
  <conditionalFormatting sqref="AP62:AP65">
    <cfRule type="cellIs" dxfId="4" priority="591" operator="lessThan">
      <formula>0</formula>
    </cfRule>
  </conditionalFormatting>
  <conditionalFormatting sqref="AP80:AP83">
    <cfRule type="cellIs" dxfId="4" priority="532" operator="lessThan">
      <formula>0</formula>
    </cfRule>
  </conditionalFormatting>
  <conditionalFormatting sqref="AP89:AP92">
    <cfRule type="cellIs" dxfId="4" priority="479" operator="lessThan">
      <formula>0</formula>
    </cfRule>
  </conditionalFormatting>
  <conditionalFormatting sqref="AP98:AP101">
    <cfRule type="cellIs" dxfId="4" priority="426" operator="lessThan">
      <formula>0</formula>
    </cfRule>
  </conditionalFormatting>
  <conditionalFormatting sqref="AP107:AP110">
    <cfRule type="cellIs" dxfId="4" priority="236" operator="lessThan">
      <formula>0</formula>
    </cfRule>
  </conditionalFormatting>
  <conditionalFormatting sqref="AP116:AP119">
    <cfRule type="cellIs" dxfId="4" priority="183" operator="lessThan">
      <formula>0</formula>
    </cfRule>
  </conditionalFormatting>
  <conditionalFormatting sqref="AP125:AP128">
    <cfRule type="cellIs" dxfId="4" priority="130" operator="lessThan">
      <formula>0</formula>
    </cfRule>
  </conditionalFormatting>
  <conditionalFormatting sqref="AP134:AP137">
    <cfRule type="cellIs" dxfId="4" priority="373" operator="lessThan">
      <formula>0</formula>
    </cfRule>
  </conditionalFormatting>
  <conditionalFormatting sqref="AQ62:AQ65">
    <cfRule type="cellIs" dxfId="4" priority="590" operator="lessThan">
      <formula>0</formula>
    </cfRule>
  </conditionalFormatting>
  <conditionalFormatting sqref="AQ80:AQ83">
    <cfRule type="cellIs" dxfId="4" priority="531" operator="lessThan">
      <formula>0</formula>
    </cfRule>
  </conditionalFormatting>
  <conditionalFormatting sqref="AQ89:AQ92">
    <cfRule type="cellIs" dxfId="4" priority="478" operator="lessThan">
      <formula>0</formula>
    </cfRule>
  </conditionalFormatting>
  <conditionalFormatting sqref="AQ98:AQ101">
    <cfRule type="cellIs" dxfId="4" priority="425" operator="lessThan">
      <formula>0</formula>
    </cfRule>
  </conditionalFormatting>
  <conditionalFormatting sqref="AQ107:AQ110">
    <cfRule type="cellIs" dxfId="4" priority="235" operator="lessThan">
      <formula>0</formula>
    </cfRule>
  </conditionalFormatting>
  <conditionalFormatting sqref="AQ116:AQ119">
    <cfRule type="cellIs" dxfId="4" priority="182" operator="lessThan">
      <formula>0</formula>
    </cfRule>
  </conditionalFormatting>
  <conditionalFormatting sqref="AQ125:AQ128">
    <cfRule type="cellIs" dxfId="4" priority="129" operator="lessThan">
      <formula>0</formula>
    </cfRule>
  </conditionalFormatting>
  <conditionalFormatting sqref="AQ134:AQ137">
    <cfRule type="cellIs" dxfId="4" priority="372" operator="lessThan">
      <formula>0</formula>
    </cfRule>
  </conditionalFormatting>
  <conditionalFormatting sqref="AR62:AR65">
    <cfRule type="cellIs" dxfId="4" priority="589" operator="lessThan">
      <formula>0</formula>
    </cfRule>
  </conditionalFormatting>
  <conditionalFormatting sqref="AR80:AR83">
    <cfRule type="cellIs" dxfId="4" priority="530" operator="lessThan">
      <formula>0</formula>
    </cfRule>
  </conditionalFormatting>
  <conditionalFormatting sqref="AR89:AR92">
    <cfRule type="cellIs" dxfId="4" priority="477" operator="lessThan">
      <formula>0</formula>
    </cfRule>
  </conditionalFormatting>
  <conditionalFormatting sqref="AR98:AR101">
    <cfRule type="cellIs" dxfId="4" priority="424" operator="lessThan">
      <formula>0</formula>
    </cfRule>
  </conditionalFormatting>
  <conditionalFormatting sqref="AR107:AR110">
    <cfRule type="cellIs" dxfId="4" priority="234" operator="lessThan">
      <formula>0</formula>
    </cfRule>
  </conditionalFormatting>
  <conditionalFormatting sqref="AR116:AR119">
    <cfRule type="cellIs" dxfId="4" priority="181" operator="lessThan">
      <formula>0</formula>
    </cfRule>
  </conditionalFormatting>
  <conditionalFormatting sqref="AR125:AR128">
    <cfRule type="cellIs" dxfId="4" priority="128" operator="lessThan">
      <formula>0</formula>
    </cfRule>
  </conditionalFormatting>
  <conditionalFormatting sqref="AR134:AR137">
    <cfRule type="cellIs" dxfId="4" priority="371" operator="lessThan">
      <formula>0</formula>
    </cfRule>
  </conditionalFormatting>
  <conditionalFormatting sqref="AS62:AS65">
    <cfRule type="cellIs" dxfId="4" priority="588" operator="lessThan">
      <formula>0</formula>
    </cfRule>
  </conditionalFormatting>
  <conditionalFormatting sqref="AS80:AS83">
    <cfRule type="cellIs" dxfId="4" priority="529" operator="lessThan">
      <formula>0</formula>
    </cfRule>
  </conditionalFormatting>
  <conditionalFormatting sqref="AS89:AS92">
    <cfRule type="cellIs" dxfId="4" priority="476" operator="lessThan">
      <formula>0</formula>
    </cfRule>
  </conditionalFormatting>
  <conditionalFormatting sqref="AS98:AS101">
    <cfRule type="cellIs" dxfId="4" priority="423" operator="lessThan">
      <formula>0</formula>
    </cfRule>
  </conditionalFormatting>
  <conditionalFormatting sqref="AS107:AS110">
    <cfRule type="cellIs" dxfId="4" priority="233" operator="lessThan">
      <formula>0</formula>
    </cfRule>
  </conditionalFormatting>
  <conditionalFormatting sqref="AS116:AS119">
    <cfRule type="cellIs" dxfId="4" priority="180" operator="lessThan">
      <formula>0</formula>
    </cfRule>
  </conditionalFormatting>
  <conditionalFormatting sqref="AS125:AS128">
    <cfRule type="cellIs" dxfId="4" priority="127" operator="lessThan">
      <formula>0</formula>
    </cfRule>
  </conditionalFormatting>
  <conditionalFormatting sqref="AS134:AS137">
    <cfRule type="cellIs" dxfId="4" priority="370" operator="lessThan">
      <formula>0</formula>
    </cfRule>
  </conditionalFormatting>
  <conditionalFormatting sqref="AT62:AT65">
    <cfRule type="cellIs" dxfId="4" priority="587" operator="lessThan">
      <formula>0</formula>
    </cfRule>
  </conditionalFormatting>
  <conditionalFormatting sqref="AT80:AT83">
    <cfRule type="cellIs" dxfId="4" priority="528" operator="lessThan">
      <formula>0</formula>
    </cfRule>
  </conditionalFormatting>
  <conditionalFormatting sqref="AT89:AT92">
    <cfRule type="cellIs" dxfId="4" priority="475" operator="lessThan">
      <formula>0</formula>
    </cfRule>
  </conditionalFormatting>
  <conditionalFormatting sqref="AT98:AT101">
    <cfRule type="cellIs" dxfId="4" priority="422" operator="lessThan">
      <formula>0</formula>
    </cfRule>
  </conditionalFormatting>
  <conditionalFormatting sqref="AT107:AT110">
    <cfRule type="cellIs" dxfId="4" priority="232" operator="lessThan">
      <formula>0</formula>
    </cfRule>
  </conditionalFormatting>
  <conditionalFormatting sqref="AT116:AT119">
    <cfRule type="cellIs" dxfId="4" priority="179" operator="lessThan">
      <formula>0</formula>
    </cfRule>
  </conditionalFormatting>
  <conditionalFormatting sqref="AT125:AT128">
    <cfRule type="cellIs" dxfId="4" priority="126" operator="lessThan">
      <formula>0</formula>
    </cfRule>
  </conditionalFormatting>
  <conditionalFormatting sqref="AT134:AT137">
    <cfRule type="cellIs" dxfId="4" priority="369" operator="lessThan">
      <formula>0</formula>
    </cfRule>
  </conditionalFormatting>
  <conditionalFormatting sqref="AU62:AU65">
    <cfRule type="cellIs" dxfId="4" priority="586" operator="lessThan">
      <formula>0</formula>
    </cfRule>
  </conditionalFormatting>
  <conditionalFormatting sqref="AU80:AU83">
    <cfRule type="cellIs" dxfId="4" priority="527" operator="lessThan">
      <formula>0</formula>
    </cfRule>
  </conditionalFormatting>
  <conditionalFormatting sqref="AU89:AU92">
    <cfRule type="cellIs" dxfId="4" priority="474" operator="lessThan">
      <formula>0</formula>
    </cfRule>
  </conditionalFormatting>
  <conditionalFormatting sqref="AU98:AU101">
    <cfRule type="cellIs" dxfId="4" priority="421" operator="lessThan">
      <formula>0</formula>
    </cfRule>
  </conditionalFormatting>
  <conditionalFormatting sqref="AU107:AU110">
    <cfRule type="cellIs" dxfId="4" priority="231" operator="lessThan">
      <formula>0</formula>
    </cfRule>
  </conditionalFormatting>
  <conditionalFormatting sqref="AU116:AU119">
    <cfRule type="cellIs" dxfId="4" priority="178" operator="lessThan">
      <formula>0</formula>
    </cfRule>
  </conditionalFormatting>
  <conditionalFormatting sqref="AU125:AU128">
    <cfRule type="cellIs" dxfId="4" priority="125" operator="lessThan">
      <formula>0</formula>
    </cfRule>
  </conditionalFormatting>
  <conditionalFormatting sqref="AU134:AU137">
    <cfRule type="cellIs" dxfId="4" priority="368" operator="lessThan">
      <formula>0</formula>
    </cfRule>
  </conditionalFormatting>
  <conditionalFormatting sqref="AV62:AV65">
    <cfRule type="cellIs" dxfId="4" priority="585" operator="lessThan">
      <formula>0</formula>
    </cfRule>
  </conditionalFormatting>
  <conditionalFormatting sqref="AV80:AV83">
    <cfRule type="cellIs" dxfId="4" priority="526" operator="lessThan">
      <formula>0</formula>
    </cfRule>
  </conditionalFormatting>
  <conditionalFormatting sqref="AV89:AV92">
    <cfRule type="cellIs" dxfId="4" priority="473" operator="lessThan">
      <formula>0</formula>
    </cfRule>
  </conditionalFormatting>
  <conditionalFormatting sqref="AV98:AV101">
    <cfRule type="cellIs" dxfId="4" priority="420" operator="lessThan">
      <formula>0</formula>
    </cfRule>
  </conditionalFormatting>
  <conditionalFormatting sqref="AV107:AV110">
    <cfRule type="cellIs" dxfId="4" priority="230" operator="lessThan">
      <formula>0</formula>
    </cfRule>
  </conditionalFormatting>
  <conditionalFormatting sqref="AV116:AV119">
    <cfRule type="cellIs" dxfId="4" priority="177" operator="lessThan">
      <formula>0</formula>
    </cfRule>
  </conditionalFormatting>
  <conditionalFormatting sqref="AV125:AV128">
    <cfRule type="cellIs" dxfId="4" priority="124" operator="lessThan">
      <formula>0</formula>
    </cfRule>
  </conditionalFormatting>
  <conditionalFormatting sqref="AV134:AV137">
    <cfRule type="cellIs" dxfId="4" priority="367" operator="lessThan">
      <formula>0</formula>
    </cfRule>
  </conditionalFormatting>
  <conditionalFormatting sqref="AW62:AW65">
    <cfRule type="cellIs" dxfId="4" priority="584" operator="lessThan">
      <formula>0</formula>
    </cfRule>
  </conditionalFormatting>
  <conditionalFormatting sqref="AW80:AW83">
    <cfRule type="cellIs" dxfId="4" priority="525" operator="lessThan">
      <formula>0</formula>
    </cfRule>
  </conditionalFormatting>
  <conditionalFormatting sqref="AW89:AW92">
    <cfRule type="cellIs" dxfId="4" priority="472" operator="lessThan">
      <formula>0</formula>
    </cfRule>
  </conditionalFormatting>
  <conditionalFormatting sqref="AW98:AW101">
    <cfRule type="cellIs" dxfId="4" priority="419" operator="lessThan">
      <formula>0</formula>
    </cfRule>
  </conditionalFormatting>
  <conditionalFormatting sqref="AW107:AW110">
    <cfRule type="cellIs" dxfId="4" priority="229" operator="lessThan">
      <formula>0</formula>
    </cfRule>
  </conditionalFormatting>
  <conditionalFormatting sqref="AW116:AW119">
    <cfRule type="cellIs" dxfId="4" priority="176" operator="lessThan">
      <formula>0</formula>
    </cfRule>
  </conditionalFormatting>
  <conditionalFormatting sqref="AW125:AW128">
    <cfRule type="cellIs" dxfId="4" priority="123" operator="lessThan">
      <formula>0</formula>
    </cfRule>
  </conditionalFormatting>
  <conditionalFormatting sqref="AW134:AW137">
    <cfRule type="cellIs" dxfId="4" priority="366" operator="lessThan">
      <formula>0</formula>
    </cfRule>
  </conditionalFormatting>
  <conditionalFormatting sqref="AX62:AX65">
    <cfRule type="cellIs" dxfId="4" priority="583" operator="lessThan">
      <formula>0</formula>
    </cfRule>
  </conditionalFormatting>
  <conditionalFormatting sqref="AX80:AX83">
    <cfRule type="cellIs" dxfId="4" priority="524" operator="lessThan">
      <formula>0</formula>
    </cfRule>
  </conditionalFormatting>
  <conditionalFormatting sqref="AX89:AX92">
    <cfRule type="cellIs" dxfId="4" priority="471" operator="lessThan">
      <formula>0</formula>
    </cfRule>
  </conditionalFormatting>
  <conditionalFormatting sqref="AX98:AX101">
    <cfRule type="cellIs" dxfId="4" priority="418" operator="lessThan">
      <formula>0</formula>
    </cfRule>
  </conditionalFormatting>
  <conditionalFormatting sqref="AX107:AX110">
    <cfRule type="cellIs" dxfId="4" priority="228" operator="lessThan">
      <formula>0</formula>
    </cfRule>
  </conditionalFormatting>
  <conditionalFormatting sqref="AX116:AX119">
    <cfRule type="cellIs" dxfId="4" priority="175" operator="lessThan">
      <formula>0</formula>
    </cfRule>
  </conditionalFormatting>
  <conditionalFormatting sqref="AX125:AX128">
    <cfRule type="cellIs" dxfId="4" priority="122" operator="lessThan">
      <formula>0</formula>
    </cfRule>
  </conditionalFormatting>
  <conditionalFormatting sqref="AX134:AX137">
    <cfRule type="cellIs" dxfId="4" priority="365" operator="lessThan">
      <formula>0</formula>
    </cfRule>
  </conditionalFormatting>
  <conditionalFormatting sqref="AY62:AY65">
    <cfRule type="cellIs" dxfId="4" priority="582" operator="lessThan">
      <formula>0</formula>
    </cfRule>
  </conditionalFormatting>
  <conditionalFormatting sqref="AY80:AY83">
    <cfRule type="cellIs" dxfId="4" priority="523" operator="lessThan">
      <formula>0</formula>
    </cfRule>
  </conditionalFormatting>
  <conditionalFormatting sqref="AY89:AY92">
    <cfRule type="cellIs" dxfId="4" priority="470" operator="lessThan">
      <formula>0</formula>
    </cfRule>
  </conditionalFormatting>
  <conditionalFormatting sqref="AY98:AY101">
    <cfRule type="cellIs" dxfId="4" priority="417" operator="lessThan">
      <formula>0</formula>
    </cfRule>
  </conditionalFormatting>
  <conditionalFormatting sqref="AY107:AY110">
    <cfRule type="cellIs" dxfId="4" priority="227" operator="lessThan">
      <formula>0</formula>
    </cfRule>
  </conditionalFormatting>
  <conditionalFormatting sqref="AY116:AY119">
    <cfRule type="cellIs" dxfId="4" priority="174" operator="lessThan">
      <formula>0</formula>
    </cfRule>
  </conditionalFormatting>
  <conditionalFormatting sqref="AY125:AY128">
    <cfRule type="cellIs" dxfId="4" priority="121" operator="lessThan">
      <formula>0</formula>
    </cfRule>
  </conditionalFormatting>
  <conditionalFormatting sqref="AY134:AY137">
    <cfRule type="cellIs" dxfId="4" priority="364" operator="lessThan">
      <formula>0</formula>
    </cfRule>
  </conditionalFormatting>
  <conditionalFormatting sqref="AZ62:AZ65">
    <cfRule type="cellIs" dxfId="4" priority="605" operator="lessThan">
      <formula>0</formula>
    </cfRule>
  </conditionalFormatting>
  <conditionalFormatting sqref="AZ80:AZ83">
    <cfRule type="cellIs" dxfId="4" priority="546" operator="lessThan">
      <formula>0</formula>
    </cfRule>
  </conditionalFormatting>
  <conditionalFormatting sqref="AZ89:AZ92">
    <cfRule type="cellIs" dxfId="4" priority="493" operator="lessThan">
      <formula>0</formula>
    </cfRule>
  </conditionalFormatting>
  <conditionalFormatting sqref="AZ98:AZ101">
    <cfRule type="cellIs" dxfId="4" priority="440" operator="lessThan">
      <formula>0</formula>
    </cfRule>
  </conditionalFormatting>
  <conditionalFormatting sqref="AZ107:AZ110">
    <cfRule type="cellIs" dxfId="4" priority="250" operator="lessThan">
      <formula>0</formula>
    </cfRule>
  </conditionalFormatting>
  <conditionalFormatting sqref="AZ116:AZ119">
    <cfRule type="cellIs" dxfId="4" priority="197" operator="lessThan">
      <formula>0</formula>
    </cfRule>
  </conditionalFormatting>
  <conditionalFormatting sqref="AZ125:AZ128">
    <cfRule type="cellIs" dxfId="4" priority="144" operator="lessThan">
      <formula>0</formula>
    </cfRule>
  </conditionalFormatting>
  <conditionalFormatting sqref="AZ134:AZ137">
    <cfRule type="cellIs" dxfId="4" priority="387" operator="lessThan">
      <formula>0</formula>
    </cfRule>
  </conditionalFormatting>
  <conditionalFormatting sqref="BA7:BA10">
    <cfRule type="cellIs" dxfId="4" priority="826" operator="lessThan">
      <formula>0</formula>
    </cfRule>
  </conditionalFormatting>
  <conditionalFormatting sqref="BA16:BA19">
    <cfRule type="cellIs" dxfId="4" priority="829" operator="lessThan">
      <formula>0</formula>
    </cfRule>
  </conditionalFormatting>
  <conditionalFormatting sqref="BA35:BA37">
    <cfRule type="cellIs" dxfId="4" priority="827" operator="lessThan">
      <formula>0</formula>
    </cfRule>
  </conditionalFormatting>
  <conditionalFormatting sqref="BA44:BA46">
    <cfRule type="cellIs" dxfId="4" priority="624" operator="lessThan">
      <formula>0</formula>
    </cfRule>
  </conditionalFormatting>
  <conditionalFormatting sqref="BA53:BA55">
    <cfRule type="cellIs" dxfId="4" priority="622" operator="lessThan">
      <formula>0</formula>
    </cfRule>
  </conditionalFormatting>
  <conditionalFormatting sqref="BA62:BA65">
    <cfRule type="cellIs" dxfId="4" priority="553" operator="lessThan">
      <formula>0</formula>
    </cfRule>
  </conditionalFormatting>
  <conditionalFormatting sqref="BA72:BA74">
    <cfRule type="cellIs" dxfId="4" priority="620" operator="lessThan">
      <formula>0</formula>
    </cfRule>
  </conditionalFormatting>
  <conditionalFormatting sqref="BA81:BA83">
    <cfRule type="cellIs" dxfId="4" priority="500" operator="lessThan">
      <formula>0</formula>
    </cfRule>
  </conditionalFormatting>
  <conditionalFormatting sqref="BA90:BA92">
    <cfRule type="cellIs" dxfId="4" priority="447" operator="lessThan">
      <formula>0</formula>
    </cfRule>
  </conditionalFormatting>
  <conditionalFormatting sqref="BA99:BA101">
    <cfRule type="cellIs" dxfId="4" priority="394" operator="lessThan">
      <formula>0</formula>
    </cfRule>
  </conditionalFormatting>
  <conditionalFormatting sqref="BA108:BA110">
    <cfRule type="cellIs" dxfId="4" priority="62" operator="lessThan">
      <formula>0</formula>
    </cfRule>
  </conditionalFormatting>
  <conditionalFormatting sqref="BA117:BA119">
    <cfRule type="cellIs" dxfId="4" priority="53" operator="lessThan">
      <formula>0</formula>
    </cfRule>
  </conditionalFormatting>
  <conditionalFormatting sqref="BA126:BA128">
    <cfRule type="cellIs" dxfId="4" priority="39" operator="lessThan">
      <formula>0</formula>
    </cfRule>
  </conditionalFormatting>
  <conditionalFormatting sqref="BA135:BA137">
    <cfRule type="cellIs" dxfId="4" priority="341" operator="lessThan">
      <formula>0</formula>
    </cfRule>
  </conditionalFormatting>
  <conditionalFormatting sqref="BB16:BB19">
    <cfRule type="cellIs" dxfId="4" priority="1195" operator="lessThan">
      <formula>0</formula>
    </cfRule>
  </conditionalFormatting>
  <conditionalFormatting sqref="BB35:BB37">
    <cfRule type="cellIs" dxfId="4" priority="946" operator="lessThan">
      <formula>0</formula>
    </cfRule>
  </conditionalFormatting>
  <conditionalFormatting sqref="BB44:BB46">
    <cfRule type="cellIs" dxfId="4" priority="623" operator="lessThan">
      <formula>0</formula>
    </cfRule>
  </conditionalFormatting>
  <conditionalFormatting sqref="BB53:BB55">
    <cfRule type="cellIs" dxfId="4" priority="621" operator="lessThan">
      <formula>0</formula>
    </cfRule>
  </conditionalFormatting>
  <conditionalFormatting sqref="BB63:BB65">
    <cfRule type="cellIs" dxfId="4" priority="558" operator="lessThan">
      <formula>0</formula>
    </cfRule>
  </conditionalFormatting>
  <conditionalFormatting sqref="BB72:BB74">
    <cfRule type="cellIs" dxfId="4" priority="619" operator="lessThan">
      <formula>0</formula>
    </cfRule>
  </conditionalFormatting>
  <conditionalFormatting sqref="BB81:BB83">
    <cfRule type="cellIs" dxfId="4" priority="499" operator="lessThan">
      <formula>0</formula>
    </cfRule>
  </conditionalFormatting>
  <conditionalFormatting sqref="BB90:BB92">
    <cfRule type="cellIs" dxfId="4" priority="446" operator="lessThan">
      <formula>0</formula>
    </cfRule>
  </conditionalFormatting>
  <conditionalFormatting sqref="BB99:BB101">
    <cfRule type="cellIs" dxfId="4" priority="393" operator="lessThan">
      <formula>0</formula>
    </cfRule>
  </conditionalFormatting>
  <conditionalFormatting sqref="BB117:BB119">
    <cfRule type="cellIs" dxfId="4" priority="150" operator="lessThan">
      <formula>0</formula>
    </cfRule>
  </conditionalFormatting>
  <conditionalFormatting sqref="BB126:BB128">
    <cfRule type="cellIs" dxfId="4" priority="97" operator="lessThan">
      <formula>0</formula>
    </cfRule>
  </conditionalFormatting>
  <conditionalFormatting sqref="BB135:BB137">
    <cfRule type="cellIs" dxfId="4" priority="340" operator="lessThan">
      <formula>0</formula>
    </cfRule>
  </conditionalFormatting>
  <conditionalFormatting sqref="S6:AE6 U15 U24 U33 U42 U51 U70 AG6:AN6 AI15 AI24 AI33 AI42 AI51 AI60 AZ6:BA6 AZ15 AZ24 AZ33 AZ42 AZ51 AZ70">
    <cfRule type="cellIs" dxfId="4" priority="824" operator="lessThan">
      <formula>0</formula>
    </cfRule>
    <cfRule type="cellIs" dxfId="5" priority="825" operator="lessThan">
      <formula>0</formula>
    </cfRule>
  </conditionalFormatting>
  <conditionalFormatting sqref="AF6 AF15 AF24 AF33 AF42 AF51">
    <cfRule type="cellIs" dxfId="5" priority="5" operator="lessThan">
      <formula>0</formula>
    </cfRule>
    <cfRule type="cellIs" dxfId="4" priority="4" operator="lessThan">
      <formula>0</formula>
    </cfRule>
  </conditionalFormatting>
  <conditionalFormatting sqref="AO6 AO15 AO24 AO33 AO42 AO51 AO70">
    <cfRule type="cellIs" dxfId="4" priority="635" operator="lessThan">
      <formula>0</formula>
    </cfRule>
    <cfRule type="cellIs" dxfId="5" priority="646" operator="lessThan">
      <formula>0</formula>
    </cfRule>
  </conditionalFormatting>
  <conditionalFormatting sqref="AP6 AP15 AP24 AP33 AP42 AP51 AP70">
    <cfRule type="cellIs" dxfId="4" priority="634" operator="lessThan">
      <formula>0</formula>
    </cfRule>
    <cfRule type="cellIs" dxfId="5" priority="645" operator="lessThan">
      <formula>0</formula>
    </cfRule>
  </conditionalFormatting>
  <conditionalFormatting sqref="AQ6 AQ15 AQ24 AQ33 AQ42 AQ51 AQ70">
    <cfRule type="cellIs" dxfId="4" priority="633" operator="lessThan">
      <formula>0</formula>
    </cfRule>
    <cfRule type="cellIs" dxfId="5" priority="644" operator="lessThan">
      <formula>0</formula>
    </cfRule>
  </conditionalFormatting>
  <conditionalFormatting sqref="AR6 AR15 AR24 AR33 AR42 AR51 AR70">
    <cfRule type="cellIs" dxfId="4" priority="632" operator="lessThan">
      <formula>0</formula>
    </cfRule>
    <cfRule type="cellIs" dxfId="5" priority="643" operator="lessThan">
      <formula>0</formula>
    </cfRule>
  </conditionalFormatting>
  <conditionalFormatting sqref="AS6 AS15 AS24 AS33 AS42 AS51 AS70">
    <cfRule type="cellIs" dxfId="4" priority="631" operator="lessThan">
      <formula>0</formula>
    </cfRule>
    <cfRule type="cellIs" dxfId="5" priority="642" operator="lessThan">
      <formula>0</formula>
    </cfRule>
  </conditionalFormatting>
  <conditionalFormatting sqref="AT6 AT15 AT24 AT33 AT42 AT51 AT70">
    <cfRule type="cellIs" dxfId="4" priority="630" operator="lessThan">
      <formula>0</formula>
    </cfRule>
    <cfRule type="cellIs" dxfId="5" priority="641" operator="lessThan">
      <formula>0</formula>
    </cfRule>
  </conditionalFormatting>
  <conditionalFormatting sqref="AU6 AU15 AU24 AU33 AU42 AU51 AU70">
    <cfRule type="cellIs" dxfId="4" priority="629" operator="lessThan">
      <formula>0</formula>
    </cfRule>
    <cfRule type="cellIs" dxfId="5" priority="640" operator="lessThan">
      <formula>0</formula>
    </cfRule>
  </conditionalFormatting>
  <conditionalFormatting sqref="AV6 AV15 AV24 AV33 AV42 AV51 AV70">
    <cfRule type="cellIs" dxfId="4" priority="628" operator="lessThan">
      <formula>0</formula>
    </cfRule>
    <cfRule type="cellIs" dxfId="5" priority="639" operator="lessThan">
      <formula>0</formula>
    </cfRule>
  </conditionalFormatting>
  <conditionalFormatting sqref="AW6 AW15 AW24 AW33 AW42 AW51 AW70">
    <cfRule type="cellIs" dxfId="4" priority="627" operator="lessThan">
      <formula>0</formula>
    </cfRule>
    <cfRule type="cellIs" dxfId="5" priority="638" operator="lessThan">
      <formula>0</formula>
    </cfRule>
  </conditionalFormatting>
  <conditionalFormatting sqref="AX6 AX15 AX24 AX33 AX42 AX51 AX70">
    <cfRule type="cellIs" dxfId="4" priority="626" operator="lessThan">
      <formula>0</formula>
    </cfRule>
    <cfRule type="cellIs" dxfId="5" priority="637" operator="lessThan">
      <formula>0</formula>
    </cfRule>
  </conditionalFormatting>
  <conditionalFormatting sqref="AY6 AY15 AY24 AY33 AY42 AY51 AY70">
    <cfRule type="cellIs" dxfId="4" priority="625" operator="lessThan">
      <formula>0</formula>
    </cfRule>
    <cfRule type="cellIs" dxfId="5" priority="636" operator="lessThan">
      <formula>0</formula>
    </cfRule>
  </conditionalFormatting>
  <conditionalFormatting sqref="S7:T10">
    <cfRule type="cellIs" dxfId="4" priority="1160" operator="lessThan">
      <formula>0</formula>
    </cfRule>
  </conditionalFormatting>
  <conditionalFormatting sqref="T25:T28 V7:AE10 V16:AE19 V25:AE28 V34:AE37 V43:AE46 AG7:AG10 AG25:AG28">
    <cfRule type="cellIs" dxfId="4" priority="880" operator="lessThan">
      <formula>0</formula>
    </cfRule>
  </conditionalFormatting>
  <conditionalFormatting sqref="AO7:AO10 AO16:AO19 AO25:AO28 AO34:AO37 AO43:AO46 AO52:AO55 AO71:AO74">
    <cfRule type="cellIs" dxfId="4" priority="657" operator="lessThan">
      <formula>0</formula>
    </cfRule>
  </conditionalFormatting>
  <conditionalFormatting sqref="AO16:AW19 AO25:AT28 AO34:AQ37 AO43:AU46 AZ7:AZ10 AZ16:AZ19 AZ25:AZ28 AZ34:AZ37 AZ43:AZ46 AZ52:AZ55 AZ71:AZ74 BB7:BC10">
    <cfRule type="cellIs" dxfId="4" priority="881" operator="lessThan">
      <formula>0</formula>
    </cfRule>
  </conditionalFormatting>
  <conditionalFormatting sqref="AP7:AP10 AP16:AP19 AP25:AP28 AP34:AP37 AP43:AP46 AP52:AP55 AP71:AP74">
    <cfRule type="cellIs" dxfId="4" priority="656" operator="lessThan">
      <formula>0</formula>
    </cfRule>
  </conditionalFormatting>
  <conditionalFormatting sqref="AQ7:AQ10 AQ16:AQ19 AQ25:AQ28 AQ34:AQ37 AQ43:AQ46 AQ52:AQ55 AQ71:AQ74">
    <cfRule type="cellIs" dxfId="4" priority="655" operator="lessThan">
      <formula>0</formula>
    </cfRule>
  </conditionalFormatting>
  <conditionalFormatting sqref="AR7:AR10 AR16:AR19 AR25:AR28 AR34:AR37 AR43:AR46 AR52:AR55 AR71:AR74">
    <cfRule type="cellIs" dxfId="4" priority="654" operator="lessThan">
      <formula>0</formula>
    </cfRule>
  </conditionalFormatting>
  <conditionalFormatting sqref="AS7:AS10 AS16:AS19 AS25:AS28 AS34:AS37 AS43:AS46 AS52:AS55 AS71:AS74">
    <cfRule type="cellIs" dxfId="4" priority="653" operator="lessThan">
      <formula>0</formula>
    </cfRule>
  </conditionalFormatting>
  <conditionalFormatting sqref="AT7:AT10 AT16:AT19 AT25:AT28 AT34:AT37 AT43:AT46 AT52:AT55 AT71:AT74">
    <cfRule type="cellIs" dxfId="4" priority="652" operator="lessThan">
      <formula>0</formula>
    </cfRule>
  </conditionalFormatting>
  <conditionalFormatting sqref="AU7:AU10 AU16:AU19 AU25:AU28 AU34:AU37 AU43:AU46 AU52:AU55 AU71:AU74">
    <cfRule type="cellIs" dxfId="4" priority="651" operator="lessThan">
      <formula>0</formula>
    </cfRule>
  </conditionalFormatting>
  <conditionalFormatting sqref="AV7:AV10 AV16:AV19 AV25:AV28 AV34:AV37 AV43:AV46 AV52:AV55 AV71:AV74">
    <cfRule type="cellIs" dxfId="4" priority="650" operator="lessThan">
      <formula>0</formula>
    </cfRule>
  </conditionalFormatting>
  <conditionalFormatting sqref="AW7:AW10 AW16:AW19 AW25:AW28 AW34:AW37 AW43:AW46 AW52:AW55 AW71:AW74">
    <cfRule type="cellIs" dxfId="4" priority="649" operator="lessThan">
      <formula>0</formula>
    </cfRule>
  </conditionalFormatting>
  <conditionalFormatting sqref="AX7:AX10 AX16:AX19 AX25:AX28 AX34:AX37 AX43:AX46 AX52:AX55 AX71:AX74">
    <cfRule type="cellIs" dxfId="4" priority="648" operator="lessThan">
      <formula>0</formula>
    </cfRule>
  </conditionalFormatting>
  <conditionalFormatting sqref="AY7:AY10 AY16:AY19 AY25:AY28 AY34:AY37 AY43:AY46 AY52:AY55 AY71:AY74">
    <cfRule type="cellIs" dxfId="4" priority="647" operator="lessThan">
      <formula>0</formula>
    </cfRule>
  </conditionalFormatting>
  <conditionalFormatting sqref="U8:U10 U17:U19 U26:U28 U35:U37 U44:U46 U53:U55 U72:U74">
    <cfRule type="cellIs" dxfId="4" priority="1147" operator="lessThan">
      <formula>0</formula>
    </cfRule>
  </conditionalFormatting>
  <conditionalFormatting sqref="AF8:AF10 AF17:AF19 AF26:AF28 AF35:AF37 AF44:AF46 AF53:AF55">
    <cfRule type="cellIs" dxfId="4" priority="6" operator="lessThan">
      <formula>0</formula>
    </cfRule>
  </conditionalFormatting>
  <conditionalFormatting sqref="S15:T15 V15:AE15 AG15:AH15 AJ15:AN15 BA15">
    <cfRule type="cellIs" dxfId="5" priority="801" operator="lessThan">
      <formula>0</formula>
    </cfRule>
    <cfRule type="cellIs" dxfId="4" priority="800" operator="lessThan">
      <formula>0</formula>
    </cfRule>
  </conditionalFormatting>
  <conditionalFormatting sqref="T16:T19 T34:T37 T43:T46">
    <cfRule type="cellIs" dxfId="4" priority="1237" operator="lessThan">
      <formula>0</formula>
    </cfRule>
  </conditionalFormatting>
  <conditionalFormatting sqref="S20:S23 S25:S32 S34:S41 S43:S50 S52:S55 S66:S69 S71:S74">
    <cfRule type="cellIs" dxfId="4" priority="832" operator="lessThan">
      <formula>0</formula>
    </cfRule>
  </conditionalFormatting>
  <conditionalFormatting sqref="S24:T24 V24:AE24 AG24:AH24 AJ24:AN24 BA24">
    <cfRule type="cellIs" dxfId="5" priority="777" operator="lessThan">
      <formula>0</formula>
    </cfRule>
    <cfRule type="cellIs" dxfId="4" priority="776" operator="lessThan">
      <formula>0</formula>
    </cfRule>
  </conditionalFormatting>
  <conditionalFormatting sqref="S33:T33 V33:AE33 AH33 AJ33:AN33 BA33">
    <cfRule type="cellIs" dxfId="5" priority="753" operator="lessThan">
      <formula>0</formula>
    </cfRule>
    <cfRule type="cellIs" dxfId="4" priority="752" operator="lessThan">
      <formula>0</formula>
    </cfRule>
  </conditionalFormatting>
  <conditionalFormatting sqref="S42:T42 V42:AE42 AG42:AH42 AJ42:AN42">
    <cfRule type="cellIs" dxfId="5" priority="729" operator="lessThan">
      <formula>0</formula>
    </cfRule>
    <cfRule type="cellIs" dxfId="4" priority="728" operator="lessThan">
      <formula>0</formula>
    </cfRule>
  </conditionalFormatting>
  <conditionalFormatting sqref="S51:T51 V51:AE51 AG51:AH51 AJ51:AN51">
    <cfRule type="cellIs" dxfId="5" priority="705" operator="lessThan">
      <formula>0</formula>
    </cfRule>
    <cfRule type="cellIs" dxfId="4" priority="704" operator="lessThan">
      <formula>0</formula>
    </cfRule>
  </conditionalFormatting>
  <conditionalFormatting sqref="V52:AE55">
    <cfRule type="cellIs" dxfId="4" priority="858" operator="lessThan">
      <formula>0</formula>
    </cfRule>
  </conditionalFormatting>
  <conditionalFormatting sqref="T61 V61:AH61 AJ61:AN61">
    <cfRule type="cellIs" dxfId="4" priority="593" operator="lessThan">
      <formula>0</formula>
    </cfRule>
    <cfRule type="cellIs" dxfId="5" priority="594" operator="lessThan">
      <formula>0</formula>
    </cfRule>
  </conditionalFormatting>
  <conditionalFormatting sqref="U61 AZ61">
    <cfRule type="cellIs" dxfId="4" priority="595" operator="lessThan">
      <formula>0</formula>
    </cfRule>
    <cfRule type="cellIs" dxfId="5" priority="596" operator="lessThan">
      <formula>0</formula>
    </cfRule>
  </conditionalFormatting>
  <conditionalFormatting sqref="V62:AF65">
    <cfRule type="cellIs" dxfId="4" priority="599" operator="lessThan">
      <formula>0</formula>
    </cfRule>
  </conditionalFormatting>
  <conditionalFormatting sqref="S70:T70 V70:AE70 AH70 AJ70:AN70">
    <cfRule type="cellIs" dxfId="4" priority="680" operator="lessThan">
      <formula>0</formula>
    </cfRule>
    <cfRule type="cellIs" dxfId="5" priority="681" operator="lessThan">
      <formula>0</formula>
    </cfRule>
  </conditionalFormatting>
  <conditionalFormatting sqref="AF70 AF79 AF88 AF97 AF106 AF115 AF124 AF133">
    <cfRule type="cellIs" dxfId="5" priority="2" operator="lessThan">
      <formula>0</formula>
    </cfRule>
    <cfRule type="cellIs" dxfId="4" priority="1" operator="lessThan">
      <formula>0</formula>
    </cfRule>
  </conditionalFormatting>
  <conditionalFormatting sqref="AI70 AI79 AI88 AI97 AI106 AI115 AI124 AI133">
    <cfRule type="cellIs" dxfId="5" priority="11" operator="lessThan">
      <formula>0</formula>
    </cfRule>
    <cfRule type="cellIs" dxfId="4" priority="10" operator="lessThan">
      <formula>0</formula>
    </cfRule>
  </conditionalFormatting>
  <conditionalFormatting sqref="V71:AE74">
    <cfRule type="cellIs" dxfId="4" priority="835" operator="lessThan">
      <formula>0</formula>
    </cfRule>
  </conditionalFormatting>
  <conditionalFormatting sqref="AF72:AF74 AF81:AF83 AF90:AF92 AF99:AF101 AF108:AF110 AF117:AF119 AF126:AF128 AF135:AF137">
    <cfRule type="cellIs" dxfId="4" priority="3" operator="lessThan">
      <formula>0</formula>
    </cfRule>
  </conditionalFormatting>
  <conditionalFormatting sqref="S75:S78 S80:S83">
    <cfRule type="cellIs" dxfId="4" priority="538" operator="lessThan">
      <formula>0</formula>
    </cfRule>
  </conditionalFormatting>
  <conditionalFormatting sqref="S79:T79 V79:AE79 AH79 AJ79:AN79">
    <cfRule type="cellIs" dxfId="5" priority="535" operator="lessThan">
      <formula>0</formula>
    </cfRule>
    <cfRule type="cellIs" dxfId="4" priority="534" operator="lessThan">
      <formula>0</formula>
    </cfRule>
  </conditionalFormatting>
  <conditionalFormatting sqref="U79 AZ79">
    <cfRule type="cellIs" dxfId="5" priority="537" operator="lessThan">
      <formula>0</formula>
    </cfRule>
    <cfRule type="cellIs" dxfId="4" priority="536" operator="lessThan">
      <formula>0</formula>
    </cfRule>
  </conditionalFormatting>
  <conditionalFormatting sqref="V80:AE83">
    <cfRule type="cellIs" dxfId="4" priority="540" operator="lessThan">
      <formula>0</formula>
    </cfRule>
  </conditionalFormatting>
  <conditionalFormatting sqref="S84:S87 S89:S92">
    <cfRule type="cellIs" dxfId="4" priority="485" operator="lessThan">
      <formula>0</formula>
    </cfRule>
  </conditionalFormatting>
  <conditionalFormatting sqref="S88:T88 V88:AE88 AH88 AJ88:AN88">
    <cfRule type="cellIs" dxfId="5" priority="482" operator="lessThan">
      <formula>0</formula>
    </cfRule>
    <cfRule type="cellIs" dxfId="4" priority="481" operator="lessThan">
      <formula>0</formula>
    </cfRule>
  </conditionalFormatting>
  <conditionalFormatting sqref="U88 AZ88">
    <cfRule type="cellIs" dxfId="5" priority="484" operator="lessThan">
      <formula>0</formula>
    </cfRule>
    <cfRule type="cellIs" dxfId="4" priority="483" operator="lessThan">
      <formula>0</formula>
    </cfRule>
  </conditionalFormatting>
  <conditionalFormatting sqref="V89:AE92">
    <cfRule type="cellIs" dxfId="4" priority="487" operator="lessThan">
      <formula>0</formula>
    </cfRule>
  </conditionalFormatting>
  <conditionalFormatting sqref="S93:S96 S98:S101">
    <cfRule type="cellIs" dxfId="4" priority="432" operator="lessThan">
      <formula>0</formula>
    </cfRule>
  </conditionalFormatting>
  <conditionalFormatting sqref="S97:T97 V97:AE97 AH97 AJ97:AN97">
    <cfRule type="cellIs" dxfId="5" priority="429" operator="lessThan">
      <formula>0</formula>
    </cfRule>
    <cfRule type="cellIs" dxfId="4" priority="428" operator="lessThan">
      <formula>0</formula>
    </cfRule>
  </conditionalFormatting>
  <conditionalFormatting sqref="U97 AZ97">
    <cfRule type="cellIs" dxfId="5" priority="431" operator="lessThan">
      <formula>0</formula>
    </cfRule>
    <cfRule type="cellIs" dxfId="4" priority="430" operator="lessThan">
      <formula>0</formula>
    </cfRule>
  </conditionalFormatting>
  <conditionalFormatting sqref="V98:AE101">
    <cfRule type="cellIs" dxfId="4" priority="434" operator="lessThan">
      <formula>0</formula>
    </cfRule>
  </conditionalFormatting>
  <conditionalFormatting sqref="S102:S105 S107:S110">
    <cfRule type="cellIs" dxfId="4" priority="242" operator="lessThan">
      <formula>0</formula>
    </cfRule>
  </conditionalFormatting>
  <conditionalFormatting sqref="S106:T106 V106:AE106 AH106 AJ106:AN106">
    <cfRule type="cellIs" dxfId="4" priority="238" operator="lessThan">
      <formula>0</formula>
    </cfRule>
    <cfRule type="cellIs" dxfId="5" priority="239" operator="lessThan">
      <formula>0</formula>
    </cfRule>
  </conditionalFormatting>
  <conditionalFormatting sqref="BB106:BC106 BE106:BF106">
    <cfRule type="cellIs" dxfId="4" priority="67" operator="lessThan">
      <formula>0</formula>
    </cfRule>
    <cfRule type="cellIs" dxfId="5" priority="68" operator="lessThan">
      <formula>0</formula>
    </cfRule>
  </conditionalFormatting>
  <conditionalFormatting sqref="V107:AE110">
    <cfRule type="cellIs" dxfId="4" priority="244" operator="lessThan">
      <formula>0</formula>
    </cfRule>
  </conditionalFormatting>
  <conditionalFormatting sqref="BB107:BC107 BE107:BF107">
    <cfRule type="cellIs" dxfId="4" priority="66" operator="lessThan">
      <formula>0</formula>
    </cfRule>
  </conditionalFormatting>
  <conditionalFormatting sqref="BB108:BC108 BE108:BF108">
    <cfRule type="cellIs" dxfId="4" priority="65" operator="lessThan">
      <formula>0</formula>
    </cfRule>
  </conditionalFormatting>
  <conditionalFormatting sqref="BB109:BC109 BE109:BF109">
    <cfRule type="cellIs" dxfId="4" priority="64" operator="lessThan">
      <formula>0</formula>
    </cfRule>
  </conditionalFormatting>
  <conditionalFormatting sqref="BB110:BC110 BE110:BF110">
    <cfRule type="cellIs" dxfId="4" priority="63" operator="lessThan">
      <formula>0</formula>
    </cfRule>
  </conditionalFormatting>
  <conditionalFormatting sqref="S111:S114 S116:S119">
    <cfRule type="cellIs" dxfId="4" priority="189" operator="lessThan">
      <formula>0</formula>
    </cfRule>
  </conditionalFormatting>
  <conditionalFormatting sqref="S115:T115 V115:AE115 AH115 AJ115:AN115">
    <cfRule type="cellIs" dxfId="4" priority="185" operator="lessThan">
      <formula>0</formula>
    </cfRule>
    <cfRule type="cellIs" dxfId="5" priority="186" operator="lessThan">
      <formula>0</formula>
    </cfRule>
  </conditionalFormatting>
  <conditionalFormatting sqref="V116:AE119">
    <cfRule type="cellIs" dxfId="4" priority="191" operator="lessThan">
      <formula>0</formula>
    </cfRule>
  </conditionalFormatting>
  <conditionalFormatting sqref="S120:S123 S125:S128">
    <cfRule type="cellIs" dxfId="4" priority="136" operator="lessThan">
      <formula>0</formula>
    </cfRule>
  </conditionalFormatting>
  <conditionalFormatting sqref="S124:T124 V124:AE124 AH124 AJ124:AN124">
    <cfRule type="cellIs" dxfId="4" priority="132" operator="lessThan">
      <formula>0</formula>
    </cfRule>
    <cfRule type="cellIs" dxfId="5" priority="133" operator="lessThan">
      <formula>0</formula>
    </cfRule>
  </conditionalFormatting>
  <conditionalFormatting sqref="V125:AE128">
    <cfRule type="cellIs" dxfId="4" priority="138" operator="lessThan">
      <formula>0</formula>
    </cfRule>
  </conditionalFormatting>
  <conditionalFormatting sqref="S129:S132 S134:S137">
    <cfRule type="cellIs" dxfId="4" priority="379" operator="lessThan">
      <formula>0</formula>
    </cfRule>
  </conditionalFormatting>
  <conditionalFormatting sqref="S133:T133 V133:AE133 AG133:AH133 AJ133:AN133">
    <cfRule type="cellIs" dxfId="4" priority="375" operator="lessThan">
      <formula>0</formula>
    </cfRule>
    <cfRule type="cellIs" dxfId="5" priority="376" operator="lessThan">
      <formula>0</formula>
    </cfRule>
  </conditionalFormatting>
  <conditionalFormatting sqref="U133 AZ133">
    <cfRule type="cellIs" dxfId="4" priority="377" operator="lessThan">
      <formula>0</formula>
    </cfRule>
    <cfRule type="cellIs" dxfId="5" priority="378" operator="lessThan">
      <formula>0</formula>
    </cfRule>
  </conditionalFormatting>
  <conditionalFormatting sqref="V134:AE137">
    <cfRule type="cellIs" dxfId="4" priority="381" operator="lessThan">
      <formula>0</formula>
    </cfRule>
  </conditionalFormatting>
  <pageMargins left="0.75" right="0.75" top="1" bottom="1" header="0.5" footer="0.5"/>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105"/>
  <sheetViews>
    <sheetView zoomScale="70" zoomScaleNormal="70" workbookViewId="0">
      <pane xSplit="13" ySplit="1" topLeftCell="N2" activePane="bottomRight" state="frozen"/>
      <selection/>
      <selection pane="topRight"/>
      <selection pane="bottomLeft"/>
      <selection pane="bottomRight" activeCell="M2" sqref="$A2:$XFD25"/>
    </sheetView>
  </sheetViews>
  <sheetFormatPr defaultColWidth="8.66371681415929" defaultRowHeight="15"/>
  <cols>
    <col min="1" max="1" width="13.7787610619469" style="2" customWidth="1"/>
    <col min="2" max="2" width="20.5575221238938" style="2" customWidth="1"/>
    <col min="3" max="3" width="10.4424778761062" style="2" customWidth="1"/>
    <col min="4" max="4" width="11.6637168141593" style="2" customWidth="1"/>
    <col min="5" max="10" width="11.6637168141593" style="2" hidden="1" customWidth="1"/>
    <col min="11" max="11" width="11.6637168141593" style="2" customWidth="1"/>
    <col min="12" max="12" width="10.4424778761062" style="3" customWidth="1"/>
    <col min="13" max="13" width="18.4424778761062" style="2" customWidth="1"/>
    <col min="14" max="14" width="17.2212389380531" style="4" customWidth="1"/>
    <col min="15" max="15" width="18.8938053097345" style="2" customWidth="1"/>
    <col min="16" max="16" width="17.8938053097345" style="2" hidden="1" customWidth="1"/>
    <col min="17" max="18" width="20.1061946902655" style="2" customWidth="1"/>
    <col min="19" max="22" width="20.1061946902655" style="2" hidden="1" customWidth="1"/>
    <col min="23" max="24" width="17.8938053097345" style="2" hidden="1" customWidth="1"/>
    <col min="25" max="25" width="16.7787610619469" style="2" hidden="1" customWidth="1"/>
    <col min="26" max="26" width="14.2212389380531" style="1" customWidth="1"/>
    <col min="27" max="27" width="18.2212389380531" style="5" customWidth="1"/>
    <col min="28" max="30" width="12.1061946902655" style="2" customWidth="1"/>
    <col min="31" max="32" width="12.1061946902655" customWidth="1"/>
    <col min="33" max="35" width="14.1061946902655" customWidth="1"/>
    <col min="36" max="40" width="12.1061946902655" customWidth="1"/>
    <col min="41" max="42" width="14.4424778761062" style="2" customWidth="1"/>
    <col min="43" max="43" width="13.1061946902655" style="2" customWidth="1"/>
    <col min="44" max="44" width="12.1061946902655" style="2" customWidth="1"/>
    <col min="45" max="46" width="12.6637168141593" style="2" customWidth="1"/>
    <col min="47" max="47" width="12.1061946902655" style="2" customWidth="1"/>
    <col min="48" max="48" width="10.3362831858407" style="2" customWidth="1"/>
    <col min="49" max="50" width="12.1061946902655" style="2" customWidth="1"/>
    <col min="51" max="52" width="11.1061946902655" style="2" customWidth="1"/>
    <col min="53" max="53" width="11.4424778761062" style="2" customWidth="1"/>
    <col min="54" max="54" width="10" style="2" customWidth="1"/>
    <col min="55" max="61" width="10.3362831858407" style="2" customWidth="1"/>
    <col min="62" max="62" width="12.1061946902655" style="2" customWidth="1"/>
    <col min="63" max="64" width="10.3362831858407" style="2" customWidth="1"/>
    <col min="65" max="65" width="12.6637168141593" style="2" customWidth="1"/>
    <col min="66" max="66" width="8.89380530973451" style="2" customWidth="1"/>
    <col min="67" max="16384" width="8.66371681415929" style="2" customWidth="1"/>
  </cols>
  <sheetData>
    <row r="1" s="1" customFormat="1" ht="39" customHeight="1" spans="1:44">
      <c r="A1" s="6" t="s">
        <v>488</v>
      </c>
      <c r="B1" s="6" t="s">
        <v>100</v>
      </c>
      <c r="C1" s="6" t="s">
        <v>101</v>
      </c>
      <c r="D1" s="6" t="s">
        <v>102</v>
      </c>
      <c r="E1" s="6" t="s">
        <v>3448</v>
      </c>
      <c r="F1" s="6" t="s">
        <v>3449</v>
      </c>
      <c r="G1" s="6" t="s">
        <v>3450</v>
      </c>
      <c r="H1" s="7" t="s">
        <v>3451</v>
      </c>
      <c r="I1" s="7" t="s">
        <v>3452</v>
      </c>
      <c r="J1" s="6" t="s">
        <v>3453</v>
      </c>
      <c r="K1" s="7" t="s">
        <v>3454</v>
      </c>
      <c r="L1" s="6" t="s">
        <v>3458</v>
      </c>
      <c r="M1" s="36" t="s">
        <v>3459</v>
      </c>
      <c r="N1" s="37" t="s">
        <v>3460</v>
      </c>
      <c r="O1" s="38" t="s">
        <v>3461</v>
      </c>
      <c r="P1" s="39" t="s">
        <v>3654</v>
      </c>
      <c r="Q1" s="64" t="s">
        <v>3655</v>
      </c>
      <c r="R1" s="65" t="s">
        <v>3656</v>
      </c>
      <c r="S1" s="65" t="s">
        <v>3657</v>
      </c>
      <c r="T1" s="65" t="s">
        <v>3658</v>
      </c>
      <c r="U1" s="65" t="s">
        <v>3659</v>
      </c>
      <c r="V1" s="65" t="s">
        <v>3660</v>
      </c>
      <c r="W1" s="65" t="s">
        <v>3661</v>
      </c>
      <c r="X1" s="65" t="s">
        <v>3662</v>
      </c>
      <c r="Y1" s="65" t="s">
        <v>3663</v>
      </c>
      <c r="Z1" s="38" t="s">
        <v>3475</v>
      </c>
      <c r="AA1" s="38" t="s">
        <v>3476</v>
      </c>
      <c r="AB1" s="71" t="s">
        <v>3664</v>
      </c>
      <c r="AC1" s="71" t="s">
        <v>3478</v>
      </c>
      <c r="AD1" s="72" t="s">
        <v>3479</v>
      </c>
      <c r="AE1" s="73" t="s">
        <v>3383</v>
      </c>
      <c r="AF1" s="74" t="s">
        <v>3480</v>
      </c>
      <c r="AG1" s="64">
        <v>202509</v>
      </c>
      <c r="AH1" s="64">
        <v>202508</v>
      </c>
      <c r="AI1" s="100">
        <v>202507</v>
      </c>
      <c r="AJ1" s="100">
        <v>202506</v>
      </c>
      <c r="AK1" s="100">
        <v>202505</v>
      </c>
      <c r="AL1" s="100">
        <v>202504</v>
      </c>
      <c r="AM1" s="100">
        <v>202503</v>
      </c>
      <c r="AN1" s="100">
        <v>202502</v>
      </c>
      <c r="AO1" s="100">
        <v>202501</v>
      </c>
      <c r="AP1" s="116" t="s">
        <v>3482</v>
      </c>
      <c r="AQ1" s="116" t="s">
        <v>3483</v>
      </c>
      <c r="AR1" s="117" t="s">
        <v>107</v>
      </c>
    </row>
    <row r="2" ht="13.85" spans="1:44">
      <c r="A2" s="8" t="s">
        <v>140</v>
      </c>
      <c r="B2" s="9" t="s">
        <v>141</v>
      </c>
      <c r="C2" s="10">
        <v>44844</v>
      </c>
      <c r="D2" s="10">
        <v>45657</v>
      </c>
      <c r="E2" s="11" t="s">
        <v>3665</v>
      </c>
      <c r="F2" s="12"/>
      <c r="G2" s="12"/>
      <c r="H2" s="12"/>
      <c r="I2" s="12"/>
      <c r="J2" s="12"/>
      <c r="K2" s="12"/>
      <c r="L2" s="40" t="s">
        <v>3485</v>
      </c>
      <c r="M2" s="41" t="s">
        <v>3486</v>
      </c>
      <c r="N2" s="42">
        <f>18206631</f>
        <v>18206631</v>
      </c>
      <c r="O2" s="43">
        <f>SUM(AG2:AQ2)</f>
        <v>14236293.294</v>
      </c>
      <c r="P2" s="44">
        <f>SUM(AP2:AQ2)</f>
        <v>14236293.294</v>
      </c>
      <c r="Q2" s="66">
        <f>SUM(AG2:AO2)</f>
        <v>0</v>
      </c>
      <c r="R2" s="66">
        <f>SUM(AH2:AO2)</f>
        <v>0</v>
      </c>
      <c r="S2" s="66">
        <f>SUM(AI2:AO2)</f>
        <v>0</v>
      </c>
      <c r="T2" s="66">
        <f>SUM(AJ2:AO2)</f>
        <v>0</v>
      </c>
      <c r="U2" s="66">
        <f>SUM(AK2:AO2)</f>
        <v>0</v>
      </c>
      <c r="V2" s="66">
        <f>SUM(AL2:AO2)</f>
        <v>0</v>
      </c>
      <c r="W2" s="66">
        <f>SUM(AM2:AO2)</f>
        <v>0</v>
      </c>
      <c r="X2" s="67">
        <f>SUM(AN2:AO2)</f>
        <v>0</v>
      </c>
      <c r="Y2" s="67">
        <f>SUM(AO2:AO2)</f>
        <v>0</v>
      </c>
      <c r="Z2" s="75"/>
      <c r="AA2" s="75"/>
      <c r="AB2" s="76"/>
      <c r="AC2" s="77"/>
      <c r="AD2" s="77"/>
      <c r="AE2" s="78"/>
      <c r="AF2" s="79"/>
      <c r="AG2" s="101"/>
      <c r="AH2" s="101"/>
      <c r="AI2" s="101"/>
      <c r="AJ2" s="101"/>
      <c r="AK2" s="101"/>
      <c r="AL2" s="101"/>
      <c r="AM2" s="101"/>
      <c r="AN2" s="101"/>
      <c r="AO2" s="118"/>
      <c r="AP2" s="119">
        <v>6499617.594</v>
      </c>
      <c r="AQ2" s="120">
        <f>7792437.22-55761.52</f>
        <v>7736675.7</v>
      </c>
      <c r="AR2" s="121"/>
    </row>
    <row r="3" ht="13.85" spans="1:44">
      <c r="A3" s="13"/>
      <c r="B3" s="13"/>
      <c r="C3" s="13"/>
      <c r="D3" s="13"/>
      <c r="E3" s="13"/>
      <c r="F3" s="13"/>
      <c r="G3" s="13"/>
      <c r="H3" s="13"/>
      <c r="I3" s="13"/>
      <c r="J3" s="13"/>
      <c r="K3" s="13"/>
      <c r="L3" s="22"/>
      <c r="M3" s="41" t="s">
        <v>3490</v>
      </c>
      <c r="N3" s="45">
        <f>11957571.19</f>
        <v>11957571.19</v>
      </c>
      <c r="O3" s="43">
        <f>SUM(AG3:AQ3)</f>
        <v>11524757.82</v>
      </c>
      <c r="P3" s="44">
        <f>SUM(AP3:AQ3)</f>
        <v>11524757.82</v>
      </c>
      <c r="Q3" s="66">
        <f>SUM(AG3:AO3)</f>
        <v>0</v>
      </c>
      <c r="R3" s="66">
        <f>SUM(AH3:AO3)</f>
        <v>0</v>
      </c>
      <c r="S3" s="66">
        <f>SUM(AI3:AO3)</f>
        <v>0</v>
      </c>
      <c r="T3" s="66">
        <f>SUM(AJ3:AO3)</f>
        <v>0</v>
      </c>
      <c r="U3" s="66">
        <f>SUM(AK3:AO3)</f>
        <v>0</v>
      </c>
      <c r="V3" s="66">
        <f>SUM(AL3:AO3)</f>
        <v>0</v>
      </c>
      <c r="W3" s="66">
        <f>SUM(AM3:AO3)</f>
        <v>0</v>
      </c>
      <c r="X3" s="67">
        <f>SUM(AN3:AO3)</f>
        <v>0</v>
      </c>
      <c r="Y3" s="67">
        <f>SUM(AO3:AO3)</f>
        <v>0</v>
      </c>
      <c r="Z3" s="75"/>
      <c r="AA3" s="75"/>
      <c r="AB3" s="22"/>
      <c r="AC3" s="34"/>
      <c r="AD3" s="80"/>
      <c r="AE3" s="81"/>
      <c r="AF3" s="22"/>
      <c r="AG3" s="102"/>
      <c r="AH3" s="102"/>
      <c r="AI3" s="102"/>
      <c r="AJ3" s="102"/>
      <c r="AK3" s="102"/>
      <c r="AL3" s="102"/>
      <c r="AM3" s="102"/>
      <c r="AN3" s="102"/>
      <c r="AO3" s="122"/>
      <c r="AP3" s="123">
        <v>4329921.11</v>
      </c>
      <c r="AQ3" s="124">
        <f>7194836.71</f>
        <v>7194836.71</v>
      </c>
      <c r="AR3" s="121"/>
    </row>
    <row r="4" ht="13.85" spans="1:44">
      <c r="A4" s="13"/>
      <c r="B4" s="13"/>
      <c r="C4" s="13"/>
      <c r="D4" s="13"/>
      <c r="E4" s="13"/>
      <c r="F4" s="13"/>
      <c r="G4" s="13"/>
      <c r="H4" s="13"/>
      <c r="I4" s="13"/>
      <c r="J4" s="13"/>
      <c r="K4" s="13"/>
      <c r="L4" s="22"/>
      <c r="M4" s="41" t="s">
        <v>3492</v>
      </c>
      <c r="N4" s="45">
        <f>87237.85</f>
        <v>87237.85</v>
      </c>
      <c r="O4" s="43">
        <f>SUM(AG4:AQ4)</f>
        <v>113354.9</v>
      </c>
      <c r="P4" s="44">
        <f>SUM(AP4:AQ4)</f>
        <v>113354.9</v>
      </c>
      <c r="Q4" s="66">
        <f>SUM(AG4:AO4)</f>
        <v>0</v>
      </c>
      <c r="R4" s="66">
        <f>SUM(AH4:AO4)</f>
        <v>0</v>
      </c>
      <c r="S4" s="66">
        <f>SUM(AI4:AO4)</f>
        <v>0</v>
      </c>
      <c r="T4" s="66">
        <f>SUM(AJ4:AO4)</f>
        <v>0</v>
      </c>
      <c r="U4" s="66">
        <f>SUM(AK4:AO4)</f>
        <v>0</v>
      </c>
      <c r="V4" s="66">
        <f>SUM(AL4:AO4)</f>
        <v>0</v>
      </c>
      <c r="W4" s="66">
        <f>SUM(AM4:AO4)</f>
        <v>0</v>
      </c>
      <c r="X4" s="67">
        <f>SUM(AN4:AO4)</f>
        <v>0</v>
      </c>
      <c r="Y4" s="67">
        <f>SUM(AO4:AO4)</f>
        <v>0</v>
      </c>
      <c r="Z4" s="75"/>
      <c r="AA4" s="75"/>
      <c r="AB4" s="22"/>
      <c r="AC4" s="34"/>
      <c r="AD4" s="80"/>
      <c r="AE4" s="81"/>
      <c r="AF4" s="22"/>
      <c r="AG4" s="102"/>
      <c r="AH4" s="102"/>
      <c r="AI4" s="102"/>
      <c r="AJ4" s="102"/>
      <c r="AK4" s="102"/>
      <c r="AL4" s="102"/>
      <c r="AM4" s="102"/>
      <c r="AN4" s="102"/>
      <c r="AO4" s="125"/>
      <c r="AP4" s="123">
        <v>24916.36</v>
      </c>
      <c r="AQ4" s="124">
        <f>81528.05+6910.49</f>
        <v>88438.54</v>
      </c>
      <c r="AR4" s="121"/>
    </row>
    <row r="5" ht="13.85" spans="1:44">
      <c r="A5" s="13"/>
      <c r="B5" s="13"/>
      <c r="C5" s="13"/>
      <c r="D5" s="13"/>
      <c r="E5" s="13"/>
      <c r="F5" s="13"/>
      <c r="G5" s="13"/>
      <c r="H5" s="13"/>
      <c r="I5" s="13"/>
      <c r="J5" s="13"/>
      <c r="K5" s="13"/>
      <c r="L5" s="22"/>
      <c r="M5" s="41" t="s">
        <v>3493</v>
      </c>
      <c r="N5" s="45">
        <f>280000</f>
        <v>280000</v>
      </c>
      <c r="O5" s="43">
        <f>SUM(AG5:AQ5)</f>
        <v>66818.82</v>
      </c>
      <c r="P5" s="44">
        <f>SUM(AP5:AQ5)</f>
        <v>66818.82</v>
      </c>
      <c r="Q5" s="66">
        <f>SUM(AG5:AO5)</f>
        <v>0</v>
      </c>
      <c r="R5" s="66">
        <f>SUM(AH5:AO5)</f>
        <v>0</v>
      </c>
      <c r="S5" s="66">
        <f>SUM(AI5:AO5)</f>
        <v>0</v>
      </c>
      <c r="T5" s="66">
        <f>SUM(AJ5:AO5)</f>
        <v>0</v>
      </c>
      <c r="U5" s="66">
        <f>SUM(AK5:AO5)</f>
        <v>0</v>
      </c>
      <c r="V5" s="66">
        <f>SUM(AL5:AO5)</f>
        <v>0</v>
      </c>
      <c r="W5" s="66">
        <f>SUM(AM5:AO5)</f>
        <v>0</v>
      </c>
      <c r="X5" s="67">
        <f>SUM(AN5:AO5)</f>
        <v>0</v>
      </c>
      <c r="Y5" s="67">
        <f>SUM(AO5:AO5)</f>
        <v>0</v>
      </c>
      <c r="Z5" s="75"/>
      <c r="AA5" s="75"/>
      <c r="AB5" s="22"/>
      <c r="AC5" s="34"/>
      <c r="AD5" s="80"/>
      <c r="AE5" s="81"/>
      <c r="AF5" s="22"/>
      <c r="AG5" s="102"/>
      <c r="AH5" s="102"/>
      <c r="AI5" s="102"/>
      <c r="AJ5" s="102"/>
      <c r="AK5" s="102"/>
      <c r="AL5" s="102"/>
      <c r="AM5" s="102"/>
      <c r="AN5" s="102"/>
      <c r="AO5" s="126"/>
      <c r="AP5" s="127">
        <v>5902.83</v>
      </c>
      <c r="AQ5" s="124">
        <f>60915.99</f>
        <v>60915.99</v>
      </c>
      <c r="AR5" s="121"/>
    </row>
    <row r="6" ht="13.85" spans="1:44">
      <c r="A6" s="13"/>
      <c r="B6" s="13"/>
      <c r="C6" s="13"/>
      <c r="D6" s="13"/>
      <c r="E6" s="13"/>
      <c r="F6" s="13"/>
      <c r="G6" s="13"/>
      <c r="H6" s="13"/>
      <c r="I6" s="13"/>
      <c r="J6" s="13"/>
      <c r="K6" s="13"/>
      <c r="L6" s="22"/>
      <c r="M6" s="41" t="s">
        <v>3495</v>
      </c>
      <c r="N6" s="46">
        <f t="shared" ref="N6:Y6" si="0">N2-N3</f>
        <v>6249059.81</v>
      </c>
      <c r="O6" s="43">
        <f t="shared" si="0"/>
        <v>2711535.474</v>
      </c>
      <c r="P6" s="44">
        <f t="shared" si="0"/>
        <v>2711535.474</v>
      </c>
      <c r="Q6" s="68">
        <f t="shared" si="0"/>
        <v>0</v>
      </c>
      <c r="R6" s="68">
        <f t="shared" si="0"/>
        <v>0</v>
      </c>
      <c r="S6" s="68">
        <f t="shared" si="0"/>
        <v>0</v>
      </c>
      <c r="T6" s="68">
        <f t="shared" si="0"/>
        <v>0</v>
      </c>
      <c r="U6" s="68">
        <f t="shared" si="0"/>
        <v>0</v>
      </c>
      <c r="V6" s="68">
        <f t="shared" si="0"/>
        <v>0</v>
      </c>
      <c r="W6" s="68">
        <f t="shared" si="0"/>
        <v>0</v>
      </c>
      <c r="X6" s="43">
        <f t="shared" si="0"/>
        <v>0</v>
      </c>
      <c r="Y6" s="43">
        <f t="shared" si="0"/>
        <v>0</v>
      </c>
      <c r="Z6" s="75"/>
      <c r="AA6" s="75"/>
      <c r="AB6" s="22"/>
      <c r="AC6" s="34"/>
      <c r="AD6" s="80"/>
      <c r="AE6" s="81"/>
      <c r="AF6" s="22"/>
      <c r="AG6" s="102"/>
      <c r="AH6" s="102"/>
      <c r="AI6" s="102"/>
      <c r="AJ6" s="102"/>
      <c r="AK6" s="102"/>
      <c r="AL6" s="102"/>
      <c r="AM6" s="102"/>
      <c r="AN6" s="102"/>
      <c r="AO6" s="43"/>
      <c r="AP6" s="43">
        <v>2169696.484</v>
      </c>
      <c r="AQ6" s="43">
        <f>AQ2-AQ3</f>
        <v>541838.99</v>
      </c>
      <c r="AR6" s="121"/>
    </row>
    <row r="7" ht="13.85" spans="1:44">
      <c r="A7" s="13"/>
      <c r="B7" s="13"/>
      <c r="C7" s="13"/>
      <c r="D7" s="13"/>
      <c r="E7" s="13"/>
      <c r="F7" s="13"/>
      <c r="G7" s="13"/>
      <c r="H7" s="13"/>
      <c r="I7" s="13"/>
      <c r="J7" s="13"/>
      <c r="K7" s="13"/>
      <c r="L7" s="22"/>
      <c r="M7" s="47" t="s">
        <v>3496</v>
      </c>
      <c r="N7" s="48">
        <f t="shared" ref="N7:Y7" si="1">N6/N2</f>
        <v>0.343229882013866</v>
      </c>
      <c r="O7" s="49">
        <f t="shared" si="1"/>
        <v>0.190466395851988</v>
      </c>
      <c r="P7" s="48">
        <f t="shared" si="1"/>
        <v>0.190466395851988</v>
      </c>
      <c r="Q7" s="69" t="e">
        <f t="shared" si="1"/>
        <v>#DIV/0!</v>
      </c>
      <c r="R7" s="69" t="e">
        <f t="shared" si="1"/>
        <v>#DIV/0!</v>
      </c>
      <c r="S7" s="69" t="e">
        <f t="shared" si="1"/>
        <v>#DIV/0!</v>
      </c>
      <c r="T7" s="69" t="e">
        <f t="shared" si="1"/>
        <v>#DIV/0!</v>
      </c>
      <c r="U7" s="69" t="e">
        <f t="shared" si="1"/>
        <v>#DIV/0!</v>
      </c>
      <c r="V7" s="69" t="e">
        <f t="shared" si="1"/>
        <v>#DIV/0!</v>
      </c>
      <c r="W7" s="69" t="e">
        <f t="shared" si="1"/>
        <v>#DIV/0!</v>
      </c>
      <c r="X7" s="49" t="e">
        <f t="shared" si="1"/>
        <v>#DIV/0!</v>
      </c>
      <c r="Y7" s="49" t="e">
        <f t="shared" si="1"/>
        <v>#DIV/0!</v>
      </c>
      <c r="Z7" s="82">
        <f>O7-N7</f>
        <v>-0.152763486161879</v>
      </c>
      <c r="AA7" s="82" t="e">
        <f>R7-N7</f>
        <v>#DIV/0!</v>
      </c>
      <c r="AB7" s="22"/>
      <c r="AC7" s="34"/>
      <c r="AD7" s="80"/>
      <c r="AE7" s="81"/>
      <c r="AF7" s="22"/>
      <c r="AG7" s="102"/>
      <c r="AH7" s="102"/>
      <c r="AI7" s="102"/>
      <c r="AJ7" s="102"/>
      <c r="AK7" s="102"/>
      <c r="AL7" s="102"/>
      <c r="AM7" s="102"/>
      <c r="AN7" s="102"/>
      <c r="AO7" s="49"/>
      <c r="AP7" s="49">
        <v>0.333819098219396</v>
      </c>
      <c r="AQ7" s="49">
        <f>AQ6/AQ2</f>
        <v>0.0700351172791177</v>
      </c>
      <c r="AR7" s="121"/>
    </row>
    <row r="8" ht="13.85" spans="1:44">
      <c r="A8" s="13"/>
      <c r="B8" s="13"/>
      <c r="C8" s="13"/>
      <c r="D8" s="13"/>
      <c r="E8" s="13"/>
      <c r="F8" s="13"/>
      <c r="G8" s="13"/>
      <c r="H8" s="13"/>
      <c r="I8" s="13"/>
      <c r="J8" s="13"/>
      <c r="K8" s="13"/>
      <c r="L8" s="22"/>
      <c r="M8" s="41" t="s">
        <v>3497</v>
      </c>
      <c r="N8" s="44">
        <f t="shared" ref="N8:Y8" si="2">N2-N3-N4-N5</f>
        <v>5881821.96</v>
      </c>
      <c r="O8" s="43">
        <f t="shared" si="2"/>
        <v>2531361.754</v>
      </c>
      <c r="P8" s="44">
        <f t="shared" si="2"/>
        <v>2531361.754</v>
      </c>
      <c r="Q8" s="68">
        <f t="shared" si="2"/>
        <v>0</v>
      </c>
      <c r="R8" s="68">
        <f t="shared" si="2"/>
        <v>0</v>
      </c>
      <c r="S8" s="68">
        <f t="shared" si="2"/>
        <v>0</v>
      </c>
      <c r="T8" s="68">
        <f t="shared" si="2"/>
        <v>0</v>
      </c>
      <c r="U8" s="68">
        <f t="shared" si="2"/>
        <v>0</v>
      </c>
      <c r="V8" s="68">
        <f t="shared" si="2"/>
        <v>0</v>
      </c>
      <c r="W8" s="68">
        <f t="shared" si="2"/>
        <v>0</v>
      </c>
      <c r="X8" s="43">
        <f t="shared" si="2"/>
        <v>0</v>
      </c>
      <c r="Y8" s="43">
        <f t="shared" si="2"/>
        <v>0</v>
      </c>
      <c r="Z8" s="82"/>
      <c r="AA8" s="82"/>
      <c r="AB8" s="22"/>
      <c r="AC8" s="34"/>
      <c r="AD8" s="80"/>
      <c r="AE8" s="81"/>
      <c r="AF8" s="22"/>
      <c r="AG8" s="102"/>
      <c r="AH8" s="102"/>
      <c r="AI8" s="102"/>
      <c r="AJ8" s="102"/>
      <c r="AK8" s="102"/>
      <c r="AL8" s="102"/>
      <c r="AM8" s="102"/>
      <c r="AN8" s="102"/>
      <c r="AO8" s="43"/>
      <c r="AP8" s="43">
        <v>2138877.294</v>
      </c>
      <c r="AQ8" s="43">
        <f>AQ2-AQ3-AQ4-AQ5</f>
        <v>392484.46</v>
      </c>
      <c r="AR8" s="121"/>
    </row>
    <row r="9" ht="13.85" spans="1:44">
      <c r="A9" s="14"/>
      <c r="B9" s="14"/>
      <c r="C9" s="14"/>
      <c r="D9" s="14"/>
      <c r="E9" s="14"/>
      <c r="F9" s="14"/>
      <c r="G9" s="14"/>
      <c r="H9" s="14"/>
      <c r="I9" s="14"/>
      <c r="J9" s="14"/>
      <c r="K9" s="14"/>
      <c r="L9" s="24"/>
      <c r="M9" s="47" t="s">
        <v>3498</v>
      </c>
      <c r="N9" s="48">
        <f t="shared" ref="N9:Y9" si="3">N8/N2</f>
        <v>0.323059327120981</v>
      </c>
      <c r="O9" s="49">
        <f t="shared" si="3"/>
        <v>0.177810452603338</v>
      </c>
      <c r="P9" s="48">
        <f t="shared" si="3"/>
        <v>0.177810452603338</v>
      </c>
      <c r="Q9" s="69" t="e">
        <f t="shared" si="3"/>
        <v>#DIV/0!</v>
      </c>
      <c r="R9" s="69" t="e">
        <f t="shared" si="3"/>
        <v>#DIV/0!</v>
      </c>
      <c r="S9" s="69" t="e">
        <f t="shared" si="3"/>
        <v>#DIV/0!</v>
      </c>
      <c r="T9" s="69" t="e">
        <f t="shared" si="3"/>
        <v>#DIV/0!</v>
      </c>
      <c r="U9" s="69" t="e">
        <f t="shared" si="3"/>
        <v>#DIV/0!</v>
      </c>
      <c r="V9" s="69" t="e">
        <f t="shared" si="3"/>
        <v>#DIV/0!</v>
      </c>
      <c r="W9" s="69" t="e">
        <f t="shared" si="3"/>
        <v>#DIV/0!</v>
      </c>
      <c r="X9" s="49" t="e">
        <f t="shared" si="3"/>
        <v>#DIV/0!</v>
      </c>
      <c r="Y9" s="49" t="e">
        <f t="shared" si="3"/>
        <v>#DIV/0!</v>
      </c>
      <c r="Z9" s="82">
        <f>O9-N9</f>
        <v>-0.145248874517644</v>
      </c>
      <c r="AA9" s="82" t="e">
        <f>R9-N9</f>
        <v>#DIV/0!</v>
      </c>
      <c r="AB9" s="24"/>
      <c r="AC9" s="83"/>
      <c r="AD9" s="80"/>
      <c r="AE9" s="84"/>
      <c r="AF9" s="24"/>
      <c r="AG9" s="102"/>
      <c r="AH9" s="102"/>
      <c r="AI9" s="102"/>
      <c r="AJ9" s="102"/>
      <c r="AK9" s="102"/>
      <c r="AL9" s="102"/>
      <c r="AM9" s="102"/>
      <c r="AN9" s="102"/>
      <c r="AO9" s="49"/>
      <c r="AP9" s="49">
        <v>0.32907740541143</v>
      </c>
      <c r="AQ9" s="49">
        <f>AQ8/AQ2</f>
        <v>0.0507303750627676</v>
      </c>
      <c r="AR9" s="121"/>
    </row>
    <row r="10" ht="13.85" spans="1:44">
      <c r="A10" s="15" t="s">
        <v>146</v>
      </c>
      <c r="B10" s="16" t="s">
        <v>3666</v>
      </c>
      <c r="C10" s="17">
        <v>44844</v>
      </c>
      <c r="D10" s="17">
        <v>45657</v>
      </c>
      <c r="E10" s="11" t="s">
        <v>3665</v>
      </c>
      <c r="F10" s="12"/>
      <c r="G10" s="12"/>
      <c r="H10" s="12"/>
      <c r="I10" s="12"/>
      <c r="J10" s="12"/>
      <c r="K10" s="12"/>
      <c r="L10" s="40" t="s">
        <v>3523</v>
      </c>
      <c r="M10" s="41" t="s">
        <v>3486</v>
      </c>
      <c r="N10" s="45">
        <v>22645440</v>
      </c>
      <c r="O10" s="43">
        <f>SUM(AG10:AQ10)</f>
        <v>21565107.15</v>
      </c>
      <c r="P10" s="44">
        <f>SUM(AP10:AQ10)</f>
        <v>21565107.15</v>
      </c>
      <c r="Q10" s="66">
        <f>SUM(AG10:AO10)</f>
        <v>0</v>
      </c>
      <c r="R10" s="66">
        <f>SUM(AH10:AO10)</f>
        <v>0</v>
      </c>
      <c r="S10" s="66">
        <f>SUM(AI10:AO10)</f>
        <v>0</v>
      </c>
      <c r="T10" s="66">
        <f>SUM(AJ10:AO10)</f>
        <v>0</v>
      </c>
      <c r="U10" s="66">
        <f>SUM(AK10:AO10)</f>
        <v>0</v>
      </c>
      <c r="V10" s="66">
        <f>SUM(AL10:AO10)</f>
        <v>0</v>
      </c>
      <c r="W10" s="66">
        <f>SUM(AM10:AO10)</f>
        <v>0</v>
      </c>
      <c r="X10" s="67">
        <f>SUM(AN10:AO10)</f>
        <v>0</v>
      </c>
      <c r="Y10" s="67">
        <f>SUM(AO10:AO10)</f>
        <v>0</v>
      </c>
      <c r="Z10" s="75"/>
      <c r="AA10" s="75"/>
      <c r="AB10" s="85"/>
      <c r="AC10" s="86"/>
      <c r="AD10" s="86"/>
      <c r="AE10" s="87"/>
      <c r="AF10" s="79"/>
      <c r="AG10" s="102"/>
      <c r="AH10" s="102"/>
      <c r="AI10" s="102"/>
      <c r="AJ10" s="102"/>
      <c r="AK10" s="102"/>
      <c r="AL10" s="102"/>
      <c r="AM10" s="102"/>
      <c r="AN10" s="102"/>
      <c r="AO10" s="118"/>
      <c r="AP10" s="128">
        <v>8970183.31</v>
      </c>
      <c r="AQ10" s="129">
        <v>12594923.84</v>
      </c>
      <c r="AR10" s="121"/>
    </row>
    <row r="11" ht="13.85" spans="1:44">
      <c r="A11" s="13"/>
      <c r="B11" s="13"/>
      <c r="C11" s="13"/>
      <c r="D11" s="13"/>
      <c r="E11" s="13"/>
      <c r="F11" s="13"/>
      <c r="G11" s="13"/>
      <c r="H11" s="13"/>
      <c r="I11" s="13"/>
      <c r="J11" s="13"/>
      <c r="K11" s="13"/>
      <c r="L11" s="22"/>
      <c r="M11" s="41" t="s">
        <v>3490</v>
      </c>
      <c r="N11" s="45">
        <v>16890475.96</v>
      </c>
      <c r="O11" s="43">
        <f>SUM(AG11:AQ11)</f>
        <v>16894693.54</v>
      </c>
      <c r="P11" s="44">
        <f>SUM(AP11:AQ11)</f>
        <v>16894693.54</v>
      </c>
      <c r="Q11" s="66">
        <f>SUM(AG11:AO11)</f>
        <v>0</v>
      </c>
      <c r="R11" s="66">
        <f>SUM(AH11:AO11)</f>
        <v>0</v>
      </c>
      <c r="S11" s="66">
        <f>SUM(AI11:AO11)</f>
        <v>0</v>
      </c>
      <c r="T11" s="66">
        <f>SUM(AJ11:AO11)</f>
        <v>0</v>
      </c>
      <c r="U11" s="66">
        <f>SUM(AK11:AO11)</f>
        <v>0</v>
      </c>
      <c r="V11" s="66">
        <f>SUM(AL11:AO11)</f>
        <v>0</v>
      </c>
      <c r="W11" s="66">
        <f>SUM(AM11:AO11)</f>
        <v>0</v>
      </c>
      <c r="X11" s="67">
        <f>SUM(AN11:AO11)</f>
        <v>0</v>
      </c>
      <c r="Y11" s="67">
        <f>SUM(AO11:AO11)</f>
        <v>0</v>
      </c>
      <c r="Z11" s="75"/>
      <c r="AA11" s="75"/>
      <c r="AB11" s="22"/>
      <c r="AC11" s="34"/>
      <c r="AD11" s="86"/>
      <c r="AE11" s="13"/>
      <c r="AF11" s="22"/>
      <c r="AG11" s="102"/>
      <c r="AH11" s="102"/>
      <c r="AI11" s="102"/>
      <c r="AJ11" s="102"/>
      <c r="AK11" s="102"/>
      <c r="AL11" s="102"/>
      <c r="AM11" s="102"/>
      <c r="AN11" s="102"/>
      <c r="AO11" s="125"/>
      <c r="AP11" s="123">
        <v>7264351.61</v>
      </c>
      <c r="AQ11" s="124">
        <v>9630341.93</v>
      </c>
      <c r="AR11" s="121"/>
    </row>
    <row r="12" ht="13.85" spans="1:44">
      <c r="A12" s="13"/>
      <c r="B12" s="13"/>
      <c r="C12" s="13"/>
      <c r="D12" s="13"/>
      <c r="E12" s="13"/>
      <c r="F12" s="13"/>
      <c r="G12" s="13"/>
      <c r="H12" s="13"/>
      <c r="I12" s="13"/>
      <c r="J12" s="13"/>
      <c r="K12" s="13"/>
      <c r="L12" s="22"/>
      <c r="M12" s="41" t="s">
        <v>3492</v>
      </c>
      <c r="N12" s="45"/>
      <c r="O12" s="43">
        <f>SUM(AG12:AQ12)</f>
        <v>33837.91</v>
      </c>
      <c r="P12" s="44">
        <f>SUM(AP12:AQ12)</f>
        <v>33837.91</v>
      </c>
      <c r="Q12" s="66">
        <f>SUM(AG12:AO12)</f>
        <v>0</v>
      </c>
      <c r="R12" s="66">
        <f>SUM(AH12:AO12)</f>
        <v>0</v>
      </c>
      <c r="S12" s="66">
        <f>SUM(AI12:AO12)</f>
        <v>0</v>
      </c>
      <c r="T12" s="66">
        <f>SUM(AJ12:AO12)</f>
        <v>0</v>
      </c>
      <c r="U12" s="66">
        <f>SUM(AK12:AO12)</f>
        <v>0</v>
      </c>
      <c r="V12" s="66">
        <f>SUM(AL12:AO12)</f>
        <v>0</v>
      </c>
      <c r="W12" s="66">
        <f>SUM(AM12:AO12)</f>
        <v>0</v>
      </c>
      <c r="X12" s="67">
        <f>SUM(AN12:AO12)</f>
        <v>0</v>
      </c>
      <c r="Y12" s="67">
        <f>SUM(AO12:AO12)</f>
        <v>0</v>
      </c>
      <c r="Z12" s="75"/>
      <c r="AA12" s="75"/>
      <c r="AB12" s="22"/>
      <c r="AC12" s="34"/>
      <c r="AD12" s="86"/>
      <c r="AE12" s="13"/>
      <c r="AF12" s="22"/>
      <c r="AG12" s="102"/>
      <c r="AH12" s="102"/>
      <c r="AI12" s="102"/>
      <c r="AJ12" s="102"/>
      <c r="AK12" s="102"/>
      <c r="AL12" s="102"/>
      <c r="AM12" s="102"/>
      <c r="AN12" s="102"/>
      <c r="AO12" s="125"/>
      <c r="AP12" s="86">
        <v>2133.98</v>
      </c>
      <c r="AQ12" s="124">
        <v>31703.93</v>
      </c>
      <c r="AR12" s="121"/>
    </row>
    <row r="13" ht="13.85" spans="1:44">
      <c r="A13" s="13"/>
      <c r="B13" s="13"/>
      <c r="C13" s="13"/>
      <c r="D13" s="13"/>
      <c r="E13" s="13"/>
      <c r="F13" s="13"/>
      <c r="G13" s="13"/>
      <c r="H13" s="13"/>
      <c r="I13" s="13"/>
      <c r="J13" s="13"/>
      <c r="K13" s="13"/>
      <c r="L13" s="22"/>
      <c r="M13" s="41" t="s">
        <v>3493</v>
      </c>
      <c r="N13" s="45">
        <v>1532272</v>
      </c>
      <c r="O13" s="43">
        <f>SUM(AG13:AQ13)</f>
        <v>38719</v>
      </c>
      <c r="P13" s="44">
        <f>SUM(AP13:AQ13)</f>
        <v>38719</v>
      </c>
      <c r="Q13" s="66">
        <f>SUM(AG13:AO13)</f>
        <v>0</v>
      </c>
      <c r="R13" s="66">
        <f>SUM(AH13:AO13)</f>
        <v>0</v>
      </c>
      <c r="S13" s="66">
        <f>SUM(AI13:AO13)</f>
        <v>0</v>
      </c>
      <c r="T13" s="66">
        <f>SUM(AJ13:AO13)</f>
        <v>0</v>
      </c>
      <c r="U13" s="66">
        <f>SUM(AK13:AO13)</f>
        <v>0</v>
      </c>
      <c r="V13" s="66">
        <f>SUM(AL13:AO13)</f>
        <v>0</v>
      </c>
      <c r="W13" s="66">
        <f>SUM(AM13:AO13)</f>
        <v>0</v>
      </c>
      <c r="X13" s="67">
        <f>SUM(AN13:AO13)</f>
        <v>0</v>
      </c>
      <c r="Y13" s="67">
        <f>SUM(AO13:AO13)</f>
        <v>0</v>
      </c>
      <c r="Z13" s="75"/>
      <c r="AA13" s="75"/>
      <c r="AB13" s="22"/>
      <c r="AC13" s="34"/>
      <c r="AD13" s="86"/>
      <c r="AE13" s="13"/>
      <c r="AF13" s="22"/>
      <c r="AG13" s="102"/>
      <c r="AH13" s="102"/>
      <c r="AI13" s="102"/>
      <c r="AJ13" s="102"/>
      <c r="AK13" s="102"/>
      <c r="AL13" s="102"/>
      <c r="AM13" s="102"/>
      <c r="AN13" s="102"/>
      <c r="AO13" s="126"/>
      <c r="AP13" s="127">
        <v>6062.18</v>
      </c>
      <c r="AQ13" s="124">
        <v>32656.82</v>
      </c>
      <c r="AR13" s="121"/>
    </row>
    <row r="14" ht="13.85" spans="1:45">
      <c r="A14" s="13"/>
      <c r="B14" s="13"/>
      <c r="C14" s="13"/>
      <c r="D14" s="13"/>
      <c r="E14" s="13"/>
      <c r="F14" s="13"/>
      <c r="G14" s="13"/>
      <c r="H14" s="13"/>
      <c r="I14" s="13"/>
      <c r="J14" s="13"/>
      <c r="K14" s="13"/>
      <c r="L14" s="22"/>
      <c r="M14" s="41" t="s">
        <v>3495</v>
      </c>
      <c r="N14" s="46">
        <f t="shared" ref="N14:Y14" si="4">N10-N11</f>
        <v>5754964.04</v>
      </c>
      <c r="O14" s="43">
        <f t="shared" si="4"/>
        <v>4670413.61</v>
      </c>
      <c r="P14" s="44">
        <f t="shared" si="4"/>
        <v>4670413.61</v>
      </c>
      <c r="Q14" s="68">
        <f t="shared" si="4"/>
        <v>0</v>
      </c>
      <c r="R14" s="68">
        <f t="shared" si="4"/>
        <v>0</v>
      </c>
      <c r="S14" s="68">
        <f t="shared" si="4"/>
        <v>0</v>
      </c>
      <c r="T14" s="68">
        <f t="shared" si="4"/>
        <v>0</v>
      </c>
      <c r="U14" s="68">
        <f t="shared" si="4"/>
        <v>0</v>
      </c>
      <c r="V14" s="68">
        <f t="shared" si="4"/>
        <v>0</v>
      </c>
      <c r="W14" s="68">
        <f t="shared" si="4"/>
        <v>0</v>
      </c>
      <c r="X14" s="43">
        <f t="shared" si="4"/>
        <v>0</v>
      </c>
      <c r="Y14" s="43">
        <f t="shared" si="4"/>
        <v>0</v>
      </c>
      <c r="Z14" s="75"/>
      <c r="AA14" s="75"/>
      <c r="AB14" s="22"/>
      <c r="AC14" s="34"/>
      <c r="AD14" s="86"/>
      <c r="AE14" s="13"/>
      <c r="AF14" s="22"/>
      <c r="AG14" s="102"/>
      <c r="AH14" s="102"/>
      <c r="AI14" s="102"/>
      <c r="AJ14" s="102"/>
      <c r="AK14" s="102"/>
      <c r="AL14" s="102"/>
      <c r="AM14" s="102"/>
      <c r="AN14" s="102"/>
      <c r="AO14" s="43"/>
      <c r="AP14" s="43">
        <v>1705831.7</v>
      </c>
      <c r="AQ14" s="43">
        <f>AQ10-AQ11</f>
        <v>2964581.91</v>
      </c>
      <c r="AR14" s="130"/>
      <c r="AS14" s="131"/>
    </row>
    <row r="15" ht="14.6" spans="1:45">
      <c r="A15" s="13"/>
      <c r="B15" s="13"/>
      <c r="C15" s="13"/>
      <c r="D15" s="13"/>
      <c r="E15" s="13"/>
      <c r="F15" s="13"/>
      <c r="G15" s="13"/>
      <c r="H15" s="13"/>
      <c r="I15" s="13"/>
      <c r="J15" s="13"/>
      <c r="K15" s="13"/>
      <c r="L15" s="22"/>
      <c r="M15" s="47" t="s">
        <v>3496</v>
      </c>
      <c r="N15" s="48">
        <f t="shared" ref="N15:Y15" si="5">N14/N10</f>
        <v>0.254133460864527</v>
      </c>
      <c r="O15" s="49">
        <f t="shared" si="5"/>
        <v>0.216572705969606</v>
      </c>
      <c r="P15" s="48">
        <f t="shared" si="5"/>
        <v>0.216572705969606</v>
      </c>
      <c r="Q15" s="69" t="e">
        <f t="shared" si="5"/>
        <v>#DIV/0!</v>
      </c>
      <c r="R15" s="69" t="e">
        <f t="shared" si="5"/>
        <v>#DIV/0!</v>
      </c>
      <c r="S15" s="69" t="e">
        <f t="shared" si="5"/>
        <v>#DIV/0!</v>
      </c>
      <c r="T15" s="69" t="e">
        <f t="shared" si="5"/>
        <v>#DIV/0!</v>
      </c>
      <c r="U15" s="69" t="e">
        <f t="shared" si="5"/>
        <v>#DIV/0!</v>
      </c>
      <c r="V15" s="69" t="e">
        <f t="shared" si="5"/>
        <v>#DIV/0!</v>
      </c>
      <c r="W15" s="69" t="e">
        <f t="shared" si="5"/>
        <v>#DIV/0!</v>
      </c>
      <c r="X15" s="49" t="e">
        <f t="shared" si="5"/>
        <v>#DIV/0!</v>
      </c>
      <c r="Y15" s="49" t="e">
        <f t="shared" si="5"/>
        <v>#DIV/0!</v>
      </c>
      <c r="Z15" s="82">
        <f>O15-N15</f>
        <v>-0.0375607548949211</v>
      </c>
      <c r="AA15" s="82" t="e">
        <f>R15-N15</f>
        <v>#DIV/0!</v>
      </c>
      <c r="AB15" s="22"/>
      <c r="AC15" s="34"/>
      <c r="AD15" s="86"/>
      <c r="AE15" s="13"/>
      <c r="AF15" s="22"/>
      <c r="AG15" s="102"/>
      <c r="AH15" s="102"/>
      <c r="AI15" s="102"/>
      <c r="AJ15" s="102"/>
      <c r="AK15" s="102"/>
      <c r="AL15" s="102"/>
      <c r="AM15" s="102"/>
      <c r="AN15" s="102"/>
      <c r="AO15" s="49"/>
      <c r="AP15" s="49">
        <v>0.190166871851808</v>
      </c>
      <c r="AQ15" s="49">
        <f>AQ14/AQ10</f>
        <v>0.235379105714386</v>
      </c>
      <c r="AR15" s="132"/>
      <c r="AS15" s="133"/>
    </row>
    <row r="16" ht="14.6" spans="1:45">
      <c r="A16" s="13"/>
      <c r="B16" s="13"/>
      <c r="C16" s="13"/>
      <c r="D16" s="13"/>
      <c r="E16" s="13"/>
      <c r="F16" s="13"/>
      <c r="G16" s="13"/>
      <c r="H16" s="13"/>
      <c r="I16" s="13"/>
      <c r="J16" s="13"/>
      <c r="K16" s="13"/>
      <c r="L16" s="22"/>
      <c r="M16" s="41" t="s">
        <v>3497</v>
      </c>
      <c r="N16" s="44">
        <f t="shared" ref="N16:Y16" si="6">N10-N11-N12-N13</f>
        <v>4222692.04</v>
      </c>
      <c r="O16" s="43">
        <f t="shared" si="6"/>
        <v>4597856.7</v>
      </c>
      <c r="P16" s="44">
        <f t="shared" si="6"/>
        <v>4597856.7</v>
      </c>
      <c r="Q16" s="68">
        <f t="shared" si="6"/>
        <v>0</v>
      </c>
      <c r="R16" s="68">
        <f t="shared" si="6"/>
        <v>0</v>
      </c>
      <c r="S16" s="68">
        <f t="shared" si="6"/>
        <v>0</v>
      </c>
      <c r="T16" s="68">
        <f t="shared" si="6"/>
        <v>0</v>
      </c>
      <c r="U16" s="68">
        <f t="shared" si="6"/>
        <v>0</v>
      </c>
      <c r="V16" s="68">
        <f t="shared" si="6"/>
        <v>0</v>
      </c>
      <c r="W16" s="68">
        <f t="shared" si="6"/>
        <v>0</v>
      </c>
      <c r="X16" s="43">
        <f t="shared" si="6"/>
        <v>0</v>
      </c>
      <c r="Y16" s="43">
        <f t="shared" si="6"/>
        <v>0</v>
      </c>
      <c r="Z16" s="82"/>
      <c r="AA16" s="82"/>
      <c r="AB16" s="22"/>
      <c r="AC16" s="34"/>
      <c r="AD16" s="86"/>
      <c r="AE16" s="13"/>
      <c r="AF16" s="22"/>
      <c r="AG16" s="102"/>
      <c r="AH16" s="102"/>
      <c r="AI16" s="102"/>
      <c r="AJ16" s="102"/>
      <c r="AK16" s="102"/>
      <c r="AL16" s="102"/>
      <c r="AM16" s="102"/>
      <c r="AN16" s="102"/>
      <c r="AO16" s="43"/>
      <c r="AP16" s="43">
        <v>1697635.54</v>
      </c>
      <c r="AQ16" s="43">
        <f>AQ10-AQ11-AQ12-AQ13</f>
        <v>2900221.16</v>
      </c>
      <c r="AR16" s="121"/>
      <c r="AS16" s="134"/>
    </row>
    <row r="17" ht="14.6" spans="1:45">
      <c r="A17" s="14"/>
      <c r="B17" s="14"/>
      <c r="C17" s="14"/>
      <c r="D17" s="14"/>
      <c r="E17" s="14"/>
      <c r="F17" s="14"/>
      <c r="G17" s="14"/>
      <c r="H17" s="14"/>
      <c r="I17" s="14"/>
      <c r="J17" s="14"/>
      <c r="K17" s="14"/>
      <c r="L17" s="24"/>
      <c r="M17" s="47" t="s">
        <v>3498</v>
      </c>
      <c r="N17" s="48">
        <f t="shared" ref="N17:Y17" si="7">N16/N10</f>
        <v>0.186469860598867</v>
      </c>
      <c r="O17" s="49">
        <f t="shared" si="7"/>
        <v>0.213208154636969</v>
      </c>
      <c r="P17" s="48">
        <f t="shared" si="7"/>
        <v>0.213208154636969</v>
      </c>
      <c r="Q17" s="69" t="e">
        <f t="shared" si="7"/>
        <v>#DIV/0!</v>
      </c>
      <c r="R17" s="69" t="e">
        <f t="shared" si="7"/>
        <v>#DIV/0!</v>
      </c>
      <c r="S17" s="69" t="e">
        <f t="shared" si="7"/>
        <v>#DIV/0!</v>
      </c>
      <c r="T17" s="69" t="e">
        <f t="shared" si="7"/>
        <v>#DIV/0!</v>
      </c>
      <c r="U17" s="69" t="e">
        <f t="shared" si="7"/>
        <v>#DIV/0!</v>
      </c>
      <c r="V17" s="69" t="e">
        <f t="shared" si="7"/>
        <v>#DIV/0!</v>
      </c>
      <c r="W17" s="69" t="e">
        <f t="shared" si="7"/>
        <v>#DIV/0!</v>
      </c>
      <c r="X17" s="49" t="e">
        <f t="shared" si="7"/>
        <v>#DIV/0!</v>
      </c>
      <c r="Y17" s="49" t="e">
        <f t="shared" si="7"/>
        <v>#DIV/0!</v>
      </c>
      <c r="Z17" s="82">
        <f>O17-N17</f>
        <v>0.026738294038102</v>
      </c>
      <c r="AA17" s="82" t="e">
        <f>R17-N17</f>
        <v>#DIV/0!</v>
      </c>
      <c r="AB17" s="24"/>
      <c r="AC17" s="83"/>
      <c r="AD17" s="86"/>
      <c r="AE17" s="14"/>
      <c r="AF17" s="24"/>
      <c r="AG17" s="102"/>
      <c r="AH17" s="102"/>
      <c r="AI17" s="102"/>
      <c r="AJ17" s="102"/>
      <c r="AK17" s="102"/>
      <c r="AL17" s="102"/>
      <c r="AM17" s="102"/>
      <c r="AN17" s="102"/>
      <c r="AO17" s="49"/>
      <c r="AP17" s="49">
        <v>0.189253160312506</v>
      </c>
      <c r="AQ17" s="49">
        <f>AQ16/AQ10</f>
        <v>0.230269050995707</v>
      </c>
      <c r="AR17" s="132"/>
      <c r="AS17" s="133"/>
    </row>
    <row r="18" ht="14.6" spans="1:45">
      <c r="A18" s="18" t="s">
        <v>222</v>
      </c>
      <c r="B18" s="19" t="s">
        <v>3667</v>
      </c>
      <c r="C18" s="20">
        <v>45139</v>
      </c>
      <c r="D18" s="20">
        <v>45534</v>
      </c>
      <c r="E18" s="11" t="s">
        <v>3665</v>
      </c>
      <c r="F18" s="12"/>
      <c r="G18" s="12"/>
      <c r="H18" s="12"/>
      <c r="I18" s="12"/>
      <c r="J18" s="12"/>
      <c r="K18" s="12"/>
      <c r="L18" s="50" t="s">
        <v>3499</v>
      </c>
      <c r="M18" s="51" t="s">
        <v>3486</v>
      </c>
      <c r="N18" s="42">
        <f>958500</f>
        <v>958500</v>
      </c>
      <c r="O18" s="43">
        <f>SUM(AG18:AQ18)</f>
        <v>940560.25</v>
      </c>
      <c r="P18" s="44">
        <f>SUM(AP18:AQ18)</f>
        <v>940560.25</v>
      </c>
      <c r="Q18" s="66">
        <f>SUM(AG18:AO18)</f>
        <v>0</v>
      </c>
      <c r="R18" s="66">
        <f>SUM(AH18:AO18)</f>
        <v>0</v>
      </c>
      <c r="S18" s="66">
        <f>SUM(AI18:AO18)</f>
        <v>0</v>
      </c>
      <c r="T18" s="66">
        <f>SUM(AJ18:AO18)</f>
        <v>0</v>
      </c>
      <c r="U18" s="66">
        <f>SUM(AK18:AO18)</f>
        <v>0</v>
      </c>
      <c r="V18" s="66">
        <f>SUM(AL18:AO18)</f>
        <v>0</v>
      </c>
      <c r="W18" s="66">
        <f>SUM(AM18:AO18)</f>
        <v>0</v>
      </c>
      <c r="X18" s="67">
        <f>SUM(AN18:AO18)</f>
        <v>0</v>
      </c>
      <c r="Y18" s="67">
        <f>SUM(AO18:AO18)</f>
        <v>0</v>
      </c>
      <c r="Z18" s="75"/>
      <c r="AA18" s="75"/>
      <c r="AB18" s="88" t="s">
        <v>114</v>
      </c>
      <c r="AC18" s="89"/>
      <c r="AD18" s="89"/>
      <c r="AE18" s="87"/>
      <c r="AF18" s="79"/>
      <c r="AG18" s="102"/>
      <c r="AH18" s="102"/>
      <c r="AI18" s="102"/>
      <c r="AJ18" s="102"/>
      <c r="AK18" s="102"/>
      <c r="AL18" s="102"/>
      <c r="AM18" s="102"/>
      <c r="AN18" s="102"/>
      <c r="AO18" s="118"/>
      <c r="AP18" s="135">
        <v>-77752.84</v>
      </c>
      <c r="AQ18" s="135">
        <v>1018313.09</v>
      </c>
      <c r="AR18" s="121"/>
      <c r="AS18" s="133"/>
    </row>
    <row r="19" ht="14.6" spans="1:45">
      <c r="A19" s="21"/>
      <c r="B19" s="22"/>
      <c r="C19" s="22"/>
      <c r="D19" s="22"/>
      <c r="E19" s="13"/>
      <c r="F19" s="13"/>
      <c r="G19" s="13"/>
      <c r="H19" s="13"/>
      <c r="I19" s="13"/>
      <c r="J19" s="13"/>
      <c r="K19" s="13"/>
      <c r="L19" s="22"/>
      <c r="M19" s="51" t="s">
        <v>3490</v>
      </c>
      <c r="N19" s="45">
        <v>810066.91</v>
      </c>
      <c r="O19" s="43">
        <f>SUM(AG19:AQ19)</f>
        <v>780908.7</v>
      </c>
      <c r="P19" s="44">
        <f>SUM(AP19:AQ19)</f>
        <v>780908.7</v>
      </c>
      <c r="Q19" s="66">
        <f>SUM(AG19:AO19)</f>
        <v>0</v>
      </c>
      <c r="R19" s="66">
        <f>SUM(AH19:AO19)</f>
        <v>0</v>
      </c>
      <c r="S19" s="66">
        <f>SUM(AI19:AO19)</f>
        <v>0</v>
      </c>
      <c r="T19" s="66">
        <f>SUM(AJ19:AO19)</f>
        <v>0</v>
      </c>
      <c r="U19" s="66">
        <f>SUM(AK19:AO19)</f>
        <v>0</v>
      </c>
      <c r="V19" s="66">
        <f>SUM(AL19:AO19)</f>
        <v>0</v>
      </c>
      <c r="W19" s="66">
        <f>SUM(AM19:AO19)</f>
        <v>0</v>
      </c>
      <c r="X19" s="67">
        <f>SUM(AN19:AO19)</f>
        <v>0</v>
      </c>
      <c r="Y19" s="67">
        <f>SUM(AO19:AO19)</f>
        <v>0</v>
      </c>
      <c r="Z19" s="75"/>
      <c r="AA19" s="75"/>
      <c r="AB19" s="22"/>
      <c r="AC19" s="34"/>
      <c r="AD19" s="89"/>
      <c r="AE19" s="13"/>
      <c r="AF19" s="22"/>
      <c r="AG19" s="102"/>
      <c r="AH19" s="102"/>
      <c r="AI19" s="102"/>
      <c r="AJ19" s="102"/>
      <c r="AK19" s="102"/>
      <c r="AL19" s="102"/>
      <c r="AM19" s="102"/>
      <c r="AN19" s="102"/>
      <c r="AO19" s="125"/>
      <c r="AP19" s="89">
        <v>0</v>
      </c>
      <c r="AQ19" s="124">
        <v>780908.7</v>
      </c>
      <c r="AR19" s="121"/>
      <c r="AS19" s="133"/>
    </row>
    <row r="20" ht="14.6" spans="1:45">
      <c r="A20" s="21"/>
      <c r="B20" s="22"/>
      <c r="C20" s="22"/>
      <c r="D20" s="22"/>
      <c r="E20" s="13"/>
      <c r="F20" s="13"/>
      <c r="G20" s="13"/>
      <c r="H20" s="13"/>
      <c r="I20" s="13"/>
      <c r="J20" s="13"/>
      <c r="K20" s="13"/>
      <c r="L20" s="22"/>
      <c r="M20" s="51" t="s">
        <v>3492</v>
      </c>
      <c r="N20" s="45"/>
      <c r="O20" s="43">
        <f>SUM(AG20:AQ20)</f>
        <v>0</v>
      </c>
      <c r="P20" s="44">
        <f>SUM(AP20:AQ20)</f>
        <v>0</v>
      </c>
      <c r="Q20" s="66">
        <f>SUM(AG20:AO20)</f>
        <v>0</v>
      </c>
      <c r="R20" s="66">
        <f>SUM(AH20:AO20)</f>
        <v>0</v>
      </c>
      <c r="S20" s="66">
        <f>SUM(AI20:AO20)</f>
        <v>0</v>
      </c>
      <c r="T20" s="66">
        <f>SUM(AJ20:AO20)</f>
        <v>0</v>
      </c>
      <c r="U20" s="66">
        <f>SUM(AK20:AO20)</f>
        <v>0</v>
      </c>
      <c r="V20" s="66">
        <f>SUM(AL20:AO20)</f>
        <v>0</v>
      </c>
      <c r="W20" s="66">
        <f>SUM(AM20:AO20)</f>
        <v>0</v>
      </c>
      <c r="X20" s="67">
        <f>SUM(AN20:AO20)</f>
        <v>0</v>
      </c>
      <c r="Y20" s="67">
        <f>SUM(AO20:AO20)</f>
        <v>0</v>
      </c>
      <c r="Z20" s="75"/>
      <c r="AA20" s="75"/>
      <c r="AB20" s="22"/>
      <c r="AC20" s="34"/>
      <c r="AD20" s="89"/>
      <c r="AE20" s="13"/>
      <c r="AF20" s="22"/>
      <c r="AG20" s="102"/>
      <c r="AH20" s="102"/>
      <c r="AI20" s="102"/>
      <c r="AJ20" s="102"/>
      <c r="AK20" s="102"/>
      <c r="AL20" s="102"/>
      <c r="AM20" s="102"/>
      <c r="AN20" s="102"/>
      <c r="AO20" s="125"/>
      <c r="AP20" s="89">
        <v>0</v>
      </c>
      <c r="AQ20" s="124"/>
      <c r="AR20" s="121"/>
      <c r="AS20" s="133"/>
    </row>
    <row r="21" ht="14.6" spans="1:45">
      <c r="A21" s="21"/>
      <c r="B21" s="22"/>
      <c r="C21" s="22"/>
      <c r="D21" s="22"/>
      <c r="E21" s="13"/>
      <c r="F21" s="13"/>
      <c r="G21" s="13"/>
      <c r="H21" s="13"/>
      <c r="I21" s="13"/>
      <c r="J21" s="13"/>
      <c r="K21" s="13"/>
      <c r="L21" s="22"/>
      <c r="M21" s="51" t="s">
        <v>3493</v>
      </c>
      <c r="N21" s="45">
        <f>20000</f>
        <v>20000</v>
      </c>
      <c r="O21" s="43">
        <f>SUM(AG21:AQ21)</f>
        <v>-24.9</v>
      </c>
      <c r="P21" s="44">
        <f>SUM(AP21:AQ21)</f>
        <v>-24.9</v>
      </c>
      <c r="Q21" s="66">
        <f>SUM(AG21:AO21)</f>
        <v>0</v>
      </c>
      <c r="R21" s="66">
        <f>SUM(AH21:AO21)</f>
        <v>0</v>
      </c>
      <c r="S21" s="66">
        <f>SUM(AI21:AO21)</f>
        <v>0</v>
      </c>
      <c r="T21" s="66">
        <f>SUM(AJ21:AO21)</f>
        <v>0</v>
      </c>
      <c r="U21" s="66">
        <f>SUM(AK21:AO21)</f>
        <v>0</v>
      </c>
      <c r="V21" s="66">
        <f>SUM(AL21:AO21)</f>
        <v>0</v>
      </c>
      <c r="W21" s="66">
        <f>SUM(AM21:AO21)</f>
        <v>0</v>
      </c>
      <c r="X21" s="67">
        <f>SUM(AN21:AO21)</f>
        <v>0</v>
      </c>
      <c r="Y21" s="67">
        <f>SUM(AO21:AO21)</f>
        <v>0</v>
      </c>
      <c r="Z21" s="75"/>
      <c r="AA21" s="75"/>
      <c r="AB21" s="22"/>
      <c r="AC21" s="34"/>
      <c r="AD21" s="89"/>
      <c r="AE21" s="13"/>
      <c r="AF21" s="22"/>
      <c r="AG21" s="102"/>
      <c r="AH21" s="102"/>
      <c r="AI21" s="102"/>
      <c r="AJ21" s="102"/>
      <c r="AK21" s="102"/>
      <c r="AL21" s="102"/>
      <c r="AM21" s="102"/>
      <c r="AN21" s="102"/>
      <c r="AO21" s="126"/>
      <c r="AP21" s="89">
        <v>-24.9</v>
      </c>
      <c r="AQ21" s="136"/>
      <c r="AR21" s="121"/>
      <c r="AS21" s="133"/>
    </row>
    <row r="22" ht="13.85" spans="1:44">
      <c r="A22" s="21"/>
      <c r="B22" s="22"/>
      <c r="C22" s="22"/>
      <c r="D22" s="22"/>
      <c r="E22" s="13"/>
      <c r="F22" s="13"/>
      <c r="G22" s="13"/>
      <c r="H22" s="13"/>
      <c r="I22" s="13"/>
      <c r="J22" s="13"/>
      <c r="K22" s="13"/>
      <c r="L22" s="22"/>
      <c r="M22" s="51" t="s">
        <v>3495</v>
      </c>
      <c r="N22" s="46">
        <f t="shared" ref="N22:Y22" si="8">N18-N19</f>
        <v>148433.09</v>
      </c>
      <c r="O22" s="43">
        <f t="shared" si="8"/>
        <v>159651.55</v>
      </c>
      <c r="P22" s="44">
        <f t="shared" si="8"/>
        <v>159651.55</v>
      </c>
      <c r="Q22" s="68">
        <f t="shared" si="8"/>
        <v>0</v>
      </c>
      <c r="R22" s="68">
        <f t="shared" si="8"/>
        <v>0</v>
      </c>
      <c r="S22" s="68">
        <f t="shared" si="8"/>
        <v>0</v>
      </c>
      <c r="T22" s="68">
        <f t="shared" si="8"/>
        <v>0</v>
      </c>
      <c r="U22" s="68">
        <f t="shared" si="8"/>
        <v>0</v>
      </c>
      <c r="V22" s="68">
        <f t="shared" si="8"/>
        <v>0</v>
      </c>
      <c r="W22" s="68">
        <f t="shared" si="8"/>
        <v>0</v>
      </c>
      <c r="X22" s="43">
        <f t="shared" si="8"/>
        <v>0</v>
      </c>
      <c r="Y22" s="43">
        <f t="shared" si="8"/>
        <v>0</v>
      </c>
      <c r="Z22" s="75"/>
      <c r="AA22" s="75"/>
      <c r="AB22" s="22"/>
      <c r="AC22" s="34"/>
      <c r="AD22" s="89"/>
      <c r="AE22" s="13"/>
      <c r="AF22" s="22"/>
      <c r="AG22" s="102"/>
      <c r="AH22" s="102"/>
      <c r="AI22" s="102"/>
      <c r="AJ22" s="102"/>
      <c r="AK22" s="102"/>
      <c r="AL22" s="102"/>
      <c r="AM22" s="102"/>
      <c r="AN22" s="102"/>
      <c r="AO22" s="43">
        <f>AO18-AO19</f>
        <v>0</v>
      </c>
      <c r="AP22" s="43">
        <v>-77752.84</v>
      </c>
      <c r="AQ22" s="43">
        <f>AQ18-AQ19</f>
        <v>237404.39</v>
      </c>
      <c r="AR22" s="121"/>
    </row>
    <row r="23" ht="13.85" spans="1:63">
      <c r="A23" s="21"/>
      <c r="B23" s="22"/>
      <c r="C23" s="22"/>
      <c r="D23" s="22"/>
      <c r="E23" s="13"/>
      <c r="F23" s="13"/>
      <c r="G23" s="13"/>
      <c r="H23" s="13"/>
      <c r="I23" s="13"/>
      <c r="J23" s="13"/>
      <c r="K23" s="13"/>
      <c r="L23" s="22"/>
      <c r="M23" s="52" t="s">
        <v>3496</v>
      </c>
      <c r="N23" s="48">
        <f t="shared" ref="N23:Y23" si="9">N22/N18</f>
        <v>0.1548597704747</v>
      </c>
      <c r="O23" s="49">
        <f t="shared" si="9"/>
        <v>0.16974090708171</v>
      </c>
      <c r="P23" s="48">
        <f t="shared" si="9"/>
        <v>0.16974090708171</v>
      </c>
      <c r="Q23" s="69" t="e">
        <f t="shared" si="9"/>
        <v>#DIV/0!</v>
      </c>
      <c r="R23" s="69" t="e">
        <f t="shared" si="9"/>
        <v>#DIV/0!</v>
      </c>
      <c r="S23" s="69" t="e">
        <f t="shared" si="9"/>
        <v>#DIV/0!</v>
      </c>
      <c r="T23" s="69" t="e">
        <f t="shared" si="9"/>
        <v>#DIV/0!</v>
      </c>
      <c r="U23" s="69" t="e">
        <f t="shared" si="9"/>
        <v>#DIV/0!</v>
      </c>
      <c r="V23" s="69" t="e">
        <f t="shared" si="9"/>
        <v>#DIV/0!</v>
      </c>
      <c r="W23" s="69" t="e">
        <f t="shared" si="9"/>
        <v>#DIV/0!</v>
      </c>
      <c r="X23" s="49" t="e">
        <f t="shared" si="9"/>
        <v>#DIV/0!</v>
      </c>
      <c r="Y23" s="49" t="e">
        <f t="shared" si="9"/>
        <v>#DIV/0!</v>
      </c>
      <c r="Z23" s="82">
        <f>O23-N23</f>
        <v>0.0148811366070101</v>
      </c>
      <c r="AA23" s="82" t="e">
        <f>R23-N23</f>
        <v>#DIV/0!</v>
      </c>
      <c r="AB23" s="22"/>
      <c r="AC23" s="34"/>
      <c r="AD23" s="89"/>
      <c r="AE23" s="13"/>
      <c r="AF23" s="22"/>
      <c r="AG23" s="102"/>
      <c r="AH23" s="102"/>
      <c r="AI23" s="102"/>
      <c r="AJ23" s="102"/>
      <c r="AK23" s="102"/>
      <c r="AL23" s="102"/>
      <c r="AM23" s="102"/>
      <c r="AN23" s="102"/>
      <c r="AO23" s="49" t="e">
        <f>AO22/AO18</f>
        <v>#DIV/0!</v>
      </c>
      <c r="AP23" s="49">
        <v>1</v>
      </c>
      <c r="AQ23" s="49">
        <f>AQ22/AQ18</f>
        <v>0.233134968342595</v>
      </c>
      <c r="AR23" s="137"/>
      <c r="AS23" s="131"/>
      <c r="AT23" s="131"/>
      <c r="AU23" s="131"/>
      <c r="AV23" s="131"/>
      <c r="AW23" s="131"/>
      <c r="AX23" s="131"/>
      <c r="AY23" s="131"/>
      <c r="AZ23" s="131"/>
      <c r="BA23" s="131"/>
      <c r="BB23" s="131"/>
      <c r="BC23" s="131"/>
      <c r="BD23" s="131"/>
      <c r="BE23" s="131"/>
      <c r="BF23" s="131"/>
      <c r="BG23" s="131"/>
      <c r="BK23" s="131"/>
    </row>
    <row r="24" ht="13.85" spans="1:44">
      <c r="A24" s="21"/>
      <c r="B24" s="22"/>
      <c r="C24" s="22"/>
      <c r="D24" s="22"/>
      <c r="E24" s="13"/>
      <c r="F24" s="13"/>
      <c r="G24" s="13"/>
      <c r="H24" s="13"/>
      <c r="I24" s="13"/>
      <c r="J24" s="13"/>
      <c r="K24" s="13"/>
      <c r="L24" s="22"/>
      <c r="M24" s="51" t="s">
        <v>3497</v>
      </c>
      <c r="N24" s="44">
        <f t="shared" ref="N24:Y24" si="10">N18-N19-N20-N21</f>
        <v>128433.09</v>
      </c>
      <c r="O24" s="43">
        <f t="shared" si="10"/>
        <v>159676.45</v>
      </c>
      <c r="P24" s="44">
        <f t="shared" si="10"/>
        <v>159676.45</v>
      </c>
      <c r="Q24" s="68">
        <f t="shared" si="10"/>
        <v>0</v>
      </c>
      <c r="R24" s="68">
        <f t="shared" si="10"/>
        <v>0</v>
      </c>
      <c r="S24" s="68">
        <f t="shared" si="10"/>
        <v>0</v>
      </c>
      <c r="T24" s="68">
        <f t="shared" si="10"/>
        <v>0</v>
      </c>
      <c r="U24" s="68">
        <f t="shared" si="10"/>
        <v>0</v>
      </c>
      <c r="V24" s="68">
        <f t="shared" si="10"/>
        <v>0</v>
      </c>
      <c r="W24" s="68">
        <f t="shared" si="10"/>
        <v>0</v>
      </c>
      <c r="X24" s="43">
        <f t="shared" si="10"/>
        <v>0</v>
      </c>
      <c r="Y24" s="43">
        <f t="shared" si="10"/>
        <v>0</v>
      </c>
      <c r="Z24" s="82"/>
      <c r="AA24" s="82"/>
      <c r="AB24" s="22"/>
      <c r="AC24" s="34"/>
      <c r="AD24" s="89"/>
      <c r="AE24" s="13"/>
      <c r="AF24" s="22"/>
      <c r="AG24" s="102"/>
      <c r="AH24" s="102"/>
      <c r="AI24" s="102"/>
      <c r="AJ24" s="102"/>
      <c r="AK24" s="102"/>
      <c r="AL24" s="102"/>
      <c r="AM24" s="102"/>
      <c r="AN24" s="102"/>
      <c r="AO24" s="43">
        <f>AO18-AO19-AO20-AO21</f>
        <v>0</v>
      </c>
      <c r="AP24" s="43">
        <v>-77727.94</v>
      </c>
      <c r="AQ24" s="43">
        <f>AQ18-AQ19-AQ20-AQ21</f>
        <v>237404.39</v>
      </c>
      <c r="AR24" s="121"/>
    </row>
    <row r="25" ht="13.85" spans="1:44">
      <c r="A25" s="23"/>
      <c r="B25" s="24"/>
      <c r="C25" s="24"/>
      <c r="D25" s="24"/>
      <c r="E25" s="14"/>
      <c r="F25" s="14"/>
      <c r="G25" s="14"/>
      <c r="H25" s="14"/>
      <c r="I25" s="14"/>
      <c r="J25" s="14"/>
      <c r="K25" s="14"/>
      <c r="L25" s="22"/>
      <c r="M25" s="53" t="s">
        <v>3498</v>
      </c>
      <c r="N25" s="48">
        <f t="shared" ref="N25:Y25" si="11">N24/N18</f>
        <v>0.133993834115806</v>
      </c>
      <c r="O25" s="49">
        <f t="shared" si="11"/>
        <v>0.169767380664875</v>
      </c>
      <c r="P25" s="48">
        <f t="shared" si="11"/>
        <v>0.169767380664875</v>
      </c>
      <c r="Q25" s="69" t="e">
        <f t="shared" si="11"/>
        <v>#DIV/0!</v>
      </c>
      <c r="R25" s="69" t="e">
        <f t="shared" si="11"/>
        <v>#DIV/0!</v>
      </c>
      <c r="S25" s="69" t="e">
        <f t="shared" si="11"/>
        <v>#DIV/0!</v>
      </c>
      <c r="T25" s="69" t="e">
        <f t="shared" si="11"/>
        <v>#DIV/0!</v>
      </c>
      <c r="U25" s="69" t="e">
        <f t="shared" si="11"/>
        <v>#DIV/0!</v>
      </c>
      <c r="V25" s="69" t="e">
        <f t="shared" si="11"/>
        <v>#DIV/0!</v>
      </c>
      <c r="W25" s="69" t="e">
        <f t="shared" si="11"/>
        <v>#DIV/0!</v>
      </c>
      <c r="X25" s="49" t="e">
        <f t="shared" si="11"/>
        <v>#DIV/0!</v>
      </c>
      <c r="Y25" s="49" t="e">
        <f t="shared" si="11"/>
        <v>#DIV/0!</v>
      </c>
      <c r="Z25" s="82">
        <f>O25-N25</f>
        <v>0.0357735465490691</v>
      </c>
      <c r="AA25" s="82" t="e">
        <f>R25-N25</f>
        <v>#DIV/0!</v>
      </c>
      <c r="AB25" s="24"/>
      <c r="AC25" s="83"/>
      <c r="AD25" s="90"/>
      <c r="AE25" s="14"/>
      <c r="AF25" s="24"/>
      <c r="AG25" s="103"/>
      <c r="AH25" s="103"/>
      <c r="AI25" s="103"/>
      <c r="AJ25" s="103"/>
      <c r="AK25" s="103"/>
      <c r="AL25" s="103"/>
      <c r="AM25" s="103"/>
      <c r="AN25" s="103"/>
      <c r="AO25" s="49" t="e">
        <f>AO24/AO18</f>
        <v>#DIV/0!</v>
      </c>
      <c r="AP25" s="49">
        <v>0.999679754462988</v>
      </c>
      <c r="AQ25" s="49">
        <f>AQ24/AQ18</f>
        <v>0.233134968342595</v>
      </c>
      <c r="AR25" s="132"/>
    </row>
    <row r="26" ht="13.85" spans="1:44">
      <c r="A26" s="25" t="s">
        <v>597</v>
      </c>
      <c r="B26" s="26" t="s">
        <v>3520</v>
      </c>
      <c r="C26" s="27">
        <v>45658</v>
      </c>
      <c r="D26" s="27">
        <v>46752</v>
      </c>
      <c r="E26" s="28" t="s">
        <v>3668</v>
      </c>
      <c r="F26" s="29"/>
      <c r="G26" s="29"/>
      <c r="H26" s="29" t="s">
        <v>3669</v>
      </c>
      <c r="I26" s="29" t="s">
        <v>3670</v>
      </c>
      <c r="J26" s="29" t="s">
        <v>3671</v>
      </c>
      <c r="K26" s="54" t="s">
        <v>3670</v>
      </c>
      <c r="L26" s="29" t="s">
        <v>3523</v>
      </c>
      <c r="M26" s="55" t="s">
        <v>3486</v>
      </c>
      <c r="N26" s="56">
        <v>26522100</v>
      </c>
      <c r="O26" s="57">
        <f>SUM(AG26:AQ26)</f>
        <v>5253597.36</v>
      </c>
      <c r="P26" s="58">
        <f>SUM(AP26:AQ26)</f>
        <v>0</v>
      </c>
      <c r="Q26" s="70">
        <f>SUM(AG26:AO26)</f>
        <v>5253597.36</v>
      </c>
      <c r="R26" s="70">
        <f>SUM(AH26:AO26)</f>
        <v>4679493.67</v>
      </c>
      <c r="S26" s="66">
        <f>SUM(AI26:AO26)</f>
        <v>4115650.94</v>
      </c>
      <c r="T26" s="66">
        <f>SUM(AJ26:AO26)</f>
        <v>3662248.96</v>
      </c>
      <c r="U26" s="70">
        <f>SUM(AK26:AO26)</f>
        <v>3160564.19</v>
      </c>
      <c r="V26" s="70">
        <f>SUM(AL26:AO26)</f>
        <v>2628792.33</v>
      </c>
      <c r="W26" s="70">
        <f>SUM(AM26:AO26)</f>
        <v>1952599.78</v>
      </c>
      <c r="X26" s="70">
        <f>SUM(AN26:AO26)</f>
        <v>1282812.14</v>
      </c>
      <c r="Y26" s="70">
        <f>SUM(AO26:AO26)</f>
        <v>631391.62</v>
      </c>
      <c r="Z26" s="75"/>
      <c r="AA26" s="75"/>
      <c r="AB26" s="91"/>
      <c r="AC26" s="92" t="s">
        <v>3672</v>
      </c>
      <c r="AD26" s="93"/>
      <c r="AE26" s="93"/>
      <c r="AF26" s="94"/>
      <c r="AG26" s="104">
        <v>574103.69</v>
      </c>
      <c r="AH26" s="104">
        <v>563842.73</v>
      </c>
      <c r="AI26" s="104">
        <v>453401.98</v>
      </c>
      <c r="AJ26" s="104">
        <v>501684.77</v>
      </c>
      <c r="AK26" s="104">
        <v>531771.86</v>
      </c>
      <c r="AL26" s="105">
        <v>676192.55</v>
      </c>
      <c r="AM26" s="106">
        <v>669787.64</v>
      </c>
      <c r="AN26" s="107">
        <v>651420.52</v>
      </c>
      <c r="AO26" s="114">
        <v>631391.62</v>
      </c>
      <c r="AP26" s="138"/>
      <c r="AQ26" s="139"/>
      <c r="AR26" s="140"/>
    </row>
    <row r="27" ht="13.85" spans="1:44">
      <c r="A27" s="21"/>
      <c r="B27" s="22"/>
      <c r="C27" s="22"/>
      <c r="D27" s="22"/>
      <c r="E27" s="13"/>
      <c r="F27" s="22"/>
      <c r="G27" s="22"/>
      <c r="H27" s="22"/>
      <c r="I27" s="22"/>
      <c r="J27" s="22"/>
      <c r="K27" s="22"/>
      <c r="L27" s="22"/>
      <c r="M27" s="55" t="s">
        <v>3490</v>
      </c>
      <c r="N27" s="56">
        <v>20674440.84</v>
      </c>
      <c r="O27" s="57">
        <f>SUM(AG27:AQ27)</f>
        <v>4588186.59</v>
      </c>
      <c r="P27" s="58">
        <f>SUM(AP27:AQ27)</f>
        <v>0</v>
      </c>
      <c r="Q27" s="70">
        <f>SUM(AG27:AO27)</f>
        <v>4588186.59</v>
      </c>
      <c r="R27" s="70">
        <f>SUM(AH27:AO27)</f>
        <v>4145506.14</v>
      </c>
      <c r="S27" s="66">
        <f>SUM(AI27:AO27)</f>
        <v>3588259.09</v>
      </c>
      <c r="T27" s="66">
        <f>SUM(AJ27:AO27)</f>
        <v>3154493.95</v>
      </c>
      <c r="U27" s="70">
        <f>SUM(AK27:AO27)</f>
        <v>2597003.91</v>
      </c>
      <c r="V27" s="70">
        <f>SUM(AL27:AO27)</f>
        <v>2129544.87</v>
      </c>
      <c r="W27" s="70">
        <f>SUM(AM27:AO27)</f>
        <v>1650094.76</v>
      </c>
      <c r="X27" s="70">
        <f>SUM(AN27:AO27)</f>
        <v>1127039.47</v>
      </c>
      <c r="Y27" s="70">
        <f>SUM(AO27:AO27)</f>
        <v>589056.06</v>
      </c>
      <c r="Z27" s="75"/>
      <c r="AA27" s="75"/>
      <c r="AB27" s="22"/>
      <c r="AC27" s="34"/>
      <c r="AD27" s="13"/>
      <c r="AE27" s="13"/>
      <c r="AF27" s="22"/>
      <c r="AG27" s="108">
        <v>442680.45</v>
      </c>
      <c r="AH27" s="108">
        <v>557247.05</v>
      </c>
      <c r="AI27" s="108">
        <v>433765.14</v>
      </c>
      <c r="AJ27" s="108">
        <v>557490.04</v>
      </c>
      <c r="AK27" s="104">
        <v>467459.04</v>
      </c>
      <c r="AL27" s="105">
        <v>479450.11</v>
      </c>
      <c r="AM27" s="105">
        <v>523055.29</v>
      </c>
      <c r="AN27" s="109">
        <v>537983.41</v>
      </c>
      <c r="AO27" s="115">
        <v>589056.06</v>
      </c>
      <c r="AP27" s="141"/>
      <c r="AQ27" s="142"/>
      <c r="AR27" s="140"/>
    </row>
    <row r="28" ht="13.85" spans="1:44">
      <c r="A28" s="21"/>
      <c r="B28" s="22"/>
      <c r="C28" s="22"/>
      <c r="D28" s="22"/>
      <c r="E28" s="13"/>
      <c r="F28" s="22"/>
      <c r="G28" s="22"/>
      <c r="H28" s="22"/>
      <c r="I28" s="22"/>
      <c r="J28" s="22"/>
      <c r="K28" s="22"/>
      <c r="L28" s="22"/>
      <c r="M28" s="55" t="s">
        <v>3492</v>
      </c>
      <c r="N28" s="56">
        <v>67000</v>
      </c>
      <c r="O28" s="57">
        <f>SUM(AG28:AQ28)</f>
        <v>0</v>
      </c>
      <c r="P28" s="58">
        <f>SUM(AP28:AQ28)</f>
        <v>0</v>
      </c>
      <c r="Q28" s="70">
        <f>SUM(AG28:AO28)</f>
        <v>0</v>
      </c>
      <c r="R28" s="70">
        <f>SUM(AH28:AO28)</f>
        <v>0</v>
      </c>
      <c r="S28" s="66">
        <f>SUM(AI28:AO28)</f>
        <v>0</v>
      </c>
      <c r="T28" s="66">
        <f>SUM(AJ28:AO28)</f>
        <v>0</v>
      </c>
      <c r="U28" s="70">
        <f>SUM(AK28:AO28)</f>
        <v>0</v>
      </c>
      <c r="V28" s="70">
        <f>SUM(AL28:AO28)</f>
        <v>0</v>
      </c>
      <c r="W28" s="70">
        <f>SUM(AM28:AO28)</f>
        <v>0</v>
      </c>
      <c r="X28" s="70">
        <f>SUM(AN28:AO28)</f>
        <v>0</v>
      </c>
      <c r="Y28" s="70">
        <f>SUM(AO28:AO28)</f>
        <v>0</v>
      </c>
      <c r="Z28" s="75"/>
      <c r="AA28" s="75"/>
      <c r="AB28" s="22"/>
      <c r="AC28" s="34"/>
      <c r="AD28" s="13"/>
      <c r="AE28" s="13"/>
      <c r="AF28" s="22"/>
      <c r="AG28" s="110">
        <v>0</v>
      </c>
      <c r="AH28" s="110"/>
      <c r="AI28" s="111"/>
      <c r="AJ28" s="111"/>
      <c r="AK28" s="112"/>
      <c r="AL28" s="109"/>
      <c r="AM28" s="109"/>
      <c r="AN28" s="109">
        <v>0</v>
      </c>
      <c r="AO28" s="115">
        <v>0</v>
      </c>
      <c r="AP28" s="143"/>
      <c r="AQ28" s="142"/>
      <c r="AR28" s="140"/>
    </row>
    <row r="29" ht="13.85" spans="1:44">
      <c r="A29" s="21"/>
      <c r="B29" s="22"/>
      <c r="C29" s="22"/>
      <c r="D29" s="22"/>
      <c r="E29" s="13"/>
      <c r="F29" s="22"/>
      <c r="G29" s="22"/>
      <c r="H29" s="22"/>
      <c r="I29" s="22"/>
      <c r="J29" s="22"/>
      <c r="K29" s="22"/>
      <c r="L29" s="22"/>
      <c r="M29" s="55" t="s">
        <v>3493</v>
      </c>
      <c r="N29" s="56">
        <f>6300+6200</f>
        <v>12500</v>
      </c>
      <c r="O29" s="57">
        <f>SUM(AG29:AQ29)</f>
        <v>68418.3</v>
      </c>
      <c r="P29" s="58">
        <f>SUM(AP29:AQ29)</f>
        <v>0</v>
      </c>
      <c r="Q29" s="70">
        <f>SUM(AG29:AO29)</f>
        <v>68418.3</v>
      </c>
      <c r="R29" s="70">
        <f>SUM(AH29:AO29)</f>
        <v>66587.79</v>
      </c>
      <c r="S29" s="66">
        <f>SUM(AI29:AO29)</f>
        <v>45734</v>
      </c>
      <c r="T29" s="66">
        <f>SUM(AJ29:AO29)</f>
        <v>14224.46</v>
      </c>
      <c r="U29" s="70">
        <f>SUM(AK29:AO29)</f>
        <v>10313.07</v>
      </c>
      <c r="V29" s="70">
        <f>SUM(AL29:AO29)</f>
        <v>6937.49</v>
      </c>
      <c r="W29" s="70">
        <f>SUM(AM29:AO29)</f>
        <v>4129.86</v>
      </c>
      <c r="X29" s="70">
        <f>SUM(AN29:AO29)</f>
        <v>0</v>
      </c>
      <c r="Y29" s="70">
        <f>SUM(AO29:AO29)</f>
        <v>0</v>
      </c>
      <c r="Z29" s="75"/>
      <c r="AA29" s="75"/>
      <c r="AB29" s="22"/>
      <c r="AC29" s="34"/>
      <c r="AD29" s="13"/>
      <c r="AE29" s="13"/>
      <c r="AF29" s="22"/>
      <c r="AG29" s="104">
        <v>1830.51</v>
      </c>
      <c r="AH29" s="104">
        <v>20853.79</v>
      </c>
      <c r="AI29" s="104">
        <v>31509.54</v>
      </c>
      <c r="AJ29" s="104">
        <v>3911.39</v>
      </c>
      <c r="AK29" s="108">
        <v>3375.58</v>
      </c>
      <c r="AL29" s="105">
        <v>2807.63</v>
      </c>
      <c r="AM29" s="105">
        <v>4129.86</v>
      </c>
      <c r="AN29" s="109">
        <v>0</v>
      </c>
      <c r="AO29" s="144">
        <v>0</v>
      </c>
      <c r="AP29" s="145"/>
      <c r="AQ29" s="142"/>
      <c r="AR29" s="146"/>
    </row>
    <row r="30" ht="13.85" spans="1:45">
      <c r="A30" s="21"/>
      <c r="B30" s="22"/>
      <c r="C30" s="22"/>
      <c r="D30" s="22"/>
      <c r="E30" s="13"/>
      <c r="F30" s="22"/>
      <c r="G30" s="22"/>
      <c r="H30" s="22"/>
      <c r="I30" s="22"/>
      <c r="J30" s="22"/>
      <c r="K30" s="22"/>
      <c r="L30" s="22"/>
      <c r="M30" s="55" t="s">
        <v>3495</v>
      </c>
      <c r="N30" s="59">
        <f t="shared" ref="N30:Y30" si="12">N26-N27</f>
        <v>5847659.16</v>
      </c>
      <c r="O30" s="57">
        <f t="shared" si="12"/>
        <v>665410.77</v>
      </c>
      <c r="P30" s="58">
        <f t="shared" si="12"/>
        <v>0</v>
      </c>
      <c r="Q30" s="57">
        <f t="shared" si="12"/>
        <v>665410.77</v>
      </c>
      <c r="R30" s="57">
        <f t="shared" si="12"/>
        <v>533987.53</v>
      </c>
      <c r="S30" s="68">
        <f t="shared" si="12"/>
        <v>527391.85</v>
      </c>
      <c r="T30" s="68">
        <f t="shared" si="12"/>
        <v>507755.01</v>
      </c>
      <c r="U30" s="57">
        <f t="shared" si="12"/>
        <v>563560.28</v>
      </c>
      <c r="V30" s="57">
        <f t="shared" si="12"/>
        <v>499247.46</v>
      </c>
      <c r="W30" s="57">
        <f t="shared" si="12"/>
        <v>302505.02</v>
      </c>
      <c r="X30" s="57">
        <f t="shared" si="12"/>
        <v>155772.67</v>
      </c>
      <c r="Y30" s="57">
        <f t="shared" si="12"/>
        <v>42335.5599999999</v>
      </c>
      <c r="Z30" s="75"/>
      <c r="AA30" s="75"/>
      <c r="AB30" s="22"/>
      <c r="AC30" s="34"/>
      <c r="AD30" s="13"/>
      <c r="AE30" s="13"/>
      <c r="AF30" s="22"/>
      <c r="AG30" s="57">
        <f t="shared" ref="AG30:AO30" si="13">AG26-AG27</f>
        <v>131423.24</v>
      </c>
      <c r="AH30" s="57">
        <f t="shared" si="13"/>
        <v>6595.67999999993</v>
      </c>
      <c r="AI30" s="57">
        <f t="shared" si="13"/>
        <v>19636.84</v>
      </c>
      <c r="AJ30" s="57">
        <f t="shared" si="13"/>
        <v>-55805.27</v>
      </c>
      <c r="AK30" s="57">
        <f t="shared" si="13"/>
        <v>64312.82</v>
      </c>
      <c r="AL30" s="57">
        <f t="shared" si="13"/>
        <v>196742.44</v>
      </c>
      <c r="AM30" s="57">
        <f t="shared" si="13"/>
        <v>146732.35</v>
      </c>
      <c r="AN30" s="57">
        <f t="shared" si="13"/>
        <v>113437.11</v>
      </c>
      <c r="AO30" s="57">
        <f t="shared" si="13"/>
        <v>42335.5599999999</v>
      </c>
      <c r="AP30" s="57"/>
      <c r="AQ30" s="57"/>
      <c r="AR30" s="147"/>
      <c r="AS30" s="131"/>
    </row>
    <row r="31" ht="14.6" spans="1:45">
      <c r="A31" s="21"/>
      <c r="B31" s="22"/>
      <c r="C31" s="22"/>
      <c r="D31" s="22"/>
      <c r="E31" s="13"/>
      <c r="F31" s="22"/>
      <c r="G31" s="22"/>
      <c r="H31" s="22"/>
      <c r="I31" s="22"/>
      <c r="J31" s="22"/>
      <c r="K31" s="22"/>
      <c r="L31" s="22"/>
      <c r="M31" s="60" t="s">
        <v>3496</v>
      </c>
      <c r="N31" s="61">
        <f t="shared" ref="N31:Y31" si="14">N30/N26</f>
        <v>0.220482509303562</v>
      </c>
      <c r="O31" s="62">
        <f t="shared" si="14"/>
        <v>0.126658120979412</v>
      </c>
      <c r="P31" s="61" t="e">
        <f t="shared" si="14"/>
        <v>#DIV/0!</v>
      </c>
      <c r="Q31" s="62">
        <f t="shared" si="14"/>
        <v>0.126658120979412</v>
      </c>
      <c r="R31" s="62">
        <f t="shared" si="14"/>
        <v>0.114112245395985</v>
      </c>
      <c r="S31" s="69">
        <f t="shared" si="14"/>
        <v>0.128142997957937</v>
      </c>
      <c r="T31" s="69">
        <f t="shared" si="14"/>
        <v>0.138645683443651</v>
      </c>
      <c r="U31" s="62">
        <f t="shared" si="14"/>
        <v>0.178310025084477</v>
      </c>
      <c r="V31" s="62">
        <f t="shared" si="14"/>
        <v>0.189915138713144</v>
      </c>
      <c r="W31" s="62">
        <f t="shared" si="14"/>
        <v>0.154924231324045</v>
      </c>
      <c r="X31" s="62">
        <f t="shared" si="14"/>
        <v>0.121430617268714</v>
      </c>
      <c r="Y31" s="62">
        <f t="shared" si="14"/>
        <v>0.0670511908282849</v>
      </c>
      <c r="Z31" s="82">
        <f>O31-N31</f>
        <v>-0.0938243883241498</v>
      </c>
      <c r="AA31" s="82">
        <f>R31-N31</f>
        <v>-0.106370263907577</v>
      </c>
      <c r="AB31" s="22"/>
      <c r="AC31" s="34"/>
      <c r="AD31" s="13"/>
      <c r="AE31" s="13"/>
      <c r="AF31" s="22"/>
      <c r="AG31" s="113">
        <f t="shared" ref="AG31:AO31" si="15">AG30/AG26</f>
        <v>0.228918995451849</v>
      </c>
      <c r="AH31" s="113">
        <f t="shared" si="15"/>
        <v>0.0116977299680709</v>
      </c>
      <c r="AI31" s="113">
        <f t="shared" si="15"/>
        <v>0.0433100005430059</v>
      </c>
      <c r="AJ31" s="113">
        <f t="shared" si="15"/>
        <v>-0.111235726769222</v>
      </c>
      <c r="AK31" s="113">
        <f t="shared" si="15"/>
        <v>0.120940622920513</v>
      </c>
      <c r="AL31" s="113">
        <f t="shared" si="15"/>
        <v>0.290956237243371</v>
      </c>
      <c r="AM31" s="113">
        <f t="shared" si="15"/>
        <v>0.219072943776628</v>
      </c>
      <c r="AN31" s="113">
        <f t="shared" si="15"/>
        <v>0.174138066759088</v>
      </c>
      <c r="AO31" s="62">
        <f t="shared" si="15"/>
        <v>0.0670511908282849</v>
      </c>
      <c r="AP31" s="62"/>
      <c r="AQ31" s="62"/>
      <c r="AR31" s="148"/>
      <c r="AS31" s="133"/>
    </row>
    <row r="32" ht="14.6" spans="1:45">
      <c r="A32" s="21"/>
      <c r="B32" s="22"/>
      <c r="C32" s="22"/>
      <c r="D32" s="22"/>
      <c r="E32" s="13"/>
      <c r="F32" s="22"/>
      <c r="G32" s="22"/>
      <c r="H32" s="22"/>
      <c r="I32" s="22"/>
      <c r="J32" s="22"/>
      <c r="K32" s="22"/>
      <c r="L32" s="22"/>
      <c r="M32" s="55" t="s">
        <v>3497</v>
      </c>
      <c r="N32" s="58">
        <f t="shared" ref="N32:Y32" si="16">N26-N27-N28-N29</f>
        <v>5768159.16</v>
      </c>
      <c r="O32" s="57">
        <f t="shared" si="16"/>
        <v>596992.47</v>
      </c>
      <c r="P32" s="58">
        <f t="shared" si="16"/>
        <v>0</v>
      </c>
      <c r="Q32" s="57">
        <f t="shared" si="16"/>
        <v>596992.47</v>
      </c>
      <c r="R32" s="57">
        <f t="shared" si="16"/>
        <v>467399.74</v>
      </c>
      <c r="S32" s="68">
        <f t="shared" si="16"/>
        <v>481657.85</v>
      </c>
      <c r="T32" s="68">
        <f t="shared" si="16"/>
        <v>493530.55</v>
      </c>
      <c r="U32" s="57">
        <f t="shared" si="16"/>
        <v>553247.21</v>
      </c>
      <c r="V32" s="57">
        <f t="shared" si="16"/>
        <v>492309.97</v>
      </c>
      <c r="W32" s="57">
        <f t="shared" si="16"/>
        <v>298375.16</v>
      </c>
      <c r="X32" s="57">
        <f t="shared" si="16"/>
        <v>155772.67</v>
      </c>
      <c r="Y32" s="57">
        <f t="shared" si="16"/>
        <v>42335.5599999999</v>
      </c>
      <c r="Z32" s="82"/>
      <c r="AA32" s="82"/>
      <c r="AB32" s="22"/>
      <c r="AC32" s="34"/>
      <c r="AD32" s="13"/>
      <c r="AE32" s="13"/>
      <c r="AF32" s="22"/>
      <c r="AG32" s="57">
        <f t="shared" ref="AG32:AO32" si="17">AG26-AG27-AG28-AG29</f>
        <v>129592.73</v>
      </c>
      <c r="AH32" s="57">
        <f t="shared" si="17"/>
        <v>-14258.1100000001</v>
      </c>
      <c r="AI32" s="57">
        <f t="shared" si="17"/>
        <v>-11872.7</v>
      </c>
      <c r="AJ32" s="57">
        <f t="shared" si="17"/>
        <v>-59716.66</v>
      </c>
      <c r="AK32" s="57">
        <f t="shared" si="17"/>
        <v>60937.24</v>
      </c>
      <c r="AL32" s="57">
        <f t="shared" si="17"/>
        <v>193934.81</v>
      </c>
      <c r="AM32" s="57">
        <f t="shared" si="17"/>
        <v>142602.49</v>
      </c>
      <c r="AN32" s="57">
        <f t="shared" si="17"/>
        <v>113437.11</v>
      </c>
      <c r="AO32" s="57">
        <f t="shared" si="17"/>
        <v>42335.5599999999</v>
      </c>
      <c r="AP32" s="57"/>
      <c r="AQ32" s="57"/>
      <c r="AR32" s="140"/>
      <c r="AS32" s="134"/>
    </row>
    <row r="33" ht="14.6" spans="1:45">
      <c r="A33" s="23"/>
      <c r="B33" s="24"/>
      <c r="C33" s="24"/>
      <c r="D33" s="24"/>
      <c r="E33" s="14"/>
      <c r="F33" s="24"/>
      <c r="G33" s="24"/>
      <c r="H33" s="24"/>
      <c r="I33" s="24"/>
      <c r="J33" s="24"/>
      <c r="K33" s="24"/>
      <c r="L33" s="24"/>
      <c r="M33" s="60" t="s">
        <v>3498</v>
      </c>
      <c r="N33" s="61">
        <f t="shared" ref="N33:Y33" si="18">N32/N26</f>
        <v>0.217485009105614</v>
      </c>
      <c r="O33" s="62">
        <f t="shared" si="18"/>
        <v>0.113634987436494</v>
      </c>
      <c r="P33" s="61" t="e">
        <f t="shared" si="18"/>
        <v>#DIV/0!</v>
      </c>
      <c r="Q33" s="62">
        <f t="shared" si="18"/>
        <v>0.113634987436494</v>
      </c>
      <c r="R33" s="62">
        <f t="shared" si="18"/>
        <v>0.0998825456259245</v>
      </c>
      <c r="S33" s="69">
        <f t="shared" si="18"/>
        <v>0.11703078249877</v>
      </c>
      <c r="T33" s="69">
        <f t="shared" si="18"/>
        <v>0.13476160561187</v>
      </c>
      <c r="U33" s="62">
        <f t="shared" si="18"/>
        <v>0.175046977925799</v>
      </c>
      <c r="V33" s="62">
        <f t="shared" si="18"/>
        <v>0.187276097994397</v>
      </c>
      <c r="W33" s="62">
        <f t="shared" si="18"/>
        <v>0.152809174238461</v>
      </c>
      <c r="X33" s="62">
        <f t="shared" si="18"/>
        <v>0.121430617268714</v>
      </c>
      <c r="Y33" s="62">
        <f t="shared" si="18"/>
        <v>0.0670511908282849</v>
      </c>
      <c r="Z33" s="82">
        <f>O33-N33</f>
        <v>-0.103850021669119</v>
      </c>
      <c r="AA33" s="82">
        <f>R33-N33</f>
        <v>-0.117602463479689</v>
      </c>
      <c r="AB33" s="24"/>
      <c r="AC33" s="83"/>
      <c r="AD33" s="14"/>
      <c r="AE33" s="14"/>
      <c r="AF33" s="24"/>
      <c r="AG33" s="113">
        <f t="shared" ref="AG33:AO33" si="19">AG32/AG26</f>
        <v>0.225730529619135</v>
      </c>
      <c r="AH33" s="113">
        <f t="shared" si="19"/>
        <v>-0.0252873882048636</v>
      </c>
      <c r="AI33" s="113">
        <f t="shared" si="19"/>
        <v>-0.0261858141863431</v>
      </c>
      <c r="AJ33" s="113">
        <f t="shared" si="19"/>
        <v>-0.119032236119107</v>
      </c>
      <c r="AK33" s="113">
        <f t="shared" si="19"/>
        <v>0.114592825577495</v>
      </c>
      <c r="AL33" s="113">
        <f t="shared" si="19"/>
        <v>0.286804121104262</v>
      </c>
      <c r="AM33" s="113">
        <f t="shared" si="19"/>
        <v>0.212907019305403</v>
      </c>
      <c r="AN33" s="113">
        <f t="shared" si="19"/>
        <v>0.174138066759088</v>
      </c>
      <c r="AO33" s="62">
        <f t="shared" si="19"/>
        <v>0.0670511908282849</v>
      </c>
      <c r="AP33" s="62"/>
      <c r="AQ33" s="62"/>
      <c r="AR33" s="148"/>
      <c r="AS33" s="133"/>
    </row>
    <row r="34" ht="13.85" spans="1:44">
      <c r="A34" s="30" t="s">
        <v>454</v>
      </c>
      <c r="B34" s="31" t="s">
        <v>455</v>
      </c>
      <c r="C34" s="29">
        <v>45658</v>
      </c>
      <c r="D34" s="29">
        <v>46022</v>
      </c>
      <c r="E34" s="28" t="s">
        <v>3673</v>
      </c>
      <c r="F34" s="12"/>
      <c r="G34" s="12"/>
      <c r="H34" s="29" t="s">
        <v>3674</v>
      </c>
      <c r="I34" s="29" t="s">
        <v>3530</v>
      </c>
      <c r="J34" s="29" t="s">
        <v>3530</v>
      </c>
      <c r="K34" s="54" t="s">
        <v>3675</v>
      </c>
      <c r="L34" s="29" t="s">
        <v>3485</v>
      </c>
      <c r="M34" s="55" t="s">
        <v>3486</v>
      </c>
      <c r="N34" s="63">
        <v>5410115.42</v>
      </c>
      <c r="O34" s="57">
        <f>SUM(AG34:AQ34)</f>
        <v>2293604.18</v>
      </c>
      <c r="P34" s="58">
        <f>SUM(AP34:AQ34)</f>
        <v>0</v>
      </c>
      <c r="Q34" s="70">
        <f>SUM(AG34:AO34)</f>
        <v>2293604.18</v>
      </c>
      <c r="R34" s="70">
        <f>SUM(AH34:AO34)</f>
        <v>2293604.18</v>
      </c>
      <c r="S34" s="66">
        <f>SUM(AI34:AO34)</f>
        <v>3644854.82</v>
      </c>
      <c r="T34" s="66">
        <f>SUM(AJ34:AO34)</f>
        <v>3244573.65</v>
      </c>
      <c r="U34" s="70">
        <f>SUM(AK34:AO34)</f>
        <v>2811898.63</v>
      </c>
      <c r="V34" s="70">
        <f>SUM(AL34:AO34)</f>
        <v>2339022.59</v>
      </c>
      <c r="W34" s="70">
        <f>SUM(AM34:AO34)</f>
        <v>1227494.37</v>
      </c>
      <c r="X34" s="70">
        <f>SUM(AN34:AO34)</f>
        <v>827712.55</v>
      </c>
      <c r="Y34" s="70">
        <f>SUM(AO34:AO34)</f>
        <v>410770</v>
      </c>
      <c r="Z34" s="75"/>
      <c r="AA34" s="75"/>
      <c r="AB34" s="95"/>
      <c r="AC34" s="96" t="s">
        <v>3676</v>
      </c>
      <c r="AD34" s="93"/>
      <c r="AE34" s="96"/>
      <c r="AF34" s="94"/>
      <c r="AG34" s="104">
        <v>0</v>
      </c>
      <c r="AH34" s="104">
        <v>-1351250.64</v>
      </c>
      <c r="AI34" s="104">
        <v>400281.17</v>
      </c>
      <c r="AJ34" s="104">
        <v>432675.02</v>
      </c>
      <c r="AK34" s="104">
        <v>472876.04</v>
      </c>
      <c r="AL34" s="105">
        <v>1111528.22</v>
      </c>
      <c r="AM34" s="105">
        <v>399781.82</v>
      </c>
      <c r="AN34" s="105">
        <v>416942.55</v>
      </c>
      <c r="AO34" s="105">
        <v>410770</v>
      </c>
      <c r="AP34" s="149"/>
      <c r="AQ34" s="150"/>
      <c r="AR34" s="140"/>
    </row>
    <row r="35" ht="13.85" spans="1:44">
      <c r="A35" s="21"/>
      <c r="B35" s="22"/>
      <c r="C35" s="22"/>
      <c r="D35" s="22"/>
      <c r="E35" s="13"/>
      <c r="F35" s="13"/>
      <c r="G35" s="13"/>
      <c r="H35" s="22"/>
      <c r="I35" s="22"/>
      <c r="J35" s="22"/>
      <c r="K35" s="22"/>
      <c r="L35" s="22"/>
      <c r="M35" s="55" t="s">
        <v>3490</v>
      </c>
      <c r="N35" s="56">
        <v>3072237.8</v>
      </c>
      <c r="O35" s="57">
        <f>SUM(AG35:AQ35)</f>
        <v>2363109.59</v>
      </c>
      <c r="P35" s="58">
        <f>SUM(AP35:AQ35)</f>
        <v>0</v>
      </c>
      <c r="Q35" s="70">
        <f>SUM(AG35:AO35)</f>
        <v>2363109.59</v>
      </c>
      <c r="R35" s="70">
        <f>SUM(AH35:AO35)</f>
        <v>2363109.59</v>
      </c>
      <c r="S35" s="66">
        <f>SUM(AI35:AO35)</f>
        <v>2341482.22</v>
      </c>
      <c r="T35" s="66">
        <f>SUM(AJ35:AO35)</f>
        <v>2030207.09</v>
      </c>
      <c r="U35" s="70">
        <f>SUM(AK35:AO35)</f>
        <v>1733817.21</v>
      </c>
      <c r="V35" s="70">
        <f>SUM(AL35:AO35)</f>
        <v>1407867.35</v>
      </c>
      <c r="W35" s="70">
        <f>SUM(AM35:AO35)</f>
        <v>1013690.39</v>
      </c>
      <c r="X35" s="70">
        <f>SUM(AN35:AO35)</f>
        <v>687277</v>
      </c>
      <c r="Y35" s="70">
        <f>SUM(AO35:AO35)</f>
        <v>351578.2</v>
      </c>
      <c r="Z35" s="75"/>
      <c r="AA35" s="75"/>
      <c r="AB35" s="97"/>
      <c r="AC35" s="22"/>
      <c r="AD35" s="13"/>
      <c r="AE35" s="22"/>
      <c r="AF35" s="22"/>
      <c r="AG35" s="108">
        <v>0</v>
      </c>
      <c r="AH35" s="108">
        <v>21627.37</v>
      </c>
      <c r="AI35" s="108">
        <v>311275.13</v>
      </c>
      <c r="AJ35" s="108">
        <v>296389.88</v>
      </c>
      <c r="AK35" s="108">
        <v>325949.86</v>
      </c>
      <c r="AL35" s="105">
        <v>394176.96</v>
      </c>
      <c r="AM35" s="105">
        <v>326413.39</v>
      </c>
      <c r="AN35" s="109">
        <v>335698.8</v>
      </c>
      <c r="AO35" s="151">
        <v>351578.2</v>
      </c>
      <c r="AP35" s="152"/>
      <c r="AQ35" s="142"/>
      <c r="AR35" s="140"/>
    </row>
    <row r="36" ht="13.85" spans="1:44">
      <c r="A36" s="21"/>
      <c r="B36" s="22"/>
      <c r="C36" s="22"/>
      <c r="D36" s="22"/>
      <c r="E36" s="13"/>
      <c r="F36" s="13"/>
      <c r="G36" s="13"/>
      <c r="H36" s="22"/>
      <c r="I36" s="22"/>
      <c r="J36" s="22"/>
      <c r="K36" s="22"/>
      <c r="L36" s="22"/>
      <c r="M36" s="55" t="s">
        <v>3492</v>
      </c>
      <c r="N36" s="56">
        <f>109000</f>
        <v>109000</v>
      </c>
      <c r="O36" s="57">
        <f>SUM(AG36:AQ36)</f>
        <v>9935.7</v>
      </c>
      <c r="P36" s="58">
        <f>SUM(AP36:AQ36)</f>
        <v>0</v>
      </c>
      <c r="Q36" s="70">
        <f>SUM(AG36:AO36)</f>
        <v>9935.7</v>
      </c>
      <c r="R36" s="70">
        <f>SUM(AH36:AO36)</f>
        <v>9935.7</v>
      </c>
      <c r="S36" s="66">
        <f>SUM(AI36:AO36)</f>
        <v>7554.26</v>
      </c>
      <c r="T36" s="66">
        <f>SUM(AJ36:AO36)</f>
        <v>6415.58</v>
      </c>
      <c r="U36" s="70">
        <f>SUM(AK36:AO36)</f>
        <v>6415.58</v>
      </c>
      <c r="V36" s="70">
        <f>SUM(AL36:AO36)</f>
        <v>6415.58</v>
      </c>
      <c r="W36" s="70">
        <f>SUM(AM36:AO36)</f>
        <v>0</v>
      </c>
      <c r="X36" s="70">
        <f>SUM(AN36:AO36)</f>
        <v>0</v>
      </c>
      <c r="Y36" s="70">
        <f>SUM(AO36:AO36)</f>
        <v>0</v>
      </c>
      <c r="Z36" s="75"/>
      <c r="AA36" s="75"/>
      <c r="AB36" s="97"/>
      <c r="AC36" s="22"/>
      <c r="AD36" s="13"/>
      <c r="AE36" s="22"/>
      <c r="AF36" s="22"/>
      <c r="AG36" s="110">
        <v>0</v>
      </c>
      <c r="AH36" s="110">
        <v>2381.44</v>
      </c>
      <c r="AI36" s="110">
        <v>1138.68</v>
      </c>
      <c r="AJ36" s="111">
        <v>0</v>
      </c>
      <c r="AK36" s="111"/>
      <c r="AL36" s="105">
        <v>6415.58</v>
      </c>
      <c r="AM36" s="109">
        <v>0</v>
      </c>
      <c r="AN36" s="109">
        <v>0</v>
      </c>
      <c r="AO36" s="115">
        <v>0</v>
      </c>
      <c r="AP36" s="152"/>
      <c r="AQ36" s="142"/>
      <c r="AR36" s="140"/>
    </row>
    <row r="37" ht="13.85" spans="1:44">
      <c r="A37" s="21"/>
      <c r="B37" s="22"/>
      <c r="C37" s="22"/>
      <c r="D37" s="22"/>
      <c r="E37" s="13"/>
      <c r="F37" s="13"/>
      <c r="G37" s="13"/>
      <c r="H37" s="22"/>
      <c r="I37" s="22"/>
      <c r="J37" s="22"/>
      <c r="K37" s="22"/>
      <c r="L37" s="22"/>
      <c r="M37" s="55" t="s">
        <v>3493</v>
      </c>
      <c r="N37" s="56">
        <f>14400+54000</f>
        <v>68400</v>
      </c>
      <c r="O37" s="57">
        <f>SUM(AG37:AQ37)</f>
        <v>20606.83</v>
      </c>
      <c r="P37" s="58">
        <f>SUM(AP37:AQ37)</f>
        <v>0</v>
      </c>
      <c r="Q37" s="70">
        <f>SUM(AG37:AO37)</f>
        <v>20606.83</v>
      </c>
      <c r="R37" s="70">
        <f>SUM(AH37:AO37)</f>
        <v>18157.22</v>
      </c>
      <c r="S37" s="66">
        <f>SUM(AI37:AO37)</f>
        <v>15707.61</v>
      </c>
      <c r="T37" s="66">
        <f>SUM(AJ37:AO37)</f>
        <v>11808.51</v>
      </c>
      <c r="U37" s="70">
        <f>SUM(AK37:AO37)</f>
        <v>8135.06</v>
      </c>
      <c r="V37" s="70">
        <f>SUM(AL37:AO37)</f>
        <v>5131.87</v>
      </c>
      <c r="W37" s="70">
        <f>SUM(AM37:AO37)</f>
        <v>2633.73</v>
      </c>
      <c r="X37" s="70">
        <f>SUM(AN37:AO37)</f>
        <v>0</v>
      </c>
      <c r="Y37" s="70">
        <f>SUM(AO37:AO37)</f>
        <v>0</v>
      </c>
      <c r="Z37" s="75"/>
      <c r="AA37" s="75"/>
      <c r="AB37" s="97"/>
      <c r="AC37" s="22"/>
      <c r="AD37" s="13"/>
      <c r="AE37" s="22"/>
      <c r="AF37" s="22"/>
      <c r="AG37" s="104">
        <v>2449.61</v>
      </c>
      <c r="AH37" s="104">
        <v>2449.61</v>
      </c>
      <c r="AI37" s="104">
        <v>3899.1</v>
      </c>
      <c r="AJ37" s="104">
        <v>3673.45</v>
      </c>
      <c r="AK37" s="104">
        <v>3003.19</v>
      </c>
      <c r="AL37" s="105">
        <v>2498.14</v>
      </c>
      <c r="AM37" s="105">
        <v>2633.73</v>
      </c>
      <c r="AN37" s="109">
        <v>0</v>
      </c>
      <c r="AO37" s="144">
        <v>0</v>
      </c>
      <c r="AP37" s="153"/>
      <c r="AQ37" s="142"/>
      <c r="AR37" s="140"/>
    </row>
    <row r="38" ht="13.85" spans="1:44">
      <c r="A38" s="21"/>
      <c r="B38" s="22"/>
      <c r="C38" s="22"/>
      <c r="D38" s="22"/>
      <c r="E38" s="13"/>
      <c r="F38" s="13"/>
      <c r="G38" s="13"/>
      <c r="H38" s="22"/>
      <c r="I38" s="22"/>
      <c r="J38" s="22"/>
      <c r="K38" s="22"/>
      <c r="L38" s="22"/>
      <c r="M38" s="55" t="s">
        <v>3495</v>
      </c>
      <c r="N38" s="59">
        <f t="shared" ref="N38:Y38" si="20">N34-N35</f>
        <v>2337877.62</v>
      </c>
      <c r="O38" s="57">
        <f t="shared" si="20"/>
        <v>-69505.4099999997</v>
      </c>
      <c r="P38" s="58">
        <f t="shared" si="20"/>
        <v>0</v>
      </c>
      <c r="Q38" s="57">
        <f t="shared" si="20"/>
        <v>-69505.4099999997</v>
      </c>
      <c r="R38" s="57">
        <f t="shared" si="20"/>
        <v>-69505.4099999997</v>
      </c>
      <c r="S38" s="68">
        <f t="shared" si="20"/>
        <v>1303372.6</v>
      </c>
      <c r="T38" s="68">
        <f t="shared" si="20"/>
        <v>1214366.56</v>
      </c>
      <c r="U38" s="57">
        <f t="shared" si="20"/>
        <v>1078081.42</v>
      </c>
      <c r="V38" s="57">
        <f t="shared" si="20"/>
        <v>931155.24</v>
      </c>
      <c r="W38" s="57">
        <f t="shared" si="20"/>
        <v>213803.98</v>
      </c>
      <c r="X38" s="57">
        <f t="shared" si="20"/>
        <v>140435.55</v>
      </c>
      <c r="Y38" s="57">
        <f t="shared" si="20"/>
        <v>59191.8</v>
      </c>
      <c r="Z38" s="75"/>
      <c r="AA38" s="75"/>
      <c r="AB38" s="97"/>
      <c r="AC38" s="22"/>
      <c r="AD38" s="13"/>
      <c r="AE38" s="22"/>
      <c r="AF38" s="22"/>
      <c r="AG38" s="57">
        <f t="shared" ref="AG38:AO38" si="21">AG34-AG35</f>
        <v>0</v>
      </c>
      <c r="AH38" s="57">
        <f t="shared" si="21"/>
        <v>-1372878.01</v>
      </c>
      <c r="AI38" s="57">
        <f t="shared" si="21"/>
        <v>89006.04</v>
      </c>
      <c r="AJ38" s="57">
        <f t="shared" si="21"/>
        <v>136285.14</v>
      </c>
      <c r="AK38" s="57">
        <f t="shared" si="21"/>
        <v>146926.18</v>
      </c>
      <c r="AL38" s="57">
        <f t="shared" si="21"/>
        <v>717351.26</v>
      </c>
      <c r="AM38" s="57">
        <f t="shared" si="21"/>
        <v>73368.43</v>
      </c>
      <c r="AN38" s="57">
        <f t="shared" si="21"/>
        <v>81243.75</v>
      </c>
      <c r="AO38" s="57">
        <f t="shared" si="21"/>
        <v>59191.8</v>
      </c>
      <c r="AP38" s="57"/>
      <c r="AQ38" s="57"/>
      <c r="AR38" s="140"/>
    </row>
    <row r="39" ht="13.85" spans="1:44">
      <c r="A39" s="21"/>
      <c r="B39" s="22"/>
      <c r="C39" s="22"/>
      <c r="D39" s="22"/>
      <c r="E39" s="13"/>
      <c r="F39" s="13"/>
      <c r="G39" s="13"/>
      <c r="H39" s="22"/>
      <c r="I39" s="22"/>
      <c r="J39" s="22"/>
      <c r="K39" s="22"/>
      <c r="L39" s="22"/>
      <c r="M39" s="60" t="s">
        <v>3496</v>
      </c>
      <c r="N39" s="61">
        <f t="shared" ref="N39:Y39" si="22">N38/N34</f>
        <v>0.43213082134207</v>
      </c>
      <c r="O39" s="62">
        <f t="shared" si="22"/>
        <v>-0.0303040126130219</v>
      </c>
      <c r="P39" s="61" t="e">
        <f t="shared" si="22"/>
        <v>#DIV/0!</v>
      </c>
      <c r="Q39" s="62">
        <f t="shared" si="22"/>
        <v>-0.0303040126130219</v>
      </c>
      <c r="R39" s="62">
        <f t="shared" si="22"/>
        <v>-0.0303040126130219</v>
      </c>
      <c r="S39" s="69">
        <f t="shared" si="22"/>
        <v>0.357592459608583</v>
      </c>
      <c r="T39" s="69">
        <f t="shared" si="22"/>
        <v>0.374276157978414</v>
      </c>
      <c r="U39" s="62">
        <f t="shared" si="22"/>
        <v>0.383399816941481</v>
      </c>
      <c r="V39" s="62">
        <f t="shared" si="22"/>
        <v>0.398095873028742</v>
      </c>
      <c r="W39" s="62">
        <f t="shared" si="22"/>
        <v>0.174179193995</v>
      </c>
      <c r="X39" s="62">
        <f t="shared" si="22"/>
        <v>0.169667054099881</v>
      </c>
      <c r="Y39" s="62">
        <f t="shared" si="22"/>
        <v>0.144099617790978</v>
      </c>
      <c r="Z39" s="82">
        <f>O39-N39</f>
        <v>-0.462434833955092</v>
      </c>
      <c r="AA39" s="82">
        <f>R39-N39</f>
        <v>-0.462434833955092</v>
      </c>
      <c r="AB39" s="97"/>
      <c r="AC39" s="22"/>
      <c r="AD39" s="13"/>
      <c r="AE39" s="22"/>
      <c r="AF39" s="22"/>
      <c r="AG39" s="113" t="e">
        <f t="shared" ref="AG39:AO39" si="23">AG38/AG34</f>
        <v>#DIV/0!</v>
      </c>
      <c r="AH39" s="113">
        <f t="shared" si="23"/>
        <v>1.01600544662832</v>
      </c>
      <c r="AI39" s="113">
        <f t="shared" si="23"/>
        <v>0.222358798441605</v>
      </c>
      <c r="AJ39" s="113">
        <f t="shared" si="23"/>
        <v>0.314982686081577</v>
      </c>
      <c r="AK39" s="113">
        <f t="shared" si="23"/>
        <v>0.310707601087169</v>
      </c>
      <c r="AL39" s="113">
        <f t="shared" si="23"/>
        <v>0.645373861942974</v>
      </c>
      <c r="AM39" s="113">
        <f t="shared" si="23"/>
        <v>0.183521176625791</v>
      </c>
      <c r="AN39" s="113">
        <f t="shared" si="23"/>
        <v>0.194855981957226</v>
      </c>
      <c r="AO39" s="113">
        <f t="shared" si="23"/>
        <v>0.144099617790978</v>
      </c>
      <c r="AP39" s="62"/>
      <c r="AQ39" s="62"/>
      <c r="AR39" s="140"/>
    </row>
    <row r="40" ht="13.85" spans="1:44">
      <c r="A40" s="21"/>
      <c r="B40" s="22"/>
      <c r="C40" s="22"/>
      <c r="D40" s="22"/>
      <c r="E40" s="13"/>
      <c r="F40" s="13"/>
      <c r="G40" s="13"/>
      <c r="H40" s="22"/>
      <c r="I40" s="22"/>
      <c r="J40" s="22"/>
      <c r="K40" s="22"/>
      <c r="L40" s="22"/>
      <c r="M40" s="55" t="s">
        <v>3497</v>
      </c>
      <c r="N40" s="58">
        <f t="shared" ref="N40:Y40" si="24">N34-N35-N36-N37</f>
        <v>2160477.62</v>
      </c>
      <c r="O40" s="57">
        <f t="shared" si="24"/>
        <v>-100047.94</v>
      </c>
      <c r="P40" s="58">
        <f t="shared" si="24"/>
        <v>0</v>
      </c>
      <c r="Q40" s="57">
        <f t="shared" si="24"/>
        <v>-100047.94</v>
      </c>
      <c r="R40" s="57">
        <f t="shared" si="24"/>
        <v>-97598.3299999997</v>
      </c>
      <c r="S40" s="68">
        <f t="shared" si="24"/>
        <v>1280110.73</v>
      </c>
      <c r="T40" s="68">
        <f t="shared" si="24"/>
        <v>1196142.47</v>
      </c>
      <c r="U40" s="57">
        <f t="shared" si="24"/>
        <v>1063530.78</v>
      </c>
      <c r="V40" s="57">
        <f t="shared" si="24"/>
        <v>919607.79</v>
      </c>
      <c r="W40" s="57">
        <f t="shared" si="24"/>
        <v>211170.25</v>
      </c>
      <c r="X40" s="57">
        <f t="shared" si="24"/>
        <v>140435.55</v>
      </c>
      <c r="Y40" s="57">
        <f t="shared" si="24"/>
        <v>59191.8</v>
      </c>
      <c r="Z40" s="82"/>
      <c r="AA40" s="82"/>
      <c r="AB40" s="97"/>
      <c r="AC40" s="22"/>
      <c r="AD40" s="13"/>
      <c r="AE40" s="22"/>
      <c r="AF40" s="22"/>
      <c r="AG40" s="57">
        <f t="shared" ref="AG40:AO40" si="25">AG34-AG35-AG36-AG37</f>
        <v>-2449.61</v>
      </c>
      <c r="AH40" s="57">
        <f t="shared" si="25"/>
        <v>-1377709.06</v>
      </c>
      <c r="AI40" s="57">
        <f t="shared" si="25"/>
        <v>83968.26</v>
      </c>
      <c r="AJ40" s="57">
        <f t="shared" si="25"/>
        <v>132611.69</v>
      </c>
      <c r="AK40" s="57">
        <f t="shared" si="25"/>
        <v>143922.99</v>
      </c>
      <c r="AL40" s="57">
        <f t="shared" si="25"/>
        <v>708437.54</v>
      </c>
      <c r="AM40" s="57">
        <f t="shared" si="25"/>
        <v>70734.7</v>
      </c>
      <c r="AN40" s="57">
        <f t="shared" si="25"/>
        <v>81243.75</v>
      </c>
      <c r="AO40" s="57">
        <f t="shared" si="25"/>
        <v>59191.8</v>
      </c>
      <c r="AP40" s="57"/>
      <c r="AQ40" s="57"/>
      <c r="AR40" s="140"/>
    </row>
    <row r="41" ht="13.85" spans="1:44">
      <c r="A41" s="23"/>
      <c r="B41" s="24"/>
      <c r="C41" s="24"/>
      <c r="D41" s="24"/>
      <c r="E41" s="14"/>
      <c r="F41" s="14"/>
      <c r="G41" s="14"/>
      <c r="H41" s="24"/>
      <c r="I41" s="24"/>
      <c r="J41" s="24"/>
      <c r="K41" s="24"/>
      <c r="L41" s="24"/>
      <c r="M41" s="60" t="s">
        <v>3498</v>
      </c>
      <c r="N41" s="61">
        <f t="shared" ref="N41:Y41" si="26">N40/N34</f>
        <v>0.399340393370018</v>
      </c>
      <c r="O41" s="62">
        <f t="shared" si="26"/>
        <v>-0.0436204035868123</v>
      </c>
      <c r="P41" s="61" t="e">
        <f t="shared" si="26"/>
        <v>#DIV/0!</v>
      </c>
      <c r="Q41" s="62">
        <f t="shared" si="26"/>
        <v>-0.0436204035868123</v>
      </c>
      <c r="R41" s="62">
        <f t="shared" si="26"/>
        <v>-0.0425523858262238</v>
      </c>
      <c r="S41" s="69">
        <f t="shared" si="26"/>
        <v>0.351210348070873</v>
      </c>
      <c r="T41" s="69">
        <f t="shared" si="26"/>
        <v>0.3686593676183</v>
      </c>
      <c r="U41" s="62">
        <f t="shared" si="26"/>
        <v>0.378225149602921</v>
      </c>
      <c r="V41" s="62">
        <f t="shared" si="26"/>
        <v>0.393159003222795</v>
      </c>
      <c r="W41" s="62">
        <f t="shared" si="26"/>
        <v>0.17203357926603</v>
      </c>
      <c r="X41" s="62">
        <f t="shared" si="26"/>
        <v>0.169667054099881</v>
      </c>
      <c r="Y41" s="62">
        <f t="shared" si="26"/>
        <v>0.144099617790978</v>
      </c>
      <c r="Z41" s="82">
        <f>O41-N41</f>
        <v>-0.44296079695683</v>
      </c>
      <c r="AA41" s="82">
        <f>R41-N41</f>
        <v>-0.441892779196242</v>
      </c>
      <c r="AB41" s="98"/>
      <c r="AC41" s="24"/>
      <c r="AD41" s="14"/>
      <c r="AE41" s="24"/>
      <c r="AF41" s="24"/>
      <c r="AG41" s="113" t="e">
        <f t="shared" ref="AG41:AO41" si="27">AG40/AG34</f>
        <v>#DIV/0!</v>
      </c>
      <c r="AH41" s="113">
        <f t="shared" si="27"/>
        <v>1.01958069007834</v>
      </c>
      <c r="AI41" s="113">
        <f t="shared" si="27"/>
        <v>0.20977319517678</v>
      </c>
      <c r="AJ41" s="113">
        <f t="shared" si="27"/>
        <v>0.306492595759284</v>
      </c>
      <c r="AK41" s="113">
        <f t="shared" si="27"/>
        <v>0.304356697793358</v>
      </c>
      <c r="AL41" s="113">
        <f t="shared" si="27"/>
        <v>0.637354524386255</v>
      </c>
      <c r="AM41" s="113">
        <f t="shared" si="27"/>
        <v>0.17693325824571</v>
      </c>
      <c r="AN41" s="113">
        <f t="shared" si="27"/>
        <v>0.194855981957226</v>
      </c>
      <c r="AO41" s="113">
        <f t="shared" si="27"/>
        <v>0.144099617790978</v>
      </c>
      <c r="AP41" s="62"/>
      <c r="AQ41" s="62"/>
      <c r="AR41" s="140"/>
    </row>
    <row r="42" ht="13.85" spans="1:44">
      <c r="A42" s="30" t="s">
        <v>452</v>
      </c>
      <c r="B42" s="31" t="s">
        <v>453</v>
      </c>
      <c r="C42" s="29">
        <v>45658</v>
      </c>
      <c r="D42" s="29">
        <v>46022</v>
      </c>
      <c r="E42" s="28"/>
      <c r="F42" s="12"/>
      <c r="G42" s="12"/>
      <c r="H42" s="29"/>
      <c r="I42" s="29"/>
      <c r="J42" s="29"/>
      <c r="K42" s="54" t="s">
        <v>3677</v>
      </c>
      <c r="L42" s="29" t="s">
        <v>3485</v>
      </c>
      <c r="M42" s="55" t="s">
        <v>3486</v>
      </c>
      <c r="N42" s="63">
        <v>72000</v>
      </c>
      <c r="O42" s="57">
        <f>SUM(AG42:AQ42)</f>
        <v>-120.29</v>
      </c>
      <c r="P42" s="58">
        <f>SUM(AP42:AQ42)</f>
        <v>0</v>
      </c>
      <c r="Q42" s="70">
        <f>SUM(AG42:AO42)</f>
        <v>-120.29</v>
      </c>
      <c r="R42" s="70">
        <f>SUM(AH42:AO42)</f>
        <v>-120.29</v>
      </c>
      <c r="S42" s="66">
        <f>SUM(AI42:AO42)</f>
        <v>-120.29</v>
      </c>
      <c r="T42" s="66">
        <f>SUM(AJ42:AO42)</f>
        <v>-120.29</v>
      </c>
      <c r="U42" s="70">
        <f>SUM(AK42:AO42)</f>
        <v>-120.29</v>
      </c>
      <c r="V42" s="70">
        <f>SUM(AL42:AO42)</f>
        <v>-120.29</v>
      </c>
      <c r="W42" s="70">
        <f>SUM(AM42:AO42)</f>
        <v>-120.29</v>
      </c>
      <c r="X42" s="70">
        <f>SUM(AN42:AO42)</f>
        <v>0</v>
      </c>
      <c r="Y42" s="70">
        <f>SUM(AO42:AO42)</f>
        <v>0</v>
      </c>
      <c r="Z42" s="75"/>
      <c r="AA42" s="75"/>
      <c r="AB42" s="95"/>
      <c r="AC42" s="96" t="s">
        <v>3678</v>
      </c>
      <c r="AD42" s="93"/>
      <c r="AE42" s="96"/>
      <c r="AF42" s="94"/>
      <c r="AG42" s="105">
        <v>0</v>
      </c>
      <c r="AH42" s="105">
        <v>0</v>
      </c>
      <c r="AI42" s="105">
        <v>0</v>
      </c>
      <c r="AJ42" s="105">
        <v>0</v>
      </c>
      <c r="AK42" s="105">
        <v>0</v>
      </c>
      <c r="AL42" s="105">
        <v>0</v>
      </c>
      <c r="AM42" s="109">
        <v>-120.29</v>
      </c>
      <c r="AN42" s="109"/>
      <c r="AO42" s="114"/>
      <c r="AP42" s="149"/>
      <c r="AQ42" s="150"/>
      <c r="AR42" s="140"/>
    </row>
    <row r="43" ht="13.85" spans="1:44">
      <c r="A43" s="21"/>
      <c r="B43" s="22"/>
      <c r="C43" s="22"/>
      <c r="D43" s="22"/>
      <c r="E43" s="13"/>
      <c r="F43" s="13"/>
      <c r="G43" s="13"/>
      <c r="H43" s="22"/>
      <c r="I43" s="22"/>
      <c r="J43" s="22"/>
      <c r="K43" s="22"/>
      <c r="L43" s="22"/>
      <c r="M43" s="55" t="s">
        <v>3490</v>
      </c>
      <c r="N43" s="56">
        <v>56086.68</v>
      </c>
      <c r="O43" s="57">
        <f>SUM(AG43:AQ43)</f>
        <v>0</v>
      </c>
      <c r="P43" s="58">
        <f>SUM(AP43:AQ43)</f>
        <v>0</v>
      </c>
      <c r="Q43" s="70">
        <f>SUM(AG43:AO43)</f>
        <v>0</v>
      </c>
      <c r="R43" s="70">
        <f>SUM(AH43:AO43)</f>
        <v>0</v>
      </c>
      <c r="S43" s="66">
        <f>SUM(AI43:AO43)</f>
        <v>0</v>
      </c>
      <c r="T43" s="66">
        <f>SUM(AJ43:AO43)</f>
        <v>0</v>
      </c>
      <c r="U43" s="70">
        <f>SUM(AK43:AO43)</f>
        <v>0</v>
      </c>
      <c r="V43" s="70">
        <f>SUM(AL43:AO43)</f>
        <v>0</v>
      </c>
      <c r="W43" s="70">
        <f>SUM(AM43:AO43)</f>
        <v>0</v>
      </c>
      <c r="X43" s="70">
        <f>SUM(AN43:AO43)</f>
        <v>0</v>
      </c>
      <c r="Y43" s="70">
        <f>SUM(AO43:AO43)</f>
        <v>0</v>
      </c>
      <c r="Z43" s="75"/>
      <c r="AA43" s="75"/>
      <c r="AB43" s="97"/>
      <c r="AC43" s="22"/>
      <c r="AD43" s="13"/>
      <c r="AE43" s="22"/>
      <c r="AF43" s="22"/>
      <c r="AG43" s="105">
        <v>0</v>
      </c>
      <c r="AH43" s="105">
        <v>0</v>
      </c>
      <c r="AI43" s="105">
        <v>0</v>
      </c>
      <c r="AJ43" s="105">
        <v>0</v>
      </c>
      <c r="AK43" s="105">
        <v>0</v>
      </c>
      <c r="AL43" s="105">
        <v>0</v>
      </c>
      <c r="AM43" s="105">
        <v>0</v>
      </c>
      <c r="AN43" s="109"/>
      <c r="AO43" s="151"/>
      <c r="AP43" s="152"/>
      <c r="AQ43" s="142"/>
      <c r="AR43" s="140"/>
    </row>
    <row r="44" ht="13.85" spans="1:44">
      <c r="A44" s="21"/>
      <c r="B44" s="22"/>
      <c r="C44" s="22"/>
      <c r="D44" s="22"/>
      <c r="E44" s="13"/>
      <c r="F44" s="13"/>
      <c r="G44" s="13"/>
      <c r="H44" s="22"/>
      <c r="I44" s="22"/>
      <c r="J44" s="22"/>
      <c r="K44" s="22"/>
      <c r="L44" s="22"/>
      <c r="M44" s="55" t="s">
        <v>3492</v>
      </c>
      <c r="N44" s="56">
        <v>0</v>
      </c>
      <c r="O44" s="57">
        <f>SUM(AG44:AQ44)</f>
        <v>0</v>
      </c>
      <c r="P44" s="58">
        <f>SUM(AP44:AQ44)</f>
        <v>0</v>
      </c>
      <c r="Q44" s="70">
        <f>SUM(AG44:AO44)</f>
        <v>0</v>
      </c>
      <c r="R44" s="70">
        <f>SUM(AH44:AO44)</f>
        <v>0</v>
      </c>
      <c r="S44" s="66">
        <f>SUM(AI44:AO44)</f>
        <v>0</v>
      </c>
      <c r="T44" s="66">
        <f>SUM(AJ44:AO44)</f>
        <v>0</v>
      </c>
      <c r="U44" s="70">
        <f>SUM(AK44:AO44)</f>
        <v>0</v>
      </c>
      <c r="V44" s="70">
        <f>SUM(AL44:AO44)</f>
        <v>0</v>
      </c>
      <c r="W44" s="70">
        <f>SUM(AM44:AO44)</f>
        <v>0</v>
      </c>
      <c r="X44" s="70">
        <f>SUM(AN44:AO44)</f>
        <v>0</v>
      </c>
      <c r="Y44" s="70">
        <f>SUM(AO44:AO44)</f>
        <v>0</v>
      </c>
      <c r="Z44" s="75"/>
      <c r="AA44" s="75"/>
      <c r="AB44" s="97"/>
      <c r="AC44" s="22"/>
      <c r="AD44" s="13"/>
      <c r="AE44" s="22"/>
      <c r="AF44" s="22"/>
      <c r="AG44" s="105">
        <v>0</v>
      </c>
      <c r="AH44" s="105">
        <v>0</v>
      </c>
      <c r="AI44" s="105">
        <v>0</v>
      </c>
      <c r="AJ44" s="105">
        <v>0</v>
      </c>
      <c r="AK44" s="105">
        <v>0</v>
      </c>
      <c r="AL44" s="105">
        <v>0</v>
      </c>
      <c r="AM44" s="109">
        <v>0</v>
      </c>
      <c r="AN44" s="109"/>
      <c r="AO44" s="115"/>
      <c r="AP44" s="152"/>
      <c r="AQ44" s="142"/>
      <c r="AR44" s="140"/>
    </row>
    <row r="45" ht="13.85" spans="1:44">
      <c r="A45" s="21"/>
      <c r="B45" s="22"/>
      <c r="C45" s="22"/>
      <c r="D45" s="22"/>
      <c r="E45" s="13"/>
      <c r="F45" s="13"/>
      <c r="G45" s="13"/>
      <c r="H45" s="22"/>
      <c r="I45" s="22"/>
      <c r="J45" s="22"/>
      <c r="K45" s="22"/>
      <c r="L45" s="22"/>
      <c r="M45" s="55" t="s">
        <v>3493</v>
      </c>
      <c r="N45" s="56">
        <v>2400</v>
      </c>
      <c r="O45" s="57">
        <f>SUM(AG45:AQ45)</f>
        <v>-112</v>
      </c>
      <c r="P45" s="58">
        <f>SUM(AP45:AQ45)</f>
        <v>0</v>
      </c>
      <c r="Q45" s="70">
        <f>SUM(AG45:AO45)</f>
        <v>-112</v>
      </c>
      <c r="R45" s="70">
        <f>SUM(AH45:AO45)</f>
        <v>-96</v>
      </c>
      <c r="S45" s="66">
        <f>SUM(AI45:AO45)</f>
        <v>-80</v>
      </c>
      <c r="T45" s="66">
        <f>SUM(AJ45:AO45)</f>
        <v>-64</v>
      </c>
      <c r="U45" s="70">
        <f>SUM(AK45:AO45)</f>
        <v>-48</v>
      </c>
      <c r="V45" s="70">
        <f>SUM(AL45:AO45)</f>
        <v>-32</v>
      </c>
      <c r="W45" s="70">
        <f>SUM(AM45:AO45)</f>
        <v>-16</v>
      </c>
      <c r="X45" s="70">
        <f>SUM(AN45:AO45)</f>
        <v>0</v>
      </c>
      <c r="Y45" s="70">
        <f>SUM(AO45:AO45)</f>
        <v>0</v>
      </c>
      <c r="Z45" s="75"/>
      <c r="AA45" s="75"/>
      <c r="AB45" s="97"/>
      <c r="AC45" s="22"/>
      <c r="AD45" s="13"/>
      <c r="AE45" s="22"/>
      <c r="AF45" s="22"/>
      <c r="AG45" s="104">
        <v>-16</v>
      </c>
      <c r="AH45" s="104">
        <v>-16</v>
      </c>
      <c r="AI45" s="104">
        <v>-16</v>
      </c>
      <c r="AJ45" s="104">
        <v>-16</v>
      </c>
      <c r="AK45" s="104">
        <v>-16</v>
      </c>
      <c r="AL45" s="105">
        <v>-16</v>
      </c>
      <c r="AM45" s="109">
        <v>-16</v>
      </c>
      <c r="AN45" s="109"/>
      <c r="AO45" s="144"/>
      <c r="AP45" s="153"/>
      <c r="AQ45" s="142"/>
      <c r="AR45" s="140"/>
    </row>
    <row r="46" ht="13.85" spans="1:44">
      <c r="A46" s="21"/>
      <c r="B46" s="22"/>
      <c r="C46" s="22"/>
      <c r="D46" s="22"/>
      <c r="E46" s="13"/>
      <c r="F46" s="13"/>
      <c r="G46" s="13"/>
      <c r="H46" s="22"/>
      <c r="I46" s="22"/>
      <c r="J46" s="22"/>
      <c r="K46" s="22"/>
      <c r="L46" s="22"/>
      <c r="M46" s="55" t="s">
        <v>3495</v>
      </c>
      <c r="N46" s="59">
        <f t="shared" ref="N46:Y46" si="28">N42-N43</f>
        <v>15913.32</v>
      </c>
      <c r="O46" s="57">
        <f t="shared" si="28"/>
        <v>-120.29</v>
      </c>
      <c r="P46" s="58">
        <f t="shared" si="28"/>
        <v>0</v>
      </c>
      <c r="Q46" s="57">
        <f t="shared" si="28"/>
        <v>-120.29</v>
      </c>
      <c r="R46" s="57">
        <f t="shared" si="28"/>
        <v>-120.29</v>
      </c>
      <c r="S46" s="68">
        <f t="shared" si="28"/>
        <v>-120.29</v>
      </c>
      <c r="T46" s="68">
        <f t="shared" si="28"/>
        <v>-120.29</v>
      </c>
      <c r="U46" s="57">
        <f t="shared" si="28"/>
        <v>-120.29</v>
      </c>
      <c r="V46" s="57">
        <f t="shared" si="28"/>
        <v>-120.29</v>
      </c>
      <c r="W46" s="57">
        <f t="shared" si="28"/>
        <v>-120.29</v>
      </c>
      <c r="X46" s="57">
        <f t="shared" si="28"/>
        <v>0</v>
      </c>
      <c r="Y46" s="57">
        <f t="shared" si="28"/>
        <v>0</v>
      </c>
      <c r="Z46" s="75"/>
      <c r="AA46" s="75"/>
      <c r="AB46" s="97"/>
      <c r="AC46" s="22"/>
      <c r="AD46" s="13"/>
      <c r="AE46" s="22"/>
      <c r="AF46" s="22"/>
      <c r="AG46" s="57">
        <f t="shared" ref="AG46:AO46" si="29">AG42-AG43</f>
        <v>0</v>
      </c>
      <c r="AH46" s="57">
        <f t="shared" si="29"/>
        <v>0</v>
      </c>
      <c r="AI46" s="57">
        <f t="shared" si="29"/>
        <v>0</v>
      </c>
      <c r="AJ46" s="57">
        <f t="shared" si="29"/>
        <v>0</v>
      </c>
      <c r="AK46" s="57">
        <f t="shared" si="29"/>
        <v>0</v>
      </c>
      <c r="AL46" s="57">
        <f t="shared" si="29"/>
        <v>0</v>
      </c>
      <c r="AM46" s="57">
        <f t="shared" si="29"/>
        <v>-120.29</v>
      </c>
      <c r="AN46" s="57">
        <f t="shared" si="29"/>
        <v>0</v>
      </c>
      <c r="AO46" s="57">
        <f t="shared" si="29"/>
        <v>0</v>
      </c>
      <c r="AP46" s="57"/>
      <c r="AQ46" s="57"/>
      <c r="AR46" s="140"/>
    </row>
    <row r="47" ht="13.85" spans="1:44">
      <c r="A47" s="21"/>
      <c r="B47" s="22"/>
      <c r="C47" s="22"/>
      <c r="D47" s="22"/>
      <c r="E47" s="13"/>
      <c r="F47" s="13"/>
      <c r="G47" s="13"/>
      <c r="H47" s="22"/>
      <c r="I47" s="22"/>
      <c r="J47" s="22"/>
      <c r="K47" s="22"/>
      <c r="L47" s="22"/>
      <c r="M47" s="60" t="s">
        <v>3496</v>
      </c>
      <c r="N47" s="61">
        <f t="shared" ref="N47:Y47" si="30">N46/N42</f>
        <v>0.221018333333333</v>
      </c>
      <c r="O47" s="62">
        <f t="shared" si="30"/>
        <v>1</v>
      </c>
      <c r="P47" s="61" t="e">
        <f t="shared" si="30"/>
        <v>#DIV/0!</v>
      </c>
      <c r="Q47" s="62">
        <f t="shared" si="30"/>
        <v>1</v>
      </c>
      <c r="R47" s="62">
        <f t="shared" si="30"/>
        <v>1</v>
      </c>
      <c r="S47" s="69">
        <f t="shared" si="30"/>
        <v>1</v>
      </c>
      <c r="T47" s="69">
        <f t="shared" si="30"/>
        <v>1</v>
      </c>
      <c r="U47" s="62">
        <f t="shared" si="30"/>
        <v>1</v>
      </c>
      <c r="V47" s="62">
        <f t="shared" si="30"/>
        <v>1</v>
      </c>
      <c r="W47" s="62">
        <f t="shared" si="30"/>
        <v>1</v>
      </c>
      <c r="X47" s="62" t="e">
        <f t="shared" si="30"/>
        <v>#DIV/0!</v>
      </c>
      <c r="Y47" s="62" t="e">
        <f t="shared" si="30"/>
        <v>#DIV/0!</v>
      </c>
      <c r="Z47" s="82">
        <f>O47-N47</f>
        <v>0.778981666666667</v>
      </c>
      <c r="AA47" s="82">
        <f>R47-N47</f>
        <v>0.778981666666667</v>
      </c>
      <c r="AB47" s="97"/>
      <c r="AC47" s="22"/>
      <c r="AD47" s="13"/>
      <c r="AE47" s="22"/>
      <c r="AF47" s="22"/>
      <c r="AG47" s="113" t="e">
        <f t="shared" ref="AG47:AO47" si="31">AG46/AG42</f>
        <v>#DIV/0!</v>
      </c>
      <c r="AH47" s="113" t="e">
        <f t="shared" si="31"/>
        <v>#DIV/0!</v>
      </c>
      <c r="AI47" s="113" t="e">
        <f t="shared" si="31"/>
        <v>#DIV/0!</v>
      </c>
      <c r="AJ47" s="113" t="e">
        <f t="shared" si="31"/>
        <v>#DIV/0!</v>
      </c>
      <c r="AK47" s="113" t="e">
        <f t="shared" si="31"/>
        <v>#DIV/0!</v>
      </c>
      <c r="AL47" s="113" t="e">
        <f t="shared" si="31"/>
        <v>#DIV/0!</v>
      </c>
      <c r="AM47" s="113">
        <f t="shared" si="31"/>
        <v>1</v>
      </c>
      <c r="AN47" s="113" t="e">
        <f t="shared" si="31"/>
        <v>#DIV/0!</v>
      </c>
      <c r="AO47" s="113" t="e">
        <f t="shared" si="31"/>
        <v>#DIV/0!</v>
      </c>
      <c r="AP47" s="62"/>
      <c r="AQ47" s="62"/>
      <c r="AR47" s="140"/>
    </row>
    <row r="48" ht="13.85" spans="1:44">
      <c r="A48" s="21"/>
      <c r="B48" s="22"/>
      <c r="C48" s="22"/>
      <c r="D48" s="22"/>
      <c r="E48" s="13"/>
      <c r="F48" s="13"/>
      <c r="G48" s="13"/>
      <c r="H48" s="22"/>
      <c r="I48" s="22"/>
      <c r="J48" s="22"/>
      <c r="K48" s="22"/>
      <c r="L48" s="22"/>
      <c r="M48" s="55" t="s">
        <v>3497</v>
      </c>
      <c r="N48" s="58">
        <f t="shared" ref="N48:Y48" si="32">N42-N43-N44-N45</f>
        <v>13513.32</v>
      </c>
      <c r="O48" s="57">
        <f t="shared" si="32"/>
        <v>-8.29000000000001</v>
      </c>
      <c r="P48" s="58">
        <f t="shared" si="32"/>
        <v>0</v>
      </c>
      <c r="Q48" s="57">
        <f t="shared" si="32"/>
        <v>-8.29000000000001</v>
      </c>
      <c r="R48" s="57">
        <f t="shared" si="32"/>
        <v>-24.29</v>
      </c>
      <c r="S48" s="68">
        <f t="shared" si="32"/>
        <v>-40.29</v>
      </c>
      <c r="T48" s="68">
        <f t="shared" si="32"/>
        <v>-56.29</v>
      </c>
      <c r="U48" s="57">
        <f t="shared" si="32"/>
        <v>-72.29</v>
      </c>
      <c r="V48" s="57">
        <f t="shared" si="32"/>
        <v>-88.29</v>
      </c>
      <c r="W48" s="57">
        <f t="shared" si="32"/>
        <v>-104.29</v>
      </c>
      <c r="X48" s="57">
        <f t="shared" si="32"/>
        <v>0</v>
      </c>
      <c r="Y48" s="57">
        <f t="shared" si="32"/>
        <v>0</v>
      </c>
      <c r="Z48" s="82"/>
      <c r="AA48" s="82"/>
      <c r="AB48" s="97"/>
      <c r="AC48" s="22"/>
      <c r="AD48" s="13"/>
      <c r="AE48" s="22"/>
      <c r="AF48" s="22"/>
      <c r="AG48" s="57">
        <f t="shared" ref="AG48:AO48" si="33">AG42-AG43-AG44-AG45</f>
        <v>16</v>
      </c>
      <c r="AH48" s="57">
        <f t="shared" si="33"/>
        <v>16</v>
      </c>
      <c r="AI48" s="57">
        <f t="shared" si="33"/>
        <v>16</v>
      </c>
      <c r="AJ48" s="57">
        <f t="shared" si="33"/>
        <v>16</v>
      </c>
      <c r="AK48" s="57">
        <f t="shared" si="33"/>
        <v>16</v>
      </c>
      <c r="AL48" s="57">
        <f t="shared" si="33"/>
        <v>16</v>
      </c>
      <c r="AM48" s="57">
        <f t="shared" si="33"/>
        <v>-104.29</v>
      </c>
      <c r="AN48" s="57">
        <f t="shared" si="33"/>
        <v>0</v>
      </c>
      <c r="AO48" s="57">
        <f t="shared" si="33"/>
        <v>0</v>
      </c>
      <c r="AP48" s="57"/>
      <c r="AQ48" s="57"/>
      <c r="AR48" s="140"/>
    </row>
    <row r="49" ht="13.85" spans="1:44">
      <c r="A49" s="23"/>
      <c r="B49" s="24"/>
      <c r="C49" s="24"/>
      <c r="D49" s="24"/>
      <c r="E49" s="14"/>
      <c r="F49" s="14"/>
      <c r="G49" s="14"/>
      <c r="H49" s="24"/>
      <c r="I49" s="24"/>
      <c r="J49" s="24"/>
      <c r="K49" s="24"/>
      <c r="L49" s="24"/>
      <c r="M49" s="60" t="s">
        <v>3498</v>
      </c>
      <c r="N49" s="61">
        <f t="shared" ref="N49:Y49" si="34">N48/N42</f>
        <v>0.187685</v>
      </c>
      <c r="O49" s="62">
        <f t="shared" si="34"/>
        <v>0.0689167844376092</v>
      </c>
      <c r="P49" s="61" t="e">
        <f t="shared" si="34"/>
        <v>#DIV/0!</v>
      </c>
      <c r="Q49" s="62">
        <f t="shared" si="34"/>
        <v>0.0689167844376092</v>
      </c>
      <c r="R49" s="62">
        <f t="shared" si="34"/>
        <v>0.201928672375094</v>
      </c>
      <c r="S49" s="69">
        <f t="shared" si="34"/>
        <v>0.334940560312578</v>
      </c>
      <c r="T49" s="69">
        <f t="shared" si="34"/>
        <v>0.467952448250062</v>
      </c>
      <c r="U49" s="62">
        <f t="shared" si="34"/>
        <v>0.600964336187547</v>
      </c>
      <c r="V49" s="62">
        <f t="shared" si="34"/>
        <v>0.733976224125031</v>
      </c>
      <c r="W49" s="62">
        <f t="shared" si="34"/>
        <v>0.866988112062516</v>
      </c>
      <c r="X49" s="62" t="e">
        <f t="shared" si="34"/>
        <v>#DIV/0!</v>
      </c>
      <c r="Y49" s="62" t="e">
        <f t="shared" si="34"/>
        <v>#DIV/0!</v>
      </c>
      <c r="Z49" s="82">
        <f>O49-N49</f>
        <v>-0.118768215562391</v>
      </c>
      <c r="AA49" s="82">
        <f>R49-N49</f>
        <v>0.0142436723750936</v>
      </c>
      <c r="AB49" s="98"/>
      <c r="AC49" s="24"/>
      <c r="AD49" s="14"/>
      <c r="AE49" s="24"/>
      <c r="AF49" s="24"/>
      <c r="AG49" s="113" t="e">
        <f t="shared" ref="AG49:AO49" si="35">AG48/AG42</f>
        <v>#DIV/0!</v>
      </c>
      <c r="AH49" s="113" t="e">
        <f t="shared" si="35"/>
        <v>#DIV/0!</v>
      </c>
      <c r="AI49" s="113" t="e">
        <f t="shared" si="35"/>
        <v>#DIV/0!</v>
      </c>
      <c r="AJ49" s="113" t="e">
        <f t="shared" si="35"/>
        <v>#DIV/0!</v>
      </c>
      <c r="AK49" s="113" t="e">
        <f t="shared" si="35"/>
        <v>#DIV/0!</v>
      </c>
      <c r="AL49" s="113" t="e">
        <f t="shared" si="35"/>
        <v>#DIV/0!</v>
      </c>
      <c r="AM49" s="113">
        <f t="shared" si="35"/>
        <v>0.866988112062516</v>
      </c>
      <c r="AN49" s="113" t="e">
        <f t="shared" si="35"/>
        <v>#DIV/0!</v>
      </c>
      <c r="AO49" s="113" t="e">
        <f t="shared" si="35"/>
        <v>#DIV/0!</v>
      </c>
      <c r="AP49" s="62"/>
      <c r="AQ49" s="62"/>
      <c r="AR49" s="140"/>
    </row>
    <row r="50" ht="13.85" spans="1:44">
      <c r="A50" s="30" t="s">
        <v>2589</v>
      </c>
      <c r="B50" s="31" t="s">
        <v>3529</v>
      </c>
      <c r="C50" s="29">
        <v>45870</v>
      </c>
      <c r="D50" s="29">
        <v>46251</v>
      </c>
      <c r="E50" s="28"/>
      <c r="F50" s="12"/>
      <c r="G50" s="12"/>
      <c r="H50" s="29"/>
      <c r="I50" s="29"/>
      <c r="J50" s="29"/>
      <c r="K50" s="54" t="s">
        <v>3530</v>
      </c>
      <c r="L50" s="29" t="s">
        <v>3485</v>
      </c>
      <c r="M50" s="55" t="s">
        <v>3486</v>
      </c>
      <c r="N50" s="63">
        <f>2412928.8-241292.88</f>
        <v>2171635.92</v>
      </c>
      <c r="O50" s="57">
        <f>SUM(AG50:AQ50)</f>
        <v>646592.87</v>
      </c>
      <c r="P50" s="58">
        <f>SUM(AP50:AQ50)</f>
        <v>0</v>
      </c>
      <c r="Q50" s="70">
        <f>SUM(AG50:AO50)</f>
        <v>646592.87</v>
      </c>
      <c r="R50" s="70">
        <f>SUM(AH50:AO50)</f>
        <v>258637.15</v>
      </c>
      <c r="S50" s="66">
        <f>SUM(AI50:AO50)</f>
        <v>0</v>
      </c>
      <c r="T50" s="66">
        <f>SUM(AJ50:AO50)</f>
        <v>0</v>
      </c>
      <c r="U50" s="70">
        <f>SUM(AK50:AO50)</f>
        <v>0</v>
      </c>
      <c r="V50" s="70">
        <f>SUM(AL50:AO50)</f>
        <v>0</v>
      </c>
      <c r="W50" s="70">
        <f>SUM(AM50:AO50)</f>
        <v>0</v>
      </c>
      <c r="X50" s="70">
        <f>SUM(AN50:AO50)</f>
        <v>0</v>
      </c>
      <c r="Y50" s="70">
        <f>SUM(AO50:AO50)</f>
        <v>0</v>
      </c>
      <c r="Z50" s="75"/>
      <c r="AA50" s="75"/>
      <c r="AB50" s="95"/>
      <c r="AC50" s="96" t="s">
        <v>3679</v>
      </c>
      <c r="AD50" s="93"/>
      <c r="AE50" s="96"/>
      <c r="AF50" s="94"/>
      <c r="AG50" s="104">
        <v>387955.72</v>
      </c>
      <c r="AH50" s="104">
        <v>258637.15</v>
      </c>
      <c r="AI50" s="104"/>
      <c r="AJ50" s="104"/>
      <c r="AK50" s="104"/>
      <c r="AL50" s="105"/>
      <c r="AM50" s="109"/>
      <c r="AN50" s="109"/>
      <c r="AO50" s="114"/>
      <c r="AP50" s="149"/>
      <c r="AQ50" s="150"/>
      <c r="AR50" s="140"/>
    </row>
    <row r="51" ht="13.85" spans="1:44">
      <c r="A51" s="21"/>
      <c r="B51" s="22"/>
      <c r="C51" s="22"/>
      <c r="D51" s="22"/>
      <c r="E51" s="13"/>
      <c r="F51" s="13"/>
      <c r="G51" s="13"/>
      <c r="H51" s="22"/>
      <c r="I51" s="22"/>
      <c r="J51" s="22"/>
      <c r="K51" s="22"/>
      <c r="L51" s="22"/>
      <c r="M51" s="55" t="s">
        <v>3490</v>
      </c>
      <c r="N51" s="56">
        <v>1694384.06</v>
      </c>
      <c r="O51" s="57">
        <f>SUM(AG51:AQ51)</f>
        <v>643788.67</v>
      </c>
      <c r="P51" s="58">
        <f>SUM(AP51:AQ51)</f>
        <v>0</v>
      </c>
      <c r="Q51" s="70">
        <f>SUM(AG51:AO51)</f>
        <v>643788.67</v>
      </c>
      <c r="R51" s="70">
        <f>SUM(AH51:AO51)</f>
        <v>325160.66</v>
      </c>
      <c r="S51" s="66">
        <f>SUM(AI51:AO51)</f>
        <v>0</v>
      </c>
      <c r="T51" s="66">
        <f>SUM(AJ51:AO51)</f>
        <v>0</v>
      </c>
      <c r="U51" s="70">
        <f>SUM(AK51:AO51)</f>
        <v>0</v>
      </c>
      <c r="V51" s="70">
        <f>SUM(AL51:AO51)</f>
        <v>0</v>
      </c>
      <c r="W51" s="70">
        <f>SUM(AM51:AO51)</f>
        <v>0</v>
      </c>
      <c r="X51" s="70">
        <f>SUM(AN51:AO51)</f>
        <v>0</v>
      </c>
      <c r="Y51" s="70">
        <f>SUM(AO51:AO51)</f>
        <v>0</v>
      </c>
      <c r="Z51" s="75"/>
      <c r="AA51" s="75"/>
      <c r="AB51" s="97"/>
      <c r="AC51" s="22"/>
      <c r="AD51" s="13"/>
      <c r="AE51" s="22"/>
      <c r="AF51" s="22"/>
      <c r="AG51" s="108">
        <v>318628.01</v>
      </c>
      <c r="AH51" s="108">
        <v>325160.66</v>
      </c>
      <c r="AI51" s="108"/>
      <c r="AJ51" s="108"/>
      <c r="AK51" s="108"/>
      <c r="AL51" s="105"/>
      <c r="AM51" s="105"/>
      <c r="AN51" s="109"/>
      <c r="AO51" s="151"/>
      <c r="AP51" s="152"/>
      <c r="AQ51" s="142"/>
      <c r="AR51" s="140"/>
    </row>
    <row r="52" ht="13.85" spans="1:44">
      <c r="A52" s="21"/>
      <c r="B52" s="22"/>
      <c r="C52" s="22"/>
      <c r="D52" s="22"/>
      <c r="E52" s="13"/>
      <c r="F52" s="13"/>
      <c r="G52" s="13"/>
      <c r="H52" s="22"/>
      <c r="I52" s="22"/>
      <c r="J52" s="22"/>
      <c r="K52" s="22"/>
      <c r="L52" s="22"/>
      <c r="M52" s="55" t="s">
        <v>3492</v>
      </c>
      <c r="N52" s="56">
        <v>45000</v>
      </c>
      <c r="O52" s="57">
        <f>SUM(AG52:AQ52)</f>
        <v>0</v>
      </c>
      <c r="P52" s="58">
        <f>SUM(AP52:AQ52)</f>
        <v>0</v>
      </c>
      <c r="Q52" s="70">
        <f>SUM(AG52:AO52)</f>
        <v>0</v>
      </c>
      <c r="R52" s="70">
        <f>SUM(AH52:AO52)</f>
        <v>0</v>
      </c>
      <c r="S52" s="66">
        <f>SUM(AI52:AO52)</f>
        <v>0</v>
      </c>
      <c r="T52" s="66">
        <f>SUM(AJ52:AO52)</f>
        <v>0</v>
      </c>
      <c r="U52" s="70">
        <f>SUM(AK52:AO52)</f>
        <v>0</v>
      </c>
      <c r="V52" s="70">
        <f>SUM(AL52:AO52)</f>
        <v>0</v>
      </c>
      <c r="W52" s="70">
        <f>SUM(AM52:AO52)</f>
        <v>0</v>
      </c>
      <c r="X52" s="70">
        <f>SUM(AN52:AO52)</f>
        <v>0</v>
      </c>
      <c r="Y52" s="70">
        <f>SUM(AO52:AO52)</f>
        <v>0</v>
      </c>
      <c r="Z52" s="75"/>
      <c r="AA52" s="75"/>
      <c r="AB52" s="97"/>
      <c r="AC52" s="22"/>
      <c r="AD52" s="13"/>
      <c r="AE52" s="22"/>
      <c r="AF52" s="22"/>
      <c r="AG52" s="110">
        <v>0</v>
      </c>
      <c r="AH52" s="110">
        <v>0</v>
      </c>
      <c r="AI52" s="110"/>
      <c r="AJ52" s="111"/>
      <c r="AK52" s="111"/>
      <c r="AL52" s="105"/>
      <c r="AM52" s="109"/>
      <c r="AN52" s="109"/>
      <c r="AO52" s="115"/>
      <c r="AP52" s="152"/>
      <c r="AQ52" s="142"/>
      <c r="AR52" s="140"/>
    </row>
    <row r="53" ht="13.85" spans="1:44">
      <c r="A53" s="21"/>
      <c r="B53" s="22"/>
      <c r="C53" s="22"/>
      <c r="D53" s="22"/>
      <c r="E53" s="13"/>
      <c r="F53" s="13"/>
      <c r="G53" s="13"/>
      <c r="H53" s="22"/>
      <c r="I53" s="22"/>
      <c r="J53" s="22"/>
      <c r="K53" s="22"/>
      <c r="L53" s="22"/>
      <c r="M53" s="55" t="s">
        <v>3493</v>
      </c>
      <c r="N53" s="56">
        <v>25000</v>
      </c>
      <c r="O53" s="57">
        <f>SUM(AG53:AQ53)</f>
        <v>966.81</v>
      </c>
      <c r="P53" s="58">
        <f>SUM(AP53:AQ53)</f>
        <v>0</v>
      </c>
      <c r="Q53" s="70">
        <f>SUM(AG53:AO53)</f>
        <v>966.81</v>
      </c>
      <c r="R53" s="70">
        <f>SUM(AH53:AO53)</f>
        <v>276.23</v>
      </c>
      <c r="S53" s="66">
        <f>SUM(AI53:AO53)</f>
        <v>0</v>
      </c>
      <c r="T53" s="66">
        <f>SUM(AJ53:AO53)</f>
        <v>0</v>
      </c>
      <c r="U53" s="70">
        <f>SUM(AK53:AO53)</f>
        <v>0</v>
      </c>
      <c r="V53" s="70">
        <f>SUM(AL53:AO53)</f>
        <v>0</v>
      </c>
      <c r="W53" s="70">
        <f>SUM(AM53:AO53)</f>
        <v>0</v>
      </c>
      <c r="X53" s="70">
        <f>SUM(AN53:AO53)</f>
        <v>0</v>
      </c>
      <c r="Y53" s="70">
        <f>SUM(AO53:AO53)</f>
        <v>0</v>
      </c>
      <c r="Z53" s="75"/>
      <c r="AA53" s="75"/>
      <c r="AB53" s="97"/>
      <c r="AC53" s="22"/>
      <c r="AD53" s="13"/>
      <c r="AE53" s="22"/>
      <c r="AF53" s="22"/>
      <c r="AG53" s="104">
        <v>690.58</v>
      </c>
      <c r="AH53" s="104">
        <v>276.23</v>
      </c>
      <c r="AI53" s="104"/>
      <c r="AJ53" s="104"/>
      <c r="AK53" s="104"/>
      <c r="AL53" s="105"/>
      <c r="AM53" s="109"/>
      <c r="AN53" s="109"/>
      <c r="AO53" s="144"/>
      <c r="AP53" s="153"/>
      <c r="AQ53" s="142"/>
      <c r="AR53" s="140"/>
    </row>
    <row r="54" ht="13.85" spans="1:44">
      <c r="A54" s="21"/>
      <c r="B54" s="22"/>
      <c r="C54" s="22"/>
      <c r="D54" s="22"/>
      <c r="E54" s="13"/>
      <c r="F54" s="13"/>
      <c r="G54" s="13"/>
      <c r="H54" s="22"/>
      <c r="I54" s="22"/>
      <c r="J54" s="22"/>
      <c r="K54" s="22"/>
      <c r="L54" s="22"/>
      <c r="M54" s="55" t="s">
        <v>3495</v>
      </c>
      <c r="N54" s="59">
        <f t="shared" ref="N54:Y54" si="36">N50-N51</f>
        <v>477251.86</v>
      </c>
      <c r="O54" s="57">
        <f t="shared" si="36"/>
        <v>2804.20000000007</v>
      </c>
      <c r="P54" s="58">
        <f t="shared" si="36"/>
        <v>0</v>
      </c>
      <c r="Q54" s="57">
        <f t="shared" si="36"/>
        <v>2804.20000000007</v>
      </c>
      <c r="R54" s="57">
        <f t="shared" si="36"/>
        <v>-66523.51</v>
      </c>
      <c r="S54" s="68">
        <f t="shared" si="36"/>
        <v>0</v>
      </c>
      <c r="T54" s="68">
        <f t="shared" si="36"/>
        <v>0</v>
      </c>
      <c r="U54" s="57">
        <f t="shared" si="36"/>
        <v>0</v>
      </c>
      <c r="V54" s="57">
        <f t="shared" si="36"/>
        <v>0</v>
      </c>
      <c r="W54" s="57">
        <f t="shared" si="36"/>
        <v>0</v>
      </c>
      <c r="X54" s="57">
        <f t="shared" si="36"/>
        <v>0</v>
      </c>
      <c r="Y54" s="57">
        <f t="shared" si="36"/>
        <v>0</v>
      </c>
      <c r="Z54" s="75"/>
      <c r="AA54" s="75"/>
      <c r="AB54" s="97"/>
      <c r="AC54" s="22"/>
      <c r="AD54" s="13"/>
      <c r="AE54" s="22"/>
      <c r="AF54" s="22"/>
      <c r="AG54" s="57">
        <f t="shared" ref="AG54:AO54" si="37">AG50-AG51</f>
        <v>69327.71</v>
      </c>
      <c r="AH54" s="57">
        <f t="shared" si="37"/>
        <v>-66523.51</v>
      </c>
      <c r="AI54" s="57">
        <f t="shared" si="37"/>
        <v>0</v>
      </c>
      <c r="AJ54" s="57">
        <f t="shared" si="37"/>
        <v>0</v>
      </c>
      <c r="AK54" s="57">
        <f t="shared" si="37"/>
        <v>0</v>
      </c>
      <c r="AL54" s="57">
        <f t="shared" si="37"/>
        <v>0</v>
      </c>
      <c r="AM54" s="57">
        <f t="shared" si="37"/>
        <v>0</v>
      </c>
      <c r="AN54" s="57">
        <f t="shared" si="37"/>
        <v>0</v>
      </c>
      <c r="AO54" s="57">
        <f t="shared" si="37"/>
        <v>0</v>
      </c>
      <c r="AP54" s="57"/>
      <c r="AQ54" s="57"/>
      <c r="AR54" s="140"/>
    </row>
    <row r="55" ht="13.85" spans="1:44">
      <c r="A55" s="21"/>
      <c r="B55" s="22"/>
      <c r="C55" s="22"/>
      <c r="D55" s="22"/>
      <c r="E55" s="13"/>
      <c r="F55" s="13"/>
      <c r="G55" s="13"/>
      <c r="H55" s="22"/>
      <c r="I55" s="22"/>
      <c r="J55" s="22"/>
      <c r="K55" s="22"/>
      <c r="L55" s="22"/>
      <c r="M55" s="60" t="s">
        <v>3496</v>
      </c>
      <c r="N55" s="61">
        <f t="shared" ref="N55:Y55" si="38">N54/N50</f>
        <v>0.219766055444506</v>
      </c>
      <c r="O55" s="62">
        <f t="shared" si="38"/>
        <v>0.00433688667182499</v>
      </c>
      <c r="P55" s="61" t="e">
        <f t="shared" si="38"/>
        <v>#DIV/0!</v>
      </c>
      <c r="Q55" s="62">
        <f t="shared" si="38"/>
        <v>0.00433688667182499</v>
      </c>
      <c r="R55" s="62">
        <f t="shared" si="38"/>
        <v>-0.257207868243212</v>
      </c>
      <c r="S55" s="69" t="e">
        <f t="shared" si="38"/>
        <v>#DIV/0!</v>
      </c>
      <c r="T55" s="69" t="e">
        <f t="shared" si="38"/>
        <v>#DIV/0!</v>
      </c>
      <c r="U55" s="62" t="e">
        <f t="shared" si="38"/>
        <v>#DIV/0!</v>
      </c>
      <c r="V55" s="62" t="e">
        <f t="shared" si="38"/>
        <v>#DIV/0!</v>
      </c>
      <c r="W55" s="62" t="e">
        <f t="shared" si="38"/>
        <v>#DIV/0!</v>
      </c>
      <c r="X55" s="62" t="e">
        <f t="shared" si="38"/>
        <v>#DIV/0!</v>
      </c>
      <c r="Y55" s="62" t="e">
        <f t="shared" si="38"/>
        <v>#DIV/0!</v>
      </c>
      <c r="Z55" s="82">
        <f>O55-N55</f>
        <v>-0.215429168772681</v>
      </c>
      <c r="AA55" s="82">
        <f>R55-N55</f>
        <v>-0.476973923687718</v>
      </c>
      <c r="AB55" s="97"/>
      <c r="AC55" s="22"/>
      <c r="AD55" s="13"/>
      <c r="AE55" s="22"/>
      <c r="AF55" s="22"/>
      <c r="AG55" s="113">
        <f t="shared" ref="AG55:AO55" si="39">AG54/AG50</f>
        <v>0.178700058862388</v>
      </c>
      <c r="AH55" s="113">
        <f t="shared" si="39"/>
        <v>-0.257207868243212</v>
      </c>
      <c r="AI55" s="113" t="e">
        <f t="shared" si="39"/>
        <v>#DIV/0!</v>
      </c>
      <c r="AJ55" s="113" t="e">
        <f t="shared" si="39"/>
        <v>#DIV/0!</v>
      </c>
      <c r="AK55" s="113" t="e">
        <f t="shared" si="39"/>
        <v>#DIV/0!</v>
      </c>
      <c r="AL55" s="113" t="e">
        <f t="shared" si="39"/>
        <v>#DIV/0!</v>
      </c>
      <c r="AM55" s="113" t="e">
        <f t="shared" si="39"/>
        <v>#DIV/0!</v>
      </c>
      <c r="AN55" s="113" t="e">
        <f t="shared" si="39"/>
        <v>#DIV/0!</v>
      </c>
      <c r="AO55" s="113" t="e">
        <f t="shared" si="39"/>
        <v>#DIV/0!</v>
      </c>
      <c r="AP55" s="62"/>
      <c r="AQ55" s="62"/>
      <c r="AR55" s="140"/>
    </row>
    <row r="56" ht="13.85" spans="1:44">
      <c r="A56" s="21"/>
      <c r="B56" s="22"/>
      <c r="C56" s="22"/>
      <c r="D56" s="22"/>
      <c r="E56" s="13"/>
      <c r="F56" s="13"/>
      <c r="G56" s="13"/>
      <c r="H56" s="22"/>
      <c r="I56" s="22"/>
      <c r="J56" s="22"/>
      <c r="K56" s="22"/>
      <c r="L56" s="22"/>
      <c r="M56" s="55" t="s">
        <v>3497</v>
      </c>
      <c r="N56" s="58">
        <f t="shared" ref="N56:Y56" si="40">N50-N51-N52-N53</f>
        <v>407251.86</v>
      </c>
      <c r="O56" s="57">
        <f t="shared" si="40"/>
        <v>1837.39000000007</v>
      </c>
      <c r="P56" s="58">
        <f t="shared" si="40"/>
        <v>0</v>
      </c>
      <c r="Q56" s="57">
        <f t="shared" si="40"/>
        <v>1837.39000000007</v>
      </c>
      <c r="R56" s="57">
        <f t="shared" si="40"/>
        <v>-66799.74</v>
      </c>
      <c r="S56" s="68">
        <f t="shared" si="40"/>
        <v>0</v>
      </c>
      <c r="T56" s="68">
        <f t="shared" si="40"/>
        <v>0</v>
      </c>
      <c r="U56" s="57">
        <f t="shared" si="40"/>
        <v>0</v>
      </c>
      <c r="V56" s="57">
        <f t="shared" si="40"/>
        <v>0</v>
      </c>
      <c r="W56" s="57">
        <f t="shared" si="40"/>
        <v>0</v>
      </c>
      <c r="X56" s="57">
        <f t="shared" si="40"/>
        <v>0</v>
      </c>
      <c r="Y56" s="57">
        <f t="shared" si="40"/>
        <v>0</v>
      </c>
      <c r="Z56" s="82"/>
      <c r="AA56" s="82"/>
      <c r="AB56" s="97"/>
      <c r="AC56" s="22"/>
      <c r="AD56" s="13"/>
      <c r="AE56" s="22"/>
      <c r="AF56" s="22"/>
      <c r="AG56" s="57">
        <f t="shared" ref="AG56:AO56" si="41">AG50-AG51-AG52-AG53</f>
        <v>68637.13</v>
      </c>
      <c r="AH56" s="57">
        <f t="shared" si="41"/>
        <v>-66799.74</v>
      </c>
      <c r="AI56" s="57">
        <f t="shared" si="41"/>
        <v>0</v>
      </c>
      <c r="AJ56" s="57">
        <f t="shared" si="41"/>
        <v>0</v>
      </c>
      <c r="AK56" s="57">
        <f t="shared" si="41"/>
        <v>0</v>
      </c>
      <c r="AL56" s="57">
        <f t="shared" si="41"/>
        <v>0</v>
      </c>
      <c r="AM56" s="57">
        <f t="shared" si="41"/>
        <v>0</v>
      </c>
      <c r="AN56" s="57">
        <f t="shared" si="41"/>
        <v>0</v>
      </c>
      <c r="AO56" s="57">
        <f t="shared" si="41"/>
        <v>0</v>
      </c>
      <c r="AP56" s="57"/>
      <c r="AQ56" s="57"/>
      <c r="AR56" s="140"/>
    </row>
    <row r="57" ht="13.85" spans="1:44">
      <c r="A57" s="23"/>
      <c r="B57" s="24"/>
      <c r="C57" s="24"/>
      <c r="D57" s="24"/>
      <c r="E57" s="14"/>
      <c r="F57" s="14"/>
      <c r="G57" s="14"/>
      <c r="H57" s="24"/>
      <c r="I57" s="24"/>
      <c r="J57" s="24"/>
      <c r="K57" s="24"/>
      <c r="L57" s="24"/>
      <c r="M57" s="60" t="s">
        <v>3498</v>
      </c>
      <c r="N57" s="61">
        <f t="shared" ref="N57:Y57" si="42">N56/N50</f>
        <v>0.187532291324413</v>
      </c>
      <c r="O57" s="62">
        <f t="shared" si="42"/>
        <v>0.00284164902715378</v>
      </c>
      <c r="P57" s="61" t="e">
        <f t="shared" si="42"/>
        <v>#DIV/0!</v>
      </c>
      <c r="Q57" s="62">
        <f t="shared" si="42"/>
        <v>0.00284164902715378</v>
      </c>
      <c r="R57" s="62">
        <f t="shared" si="42"/>
        <v>-0.258275889600546</v>
      </c>
      <c r="S57" s="69" t="e">
        <f t="shared" si="42"/>
        <v>#DIV/0!</v>
      </c>
      <c r="T57" s="69" t="e">
        <f t="shared" si="42"/>
        <v>#DIV/0!</v>
      </c>
      <c r="U57" s="62" t="e">
        <f t="shared" si="42"/>
        <v>#DIV/0!</v>
      </c>
      <c r="V57" s="62" t="e">
        <f t="shared" si="42"/>
        <v>#DIV/0!</v>
      </c>
      <c r="W57" s="62" t="e">
        <f t="shared" si="42"/>
        <v>#DIV/0!</v>
      </c>
      <c r="X57" s="62" t="e">
        <f t="shared" si="42"/>
        <v>#DIV/0!</v>
      </c>
      <c r="Y57" s="62" t="e">
        <f t="shared" si="42"/>
        <v>#DIV/0!</v>
      </c>
      <c r="Z57" s="82">
        <f>O57-N57</f>
        <v>-0.184690642297259</v>
      </c>
      <c r="AA57" s="82">
        <f>R57-N57</f>
        <v>-0.44580818092496</v>
      </c>
      <c r="AB57" s="98"/>
      <c r="AC57" s="24"/>
      <c r="AD57" s="14"/>
      <c r="AE57" s="24"/>
      <c r="AF57" s="24"/>
      <c r="AG57" s="113">
        <f t="shared" ref="AG57:AO57" si="43">AG56/AG50</f>
        <v>0.176920010355821</v>
      </c>
      <c r="AH57" s="113">
        <f t="shared" si="43"/>
        <v>-0.258275889600546</v>
      </c>
      <c r="AI57" s="113" t="e">
        <f t="shared" si="43"/>
        <v>#DIV/0!</v>
      </c>
      <c r="AJ57" s="113" t="e">
        <f t="shared" si="43"/>
        <v>#DIV/0!</v>
      </c>
      <c r="AK57" s="113" t="e">
        <f t="shared" si="43"/>
        <v>#DIV/0!</v>
      </c>
      <c r="AL57" s="113" t="e">
        <f t="shared" si="43"/>
        <v>#DIV/0!</v>
      </c>
      <c r="AM57" s="113" t="e">
        <f t="shared" si="43"/>
        <v>#DIV/0!</v>
      </c>
      <c r="AN57" s="113" t="e">
        <f t="shared" si="43"/>
        <v>#DIV/0!</v>
      </c>
      <c r="AO57" s="113" t="e">
        <f t="shared" si="43"/>
        <v>#DIV/0!</v>
      </c>
      <c r="AP57" s="62"/>
      <c r="AQ57" s="62"/>
      <c r="AR57" s="140"/>
    </row>
    <row r="58" ht="13.85" spans="1:44">
      <c r="A58" s="32" t="s">
        <v>3680</v>
      </c>
      <c r="B58" s="26" t="s">
        <v>3681</v>
      </c>
      <c r="C58" s="27" t="s">
        <v>3682</v>
      </c>
      <c r="D58" s="33"/>
      <c r="E58" s="28" t="s">
        <v>3683</v>
      </c>
      <c r="F58" s="29"/>
      <c r="G58" s="29"/>
      <c r="H58" s="29"/>
      <c r="I58" s="29"/>
      <c r="J58" s="29"/>
      <c r="K58" s="29"/>
      <c r="L58" s="29" t="s">
        <v>3485</v>
      </c>
      <c r="M58" s="55" t="s">
        <v>3486</v>
      </c>
      <c r="N58" s="56">
        <f>((90000+400000+232222.04+65000+106132+504716.98))-(7222.49)</f>
        <v>1390848.53</v>
      </c>
      <c r="O58" s="57">
        <f>SUM(AG58:AQ58)</f>
        <v>2179207.249</v>
      </c>
      <c r="P58" s="58">
        <f>SUM(AP58:AQ58)</f>
        <v>1600632.519</v>
      </c>
      <c r="Q58" s="70">
        <f>SUM(AG58:AO58)</f>
        <v>578574.73</v>
      </c>
      <c r="R58" s="70">
        <f>SUM(AH58:AO58)</f>
        <v>578574.73</v>
      </c>
      <c r="S58" s="66">
        <f>SUM(AI58:AO58)</f>
        <v>578574.73</v>
      </c>
      <c r="T58" s="66">
        <f>SUM(AJ58:AO58)</f>
        <v>498401.54</v>
      </c>
      <c r="U58" s="70">
        <f>SUM(AK58:AO58)</f>
        <v>386953.31</v>
      </c>
      <c r="V58" s="70">
        <f>SUM(AL58:AO58)</f>
        <v>325250.76</v>
      </c>
      <c r="W58" s="70">
        <f>SUM(AM58:AO58)</f>
        <v>263687.69</v>
      </c>
      <c r="X58" s="70">
        <f>SUM(AN58:AO58)</f>
        <v>179522.91</v>
      </c>
      <c r="Y58" s="70">
        <f>SUM(AO58:AO58)</f>
        <v>116390</v>
      </c>
      <c r="Z58" s="75"/>
      <c r="AA58" s="75"/>
      <c r="AB58" s="96"/>
      <c r="AC58" s="99"/>
      <c r="AD58" s="93"/>
      <c r="AE58" s="96"/>
      <c r="AF58" s="94"/>
      <c r="AG58" s="104"/>
      <c r="AH58" s="104"/>
      <c r="AI58" s="104">
        <v>80173.19</v>
      </c>
      <c r="AJ58" s="104">
        <v>111448.23</v>
      </c>
      <c r="AK58" s="104">
        <v>61702.55</v>
      </c>
      <c r="AL58" s="105">
        <v>61563.07</v>
      </c>
      <c r="AM58" s="114">
        <v>84164.78</v>
      </c>
      <c r="AN58" s="114">
        <v>63132.91</v>
      </c>
      <c r="AO58" s="114">
        <v>116390</v>
      </c>
      <c r="AP58" s="154">
        <v>1275268.909</v>
      </c>
      <c r="AQ58" s="155">
        <v>325363.61</v>
      </c>
      <c r="AR58" s="140"/>
    </row>
    <row r="59" ht="13.85" spans="1:44">
      <c r="A59" s="22"/>
      <c r="B59" s="22"/>
      <c r="C59" s="34"/>
      <c r="D59" s="35"/>
      <c r="E59" s="13"/>
      <c r="F59" s="22"/>
      <c r="G59" s="22"/>
      <c r="H59" s="22"/>
      <c r="I59" s="22"/>
      <c r="J59" s="22"/>
      <c r="K59" s="22"/>
      <c r="L59" s="22"/>
      <c r="M59" s="55" t="s">
        <v>3490</v>
      </c>
      <c r="N59" s="56">
        <f>(352245.88+108233.87+51215.79+181110.16+314624.04+69833.35)</f>
        <v>1077263.09</v>
      </c>
      <c r="O59" s="57">
        <f>SUM(AG59:AQ59)</f>
        <v>1930971.44</v>
      </c>
      <c r="P59" s="58">
        <f>SUM(AP59:AQ59)</f>
        <v>1495163.75</v>
      </c>
      <c r="Q59" s="70">
        <f>SUM(AG59:AO59)</f>
        <v>435807.69</v>
      </c>
      <c r="R59" s="70">
        <f>SUM(AH59:AO59)</f>
        <v>435807.69</v>
      </c>
      <c r="S59" s="66">
        <f>SUM(AI59:AO59)</f>
        <v>435807.69</v>
      </c>
      <c r="T59" s="66">
        <f>SUM(AJ59:AO59)</f>
        <v>363804.88</v>
      </c>
      <c r="U59" s="70">
        <f>SUM(AK59:AO59)</f>
        <v>291909.12</v>
      </c>
      <c r="V59" s="70">
        <f>SUM(AL59:AO59)</f>
        <v>220110.43</v>
      </c>
      <c r="W59" s="70">
        <f>SUM(AM59:AO59)</f>
        <v>213607.7</v>
      </c>
      <c r="X59" s="70">
        <f>SUM(AN59:AO59)</f>
        <v>142420.08</v>
      </c>
      <c r="Y59" s="70">
        <f>SUM(AO59:AO59)</f>
        <v>71210</v>
      </c>
      <c r="Z59" s="75"/>
      <c r="AA59" s="75"/>
      <c r="AB59" s="22"/>
      <c r="AC59" s="22"/>
      <c r="AD59" s="13"/>
      <c r="AE59" s="22"/>
      <c r="AF59" s="22"/>
      <c r="AG59" s="108"/>
      <c r="AH59" s="108"/>
      <c r="AI59" s="108">
        <v>72002.81</v>
      </c>
      <c r="AJ59" s="108">
        <v>71895.76</v>
      </c>
      <c r="AK59" s="104">
        <v>71798.69</v>
      </c>
      <c r="AL59" s="105">
        <v>6502.73</v>
      </c>
      <c r="AM59" s="115">
        <v>71187.62</v>
      </c>
      <c r="AN59" s="115">
        <v>71210.08</v>
      </c>
      <c r="AO59" s="115">
        <v>71210</v>
      </c>
      <c r="AP59" s="145">
        <v>913905.33</v>
      </c>
      <c r="AQ59" s="150">
        <v>581258.42</v>
      </c>
      <c r="AR59" s="140"/>
    </row>
    <row r="60" ht="13.85" spans="1:44">
      <c r="A60" s="22"/>
      <c r="B60" s="22"/>
      <c r="C60" s="34"/>
      <c r="D60" s="35"/>
      <c r="E60" s="13"/>
      <c r="F60" s="22"/>
      <c r="G60" s="22"/>
      <c r="H60" s="22"/>
      <c r="I60" s="22"/>
      <c r="J60" s="22"/>
      <c r="K60" s="22"/>
      <c r="L60" s="22"/>
      <c r="M60" s="55" t="s">
        <v>3492</v>
      </c>
      <c r="N60" s="56">
        <v>0</v>
      </c>
      <c r="O60" s="57">
        <f>SUM(AG60:AQ60)</f>
        <v>0</v>
      </c>
      <c r="P60" s="58">
        <f>SUM(AP60:AQ60)</f>
        <v>0</v>
      </c>
      <c r="Q60" s="70">
        <f>SUM(AG60:AO60)</f>
        <v>0</v>
      </c>
      <c r="R60" s="70">
        <f>SUM(AH60:AO60)</f>
        <v>0</v>
      </c>
      <c r="S60" s="66">
        <f>SUM(AI60:AO60)</f>
        <v>0</v>
      </c>
      <c r="T60" s="66">
        <f>SUM(AJ60:AO60)</f>
        <v>0</v>
      </c>
      <c r="U60" s="70">
        <f>SUM(AK60:AO60)</f>
        <v>0</v>
      </c>
      <c r="V60" s="70">
        <f>SUM(AL60:AO60)</f>
        <v>0</v>
      </c>
      <c r="W60" s="70">
        <f>SUM(AM60:AO60)</f>
        <v>0</v>
      </c>
      <c r="X60" s="70">
        <f>SUM(AN60:AO60)</f>
        <v>0</v>
      </c>
      <c r="Y60" s="70">
        <f>SUM(AO60:AO60)</f>
        <v>0</v>
      </c>
      <c r="Z60" s="75"/>
      <c r="AA60" s="75"/>
      <c r="AB60" s="22"/>
      <c r="AC60" s="22"/>
      <c r="AD60" s="13"/>
      <c r="AE60" s="22"/>
      <c r="AF60" s="22"/>
      <c r="AG60" s="110"/>
      <c r="AH60" s="110"/>
      <c r="AI60" s="111"/>
      <c r="AJ60" s="111"/>
      <c r="AK60" s="112"/>
      <c r="AL60" s="109"/>
      <c r="AM60" s="96"/>
      <c r="AN60" s="96"/>
      <c r="AO60" s="115"/>
      <c r="AP60" s="143">
        <v>0</v>
      </c>
      <c r="AQ60" s="142"/>
      <c r="AR60" s="140"/>
    </row>
    <row r="61" ht="13.85" spans="1:44">
      <c r="A61" s="22"/>
      <c r="B61" s="22"/>
      <c r="C61" s="34"/>
      <c r="D61" s="35"/>
      <c r="E61" s="13"/>
      <c r="F61" s="22"/>
      <c r="G61" s="22"/>
      <c r="H61" s="22"/>
      <c r="I61" s="22"/>
      <c r="J61" s="22"/>
      <c r="K61" s="22"/>
      <c r="L61" s="22"/>
      <c r="M61" s="55" t="s">
        <v>3493</v>
      </c>
      <c r="N61" s="56">
        <f>(10000+9800)</f>
        <v>19800</v>
      </c>
      <c r="O61" s="57">
        <f>SUM(AG61:AQ61)</f>
        <v>47801.6</v>
      </c>
      <c r="P61" s="58">
        <f>SUM(AP61:AQ61)</f>
        <v>1225.9</v>
      </c>
      <c r="Q61" s="70">
        <f>SUM(AG61:AO61)</f>
        <v>46575.7</v>
      </c>
      <c r="R61" s="70">
        <f>SUM(AH61:AO61)</f>
        <v>46575.7</v>
      </c>
      <c r="S61" s="66">
        <f>SUM(AI61:AO61)</f>
        <v>46575.7</v>
      </c>
      <c r="T61" s="66">
        <f>SUM(AJ61:AO61)</f>
        <v>46185.09</v>
      </c>
      <c r="U61" s="70">
        <f>SUM(AK61:AO61)</f>
        <v>45880.1</v>
      </c>
      <c r="V61" s="70">
        <f>SUM(AL61:AO61)</f>
        <v>45530.05</v>
      </c>
      <c r="W61" s="70">
        <f>SUM(AM61:AO61)</f>
        <v>45180</v>
      </c>
      <c r="X61" s="70">
        <f>SUM(AN61:AO61)</f>
        <v>45180</v>
      </c>
      <c r="Y61" s="70">
        <f>SUM(AO61:AO61)</f>
        <v>45180</v>
      </c>
      <c r="Z61" s="75"/>
      <c r="AA61" s="75"/>
      <c r="AB61" s="22"/>
      <c r="AC61" s="22"/>
      <c r="AD61" s="13"/>
      <c r="AE61" s="22"/>
      <c r="AF61" s="22"/>
      <c r="AG61" s="104"/>
      <c r="AH61" s="104"/>
      <c r="AI61" s="104">
        <v>390.61</v>
      </c>
      <c r="AJ61" s="104">
        <v>304.99</v>
      </c>
      <c r="AK61" s="109">
        <v>350.05</v>
      </c>
      <c r="AL61" s="109">
        <v>350.05</v>
      </c>
      <c r="AM61" s="96"/>
      <c r="AN61" s="96"/>
      <c r="AO61" s="144">
        <v>45180</v>
      </c>
      <c r="AP61" s="143">
        <v>1225.9</v>
      </c>
      <c r="AQ61" s="150"/>
      <c r="AR61" s="140"/>
    </row>
    <row r="62" ht="13.85" spans="1:44">
      <c r="A62" s="22"/>
      <c r="B62" s="22"/>
      <c r="C62" s="34"/>
      <c r="D62" s="35"/>
      <c r="E62" s="13"/>
      <c r="F62" s="22"/>
      <c r="G62" s="22"/>
      <c r="H62" s="22"/>
      <c r="I62" s="22"/>
      <c r="J62" s="22"/>
      <c r="K62" s="22"/>
      <c r="L62" s="22"/>
      <c r="M62" s="55" t="s">
        <v>3495</v>
      </c>
      <c r="N62" s="59">
        <f t="shared" ref="N62:Y62" si="44">N58-N59</f>
        <v>313585.44</v>
      </c>
      <c r="O62" s="57">
        <f t="shared" si="44"/>
        <v>248235.809</v>
      </c>
      <c r="P62" s="58">
        <f t="shared" si="44"/>
        <v>105468.769</v>
      </c>
      <c r="Q62" s="57">
        <f t="shared" si="44"/>
        <v>142767.04</v>
      </c>
      <c r="R62" s="57">
        <f t="shared" si="44"/>
        <v>142767.04</v>
      </c>
      <c r="S62" s="68">
        <f t="shared" si="44"/>
        <v>142767.04</v>
      </c>
      <c r="T62" s="68">
        <f t="shared" si="44"/>
        <v>134596.66</v>
      </c>
      <c r="U62" s="57">
        <f t="shared" si="44"/>
        <v>95044.19</v>
      </c>
      <c r="V62" s="57">
        <f t="shared" si="44"/>
        <v>105140.33</v>
      </c>
      <c r="W62" s="57">
        <f t="shared" si="44"/>
        <v>50079.99</v>
      </c>
      <c r="X62" s="57">
        <f t="shared" si="44"/>
        <v>37102.83</v>
      </c>
      <c r="Y62" s="57">
        <f t="shared" si="44"/>
        <v>45180</v>
      </c>
      <c r="Z62" s="75"/>
      <c r="AA62" s="75"/>
      <c r="AB62" s="22"/>
      <c r="AC62" s="22"/>
      <c r="AD62" s="13"/>
      <c r="AE62" s="22"/>
      <c r="AF62" s="22"/>
      <c r="AG62" s="57">
        <f t="shared" ref="AG62:AO62" si="45">AG58-AG59</f>
        <v>0</v>
      </c>
      <c r="AH62" s="57">
        <f t="shared" si="45"/>
        <v>0</v>
      </c>
      <c r="AI62" s="57">
        <f t="shared" si="45"/>
        <v>8170.38</v>
      </c>
      <c r="AJ62" s="57">
        <f t="shared" si="45"/>
        <v>39552.47</v>
      </c>
      <c r="AK62" s="57">
        <f t="shared" si="45"/>
        <v>-10096.14</v>
      </c>
      <c r="AL62" s="57">
        <f t="shared" si="45"/>
        <v>55060.34</v>
      </c>
      <c r="AM62" s="57">
        <f t="shared" si="45"/>
        <v>12977.16</v>
      </c>
      <c r="AN62" s="57">
        <f t="shared" si="45"/>
        <v>-8077.17</v>
      </c>
      <c r="AO62" s="57">
        <f t="shared" si="45"/>
        <v>45180</v>
      </c>
      <c r="AP62" s="57">
        <v>361363.579</v>
      </c>
      <c r="AQ62" s="57">
        <f>AQ58-AQ59</f>
        <v>-255894.81</v>
      </c>
      <c r="AR62" s="140"/>
    </row>
    <row r="63" ht="13.85" spans="1:44">
      <c r="A63" s="22"/>
      <c r="B63" s="22"/>
      <c r="C63" s="34"/>
      <c r="D63" s="35"/>
      <c r="E63" s="13"/>
      <c r="F63" s="22"/>
      <c r="G63" s="22"/>
      <c r="H63" s="22"/>
      <c r="I63" s="22"/>
      <c r="J63" s="22"/>
      <c r="K63" s="22"/>
      <c r="L63" s="22"/>
      <c r="M63" s="60" t="s">
        <v>3496</v>
      </c>
      <c r="N63" s="61">
        <f t="shared" ref="N63:Y63" si="46">N62/N58</f>
        <v>0.225463401108099</v>
      </c>
      <c r="O63" s="62">
        <f t="shared" si="46"/>
        <v>0.113911060599634</v>
      </c>
      <c r="P63" s="61">
        <f t="shared" si="46"/>
        <v>0.0658919319381889</v>
      </c>
      <c r="Q63" s="62">
        <f t="shared" si="46"/>
        <v>0.246756438878691</v>
      </c>
      <c r="R63" s="62">
        <f t="shared" si="46"/>
        <v>0.246756438878691</v>
      </c>
      <c r="S63" s="69">
        <f t="shared" si="46"/>
        <v>0.246756438878691</v>
      </c>
      <c r="T63" s="69">
        <f t="shared" si="46"/>
        <v>0.270056669568076</v>
      </c>
      <c r="U63" s="62">
        <f t="shared" si="46"/>
        <v>0.245621855515333</v>
      </c>
      <c r="V63" s="62">
        <f t="shared" si="46"/>
        <v>0.323259290769989</v>
      </c>
      <c r="W63" s="62">
        <f t="shared" si="46"/>
        <v>0.189921607641221</v>
      </c>
      <c r="X63" s="62">
        <f t="shared" si="46"/>
        <v>0.206674624425373</v>
      </c>
      <c r="Y63" s="62">
        <f t="shared" si="46"/>
        <v>0.388177678494716</v>
      </c>
      <c r="Z63" s="82">
        <f>O63-N63</f>
        <v>-0.111552340508465</v>
      </c>
      <c r="AA63" s="82">
        <f>R63-N63</f>
        <v>0.0212930377705917</v>
      </c>
      <c r="AB63" s="22"/>
      <c r="AC63" s="22"/>
      <c r="AD63" s="13"/>
      <c r="AE63" s="22"/>
      <c r="AF63" s="22"/>
      <c r="AG63" s="113" t="e">
        <f t="shared" ref="AG63:AO63" si="47">AG62/AG58</f>
        <v>#DIV/0!</v>
      </c>
      <c r="AH63" s="113" t="e">
        <f t="shared" si="47"/>
        <v>#DIV/0!</v>
      </c>
      <c r="AI63" s="113">
        <f t="shared" si="47"/>
        <v>0.101909129473331</v>
      </c>
      <c r="AJ63" s="113">
        <f t="shared" si="47"/>
        <v>0.354895452354874</v>
      </c>
      <c r="AK63" s="113">
        <f t="shared" si="47"/>
        <v>-0.163625976560126</v>
      </c>
      <c r="AL63" s="113">
        <f t="shared" si="47"/>
        <v>0.894372876466362</v>
      </c>
      <c r="AM63" s="62">
        <f t="shared" si="47"/>
        <v>0.15418753545129</v>
      </c>
      <c r="AN63" s="62">
        <f t="shared" si="47"/>
        <v>-0.127939136656302</v>
      </c>
      <c r="AO63" s="62">
        <f t="shared" si="47"/>
        <v>0.388177678494716</v>
      </c>
      <c r="AP63" s="62">
        <v>0.283362651163011</v>
      </c>
      <c r="AQ63" s="62">
        <f>AQ62/AQ58</f>
        <v>-0.786488722571034</v>
      </c>
      <c r="AR63" s="140"/>
    </row>
    <row r="64" ht="13.85" spans="1:44">
      <c r="A64" s="22"/>
      <c r="B64" s="22"/>
      <c r="C64" s="34"/>
      <c r="D64" s="35"/>
      <c r="E64" s="13"/>
      <c r="F64" s="22"/>
      <c r="G64" s="22"/>
      <c r="H64" s="22"/>
      <c r="I64" s="22"/>
      <c r="J64" s="22"/>
      <c r="K64" s="22"/>
      <c r="L64" s="22"/>
      <c r="M64" s="55" t="s">
        <v>3497</v>
      </c>
      <c r="N64" s="58">
        <f t="shared" ref="N64:Y64" si="48">N58-N59-N60-N61</f>
        <v>293785.44</v>
      </c>
      <c r="O64" s="57">
        <f t="shared" si="48"/>
        <v>200434.209</v>
      </c>
      <c r="P64" s="58">
        <f t="shared" si="48"/>
        <v>104242.869</v>
      </c>
      <c r="Q64" s="57">
        <f t="shared" si="48"/>
        <v>96191.34</v>
      </c>
      <c r="R64" s="57">
        <f t="shared" si="48"/>
        <v>96191.34</v>
      </c>
      <c r="S64" s="68">
        <f t="shared" si="48"/>
        <v>96191.34</v>
      </c>
      <c r="T64" s="68">
        <f t="shared" si="48"/>
        <v>88411.57</v>
      </c>
      <c r="U64" s="57">
        <f t="shared" si="48"/>
        <v>49164.09</v>
      </c>
      <c r="V64" s="57">
        <f t="shared" si="48"/>
        <v>59610.28</v>
      </c>
      <c r="W64" s="57">
        <f t="shared" si="48"/>
        <v>4899.98999999999</v>
      </c>
      <c r="X64" s="57">
        <f t="shared" si="48"/>
        <v>-8077.17000000001</v>
      </c>
      <c r="Y64" s="57">
        <f t="shared" si="48"/>
        <v>0</v>
      </c>
      <c r="Z64" s="82"/>
      <c r="AA64" s="82"/>
      <c r="AB64" s="22"/>
      <c r="AC64" s="22"/>
      <c r="AD64" s="13"/>
      <c r="AE64" s="22"/>
      <c r="AF64" s="22"/>
      <c r="AG64" s="57">
        <f t="shared" ref="AG64:AO64" si="49">AG58-AG59-AG60-AG61</f>
        <v>0</v>
      </c>
      <c r="AH64" s="57">
        <f t="shared" si="49"/>
        <v>0</v>
      </c>
      <c r="AI64" s="57">
        <f t="shared" si="49"/>
        <v>7779.77</v>
      </c>
      <c r="AJ64" s="57">
        <f t="shared" si="49"/>
        <v>39247.48</v>
      </c>
      <c r="AK64" s="57">
        <f t="shared" si="49"/>
        <v>-10446.19</v>
      </c>
      <c r="AL64" s="57">
        <f t="shared" si="49"/>
        <v>54710.29</v>
      </c>
      <c r="AM64" s="57">
        <f t="shared" si="49"/>
        <v>12977.16</v>
      </c>
      <c r="AN64" s="57">
        <f t="shared" si="49"/>
        <v>-8077.17</v>
      </c>
      <c r="AO64" s="57">
        <f t="shared" si="49"/>
        <v>0</v>
      </c>
      <c r="AP64" s="57">
        <v>360137.679</v>
      </c>
      <c r="AQ64" s="57">
        <f>AQ58-AQ59-AQ60-AQ61</f>
        <v>-255894.81</v>
      </c>
      <c r="AR64" s="140"/>
    </row>
    <row r="65" ht="14.6" spans="1:44">
      <c r="A65" s="24"/>
      <c r="B65" s="24"/>
      <c r="C65" s="83"/>
      <c r="D65" s="156"/>
      <c r="E65" s="14"/>
      <c r="F65" s="24"/>
      <c r="G65" s="24"/>
      <c r="H65" s="24"/>
      <c r="I65" s="24"/>
      <c r="J65" s="24"/>
      <c r="K65" s="24"/>
      <c r="L65" s="24"/>
      <c r="M65" s="60" t="s">
        <v>3498</v>
      </c>
      <c r="N65" s="61">
        <f t="shared" ref="N65:Y65" si="50">N64/N58</f>
        <v>0.211227487151315</v>
      </c>
      <c r="O65" s="62">
        <f t="shared" si="50"/>
        <v>0.0919757444327407</v>
      </c>
      <c r="P65" s="61">
        <f t="shared" si="50"/>
        <v>0.06512604721109</v>
      </c>
      <c r="Q65" s="62">
        <f t="shared" si="50"/>
        <v>0.166255688353344</v>
      </c>
      <c r="R65" s="62">
        <f t="shared" si="50"/>
        <v>0.166255688353344</v>
      </c>
      <c r="S65" s="69">
        <f t="shared" si="50"/>
        <v>0.166255688353344</v>
      </c>
      <c r="T65" s="69">
        <f t="shared" si="50"/>
        <v>0.177390242413778</v>
      </c>
      <c r="U65" s="62">
        <f t="shared" si="50"/>
        <v>0.127054320842998</v>
      </c>
      <c r="V65" s="62">
        <f t="shared" si="50"/>
        <v>0.183274836928898</v>
      </c>
      <c r="W65" s="62">
        <f t="shared" si="50"/>
        <v>0.0185825511991098</v>
      </c>
      <c r="X65" s="62">
        <f t="shared" si="50"/>
        <v>-0.0449924190734208</v>
      </c>
      <c r="Y65" s="62">
        <f t="shared" si="50"/>
        <v>0</v>
      </c>
      <c r="Z65" s="82">
        <f>O65-N65</f>
        <v>-0.119251742718574</v>
      </c>
      <c r="AA65" s="82">
        <f>R65-N65</f>
        <v>-0.044971798797971</v>
      </c>
      <c r="AB65" s="24"/>
      <c r="AC65" s="24"/>
      <c r="AD65" s="14"/>
      <c r="AE65" s="24"/>
      <c r="AF65" s="24"/>
      <c r="AG65" s="113" t="e">
        <f t="shared" ref="AG65:AO65" si="51">AG64/AG58</f>
        <v>#DIV/0!</v>
      </c>
      <c r="AH65" s="113" t="e">
        <f t="shared" si="51"/>
        <v>#DIV/0!</v>
      </c>
      <c r="AI65" s="113">
        <f t="shared" si="51"/>
        <v>0.0970370519122415</v>
      </c>
      <c r="AJ65" s="113">
        <f t="shared" si="51"/>
        <v>0.352158845411901</v>
      </c>
      <c r="AK65" s="113">
        <f t="shared" si="51"/>
        <v>-0.169299161866082</v>
      </c>
      <c r="AL65" s="113">
        <f t="shared" si="51"/>
        <v>0.888686837742172</v>
      </c>
      <c r="AM65" s="62">
        <f t="shared" si="51"/>
        <v>0.15418753545129</v>
      </c>
      <c r="AN65" s="62">
        <f t="shared" si="51"/>
        <v>-0.127939136656302</v>
      </c>
      <c r="AO65" s="62">
        <f t="shared" si="51"/>
        <v>0</v>
      </c>
      <c r="AP65" s="62">
        <v>0.282401363711126</v>
      </c>
      <c r="AQ65" s="62">
        <f>AQ64/AQ58</f>
        <v>-0.786488722571034</v>
      </c>
      <c r="AR65" s="163"/>
    </row>
    <row r="66" ht="13.85" spans="1:44">
      <c r="A66" s="157" t="s">
        <v>438</v>
      </c>
      <c r="B66" s="158" t="s">
        <v>439</v>
      </c>
      <c r="C66" s="159">
        <v>45536</v>
      </c>
      <c r="D66" s="159">
        <v>46203</v>
      </c>
      <c r="E66" s="160" t="s">
        <v>3683</v>
      </c>
      <c r="F66" s="161"/>
      <c r="G66" s="161"/>
      <c r="H66" s="161"/>
      <c r="I66" s="161"/>
      <c r="J66" s="161" t="s">
        <v>3684</v>
      </c>
      <c r="K66" s="161" t="s">
        <v>3685</v>
      </c>
      <c r="L66" s="161" t="s">
        <v>3485</v>
      </c>
      <c r="M66" s="55" t="s">
        <v>3486</v>
      </c>
      <c r="N66" s="56">
        <v>130000</v>
      </c>
      <c r="O66" s="57">
        <f>SUM(AG66:AQ66)</f>
        <v>80058.86</v>
      </c>
      <c r="P66" s="58">
        <f>SUM(AP66:AQ66)</f>
        <v>34749.97</v>
      </c>
      <c r="Q66" s="70">
        <f>SUM(AG66:AO66)</f>
        <v>45308.89</v>
      </c>
      <c r="R66" s="70">
        <f>SUM(AH66:AO66)</f>
        <v>81381.56</v>
      </c>
      <c r="S66" s="66">
        <f>SUM(AI66:AO66)</f>
        <v>81381.56</v>
      </c>
      <c r="T66" s="66">
        <f>SUM(AJ66:AO66)</f>
        <v>72346.74</v>
      </c>
      <c r="U66" s="70">
        <f>SUM(AK66:AO66)</f>
        <v>44261.6</v>
      </c>
      <c r="V66" s="70">
        <f>SUM(AL66:AO66)</f>
        <v>27847.34</v>
      </c>
      <c r="W66" s="70">
        <f>SUM(AM66:AO66)</f>
        <v>16836.68</v>
      </c>
      <c r="X66" s="70">
        <f>SUM(AN66:AO66)</f>
        <v>10065.18</v>
      </c>
      <c r="Y66" s="70">
        <f>SUM(AO66:AO66)</f>
        <v>4395.8</v>
      </c>
      <c r="Z66" s="75"/>
      <c r="AA66" s="75"/>
      <c r="AB66" s="96"/>
      <c r="AC66" s="99"/>
      <c r="AD66" s="93"/>
      <c r="AE66" s="96"/>
      <c r="AF66" s="94"/>
      <c r="AG66" s="104">
        <v>-36072.67</v>
      </c>
      <c r="AH66" s="104">
        <v>0</v>
      </c>
      <c r="AI66" s="104">
        <v>9034.82</v>
      </c>
      <c r="AJ66" s="104">
        <v>28085.14</v>
      </c>
      <c r="AK66" s="104">
        <v>16414.26</v>
      </c>
      <c r="AL66" s="105">
        <v>11010.66</v>
      </c>
      <c r="AM66" s="114">
        <v>6771.5</v>
      </c>
      <c r="AN66" s="114">
        <v>5669.38</v>
      </c>
      <c r="AO66" s="114">
        <v>4395.8</v>
      </c>
      <c r="AP66" s="164">
        <v>34749.97</v>
      </c>
      <c r="AQ66" s="155"/>
      <c r="AR66" s="140"/>
    </row>
    <row r="67" ht="13.85" spans="1:44">
      <c r="A67" s="22"/>
      <c r="B67" s="22"/>
      <c r="C67" s="22"/>
      <c r="D67" s="22"/>
      <c r="E67" s="13"/>
      <c r="F67" s="22"/>
      <c r="G67" s="22"/>
      <c r="H67" s="22"/>
      <c r="I67" s="22"/>
      <c r="J67" s="22"/>
      <c r="K67" s="22"/>
      <c r="L67" s="22"/>
      <c r="M67" s="55" t="s">
        <v>3490</v>
      </c>
      <c r="N67" s="56">
        <v>100492.68</v>
      </c>
      <c r="O67" s="57">
        <f>SUM(AG67:AQ67)</f>
        <v>56036.23</v>
      </c>
      <c r="P67" s="58">
        <f>SUM(AP67:AQ67)</f>
        <v>28370.28</v>
      </c>
      <c r="Q67" s="70">
        <f>SUM(AG67:AO67)</f>
        <v>27665.95</v>
      </c>
      <c r="R67" s="70">
        <f>SUM(AH67:AO67)</f>
        <v>0</v>
      </c>
      <c r="S67" s="66">
        <f>SUM(AI67:AO67)</f>
        <v>0</v>
      </c>
      <c r="T67" s="66">
        <f>SUM(AJ67:AO67)</f>
        <v>0</v>
      </c>
      <c r="U67" s="70">
        <f>SUM(AK67:AO67)</f>
        <v>0</v>
      </c>
      <c r="V67" s="70">
        <f>SUM(AL67:AO67)</f>
        <v>0</v>
      </c>
      <c r="W67" s="70">
        <f>SUM(AM67:AO67)</f>
        <v>0</v>
      </c>
      <c r="X67" s="70">
        <f>SUM(AN67:AO67)</f>
        <v>0</v>
      </c>
      <c r="Y67" s="70">
        <f>SUM(AO67:AO67)</f>
        <v>0</v>
      </c>
      <c r="Z67" s="75"/>
      <c r="AA67" s="75"/>
      <c r="AB67" s="22"/>
      <c r="AC67" s="22"/>
      <c r="AD67" s="13"/>
      <c r="AE67" s="22"/>
      <c r="AF67" s="22"/>
      <c r="AG67" s="108">
        <v>27665.95</v>
      </c>
      <c r="AH67" s="108">
        <v>0</v>
      </c>
      <c r="AI67" s="108">
        <v>0</v>
      </c>
      <c r="AJ67" s="108">
        <v>0</v>
      </c>
      <c r="AK67" s="115">
        <v>0</v>
      </c>
      <c r="AL67" s="115">
        <v>0</v>
      </c>
      <c r="AM67" s="115">
        <v>0</v>
      </c>
      <c r="AN67" s="115">
        <v>0</v>
      </c>
      <c r="AO67" s="115">
        <v>0</v>
      </c>
      <c r="AP67" s="145">
        <v>28370.28</v>
      </c>
      <c r="AQ67" s="150"/>
      <c r="AR67" s="140"/>
    </row>
    <row r="68" ht="13.85" spans="1:44">
      <c r="A68" s="22"/>
      <c r="B68" s="22"/>
      <c r="C68" s="22"/>
      <c r="D68" s="22"/>
      <c r="E68" s="13"/>
      <c r="F68" s="22"/>
      <c r="G68" s="22"/>
      <c r="H68" s="22"/>
      <c r="I68" s="22"/>
      <c r="J68" s="22"/>
      <c r="K68" s="22"/>
      <c r="L68" s="22"/>
      <c r="M68" s="55" t="s">
        <v>3492</v>
      </c>
      <c r="N68" s="56">
        <v>0</v>
      </c>
      <c r="O68" s="57">
        <f>SUM(AG68:AQ68)</f>
        <v>0</v>
      </c>
      <c r="P68" s="58">
        <f>SUM(AP68:AQ68)</f>
        <v>0</v>
      </c>
      <c r="Q68" s="70">
        <f>SUM(AG68:AO68)</f>
        <v>0</v>
      </c>
      <c r="R68" s="70">
        <f>SUM(AH68:AO68)</f>
        <v>0</v>
      </c>
      <c r="S68" s="66">
        <f>SUM(AI68:AO68)</f>
        <v>0</v>
      </c>
      <c r="T68" s="66">
        <f>SUM(AJ68:AO68)</f>
        <v>0</v>
      </c>
      <c r="U68" s="70">
        <f>SUM(AK68:AO68)</f>
        <v>0</v>
      </c>
      <c r="V68" s="70">
        <f>SUM(AL68:AO68)</f>
        <v>0</v>
      </c>
      <c r="W68" s="70">
        <f>SUM(AM68:AO68)</f>
        <v>0</v>
      </c>
      <c r="X68" s="70">
        <f>SUM(AN68:AO68)</f>
        <v>0</v>
      </c>
      <c r="Y68" s="70">
        <f>SUM(AO68:AO68)</f>
        <v>0</v>
      </c>
      <c r="Z68" s="75"/>
      <c r="AA68" s="75"/>
      <c r="AB68" s="22"/>
      <c r="AC68" s="22"/>
      <c r="AD68" s="13"/>
      <c r="AE68" s="22"/>
      <c r="AF68" s="22"/>
      <c r="AG68" s="110">
        <v>0</v>
      </c>
      <c r="AH68" s="110">
        <v>0</v>
      </c>
      <c r="AI68" s="111">
        <v>0</v>
      </c>
      <c r="AJ68" s="111">
        <v>0</v>
      </c>
      <c r="AK68" s="115">
        <v>0</v>
      </c>
      <c r="AL68" s="115">
        <v>0</v>
      </c>
      <c r="AM68" s="115">
        <v>0</v>
      </c>
      <c r="AN68" s="115">
        <v>0</v>
      </c>
      <c r="AO68" s="115">
        <v>0</v>
      </c>
      <c r="AP68" s="115">
        <v>0</v>
      </c>
      <c r="AQ68" s="142"/>
      <c r="AR68" s="140"/>
    </row>
    <row r="69" ht="13.85" spans="1:44">
      <c r="A69" s="22"/>
      <c r="B69" s="22"/>
      <c r="C69" s="22"/>
      <c r="D69" s="22"/>
      <c r="E69" s="13"/>
      <c r="F69" s="22"/>
      <c r="G69" s="22"/>
      <c r="H69" s="22"/>
      <c r="I69" s="22"/>
      <c r="J69" s="22"/>
      <c r="K69" s="22"/>
      <c r="L69" s="22"/>
      <c r="M69" s="55" t="s">
        <v>3493</v>
      </c>
      <c r="N69" s="56">
        <v>0</v>
      </c>
      <c r="O69" s="57">
        <f>SUM(AG69:AQ69)</f>
        <v>754.97</v>
      </c>
      <c r="P69" s="58">
        <f>SUM(AP69:AQ69)</f>
        <v>11.13</v>
      </c>
      <c r="Q69" s="70">
        <f>SUM(AG69:AO69)</f>
        <v>743.84</v>
      </c>
      <c r="R69" s="70">
        <f>SUM(AH69:AO69)</f>
        <v>658.35</v>
      </c>
      <c r="S69" s="66">
        <f>SUM(AI69:AO69)</f>
        <v>534.33</v>
      </c>
      <c r="T69" s="66">
        <f>SUM(AJ69:AO69)</f>
        <v>410.31</v>
      </c>
      <c r="U69" s="70">
        <f>SUM(AK69:AO69)</f>
        <v>295.94</v>
      </c>
      <c r="V69" s="70">
        <f>SUM(AL69:AO69)</f>
        <v>211.57</v>
      </c>
      <c r="W69" s="70">
        <f>SUM(AM69:AO69)</f>
        <v>144.73</v>
      </c>
      <c r="X69" s="70">
        <f>SUM(AN69:AO69)</f>
        <v>0</v>
      </c>
      <c r="Y69" s="70">
        <f>SUM(AO69:AO69)</f>
        <v>0</v>
      </c>
      <c r="Z69" s="75"/>
      <c r="AA69" s="75"/>
      <c r="AB69" s="22"/>
      <c r="AC69" s="22"/>
      <c r="AD69" s="13"/>
      <c r="AE69" s="22"/>
      <c r="AF69" s="22"/>
      <c r="AG69" s="104">
        <v>85.49</v>
      </c>
      <c r="AH69" s="104">
        <v>124.02</v>
      </c>
      <c r="AI69" s="104">
        <v>124.02</v>
      </c>
      <c r="AJ69" s="104">
        <v>114.37</v>
      </c>
      <c r="AK69" s="109">
        <v>84.37</v>
      </c>
      <c r="AL69" s="109">
        <v>66.84</v>
      </c>
      <c r="AM69" s="115">
        <v>144.73</v>
      </c>
      <c r="AN69" s="115">
        <v>0</v>
      </c>
      <c r="AO69" s="144">
        <v>0</v>
      </c>
      <c r="AP69" s="143">
        <v>11.13</v>
      </c>
      <c r="AQ69" s="150"/>
      <c r="AR69" s="140"/>
    </row>
    <row r="70" ht="13.85" spans="1:44">
      <c r="A70" s="22"/>
      <c r="B70" s="22"/>
      <c r="C70" s="22"/>
      <c r="D70" s="22"/>
      <c r="E70" s="13"/>
      <c r="F70" s="22"/>
      <c r="G70" s="22"/>
      <c r="H70" s="22"/>
      <c r="I70" s="22"/>
      <c r="J70" s="22"/>
      <c r="K70" s="22"/>
      <c r="L70" s="22"/>
      <c r="M70" s="55" t="s">
        <v>3495</v>
      </c>
      <c r="N70" s="59">
        <f t="shared" ref="N70:Y70" si="52">N66-N67</f>
        <v>29507.32</v>
      </c>
      <c r="O70" s="57">
        <f t="shared" si="52"/>
        <v>24022.63</v>
      </c>
      <c r="P70" s="58">
        <f t="shared" si="52"/>
        <v>6379.69</v>
      </c>
      <c r="Q70" s="57">
        <f t="shared" si="52"/>
        <v>17642.94</v>
      </c>
      <c r="R70" s="57">
        <f t="shared" si="52"/>
        <v>81381.56</v>
      </c>
      <c r="S70" s="68">
        <f t="shared" si="52"/>
        <v>81381.56</v>
      </c>
      <c r="T70" s="68">
        <f t="shared" si="52"/>
        <v>72346.74</v>
      </c>
      <c r="U70" s="57">
        <f t="shared" si="52"/>
        <v>44261.6</v>
      </c>
      <c r="V70" s="57">
        <f t="shared" si="52"/>
        <v>27847.34</v>
      </c>
      <c r="W70" s="57">
        <f t="shared" si="52"/>
        <v>16836.68</v>
      </c>
      <c r="X70" s="57">
        <f t="shared" si="52"/>
        <v>10065.18</v>
      </c>
      <c r="Y70" s="57">
        <f t="shared" si="52"/>
        <v>4395.8</v>
      </c>
      <c r="Z70" s="75"/>
      <c r="AA70" s="75"/>
      <c r="AB70" s="22"/>
      <c r="AC70" s="22"/>
      <c r="AD70" s="13"/>
      <c r="AE70" s="22"/>
      <c r="AF70" s="22"/>
      <c r="AG70" s="57">
        <f t="shared" ref="AG70:AO70" si="53">AG66-AG67</f>
        <v>-63738.62</v>
      </c>
      <c r="AH70" s="57">
        <f t="shared" si="53"/>
        <v>0</v>
      </c>
      <c r="AI70" s="57">
        <f t="shared" si="53"/>
        <v>9034.82</v>
      </c>
      <c r="AJ70" s="57">
        <f t="shared" si="53"/>
        <v>28085.14</v>
      </c>
      <c r="AK70" s="57">
        <f t="shared" si="53"/>
        <v>16414.26</v>
      </c>
      <c r="AL70" s="57">
        <f t="shared" si="53"/>
        <v>11010.66</v>
      </c>
      <c r="AM70" s="57">
        <f t="shared" si="53"/>
        <v>6771.5</v>
      </c>
      <c r="AN70" s="57">
        <f t="shared" si="53"/>
        <v>5669.38</v>
      </c>
      <c r="AO70" s="57">
        <f t="shared" si="53"/>
        <v>4395.8</v>
      </c>
      <c r="AP70" s="57">
        <v>361363.579</v>
      </c>
      <c r="AQ70" s="57">
        <f>AQ66-AQ67</f>
        <v>0</v>
      </c>
      <c r="AR70" s="140"/>
    </row>
    <row r="71" ht="13.85" spans="1:44">
      <c r="A71" s="22"/>
      <c r="B71" s="22"/>
      <c r="C71" s="22"/>
      <c r="D71" s="22"/>
      <c r="E71" s="13"/>
      <c r="F71" s="22"/>
      <c r="G71" s="22"/>
      <c r="H71" s="22"/>
      <c r="I71" s="22"/>
      <c r="J71" s="22"/>
      <c r="K71" s="22"/>
      <c r="L71" s="22"/>
      <c r="M71" s="60" t="s">
        <v>3496</v>
      </c>
      <c r="N71" s="61">
        <f t="shared" ref="N71:Y71" si="54">N70/N66</f>
        <v>0.226979384615385</v>
      </c>
      <c r="O71" s="62">
        <f t="shared" si="54"/>
        <v>0.300062104306756</v>
      </c>
      <c r="P71" s="61">
        <f t="shared" si="54"/>
        <v>0.183588359932397</v>
      </c>
      <c r="Q71" s="62">
        <f t="shared" si="54"/>
        <v>0.389392456976986</v>
      </c>
      <c r="R71" s="62">
        <f t="shared" si="54"/>
        <v>1</v>
      </c>
      <c r="S71" s="69">
        <f t="shared" si="54"/>
        <v>1</v>
      </c>
      <c r="T71" s="69">
        <f t="shared" si="54"/>
        <v>1</v>
      </c>
      <c r="U71" s="62">
        <f t="shared" si="54"/>
        <v>1</v>
      </c>
      <c r="V71" s="62">
        <f t="shared" si="54"/>
        <v>1</v>
      </c>
      <c r="W71" s="62">
        <f t="shared" si="54"/>
        <v>1</v>
      </c>
      <c r="X71" s="62">
        <f t="shared" si="54"/>
        <v>1</v>
      </c>
      <c r="Y71" s="62">
        <f t="shared" si="54"/>
        <v>1</v>
      </c>
      <c r="Z71" s="82">
        <f>O71-N71</f>
        <v>0.0730827196913717</v>
      </c>
      <c r="AA71" s="82">
        <f>R71-N71</f>
        <v>0.773020615384615</v>
      </c>
      <c r="AB71" s="22"/>
      <c r="AC71" s="22"/>
      <c r="AD71" s="13"/>
      <c r="AE71" s="22"/>
      <c r="AF71" s="22"/>
      <c r="AG71" s="113">
        <f t="shared" ref="AG71:AO71" si="55">AG70/AG66</f>
        <v>1.76695043643844</v>
      </c>
      <c r="AH71" s="113" t="e">
        <f t="shared" si="55"/>
        <v>#DIV/0!</v>
      </c>
      <c r="AI71" s="113">
        <f t="shared" si="55"/>
        <v>1</v>
      </c>
      <c r="AJ71" s="113">
        <f t="shared" si="55"/>
        <v>1</v>
      </c>
      <c r="AK71" s="113">
        <f t="shared" si="55"/>
        <v>1</v>
      </c>
      <c r="AL71" s="113">
        <f t="shared" si="55"/>
        <v>1</v>
      </c>
      <c r="AM71" s="62">
        <f t="shared" si="55"/>
        <v>1</v>
      </c>
      <c r="AN71" s="62">
        <f t="shared" si="55"/>
        <v>1</v>
      </c>
      <c r="AO71" s="62">
        <f t="shared" si="55"/>
        <v>1</v>
      </c>
      <c r="AP71" s="62">
        <v>0.283362651163011</v>
      </c>
      <c r="AQ71" s="62" t="e">
        <f>AQ70/AQ66</f>
        <v>#DIV/0!</v>
      </c>
      <c r="AR71" s="140"/>
    </row>
    <row r="72" ht="13.85" spans="1:44">
      <c r="A72" s="22"/>
      <c r="B72" s="22"/>
      <c r="C72" s="22"/>
      <c r="D72" s="22"/>
      <c r="E72" s="13"/>
      <c r="F72" s="22"/>
      <c r="G72" s="22"/>
      <c r="H72" s="22"/>
      <c r="I72" s="22"/>
      <c r="J72" s="22"/>
      <c r="K72" s="22"/>
      <c r="L72" s="22"/>
      <c r="M72" s="55" t="s">
        <v>3497</v>
      </c>
      <c r="N72" s="58">
        <f t="shared" ref="N72:Y72" si="56">N66-N67-N68-N69</f>
        <v>29507.32</v>
      </c>
      <c r="O72" s="57">
        <f t="shared" si="56"/>
        <v>23267.66</v>
      </c>
      <c r="P72" s="58">
        <f t="shared" si="56"/>
        <v>6368.56</v>
      </c>
      <c r="Q72" s="57">
        <f t="shared" si="56"/>
        <v>16899.1</v>
      </c>
      <c r="R72" s="57">
        <f t="shared" si="56"/>
        <v>80723.21</v>
      </c>
      <c r="S72" s="68">
        <f t="shared" si="56"/>
        <v>80847.23</v>
      </c>
      <c r="T72" s="68">
        <f t="shared" si="56"/>
        <v>71936.43</v>
      </c>
      <c r="U72" s="57">
        <f t="shared" si="56"/>
        <v>43965.66</v>
      </c>
      <c r="V72" s="57">
        <f t="shared" si="56"/>
        <v>27635.77</v>
      </c>
      <c r="W72" s="57">
        <f t="shared" si="56"/>
        <v>16691.95</v>
      </c>
      <c r="X72" s="57">
        <f t="shared" si="56"/>
        <v>10065.18</v>
      </c>
      <c r="Y72" s="57">
        <f t="shared" si="56"/>
        <v>4395.8</v>
      </c>
      <c r="Z72" s="82"/>
      <c r="AA72" s="82"/>
      <c r="AB72" s="22"/>
      <c r="AC72" s="22"/>
      <c r="AD72" s="13"/>
      <c r="AE72" s="22"/>
      <c r="AF72" s="22"/>
      <c r="AG72" s="57">
        <f t="shared" ref="AG72:AO72" si="57">AG66-AG67-AG68-AG69</f>
        <v>-63824.11</v>
      </c>
      <c r="AH72" s="57">
        <f t="shared" si="57"/>
        <v>-124.02</v>
      </c>
      <c r="AI72" s="57">
        <f t="shared" si="57"/>
        <v>8910.8</v>
      </c>
      <c r="AJ72" s="57">
        <f t="shared" si="57"/>
        <v>27970.77</v>
      </c>
      <c r="AK72" s="57">
        <f t="shared" si="57"/>
        <v>16329.89</v>
      </c>
      <c r="AL72" s="57">
        <f t="shared" si="57"/>
        <v>10943.82</v>
      </c>
      <c r="AM72" s="57">
        <f t="shared" si="57"/>
        <v>6626.77</v>
      </c>
      <c r="AN72" s="57">
        <f t="shared" si="57"/>
        <v>5669.38</v>
      </c>
      <c r="AO72" s="57">
        <f t="shared" si="57"/>
        <v>4395.8</v>
      </c>
      <c r="AP72" s="57">
        <v>360137.679</v>
      </c>
      <c r="AQ72" s="57">
        <f>AQ66-AQ67-AQ68-AQ69</f>
        <v>0</v>
      </c>
      <c r="AR72" s="140"/>
    </row>
    <row r="73" ht="14.6" spans="1:44">
      <c r="A73" s="24"/>
      <c r="B73" s="24"/>
      <c r="C73" s="24"/>
      <c r="D73" s="24"/>
      <c r="E73" s="14"/>
      <c r="F73" s="24"/>
      <c r="G73" s="24"/>
      <c r="H73" s="24"/>
      <c r="I73" s="24"/>
      <c r="J73" s="24"/>
      <c r="K73" s="24"/>
      <c r="L73" s="24"/>
      <c r="M73" s="60" t="s">
        <v>3498</v>
      </c>
      <c r="N73" s="61">
        <f t="shared" ref="N73:Y73" si="58">N72/N66</f>
        <v>0.226979384615385</v>
      </c>
      <c r="O73" s="62">
        <f t="shared" si="58"/>
        <v>0.29063191756665</v>
      </c>
      <c r="P73" s="61">
        <f t="shared" si="58"/>
        <v>0.183268071886105</v>
      </c>
      <c r="Q73" s="62">
        <f t="shared" si="58"/>
        <v>0.372975369734284</v>
      </c>
      <c r="R73" s="62">
        <f t="shared" si="58"/>
        <v>0.991910329563601</v>
      </c>
      <c r="S73" s="69">
        <f t="shared" si="58"/>
        <v>0.993434262012181</v>
      </c>
      <c r="T73" s="69">
        <f t="shared" si="58"/>
        <v>0.994328562696813</v>
      </c>
      <c r="U73" s="62">
        <f t="shared" si="58"/>
        <v>0.993313843150722</v>
      </c>
      <c r="V73" s="62">
        <f t="shared" si="58"/>
        <v>0.992402505948504</v>
      </c>
      <c r="W73" s="62">
        <f t="shared" si="58"/>
        <v>0.991403887227173</v>
      </c>
      <c r="X73" s="62">
        <f t="shared" si="58"/>
        <v>1</v>
      </c>
      <c r="Y73" s="62">
        <f t="shared" si="58"/>
        <v>1</v>
      </c>
      <c r="Z73" s="82">
        <f>O73-N73</f>
        <v>0.0636525329512657</v>
      </c>
      <c r="AA73" s="82">
        <f>R73-N73</f>
        <v>0.764930944948217</v>
      </c>
      <c r="AB73" s="24"/>
      <c r="AC73" s="24"/>
      <c r="AD73" s="14"/>
      <c r="AE73" s="24"/>
      <c r="AF73" s="24"/>
      <c r="AG73" s="113">
        <f t="shared" ref="AG73:AO73" si="59">AG72/AG66</f>
        <v>1.76932037467701</v>
      </c>
      <c r="AH73" s="113" t="e">
        <f t="shared" si="59"/>
        <v>#DIV/0!</v>
      </c>
      <c r="AI73" s="113">
        <f t="shared" si="59"/>
        <v>0.986273107820632</v>
      </c>
      <c r="AJ73" s="113">
        <f t="shared" si="59"/>
        <v>0.995927739722857</v>
      </c>
      <c r="AK73" s="113">
        <f t="shared" si="59"/>
        <v>0.994859957134833</v>
      </c>
      <c r="AL73" s="113">
        <f t="shared" si="59"/>
        <v>0.993929519211382</v>
      </c>
      <c r="AM73" s="62">
        <f t="shared" si="59"/>
        <v>0.978626596765857</v>
      </c>
      <c r="AN73" s="62">
        <f t="shared" si="59"/>
        <v>1</v>
      </c>
      <c r="AO73" s="62">
        <f t="shared" si="59"/>
        <v>1</v>
      </c>
      <c r="AP73" s="62">
        <v>0.282401363711126</v>
      </c>
      <c r="AQ73" s="62" t="e">
        <f>AQ72/AQ66</f>
        <v>#DIV/0!</v>
      </c>
      <c r="AR73" s="163"/>
    </row>
    <row r="74" ht="13.85" spans="1:44">
      <c r="A74" s="157" t="s">
        <v>2273</v>
      </c>
      <c r="B74" s="158" t="s">
        <v>3513</v>
      </c>
      <c r="C74" s="159">
        <v>45809</v>
      </c>
      <c r="D74" s="159">
        <v>46234</v>
      </c>
      <c r="E74" s="160" t="s">
        <v>3683</v>
      </c>
      <c r="F74" s="161"/>
      <c r="G74" s="161"/>
      <c r="H74" s="161"/>
      <c r="I74" s="161"/>
      <c r="J74" s="161" t="s">
        <v>3686</v>
      </c>
      <c r="K74" s="161" t="s">
        <v>3684</v>
      </c>
      <c r="L74" s="161" t="s">
        <v>3485</v>
      </c>
      <c r="M74" s="55" t="s">
        <v>3486</v>
      </c>
      <c r="N74" s="56">
        <v>424528.3</v>
      </c>
      <c r="O74" s="57">
        <f>SUM(AG74:AQ74)</f>
        <v>204326.82</v>
      </c>
      <c r="P74" s="58">
        <f>SUM(AP74:AQ74)</f>
        <v>0</v>
      </c>
      <c r="Q74" s="70">
        <f>SUM(AG74:AO74)</f>
        <v>204326.82</v>
      </c>
      <c r="R74" s="70">
        <f>SUM(AH74:AO74)</f>
        <v>193886.52</v>
      </c>
      <c r="S74" s="66">
        <f>SUM(AI74:AO74)</f>
        <v>142758.57</v>
      </c>
      <c r="T74" s="66">
        <f>SUM(AJ74:AO74)</f>
        <v>77833.11</v>
      </c>
      <c r="U74" s="70">
        <f>SUM(AK74:AO74)</f>
        <v>0</v>
      </c>
      <c r="V74" s="70">
        <f>SUM(AL74:AO74)</f>
        <v>0</v>
      </c>
      <c r="W74" s="70">
        <f>SUM(AM74:AO74)</f>
        <v>0</v>
      </c>
      <c r="X74" s="70">
        <f>SUM(AN74:AO74)</f>
        <v>0</v>
      </c>
      <c r="Y74" s="70">
        <f>SUM(AO74:AO74)</f>
        <v>0</v>
      </c>
      <c r="Z74" s="75"/>
      <c r="AA74" s="75"/>
      <c r="AB74" s="96"/>
      <c r="AC74" s="99"/>
      <c r="AD74" s="93"/>
      <c r="AE74" s="96"/>
      <c r="AF74" s="94"/>
      <c r="AG74" s="104">
        <v>10440.3</v>
      </c>
      <c r="AH74" s="104">
        <v>51127.95</v>
      </c>
      <c r="AI74" s="104">
        <v>64925.46</v>
      </c>
      <c r="AJ74" s="104">
        <v>77833.11</v>
      </c>
      <c r="AK74" s="104"/>
      <c r="AL74" s="105"/>
      <c r="AM74" s="114"/>
      <c r="AN74" s="114"/>
      <c r="AO74" s="114"/>
      <c r="AP74" s="164"/>
      <c r="AQ74" s="155"/>
      <c r="AR74" s="140"/>
    </row>
    <row r="75" ht="13.85" spans="1:44">
      <c r="A75" s="22"/>
      <c r="B75" s="22"/>
      <c r="C75" s="22"/>
      <c r="D75" s="22"/>
      <c r="E75" s="13"/>
      <c r="F75" s="22"/>
      <c r="G75" s="22"/>
      <c r="H75" s="22"/>
      <c r="I75" s="22"/>
      <c r="J75" s="22"/>
      <c r="K75" s="22"/>
      <c r="L75" s="22"/>
      <c r="M75" s="55" t="s">
        <v>3490</v>
      </c>
      <c r="N75" s="56">
        <v>329106</v>
      </c>
      <c r="O75" s="57">
        <f>SUM(AG75:AQ75)</f>
        <v>215565.88</v>
      </c>
      <c r="P75" s="58">
        <f>SUM(AP75:AQ75)</f>
        <v>0</v>
      </c>
      <c r="Q75" s="70">
        <f>SUM(AG75:AO75)</f>
        <v>215565.88</v>
      </c>
      <c r="R75" s="70">
        <f>SUM(AH75:AO75)</f>
        <v>215565.88</v>
      </c>
      <c r="S75" s="66">
        <f>SUM(AI75:AO75)</f>
        <v>143778.21</v>
      </c>
      <c r="T75" s="66">
        <f>SUM(AJ75:AO75)</f>
        <v>71775.4</v>
      </c>
      <c r="U75" s="70">
        <f>SUM(AK75:AO75)</f>
        <v>0</v>
      </c>
      <c r="V75" s="70">
        <f>SUM(AL75:AO75)</f>
        <v>0</v>
      </c>
      <c r="W75" s="70">
        <f>SUM(AM75:AO75)</f>
        <v>0</v>
      </c>
      <c r="X75" s="70">
        <f>SUM(AN75:AO75)</f>
        <v>0</v>
      </c>
      <c r="Y75" s="70">
        <f>SUM(AO75:AO75)</f>
        <v>0</v>
      </c>
      <c r="Z75" s="75"/>
      <c r="AA75" s="75"/>
      <c r="AB75" s="22"/>
      <c r="AC75" s="22"/>
      <c r="AD75" s="13"/>
      <c r="AE75" s="22"/>
      <c r="AF75" s="22"/>
      <c r="AG75" s="108">
        <v>0</v>
      </c>
      <c r="AH75" s="108">
        <v>71787.67</v>
      </c>
      <c r="AI75" s="108">
        <v>72002.81</v>
      </c>
      <c r="AJ75" s="108">
        <v>71775.4</v>
      </c>
      <c r="AK75" s="115"/>
      <c r="AL75" s="115"/>
      <c r="AM75" s="115"/>
      <c r="AN75" s="115"/>
      <c r="AO75" s="115"/>
      <c r="AP75" s="145"/>
      <c r="AQ75" s="150"/>
      <c r="AR75" s="140"/>
    </row>
    <row r="76" ht="13.85" spans="1:44">
      <c r="A76" s="22"/>
      <c r="B76" s="22"/>
      <c r="C76" s="22"/>
      <c r="D76" s="22"/>
      <c r="E76" s="13"/>
      <c r="F76" s="22"/>
      <c r="G76" s="22"/>
      <c r="H76" s="22"/>
      <c r="I76" s="22"/>
      <c r="J76" s="22"/>
      <c r="K76" s="22"/>
      <c r="L76" s="22"/>
      <c r="M76" s="55" t="s">
        <v>3492</v>
      </c>
      <c r="N76" s="56">
        <v>9000</v>
      </c>
      <c r="O76" s="57">
        <f>SUM(AG76:AQ76)</f>
        <v>0</v>
      </c>
      <c r="P76" s="58">
        <f>SUM(AP76:AQ76)</f>
        <v>0</v>
      </c>
      <c r="Q76" s="70">
        <f>SUM(AG76:AO76)</f>
        <v>0</v>
      </c>
      <c r="R76" s="70">
        <f>SUM(AH76:AO76)</f>
        <v>0</v>
      </c>
      <c r="S76" s="66">
        <f>SUM(AI76:AO76)</f>
        <v>0</v>
      </c>
      <c r="T76" s="66">
        <f>SUM(AJ76:AO76)</f>
        <v>0</v>
      </c>
      <c r="U76" s="70">
        <f>SUM(AK76:AO76)</f>
        <v>0</v>
      </c>
      <c r="V76" s="70">
        <f>SUM(AL76:AO76)</f>
        <v>0</v>
      </c>
      <c r="W76" s="70">
        <f>SUM(AM76:AO76)</f>
        <v>0</v>
      </c>
      <c r="X76" s="70">
        <f>SUM(AN76:AO76)</f>
        <v>0</v>
      </c>
      <c r="Y76" s="70">
        <f>SUM(AO76:AO76)</f>
        <v>0</v>
      </c>
      <c r="Z76" s="75"/>
      <c r="AA76" s="75"/>
      <c r="AB76" s="22"/>
      <c r="AC76" s="22"/>
      <c r="AD76" s="13"/>
      <c r="AE76" s="22"/>
      <c r="AF76" s="22"/>
      <c r="AG76" s="110">
        <v>0</v>
      </c>
      <c r="AH76" s="110">
        <v>0</v>
      </c>
      <c r="AI76" s="111">
        <v>0</v>
      </c>
      <c r="AJ76" s="111">
        <v>0</v>
      </c>
      <c r="AK76" s="115"/>
      <c r="AL76" s="115"/>
      <c r="AM76" s="115"/>
      <c r="AN76" s="115"/>
      <c r="AO76" s="115"/>
      <c r="AP76" s="115"/>
      <c r="AQ76" s="142"/>
      <c r="AR76" s="140"/>
    </row>
    <row r="77" ht="13.85" spans="1:44">
      <c r="A77" s="22"/>
      <c r="B77" s="22"/>
      <c r="C77" s="22"/>
      <c r="D77" s="22"/>
      <c r="E77" s="13"/>
      <c r="F77" s="22"/>
      <c r="G77" s="22"/>
      <c r="H77" s="22"/>
      <c r="I77" s="22"/>
      <c r="J77" s="22"/>
      <c r="K77" s="22"/>
      <c r="L77" s="22"/>
      <c r="M77" s="55" t="s">
        <v>3493</v>
      </c>
      <c r="N77" s="56">
        <v>9000</v>
      </c>
      <c r="O77" s="57">
        <f>SUM(AG77:AQ77)</f>
        <v>660.91</v>
      </c>
      <c r="P77" s="58">
        <f>SUM(AP77:AQ77)</f>
        <v>0</v>
      </c>
      <c r="Q77" s="70">
        <f>SUM(AG77:AO77)</f>
        <v>660.91</v>
      </c>
      <c r="R77" s="70">
        <f>SUM(AH77:AO77)</f>
        <v>442.68</v>
      </c>
      <c r="S77" s="66">
        <f>SUM(AI77:AO77)</f>
        <v>235.6</v>
      </c>
      <c r="T77" s="66">
        <f>SUM(AJ77:AO77)</f>
        <v>83.13</v>
      </c>
      <c r="U77" s="70">
        <f>SUM(AK77:AO77)</f>
        <v>0</v>
      </c>
      <c r="V77" s="70">
        <f>SUM(AL77:AO77)</f>
        <v>0</v>
      </c>
      <c r="W77" s="70">
        <f>SUM(AM77:AO77)</f>
        <v>0</v>
      </c>
      <c r="X77" s="70">
        <f>SUM(AN77:AO77)</f>
        <v>0</v>
      </c>
      <c r="Y77" s="70">
        <f>SUM(AO77:AO77)</f>
        <v>0</v>
      </c>
      <c r="Z77" s="75"/>
      <c r="AA77" s="75"/>
      <c r="AB77" s="22"/>
      <c r="AC77" s="22"/>
      <c r="AD77" s="13"/>
      <c r="AE77" s="22"/>
      <c r="AF77" s="22"/>
      <c r="AG77" s="104">
        <v>218.23</v>
      </c>
      <c r="AH77" s="104">
        <v>207.08</v>
      </c>
      <c r="AI77" s="104">
        <v>152.47</v>
      </c>
      <c r="AJ77" s="104">
        <v>83.13</v>
      </c>
      <c r="AK77" s="109"/>
      <c r="AL77" s="109"/>
      <c r="AM77" s="115"/>
      <c r="AN77" s="115"/>
      <c r="AO77" s="144"/>
      <c r="AP77" s="143"/>
      <c r="AQ77" s="150"/>
      <c r="AR77" s="140"/>
    </row>
    <row r="78" ht="13.85" spans="1:44">
      <c r="A78" s="22"/>
      <c r="B78" s="22"/>
      <c r="C78" s="22"/>
      <c r="D78" s="22"/>
      <c r="E78" s="13"/>
      <c r="F78" s="22"/>
      <c r="G78" s="22"/>
      <c r="H78" s="22"/>
      <c r="I78" s="22"/>
      <c r="J78" s="22"/>
      <c r="K78" s="22"/>
      <c r="L78" s="22"/>
      <c r="M78" s="55" t="s">
        <v>3495</v>
      </c>
      <c r="N78" s="59">
        <f t="shared" ref="N78:Y78" si="60">N74-N75</f>
        <v>95422.3</v>
      </c>
      <c r="O78" s="57">
        <f t="shared" si="60"/>
        <v>-11239.06</v>
      </c>
      <c r="P78" s="58">
        <f t="shared" si="60"/>
        <v>0</v>
      </c>
      <c r="Q78" s="57">
        <f t="shared" si="60"/>
        <v>-11239.06</v>
      </c>
      <c r="R78" s="57">
        <f t="shared" si="60"/>
        <v>-21679.36</v>
      </c>
      <c r="S78" s="68">
        <f t="shared" si="60"/>
        <v>-1019.63999999998</v>
      </c>
      <c r="T78" s="68">
        <f t="shared" si="60"/>
        <v>6057.71000000001</v>
      </c>
      <c r="U78" s="57">
        <f t="shared" si="60"/>
        <v>0</v>
      </c>
      <c r="V78" s="57">
        <f t="shared" si="60"/>
        <v>0</v>
      </c>
      <c r="W78" s="57">
        <f t="shared" si="60"/>
        <v>0</v>
      </c>
      <c r="X78" s="57">
        <f t="shared" si="60"/>
        <v>0</v>
      </c>
      <c r="Y78" s="57">
        <f t="shared" si="60"/>
        <v>0</v>
      </c>
      <c r="Z78" s="75"/>
      <c r="AA78" s="75"/>
      <c r="AB78" s="22"/>
      <c r="AC78" s="22"/>
      <c r="AD78" s="13"/>
      <c r="AE78" s="22"/>
      <c r="AF78" s="22"/>
      <c r="AG78" s="57">
        <f t="shared" ref="AG78:AO78" si="61">AG74-AG75</f>
        <v>10440.3</v>
      </c>
      <c r="AH78" s="57">
        <f t="shared" si="61"/>
        <v>-20659.72</v>
      </c>
      <c r="AI78" s="57">
        <f t="shared" si="61"/>
        <v>-7077.35</v>
      </c>
      <c r="AJ78" s="57">
        <f t="shared" si="61"/>
        <v>6057.71000000001</v>
      </c>
      <c r="AK78" s="57">
        <f t="shared" si="61"/>
        <v>0</v>
      </c>
      <c r="AL78" s="57">
        <f t="shared" si="61"/>
        <v>0</v>
      </c>
      <c r="AM78" s="57">
        <f t="shared" si="61"/>
        <v>0</v>
      </c>
      <c r="AN78" s="57">
        <f t="shared" si="61"/>
        <v>0</v>
      </c>
      <c r="AO78" s="57">
        <f t="shared" si="61"/>
        <v>0</v>
      </c>
      <c r="AP78" s="57">
        <v>361363.579</v>
      </c>
      <c r="AQ78" s="57">
        <f>AQ74-AQ75</f>
        <v>0</v>
      </c>
      <c r="AR78" s="140"/>
    </row>
    <row r="79" ht="13.85" spans="1:44">
      <c r="A79" s="22"/>
      <c r="B79" s="22"/>
      <c r="C79" s="22"/>
      <c r="D79" s="22"/>
      <c r="E79" s="13"/>
      <c r="F79" s="22"/>
      <c r="G79" s="22"/>
      <c r="H79" s="22"/>
      <c r="I79" s="22"/>
      <c r="J79" s="22"/>
      <c r="K79" s="22"/>
      <c r="L79" s="22"/>
      <c r="M79" s="60" t="s">
        <v>3496</v>
      </c>
      <c r="N79" s="61">
        <f t="shared" ref="N79:Y79" si="62">N78/N74</f>
        <v>0.224772529887878</v>
      </c>
      <c r="O79" s="62">
        <f t="shared" si="62"/>
        <v>-0.0550053096309137</v>
      </c>
      <c r="P79" s="61" t="e">
        <f t="shared" si="62"/>
        <v>#DIV/0!</v>
      </c>
      <c r="Q79" s="62">
        <f t="shared" si="62"/>
        <v>-0.0550053096309137</v>
      </c>
      <c r="R79" s="62">
        <f t="shared" si="62"/>
        <v>-0.111814684177115</v>
      </c>
      <c r="S79" s="69">
        <f t="shared" si="62"/>
        <v>-0.00714240833317387</v>
      </c>
      <c r="T79" s="69">
        <f t="shared" si="62"/>
        <v>0.077829473857591</v>
      </c>
      <c r="U79" s="62" t="e">
        <f t="shared" si="62"/>
        <v>#DIV/0!</v>
      </c>
      <c r="V79" s="62" t="e">
        <f t="shared" si="62"/>
        <v>#DIV/0!</v>
      </c>
      <c r="W79" s="62" t="e">
        <f t="shared" si="62"/>
        <v>#DIV/0!</v>
      </c>
      <c r="X79" s="62" t="e">
        <f t="shared" si="62"/>
        <v>#DIV/0!</v>
      </c>
      <c r="Y79" s="62" t="e">
        <f t="shared" si="62"/>
        <v>#DIV/0!</v>
      </c>
      <c r="Z79" s="82">
        <f>O79-N79</f>
        <v>-0.279777839518792</v>
      </c>
      <c r="AA79" s="82">
        <f>R79-N79</f>
        <v>-0.336587214064993</v>
      </c>
      <c r="AB79" s="22"/>
      <c r="AC79" s="22"/>
      <c r="AD79" s="13"/>
      <c r="AE79" s="22"/>
      <c r="AF79" s="22"/>
      <c r="AG79" s="113">
        <f t="shared" ref="AG79:AO79" si="63">AG78/AG74</f>
        <v>1</v>
      </c>
      <c r="AH79" s="113">
        <f t="shared" si="63"/>
        <v>-0.404078786651919</v>
      </c>
      <c r="AI79" s="113">
        <f t="shared" si="63"/>
        <v>-0.109007313925847</v>
      </c>
      <c r="AJ79" s="113">
        <f t="shared" si="63"/>
        <v>0.077829473857591</v>
      </c>
      <c r="AK79" s="113" t="e">
        <f t="shared" si="63"/>
        <v>#DIV/0!</v>
      </c>
      <c r="AL79" s="113" t="e">
        <f t="shared" si="63"/>
        <v>#DIV/0!</v>
      </c>
      <c r="AM79" s="62" t="e">
        <f t="shared" si="63"/>
        <v>#DIV/0!</v>
      </c>
      <c r="AN79" s="62" t="e">
        <f t="shared" si="63"/>
        <v>#DIV/0!</v>
      </c>
      <c r="AO79" s="62" t="e">
        <f t="shared" si="63"/>
        <v>#DIV/0!</v>
      </c>
      <c r="AP79" s="62">
        <v>0.283362651163011</v>
      </c>
      <c r="AQ79" s="62" t="e">
        <f>AQ78/AQ74</f>
        <v>#DIV/0!</v>
      </c>
      <c r="AR79" s="140"/>
    </row>
    <row r="80" ht="13.85" spans="1:44">
      <c r="A80" s="22"/>
      <c r="B80" s="22"/>
      <c r="C80" s="22"/>
      <c r="D80" s="22"/>
      <c r="E80" s="13"/>
      <c r="F80" s="22"/>
      <c r="G80" s="22"/>
      <c r="H80" s="22"/>
      <c r="I80" s="22"/>
      <c r="J80" s="22"/>
      <c r="K80" s="22"/>
      <c r="L80" s="22"/>
      <c r="M80" s="55" t="s">
        <v>3497</v>
      </c>
      <c r="N80" s="58">
        <f t="shared" ref="N80:Y80" si="64">N74-N75-N76-N77</f>
        <v>77422.3</v>
      </c>
      <c r="O80" s="57">
        <f t="shared" si="64"/>
        <v>-11899.97</v>
      </c>
      <c r="P80" s="58">
        <f t="shared" si="64"/>
        <v>0</v>
      </c>
      <c r="Q80" s="57">
        <f t="shared" si="64"/>
        <v>-11899.97</v>
      </c>
      <c r="R80" s="57">
        <f t="shared" si="64"/>
        <v>-22122.04</v>
      </c>
      <c r="S80" s="68">
        <f t="shared" si="64"/>
        <v>-1255.23999999998</v>
      </c>
      <c r="T80" s="68">
        <f t="shared" si="64"/>
        <v>5974.58000000001</v>
      </c>
      <c r="U80" s="57">
        <f t="shared" si="64"/>
        <v>0</v>
      </c>
      <c r="V80" s="57">
        <f t="shared" si="64"/>
        <v>0</v>
      </c>
      <c r="W80" s="57">
        <f t="shared" si="64"/>
        <v>0</v>
      </c>
      <c r="X80" s="57">
        <f t="shared" si="64"/>
        <v>0</v>
      </c>
      <c r="Y80" s="57">
        <f t="shared" si="64"/>
        <v>0</v>
      </c>
      <c r="Z80" s="82"/>
      <c r="AA80" s="82"/>
      <c r="AB80" s="22"/>
      <c r="AC80" s="22"/>
      <c r="AD80" s="13"/>
      <c r="AE80" s="22"/>
      <c r="AF80" s="22"/>
      <c r="AG80" s="57">
        <f t="shared" ref="AG80:AO80" si="65">AG74-AG75-AG76-AG77</f>
        <v>10222.07</v>
      </c>
      <c r="AH80" s="57">
        <f t="shared" si="65"/>
        <v>-20866.8</v>
      </c>
      <c r="AI80" s="57">
        <f t="shared" si="65"/>
        <v>-7229.82</v>
      </c>
      <c r="AJ80" s="57">
        <f t="shared" si="65"/>
        <v>5974.58000000001</v>
      </c>
      <c r="AK80" s="57">
        <f t="shared" si="65"/>
        <v>0</v>
      </c>
      <c r="AL80" s="57">
        <f t="shared" si="65"/>
        <v>0</v>
      </c>
      <c r="AM80" s="57">
        <f t="shared" si="65"/>
        <v>0</v>
      </c>
      <c r="AN80" s="57">
        <f t="shared" si="65"/>
        <v>0</v>
      </c>
      <c r="AO80" s="57">
        <f t="shared" si="65"/>
        <v>0</v>
      </c>
      <c r="AP80" s="57">
        <v>360137.679</v>
      </c>
      <c r="AQ80" s="57">
        <f>AQ74-AQ75-AQ76-AQ77</f>
        <v>0</v>
      </c>
      <c r="AR80" s="140"/>
    </row>
    <row r="81" ht="14.6" spans="1:44">
      <c r="A81" s="24"/>
      <c r="B81" s="24"/>
      <c r="C81" s="24"/>
      <c r="D81" s="24"/>
      <c r="E81" s="14"/>
      <c r="F81" s="24"/>
      <c r="G81" s="24"/>
      <c r="H81" s="24"/>
      <c r="I81" s="24"/>
      <c r="J81" s="24"/>
      <c r="K81" s="24"/>
      <c r="L81" s="24"/>
      <c r="M81" s="60" t="s">
        <v>3498</v>
      </c>
      <c r="N81" s="61">
        <f t="shared" ref="N81:Y81" si="66">N80/N74</f>
        <v>0.182372529699433</v>
      </c>
      <c r="O81" s="62">
        <f t="shared" si="66"/>
        <v>-0.0582398825567782</v>
      </c>
      <c r="P81" s="61" t="e">
        <f t="shared" si="66"/>
        <v>#DIV/0!</v>
      </c>
      <c r="Q81" s="62">
        <f t="shared" si="66"/>
        <v>-0.0582398825567782</v>
      </c>
      <c r="R81" s="62">
        <f t="shared" si="66"/>
        <v>-0.114097875396391</v>
      </c>
      <c r="S81" s="69">
        <f t="shared" si="66"/>
        <v>-0.00879274708341492</v>
      </c>
      <c r="T81" s="69">
        <f t="shared" si="66"/>
        <v>0.076761419401075</v>
      </c>
      <c r="U81" s="62" t="e">
        <f t="shared" si="66"/>
        <v>#DIV/0!</v>
      </c>
      <c r="V81" s="62" t="e">
        <f t="shared" si="66"/>
        <v>#DIV/0!</v>
      </c>
      <c r="W81" s="62" t="e">
        <f t="shared" si="66"/>
        <v>#DIV/0!</v>
      </c>
      <c r="X81" s="62" t="e">
        <f t="shared" si="66"/>
        <v>#DIV/0!</v>
      </c>
      <c r="Y81" s="62" t="e">
        <f t="shared" si="66"/>
        <v>#DIV/0!</v>
      </c>
      <c r="Z81" s="82">
        <f>O81-N81</f>
        <v>-0.240612412256212</v>
      </c>
      <c r="AA81" s="82">
        <f>R81-N81</f>
        <v>-0.296470405095825</v>
      </c>
      <c r="AB81" s="24"/>
      <c r="AC81" s="24"/>
      <c r="AD81" s="14"/>
      <c r="AE81" s="24"/>
      <c r="AF81" s="24"/>
      <c r="AG81" s="113">
        <f t="shared" ref="AG81:AO81" si="67">AG80/AG74</f>
        <v>0.979097343946055</v>
      </c>
      <c r="AH81" s="113">
        <f t="shared" si="67"/>
        <v>-0.408129017494345</v>
      </c>
      <c r="AI81" s="113">
        <f t="shared" si="67"/>
        <v>-0.111355699289616</v>
      </c>
      <c r="AJ81" s="113">
        <f t="shared" si="67"/>
        <v>0.076761419401075</v>
      </c>
      <c r="AK81" s="113" t="e">
        <f t="shared" si="67"/>
        <v>#DIV/0!</v>
      </c>
      <c r="AL81" s="113" t="e">
        <f t="shared" si="67"/>
        <v>#DIV/0!</v>
      </c>
      <c r="AM81" s="62" t="e">
        <f t="shared" si="67"/>
        <v>#DIV/0!</v>
      </c>
      <c r="AN81" s="62" t="e">
        <f t="shared" si="67"/>
        <v>#DIV/0!</v>
      </c>
      <c r="AO81" s="62" t="e">
        <f t="shared" si="67"/>
        <v>#DIV/0!</v>
      </c>
      <c r="AP81" s="62">
        <v>0.282401363711126</v>
      </c>
      <c r="AQ81" s="62" t="e">
        <f>AQ80/AQ74</f>
        <v>#DIV/0!</v>
      </c>
      <c r="AR81" s="163"/>
    </row>
    <row r="82" ht="13.85" spans="1:44">
      <c r="A82" s="157" t="s">
        <v>633</v>
      </c>
      <c r="B82" s="158" t="s">
        <v>3515</v>
      </c>
      <c r="C82" s="159">
        <v>45748</v>
      </c>
      <c r="D82" s="159">
        <v>46113</v>
      </c>
      <c r="E82" s="160"/>
      <c r="F82" s="161"/>
      <c r="G82" s="161"/>
      <c r="H82" s="161"/>
      <c r="I82" s="161"/>
      <c r="J82" s="161"/>
      <c r="K82" s="161" t="s">
        <v>3685</v>
      </c>
      <c r="L82" s="161" t="s">
        <v>3485</v>
      </c>
      <c r="M82" s="55" t="s">
        <v>3486</v>
      </c>
      <c r="N82" s="162">
        <v>55660.38</v>
      </c>
      <c r="O82" s="57">
        <f>SUM(AG82:AQ82)</f>
        <v>27180.74</v>
      </c>
      <c r="P82" s="58">
        <f>SUM(AP82:AQ82)</f>
        <v>0</v>
      </c>
      <c r="Q82" s="70">
        <f>SUM(AG82:AO82)</f>
        <v>27180.74</v>
      </c>
      <c r="R82" s="70">
        <f>SUM(AH82:AO82)</f>
        <v>0</v>
      </c>
      <c r="S82" s="66">
        <f>SUM(AI82:AO82)</f>
        <v>0</v>
      </c>
      <c r="T82" s="66">
        <f>SUM(AJ82:AO82)</f>
        <v>0</v>
      </c>
      <c r="U82" s="70">
        <f>SUM(AK82:AO82)</f>
        <v>0</v>
      </c>
      <c r="V82" s="70">
        <f>SUM(AL82:AO82)</f>
        <v>0</v>
      </c>
      <c r="W82" s="70">
        <f>SUM(AM82:AO82)</f>
        <v>0</v>
      </c>
      <c r="X82" s="70">
        <f>SUM(AN82:AO82)</f>
        <v>0</v>
      </c>
      <c r="Y82" s="70">
        <f>SUM(AO82:AO82)</f>
        <v>0</v>
      </c>
      <c r="Z82" s="75"/>
      <c r="AA82" s="75"/>
      <c r="AB82" s="96"/>
      <c r="AC82" s="99"/>
      <c r="AD82" s="93"/>
      <c r="AE82" s="96"/>
      <c r="AF82" s="94"/>
      <c r="AG82" s="104">
        <v>27180.74</v>
      </c>
      <c r="AH82" s="104"/>
      <c r="AI82" s="104"/>
      <c r="AJ82" s="104"/>
      <c r="AK82" s="104"/>
      <c r="AL82" s="105"/>
      <c r="AM82" s="114"/>
      <c r="AN82" s="114"/>
      <c r="AO82" s="114"/>
      <c r="AP82" s="164"/>
      <c r="AQ82" s="155"/>
      <c r="AR82" s="140"/>
    </row>
    <row r="83" ht="13.85" spans="1:44">
      <c r="A83" s="22"/>
      <c r="B83" s="22"/>
      <c r="C83" s="22"/>
      <c r="D83" s="22"/>
      <c r="E83" s="13"/>
      <c r="F83" s="22"/>
      <c r="G83" s="22"/>
      <c r="H83" s="22"/>
      <c r="I83" s="22"/>
      <c r="J83" s="22"/>
      <c r="K83" s="22"/>
      <c r="L83" s="22"/>
      <c r="M83" s="55" t="s">
        <v>3490</v>
      </c>
      <c r="N83" s="162">
        <v>88381.86</v>
      </c>
      <c r="O83" s="57">
        <f>SUM(AG83:AQ83)</f>
        <v>28410.76</v>
      </c>
      <c r="P83" s="58">
        <f>SUM(AP83:AQ83)</f>
        <v>0</v>
      </c>
      <c r="Q83" s="70">
        <f>SUM(AG83:AO83)</f>
        <v>28410.76</v>
      </c>
      <c r="R83" s="70">
        <f>SUM(AH83:AO83)</f>
        <v>0</v>
      </c>
      <c r="S83" s="66">
        <f>SUM(AI83:AO83)</f>
        <v>0</v>
      </c>
      <c r="T83" s="66">
        <f>SUM(AJ83:AO83)</f>
        <v>0</v>
      </c>
      <c r="U83" s="70">
        <f>SUM(AK83:AO83)</f>
        <v>0</v>
      </c>
      <c r="V83" s="70">
        <f>SUM(AL83:AO83)</f>
        <v>0</v>
      </c>
      <c r="W83" s="70">
        <f>SUM(AM83:AO83)</f>
        <v>0</v>
      </c>
      <c r="X83" s="70">
        <f>SUM(AN83:AO83)</f>
        <v>0</v>
      </c>
      <c r="Y83" s="70">
        <f>SUM(AO83:AO83)</f>
        <v>0</v>
      </c>
      <c r="Z83" s="75"/>
      <c r="AA83" s="75"/>
      <c r="AB83" s="22"/>
      <c r="AC83" s="22"/>
      <c r="AD83" s="13"/>
      <c r="AE83" s="22"/>
      <c r="AF83" s="22"/>
      <c r="AG83" s="108">
        <v>28410.76</v>
      </c>
      <c r="AH83" s="108"/>
      <c r="AI83" s="108"/>
      <c r="AJ83" s="108"/>
      <c r="AK83" s="115"/>
      <c r="AL83" s="115"/>
      <c r="AM83" s="115"/>
      <c r="AN83" s="115"/>
      <c r="AO83" s="115"/>
      <c r="AP83" s="145"/>
      <c r="AQ83" s="150"/>
      <c r="AR83" s="140"/>
    </row>
    <row r="84" ht="13.85" spans="1:44">
      <c r="A84" s="22"/>
      <c r="B84" s="22"/>
      <c r="C84" s="22"/>
      <c r="D84" s="22"/>
      <c r="E84" s="13"/>
      <c r="F84" s="22"/>
      <c r="G84" s="22"/>
      <c r="H84" s="22"/>
      <c r="I84" s="22"/>
      <c r="J84" s="22"/>
      <c r="K84" s="22"/>
      <c r="L84" s="22"/>
      <c r="M84" s="55" t="s">
        <v>3492</v>
      </c>
      <c r="N84" s="162">
        <v>1650</v>
      </c>
      <c r="O84" s="57">
        <f>SUM(AG84:AQ84)</f>
        <v>0</v>
      </c>
      <c r="P84" s="58">
        <f>SUM(AP84:AQ84)</f>
        <v>0</v>
      </c>
      <c r="Q84" s="70">
        <f>SUM(AG84:AO84)</f>
        <v>0</v>
      </c>
      <c r="R84" s="70">
        <f>SUM(AH84:AO84)</f>
        <v>0</v>
      </c>
      <c r="S84" s="66">
        <f>SUM(AI84:AO84)</f>
        <v>0</v>
      </c>
      <c r="T84" s="66">
        <f>SUM(AJ84:AO84)</f>
        <v>0</v>
      </c>
      <c r="U84" s="70">
        <f>SUM(AK84:AO84)</f>
        <v>0</v>
      </c>
      <c r="V84" s="70">
        <f>SUM(AL84:AO84)</f>
        <v>0</v>
      </c>
      <c r="W84" s="70">
        <f>SUM(AM84:AO84)</f>
        <v>0</v>
      </c>
      <c r="X84" s="70">
        <f>SUM(AN84:AO84)</f>
        <v>0</v>
      </c>
      <c r="Y84" s="70">
        <f>SUM(AO84:AO84)</f>
        <v>0</v>
      </c>
      <c r="Z84" s="75"/>
      <c r="AA84" s="75"/>
      <c r="AB84" s="22"/>
      <c r="AC84" s="22"/>
      <c r="AD84" s="13"/>
      <c r="AE84" s="22"/>
      <c r="AF84" s="22"/>
      <c r="AG84" s="110">
        <v>0</v>
      </c>
      <c r="AH84" s="110"/>
      <c r="AI84" s="111"/>
      <c r="AJ84" s="111"/>
      <c r="AK84" s="115"/>
      <c r="AL84" s="115"/>
      <c r="AM84" s="115"/>
      <c r="AN84" s="115"/>
      <c r="AO84" s="115"/>
      <c r="AP84" s="115"/>
      <c r="AQ84" s="142"/>
      <c r="AR84" s="140"/>
    </row>
    <row r="85" ht="13.85" spans="1:44">
      <c r="A85" s="22"/>
      <c r="B85" s="22"/>
      <c r="C85" s="22"/>
      <c r="D85" s="22"/>
      <c r="E85" s="13"/>
      <c r="F85" s="22"/>
      <c r="G85" s="22"/>
      <c r="H85" s="22"/>
      <c r="I85" s="22"/>
      <c r="J85" s="22"/>
      <c r="K85" s="22"/>
      <c r="L85" s="22"/>
      <c r="M85" s="55" t="s">
        <v>3493</v>
      </c>
      <c r="N85" s="162">
        <v>0</v>
      </c>
      <c r="O85" s="57">
        <f>SUM(AG85:AQ85)</f>
        <v>29.06</v>
      </c>
      <c r="P85" s="58">
        <f>SUM(AP85:AQ85)</f>
        <v>0</v>
      </c>
      <c r="Q85" s="70">
        <f>SUM(AG85:AO85)</f>
        <v>29.06</v>
      </c>
      <c r="R85" s="70">
        <f>SUM(AH85:AO85)</f>
        <v>0</v>
      </c>
      <c r="S85" s="66">
        <f>SUM(AI85:AO85)</f>
        <v>0</v>
      </c>
      <c r="T85" s="66">
        <f>SUM(AJ85:AO85)</f>
        <v>0</v>
      </c>
      <c r="U85" s="70">
        <f>SUM(AK85:AO85)</f>
        <v>0</v>
      </c>
      <c r="V85" s="70">
        <f>SUM(AL85:AO85)</f>
        <v>0</v>
      </c>
      <c r="W85" s="70">
        <f>SUM(AM85:AO85)</f>
        <v>0</v>
      </c>
      <c r="X85" s="70">
        <f>SUM(AN85:AO85)</f>
        <v>0</v>
      </c>
      <c r="Y85" s="70">
        <f>SUM(AO85:AO85)</f>
        <v>0</v>
      </c>
      <c r="Z85" s="75"/>
      <c r="AA85" s="75"/>
      <c r="AB85" s="22"/>
      <c r="AC85" s="22"/>
      <c r="AD85" s="13"/>
      <c r="AE85" s="22"/>
      <c r="AF85" s="22"/>
      <c r="AG85" s="104">
        <v>29.06</v>
      </c>
      <c r="AH85" s="104"/>
      <c r="AI85" s="104"/>
      <c r="AJ85" s="104"/>
      <c r="AK85" s="109"/>
      <c r="AL85" s="109"/>
      <c r="AM85" s="115"/>
      <c r="AN85" s="115"/>
      <c r="AO85" s="144"/>
      <c r="AP85" s="143"/>
      <c r="AQ85" s="150"/>
      <c r="AR85" s="140"/>
    </row>
    <row r="86" ht="13.85" spans="1:44">
      <c r="A86" s="22"/>
      <c r="B86" s="22"/>
      <c r="C86" s="22"/>
      <c r="D86" s="22"/>
      <c r="E86" s="13"/>
      <c r="F86" s="22"/>
      <c r="G86" s="22"/>
      <c r="H86" s="22"/>
      <c r="I86" s="22"/>
      <c r="J86" s="22"/>
      <c r="K86" s="22"/>
      <c r="L86" s="22"/>
      <c r="M86" s="55" t="s">
        <v>3495</v>
      </c>
      <c r="N86" s="59">
        <f t="shared" ref="N86:Y86" si="68">N82-N83</f>
        <v>-32721.48</v>
      </c>
      <c r="O86" s="57">
        <f t="shared" si="68"/>
        <v>-1230.02</v>
      </c>
      <c r="P86" s="58">
        <f t="shared" si="68"/>
        <v>0</v>
      </c>
      <c r="Q86" s="57">
        <f t="shared" si="68"/>
        <v>-1230.02</v>
      </c>
      <c r="R86" s="57">
        <f t="shared" si="68"/>
        <v>0</v>
      </c>
      <c r="S86" s="68">
        <f t="shared" si="68"/>
        <v>0</v>
      </c>
      <c r="T86" s="68">
        <f t="shared" si="68"/>
        <v>0</v>
      </c>
      <c r="U86" s="57">
        <f t="shared" si="68"/>
        <v>0</v>
      </c>
      <c r="V86" s="57">
        <f t="shared" si="68"/>
        <v>0</v>
      </c>
      <c r="W86" s="57">
        <f t="shared" si="68"/>
        <v>0</v>
      </c>
      <c r="X86" s="57">
        <f t="shared" si="68"/>
        <v>0</v>
      </c>
      <c r="Y86" s="57">
        <f t="shared" si="68"/>
        <v>0</v>
      </c>
      <c r="Z86" s="75"/>
      <c r="AA86" s="75"/>
      <c r="AB86" s="22"/>
      <c r="AC86" s="22"/>
      <c r="AD86" s="13"/>
      <c r="AE86" s="22"/>
      <c r="AF86" s="22"/>
      <c r="AG86" s="57">
        <f t="shared" ref="AG86:AO86" si="69">AG82-AG83</f>
        <v>-1230.02</v>
      </c>
      <c r="AH86" s="57">
        <f t="shared" si="69"/>
        <v>0</v>
      </c>
      <c r="AI86" s="57">
        <f t="shared" si="69"/>
        <v>0</v>
      </c>
      <c r="AJ86" s="57">
        <f t="shared" si="69"/>
        <v>0</v>
      </c>
      <c r="AK86" s="57">
        <f t="shared" si="69"/>
        <v>0</v>
      </c>
      <c r="AL86" s="57">
        <f t="shared" si="69"/>
        <v>0</v>
      </c>
      <c r="AM86" s="57">
        <f t="shared" si="69"/>
        <v>0</v>
      </c>
      <c r="AN86" s="57">
        <f t="shared" si="69"/>
        <v>0</v>
      </c>
      <c r="AO86" s="57">
        <f t="shared" si="69"/>
        <v>0</v>
      </c>
      <c r="AP86" s="57">
        <v>361363.579</v>
      </c>
      <c r="AQ86" s="57">
        <f>AQ82-AQ83</f>
        <v>0</v>
      </c>
      <c r="AR86" s="140"/>
    </row>
    <row r="87" ht="13.85" spans="1:44">
      <c r="A87" s="22"/>
      <c r="B87" s="22"/>
      <c r="C87" s="22"/>
      <c r="D87" s="22"/>
      <c r="E87" s="13"/>
      <c r="F87" s="22"/>
      <c r="G87" s="22"/>
      <c r="H87" s="22"/>
      <c r="I87" s="22"/>
      <c r="J87" s="22"/>
      <c r="K87" s="22"/>
      <c r="L87" s="22"/>
      <c r="M87" s="60" t="s">
        <v>3496</v>
      </c>
      <c r="N87" s="61">
        <f t="shared" ref="N87:Y87" si="70">N86/N82</f>
        <v>-0.587877409388869</v>
      </c>
      <c r="O87" s="62">
        <f t="shared" si="70"/>
        <v>-0.0452533669061253</v>
      </c>
      <c r="P87" s="61" t="e">
        <f t="shared" si="70"/>
        <v>#DIV/0!</v>
      </c>
      <c r="Q87" s="62">
        <f t="shared" si="70"/>
        <v>-0.0452533669061253</v>
      </c>
      <c r="R87" s="62" t="e">
        <f t="shared" si="70"/>
        <v>#DIV/0!</v>
      </c>
      <c r="S87" s="69" t="e">
        <f t="shared" si="70"/>
        <v>#DIV/0!</v>
      </c>
      <c r="T87" s="69" t="e">
        <f t="shared" si="70"/>
        <v>#DIV/0!</v>
      </c>
      <c r="U87" s="62" t="e">
        <f t="shared" si="70"/>
        <v>#DIV/0!</v>
      </c>
      <c r="V87" s="62" t="e">
        <f t="shared" si="70"/>
        <v>#DIV/0!</v>
      </c>
      <c r="W87" s="62" t="e">
        <f t="shared" si="70"/>
        <v>#DIV/0!</v>
      </c>
      <c r="X87" s="62" t="e">
        <f t="shared" si="70"/>
        <v>#DIV/0!</v>
      </c>
      <c r="Y87" s="62" t="e">
        <f t="shared" si="70"/>
        <v>#DIV/0!</v>
      </c>
      <c r="Z87" s="82">
        <f>O87-N87</f>
        <v>0.542624042482743</v>
      </c>
      <c r="AA87" s="82" t="e">
        <f>R87-N87</f>
        <v>#DIV/0!</v>
      </c>
      <c r="AB87" s="22"/>
      <c r="AC87" s="22"/>
      <c r="AD87" s="13"/>
      <c r="AE87" s="22"/>
      <c r="AF87" s="22"/>
      <c r="AG87" s="113">
        <f t="shared" ref="AG87:AO87" si="71">AG86/AG82</f>
        <v>-0.0452533669061253</v>
      </c>
      <c r="AH87" s="113" t="e">
        <f t="shared" si="71"/>
        <v>#DIV/0!</v>
      </c>
      <c r="AI87" s="113" t="e">
        <f t="shared" si="71"/>
        <v>#DIV/0!</v>
      </c>
      <c r="AJ87" s="113" t="e">
        <f t="shared" si="71"/>
        <v>#DIV/0!</v>
      </c>
      <c r="AK87" s="113" t="e">
        <f t="shared" si="71"/>
        <v>#DIV/0!</v>
      </c>
      <c r="AL87" s="113" t="e">
        <f t="shared" si="71"/>
        <v>#DIV/0!</v>
      </c>
      <c r="AM87" s="62" t="e">
        <f t="shared" si="71"/>
        <v>#DIV/0!</v>
      </c>
      <c r="AN87" s="62" t="e">
        <f t="shared" si="71"/>
        <v>#DIV/0!</v>
      </c>
      <c r="AO87" s="62" t="e">
        <f t="shared" si="71"/>
        <v>#DIV/0!</v>
      </c>
      <c r="AP87" s="62">
        <v>0.283362651163011</v>
      </c>
      <c r="AQ87" s="62" t="e">
        <f>AQ86/AQ82</f>
        <v>#DIV/0!</v>
      </c>
      <c r="AR87" s="140"/>
    </row>
    <row r="88" ht="13.85" spans="1:44">
      <c r="A88" s="22"/>
      <c r="B88" s="22"/>
      <c r="C88" s="22"/>
      <c r="D88" s="22"/>
      <c r="E88" s="13"/>
      <c r="F88" s="22"/>
      <c r="G88" s="22"/>
      <c r="H88" s="22"/>
      <c r="I88" s="22"/>
      <c r="J88" s="22"/>
      <c r="K88" s="22"/>
      <c r="L88" s="22"/>
      <c r="M88" s="55" t="s">
        <v>3497</v>
      </c>
      <c r="N88" s="58">
        <f t="shared" ref="N88:Y88" si="72">N82-N83-N84-N85</f>
        <v>-34371.48</v>
      </c>
      <c r="O88" s="57">
        <f t="shared" si="72"/>
        <v>-1259.08</v>
      </c>
      <c r="P88" s="58">
        <f t="shared" si="72"/>
        <v>0</v>
      </c>
      <c r="Q88" s="57">
        <f t="shared" si="72"/>
        <v>-1259.08</v>
      </c>
      <c r="R88" s="57">
        <f t="shared" si="72"/>
        <v>0</v>
      </c>
      <c r="S88" s="68">
        <f t="shared" si="72"/>
        <v>0</v>
      </c>
      <c r="T88" s="68">
        <f t="shared" si="72"/>
        <v>0</v>
      </c>
      <c r="U88" s="57">
        <f t="shared" si="72"/>
        <v>0</v>
      </c>
      <c r="V88" s="57">
        <f t="shared" si="72"/>
        <v>0</v>
      </c>
      <c r="W88" s="57">
        <f t="shared" si="72"/>
        <v>0</v>
      </c>
      <c r="X88" s="57">
        <f t="shared" si="72"/>
        <v>0</v>
      </c>
      <c r="Y88" s="57">
        <f t="shared" si="72"/>
        <v>0</v>
      </c>
      <c r="Z88" s="82"/>
      <c r="AA88" s="82"/>
      <c r="AB88" s="22"/>
      <c r="AC88" s="22"/>
      <c r="AD88" s="13"/>
      <c r="AE88" s="22"/>
      <c r="AF88" s="22"/>
      <c r="AG88" s="57">
        <f t="shared" ref="AG88:AO88" si="73">AG82-AG83-AG84-AG85</f>
        <v>-1259.08</v>
      </c>
      <c r="AH88" s="57">
        <f t="shared" si="73"/>
        <v>0</v>
      </c>
      <c r="AI88" s="57">
        <f t="shared" si="73"/>
        <v>0</v>
      </c>
      <c r="AJ88" s="57">
        <f t="shared" si="73"/>
        <v>0</v>
      </c>
      <c r="AK88" s="57">
        <f t="shared" si="73"/>
        <v>0</v>
      </c>
      <c r="AL88" s="57">
        <f t="shared" si="73"/>
        <v>0</v>
      </c>
      <c r="AM88" s="57">
        <f t="shared" si="73"/>
        <v>0</v>
      </c>
      <c r="AN88" s="57">
        <f t="shared" si="73"/>
        <v>0</v>
      </c>
      <c r="AO88" s="57">
        <f t="shared" si="73"/>
        <v>0</v>
      </c>
      <c r="AP88" s="57">
        <v>360137.679</v>
      </c>
      <c r="AQ88" s="57">
        <f>AQ82-AQ83-AQ84-AQ85</f>
        <v>0</v>
      </c>
      <c r="AR88" s="140"/>
    </row>
    <row r="89" ht="14.6" spans="1:44">
      <c r="A89" s="24"/>
      <c r="B89" s="24"/>
      <c r="C89" s="24"/>
      <c r="D89" s="24"/>
      <c r="E89" s="14"/>
      <c r="F89" s="24"/>
      <c r="G89" s="24"/>
      <c r="H89" s="24"/>
      <c r="I89" s="24"/>
      <c r="J89" s="24"/>
      <c r="K89" s="24"/>
      <c r="L89" s="24"/>
      <c r="M89" s="60" t="s">
        <v>3498</v>
      </c>
      <c r="N89" s="61">
        <f t="shared" ref="N89:Y89" si="74">N88/N82</f>
        <v>-0.617521475778642</v>
      </c>
      <c r="O89" s="62">
        <f t="shared" si="74"/>
        <v>-0.0463225063040961</v>
      </c>
      <c r="P89" s="61" t="e">
        <f t="shared" si="74"/>
        <v>#DIV/0!</v>
      </c>
      <c r="Q89" s="62">
        <f t="shared" si="74"/>
        <v>-0.0463225063040961</v>
      </c>
      <c r="R89" s="62" t="e">
        <f t="shared" si="74"/>
        <v>#DIV/0!</v>
      </c>
      <c r="S89" s="69" t="e">
        <f t="shared" si="74"/>
        <v>#DIV/0!</v>
      </c>
      <c r="T89" s="69" t="e">
        <f t="shared" si="74"/>
        <v>#DIV/0!</v>
      </c>
      <c r="U89" s="62" t="e">
        <f t="shared" si="74"/>
        <v>#DIV/0!</v>
      </c>
      <c r="V89" s="62" t="e">
        <f t="shared" si="74"/>
        <v>#DIV/0!</v>
      </c>
      <c r="W89" s="62" t="e">
        <f t="shared" si="74"/>
        <v>#DIV/0!</v>
      </c>
      <c r="X89" s="62" t="e">
        <f t="shared" si="74"/>
        <v>#DIV/0!</v>
      </c>
      <c r="Y89" s="62" t="e">
        <f t="shared" si="74"/>
        <v>#DIV/0!</v>
      </c>
      <c r="Z89" s="82">
        <f>O89-N89</f>
        <v>0.571198969474546</v>
      </c>
      <c r="AA89" s="82" t="e">
        <f>R89-N89</f>
        <v>#DIV/0!</v>
      </c>
      <c r="AB89" s="24"/>
      <c r="AC89" s="24"/>
      <c r="AD89" s="14"/>
      <c r="AE89" s="24"/>
      <c r="AF89" s="24"/>
      <c r="AG89" s="113">
        <f t="shared" ref="AG89:AO89" si="75">AG88/AG82</f>
        <v>-0.0463225063040961</v>
      </c>
      <c r="AH89" s="113" t="e">
        <f t="shared" si="75"/>
        <v>#DIV/0!</v>
      </c>
      <c r="AI89" s="113" t="e">
        <f t="shared" si="75"/>
        <v>#DIV/0!</v>
      </c>
      <c r="AJ89" s="113" t="e">
        <f t="shared" si="75"/>
        <v>#DIV/0!</v>
      </c>
      <c r="AK89" s="113" t="e">
        <f t="shared" si="75"/>
        <v>#DIV/0!</v>
      </c>
      <c r="AL89" s="113" t="e">
        <f t="shared" si="75"/>
        <v>#DIV/0!</v>
      </c>
      <c r="AM89" s="62" t="e">
        <f t="shared" si="75"/>
        <v>#DIV/0!</v>
      </c>
      <c r="AN89" s="62" t="e">
        <f t="shared" si="75"/>
        <v>#DIV/0!</v>
      </c>
      <c r="AO89" s="62" t="e">
        <f t="shared" si="75"/>
        <v>#DIV/0!</v>
      </c>
      <c r="AP89" s="62">
        <v>0.282401363711126</v>
      </c>
      <c r="AQ89" s="62" t="e">
        <f>AQ88/AQ82</f>
        <v>#DIV/0!</v>
      </c>
      <c r="AR89" s="163"/>
    </row>
    <row r="90" ht="13.85" spans="1:44">
      <c r="A90" s="157" t="s">
        <v>3516</v>
      </c>
      <c r="B90" s="158" t="s">
        <v>3517</v>
      </c>
      <c r="C90" s="159">
        <v>45689</v>
      </c>
      <c r="D90" s="159">
        <v>46054</v>
      </c>
      <c r="E90" s="160" t="s">
        <v>3683</v>
      </c>
      <c r="F90" s="161"/>
      <c r="G90" s="161"/>
      <c r="H90" s="161"/>
      <c r="I90" s="161"/>
      <c r="J90" s="161" t="s">
        <v>3684</v>
      </c>
      <c r="K90" s="161" t="s">
        <v>3687</v>
      </c>
      <c r="L90" s="161" t="s">
        <v>3485</v>
      </c>
      <c r="M90" s="55" t="s">
        <v>3486</v>
      </c>
      <c r="N90" s="56">
        <v>171000</v>
      </c>
      <c r="O90" s="57">
        <f>SUM(AG90:AQ90)</f>
        <v>126762.16</v>
      </c>
      <c r="P90" s="58">
        <f>SUM(AP90:AQ90)</f>
        <v>0</v>
      </c>
      <c r="Q90" s="70">
        <f>SUM(AG90:AO90)</f>
        <v>126762.16</v>
      </c>
      <c r="R90" s="70">
        <f>SUM(AH90:AO90)</f>
        <v>114225.19</v>
      </c>
      <c r="S90" s="66">
        <f>SUM(AI90:AO90)</f>
        <v>107194.94</v>
      </c>
      <c r="T90" s="66">
        <f>SUM(AJ90:AO90)</f>
        <v>100982.03</v>
      </c>
      <c r="U90" s="70">
        <f>SUM(AK90:AO90)</f>
        <v>95452.05</v>
      </c>
      <c r="V90" s="70">
        <f>SUM(AL90:AO90)</f>
        <v>49820.7</v>
      </c>
      <c r="W90" s="70">
        <f>SUM(AM90:AO90)</f>
        <v>46194.74</v>
      </c>
      <c r="X90" s="70">
        <f>SUM(AN90:AO90)</f>
        <v>0</v>
      </c>
      <c r="Y90" s="70">
        <f>SUM(AO90:AO90)</f>
        <v>0</v>
      </c>
      <c r="Z90" s="75"/>
      <c r="AA90" s="75"/>
      <c r="AB90" s="96"/>
      <c r="AC90" s="99"/>
      <c r="AD90" s="93"/>
      <c r="AE90" s="96"/>
      <c r="AF90" s="94"/>
      <c r="AG90" s="104">
        <v>12536.97</v>
      </c>
      <c r="AH90" s="104">
        <v>7030.25</v>
      </c>
      <c r="AI90" s="104">
        <v>6212.91</v>
      </c>
      <c r="AJ90" s="104">
        <v>5529.98</v>
      </c>
      <c r="AK90" s="104">
        <v>45631.35</v>
      </c>
      <c r="AL90" s="105">
        <v>3625.96</v>
      </c>
      <c r="AM90" s="114">
        <v>46194.74</v>
      </c>
      <c r="AN90" s="114"/>
      <c r="AO90" s="114"/>
      <c r="AP90" s="164"/>
      <c r="AQ90" s="155"/>
      <c r="AR90" s="140"/>
    </row>
    <row r="91" ht="13.85" spans="1:44">
      <c r="A91" s="22"/>
      <c r="B91" s="22"/>
      <c r="C91" s="22"/>
      <c r="D91" s="22"/>
      <c r="E91" s="13"/>
      <c r="F91" s="22"/>
      <c r="G91" s="22"/>
      <c r="H91" s="22"/>
      <c r="I91" s="22"/>
      <c r="J91" s="22"/>
      <c r="K91" s="22"/>
      <c r="L91" s="22"/>
      <c r="M91" s="55" t="s">
        <v>3490</v>
      </c>
      <c r="N91" s="56">
        <v>132478.43</v>
      </c>
      <c r="O91" s="57">
        <f>SUM(AG91:AQ91)</f>
        <v>136941.57</v>
      </c>
      <c r="P91" s="58">
        <f>SUM(AP91:AQ91)</f>
        <v>0</v>
      </c>
      <c r="Q91" s="70">
        <f>SUM(AG91:AO91)</f>
        <v>136941.57</v>
      </c>
      <c r="R91" s="70">
        <f>SUM(AH91:AO91)</f>
        <v>121145.96</v>
      </c>
      <c r="S91" s="66">
        <f>SUM(AI91:AO91)</f>
        <v>121012.7</v>
      </c>
      <c r="T91" s="66">
        <f>SUM(AJ91:AO91)</f>
        <v>121012.7</v>
      </c>
      <c r="U91" s="70">
        <f>SUM(AK91:AO91)</f>
        <v>121145.96</v>
      </c>
      <c r="V91" s="70">
        <f>SUM(AL91:AO91)</f>
        <v>49347.27</v>
      </c>
      <c r="W91" s="70">
        <f>SUM(AM91:AO91)</f>
        <v>42844.54</v>
      </c>
      <c r="X91" s="70">
        <f>SUM(AN91:AO91)</f>
        <v>0</v>
      </c>
      <c r="Y91" s="70">
        <f>SUM(AO91:AO91)</f>
        <v>0</v>
      </c>
      <c r="Z91" s="75"/>
      <c r="AA91" s="75"/>
      <c r="AB91" s="22"/>
      <c r="AC91" s="22"/>
      <c r="AD91" s="13"/>
      <c r="AE91" s="22"/>
      <c r="AF91" s="22"/>
      <c r="AG91" s="108">
        <v>15795.61</v>
      </c>
      <c r="AH91" s="108">
        <v>133.26</v>
      </c>
      <c r="AI91" s="108">
        <v>0</v>
      </c>
      <c r="AJ91" s="108">
        <v>-133.26</v>
      </c>
      <c r="AK91" s="115">
        <v>71798.69</v>
      </c>
      <c r="AL91" s="115">
        <v>6502.73</v>
      </c>
      <c r="AM91" s="115">
        <v>42844.54</v>
      </c>
      <c r="AN91" s="115"/>
      <c r="AO91" s="115"/>
      <c r="AP91" s="145"/>
      <c r="AQ91" s="150"/>
      <c r="AR91" s="140"/>
    </row>
    <row r="92" ht="13.85" spans="1:44">
      <c r="A92" s="22"/>
      <c r="B92" s="22"/>
      <c r="C92" s="22"/>
      <c r="D92" s="22"/>
      <c r="E92" s="13"/>
      <c r="F92" s="22"/>
      <c r="G92" s="22"/>
      <c r="H92" s="22"/>
      <c r="I92" s="22"/>
      <c r="J92" s="22"/>
      <c r="K92" s="22"/>
      <c r="L92" s="22"/>
      <c r="M92" s="55" t="s">
        <v>3492</v>
      </c>
      <c r="N92" s="56">
        <v>0</v>
      </c>
      <c r="O92" s="57">
        <f>SUM(AG92:AQ92)</f>
        <v>0</v>
      </c>
      <c r="P92" s="58">
        <f>SUM(AP92:AQ92)</f>
        <v>0</v>
      </c>
      <c r="Q92" s="70">
        <f>SUM(AG92:AO92)</f>
        <v>0</v>
      </c>
      <c r="R92" s="70">
        <f>SUM(AH92:AO92)</f>
        <v>0</v>
      </c>
      <c r="S92" s="66">
        <f>SUM(AI92:AO92)</f>
        <v>0</v>
      </c>
      <c r="T92" s="66">
        <f>SUM(AJ92:AO92)</f>
        <v>0</v>
      </c>
      <c r="U92" s="70">
        <f>SUM(AK92:AO92)</f>
        <v>0</v>
      </c>
      <c r="V92" s="70">
        <f>SUM(AL92:AO92)</f>
        <v>0</v>
      </c>
      <c r="W92" s="70">
        <f>SUM(AM92:AO92)</f>
        <v>0</v>
      </c>
      <c r="X92" s="70">
        <f>SUM(AN92:AO92)</f>
        <v>0</v>
      </c>
      <c r="Y92" s="70">
        <f>SUM(AO92:AO92)</f>
        <v>0</v>
      </c>
      <c r="Z92" s="75"/>
      <c r="AA92" s="75"/>
      <c r="AB92" s="22"/>
      <c r="AC92" s="22"/>
      <c r="AD92" s="13"/>
      <c r="AE92" s="22"/>
      <c r="AF92" s="22"/>
      <c r="AG92" s="110">
        <v>0</v>
      </c>
      <c r="AH92" s="110">
        <v>0</v>
      </c>
      <c r="AI92" s="111">
        <v>0</v>
      </c>
      <c r="AJ92" s="111">
        <v>0</v>
      </c>
      <c r="AK92" s="115">
        <v>0</v>
      </c>
      <c r="AL92" s="115">
        <v>0</v>
      </c>
      <c r="AM92" s="115">
        <v>0</v>
      </c>
      <c r="AN92" s="115"/>
      <c r="AO92" s="115"/>
      <c r="AP92" s="115"/>
      <c r="AQ92" s="142"/>
      <c r="AR92" s="140"/>
    </row>
    <row r="93" ht="13.85" spans="1:44">
      <c r="A93" s="22"/>
      <c r="B93" s="22"/>
      <c r="C93" s="22"/>
      <c r="D93" s="22"/>
      <c r="E93" s="13"/>
      <c r="F93" s="22"/>
      <c r="G93" s="22"/>
      <c r="H93" s="22"/>
      <c r="I93" s="22"/>
      <c r="J93" s="22"/>
      <c r="K93" s="22"/>
      <c r="L93" s="22"/>
      <c r="M93" s="55" t="s">
        <v>3493</v>
      </c>
      <c r="N93" s="56">
        <v>0</v>
      </c>
      <c r="O93" s="57">
        <f>SUM(AG93:AQ93)</f>
        <v>682.39</v>
      </c>
      <c r="P93" s="58">
        <f>SUM(AP93:AQ93)</f>
        <v>0</v>
      </c>
      <c r="Q93" s="70">
        <f>SUM(AG93:AO93)</f>
        <v>682.39</v>
      </c>
      <c r="R93" s="70">
        <f>SUM(AH93:AO93)</f>
        <v>547.37</v>
      </c>
      <c r="S93" s="66">
        <f>SUM(AI93:AO93)</f>
        <v>425.74</v>
      </c>
      <c r="T93" s="66">
        <f>SUM(AJ93:AO93)</f>
        <v>311.62</v>
      </c>
      <c r="U93" s="70">
        <f>SUM(AK93:AO93)</f>
        <v>204.13</v>
      </c>
      <c r="V93" s="70">
        <f>SUM(AL93:AO93)</f>
        <v>102.55</v>
      </c>
      <c r="W93" s="70">
        <f>SUM(AM93:AO93)</f>
        <v>49.34</v>
      </c>
      <c r="X93" s="70">
        <f>SUM(AN93:AO93)</f>
        <v>0</v>
      </c>
      <c r="Y93" s="70">
        <f>SUM(AO93:AO93)</f>
        <v>0</v>
      </c>
      <c r="Z93" s="75"/>
      <c r="AA93" s="75"/>
      <c r="AB93" s="22"/>
      <c r="AC93" s="22"/>
      <c r="AD93" s="13"/>
      <c r="AE93" s="22"/>
      <c r="AF93" s="22"/>
      <c r="AG93" s="104">
        <v>135.02</v>
      </c>
      <c r="AH93" s="104">
        <v>121.63</v>
      </c>
      <c r="AI93" s="104">
        <v>114.12</v>
      </c>
      <c r="AJ93" s="104">
        <v>107.49</v>
      </c>
      <c r="AK93" s="105">
        <v>101.58</v>
      </c>
      <c r="AL93" s="109">
        <v>53.21</v>
      </c>
      <c r="AM93" s="115">
        <v>49.34</v>
      </c>
      <c r="AN93" s="115"/>
      <c r="AO93" s="144"/>
      <c r="AP93" s="143"/>
      <c r="AQ93" s="150"/>
      <c r="AR93" s="140"/>
    </row>
    <row r="94" ht="13.85" spans="1:44">
      <c r="A94" s="22"/>
      <c r="B94" s="22"/>
      <c r="C94" s="22"/>
      <c r="D94" s="22"/>
      <c r="E94" s="13"/>
      <c r="F94" s="22"/>
      <c r="G94" s="22"/>
      <c r="H94" s="22"/>
      <c r="I94" s="22"/>
      <c r="J94" s="22"/>
      <c r="K94" s="22"/>
      <c r="L94" s="22"/>
      <c r="M94" s="55" t="s">
        <v>3495</v>
      </c>
      <c r="N94" s="59">
        <f t="shared" ref="N94:Y94" si="76">N90-N91</f>
        <v>38521.57</v>
      </c>
      <c r="O94" s="57">
        <f t="shared" si="76"/>
        <v>-10179.41</v>
      </c>
      <c r="P94" s="58">
        <f t="shared" si="76"/>
        <v>0</v>
      </c>
      <c r="Q94" s="57">
        <f t="shared" si="76"/>
        <v>-10179.41</v>
      </c>
      <c r="R94" s="57">
        <f t="shared" si="76"/>
        <v>-6920.76999999999</v>
      </c>
      <c r="S94" s="68">
        <f t="shared" si="76"/>
        <v>-13817.76</v>
      </c>
      <c r="T94" s="68">
        <f t="shared" si="76"/>
        <v>-20030.67</v>
      </c>
      <c r="U94" s="57">
        <f t="shared" si="76"/>
        <v>-25693.91</v>
      </c>
      <c r="V94" s="57">
        <f t="shared" si="76"/>
        <v>473.429999999993</v>
      </c>
      <c r="W94" s="57">
        <f t="shared" si="76"/>
        <v>3350.2</v>
      </c>
      <c r="X94" s="57">
        <f t="shared" si="76"/>
        <v>0</v>
      </c>
      <c r="Y94" s="57">
        <f t="shared" si="76"/>
        <v>0</v>
      </c>
      <c r="Z94" s="75"/>
      <c r="AA94" s="75"/>
      <c r="AB94" s="22"/>
      <c r="AC94" s="22"/>
      <c r="AD94" s="13"/>
      <c r="AE94" s="22"/>
      <c r="AF94" s="22"/>
      <c r="AG94" s="57">
        <f t="shared" ref="AG94:AO94" si="77">AG90-AG91</f>
        <v>-3258.64</v>
      </c>
      <c r="AH94" s="57">
        <f t="shared" si="77"/>
        <v>6896.99</v>
      </c>
      <c r="AI94" s="57">
        <f t="shared" si="77"/>
        <v>6212.91</v>
      </c>
      <c r="AJ94" s="57">
        <f t="shared" si="77"/>
        <v>5663.24</v>
      </c>
      <c r="AK94" s="57">
        <f t="shared" si="77"/>
        <v>-26167.34</v>
      </c>
      <c r="AL94" s="57">
        <f t="shared" si="77"/>
        <v>-2876.77</v>
      </c>
      <c r="AM94" s="57">
        <f t="shared" si="77"/>
        <v>3350.2</v>
      </c>
      <c r="AN94" s="57">
        <f t="shared" si="77"/>
        <v>0</v>
      </c>
      <c r="AO94" s="57">
        <f t="shared" si="77"/>
        <v>0</v>
      </c>
      <c r="AP94" s="57">
        <v>361363.579</v>
      </c>
      <c r="AQ94" s="57">
        <f>AQ90-AQ91</f>
        <v>0</v>
      </c>
      <c r="AR94" s="140"/>
    </row>
    <row r="95" ht="13.85" spans="1:44">
      <c r="A95" s="22"/>
      <c r="B95" s="22"/>
      <c r="C95" s="22"/>
      <c r="D95" s="22"/>
      <c r="E95" s="13"/>
      <c r="F95" s="22"/>
      <c r="G95" s="22"/>
      <c r="H95" s="22"/>
      <c r="I95" s="22"/>
      <c r="J95" s="22"/>
      <c r="K95" s="22"/>
      <c r="L95" s="22"/>
      <c r="M95" s="60" t="s">
        <v>3496</v>
      </c>
      <c r="N95" s="61">
        <f t="shared" ref="N95:Y95" si="78">N94/N90</f>
        <v>0.225272339181287</v>
      </c>
      <c r="O95" s="62">
        <f t="shared" si="78"/>
        <v>-0.0803032229807381</v>
      </c>
      <c r="P95" s="61" t="e">
        <f t="shared" si="78"/>
        <v>#DIV/0!</v>
      </c>
      <c r="Q95" s="62">
        <f t="shared" si="78"/>
        <v>-0.0803032229807381</v>
      </c>
      <c r="R95" s="62">
        <f t="shared" si="78"/>
        <v>-0.0605888245841394</v>
      </c>
      <c r="S95" s="69">
        <f t="shared" si="78"/>
        <v>-0.128903099344055</v>
      </c>
      <c r="T95" s="69">
        <f t="shared" si="78"/>
        <v>-0.198358757493784</v>
      </c>
      <c r="U95" s="62">
        <f t="shared" si="78"/>
        <v>-0.269181332407214</v>
      </c>
      <c r="V95" s="62">
        <f t="shared" si="78"/>
        <v>0.0095026765982813</v>
      </c>
      <c r="W95" s="62">
        <f t="shared" si="78"/>
        <v>0.0725234085092804</v>
      </c>
      <c r="X95" s="62" t="e">
        <f t="shared" si="78"/>
        <v>#DIV/0!</v>
      </c>
      <c r="Y95" s="62" t="e">
        <f t="shared" si="78"/>
        <v>#DIV/0!</v>
      </c>
      <c r="Z95" s="82">
        <f>O95-N95</f>
        <v>-0.305575562162025</v>
      </c>
      <c r="AA95" s="82">
        <f>R95-N95</f>
        <v>-0.285861163765426</v>
      </c>
      <c r="AB95" s="22"/>
      <c r="AC95" s="22"/>
      <c r="AD95" s="13"/>
      <c r="AE95" s="22"/>
      <c r="AF95" s="22"/>
      <c r="AG95" s="113">
        <f t="shared" ref="AG95:AO95" si="79">AG94/AG90</f>
        <v>-0.259922453351966</v>
      </c>
      <c r="AH95" s="113">
        <f t="shared" si="79"/>
        <v>0.981044770811849</v>
      </c>
      <c r="AI95" s="113">
        <f t="shared" si="79"/>
        <v>1</v>
      </c>
      <c r="AJ95" s="113">
        <f t="shared" si="79"/>
        <v>1.02409773633901</v>
      </c>
      <c r="AK95" s="113">
        <f t="shared" si="79"/>
        <v>-0.573450927925648</v>
      </c>
      <c r="AL95" s="113">
        <f t="shared" si="79"/>
        <v>-0.793381614799943</v>
      </c>
      <c r="AM95" s="62">
        <f t="shared" si="79"/>
        <v>0.0725234085092804</v>
      </c>
      <c r="AN95" s="62" t="e">
        <f t="shared" si="79"/>
        <v>#DIV/0!</v>
      </c>
      <c r="AO95" s="62" t="e">
        <f t="shared" si="79"/>
        <v>#DIV/0!</v>
      </c>
      <c r="AP95" s="62">
        <v>0.283362651163011</v>
      </c>
      <c r="AQ95" s="62" t="e">
        <f>AQ94/AQ90</f>
        <v>#DIV/0!</v>
      </c>
      <c r="AR95" s="140"/>
    </row>
    <row r="96" ht="13.85" spans="1:44">
      <c r="A96" s="22"/>
      <c r="B96" s="22"/>
      <c r="C96" s="22"/>
      <c r="D96" s="22"/>
      <c r="E96" s="13"/>
      <c r="F96" s="22"/>
      <c r="G96" s="22"/>
      <c r="H96" s="22"/>
      <c r="I96" s="22"/>
      <c r="J96" s="22"/>
      <c r="K96" s="22"/>
      <c r="L96" s="22"/>
      <c r="M96" s="55" t="s">
        <v>3497</v>
      </c>
      <c r="N96" s="58">
        <f t="shared" ref="N96:Y96" si="80">N90-N91-N92-N93</f>
        <v>38521.57</v>
      </c>
      <c r="O96" s="57">
        <f t="shared" si="80"/>
        <v>-10861.8</v>
      </c>
      <c r="P96" s="58">
        <f t="shared" si="80"/>
        <v>0</v>
      </c>
      <c r="Q96" s="57">
        <f t="shared" si="80"/>
        <v>-10861.8</v>
      </c>
      <c r="R96" s="57">
        <f t="shared" si="80"/>
        <v>-7468.13999999999</v>
      </c>
      <c r="S96" s="68">
        <f t="shared" si="80"/>
        <v>-14243.5</v>
      </c>
      <c r="T96" s="68">
        <f t="shared" si="80"/>
        <v>-20342.29</v>
      </c>
      <c r="U96" s="57">
        <f t="shared" si="80"/>
        <v>-25898.04</v>
      </c>
      <c r="V96" s="57">
        <f t="shared" si="80"/>
        <v>370.879999999993</v>
      </c>
      <c r="W96" s="57">
        <f t="shared" si="80"/>
        <v>3300.86</v>
      </c>
      <c r="X96" s="57">
        <f t="shared" si="80"/>
        <v>0</v>
      </c>
      <c r="Y96" s="57">
        <f t="shared" si="80"/>
        <v>0</v>
      </c>
      <c r="Z96" s="82"/>
      <c r="AA96" s="82"/>
      <c r="AB96" s="22"/>
      <c r="AC96" s="22"/>
      <c r="AD96" s="13"/>
      <c r="AE96" s="22"/>
      <c r="AF96" s="22"/>
      <c r="AG96" s="57">
        <f t="shared" ref="AG96:AO96" si="81">AG90-AG91-AG92-AG93</f>
        <v>-3393.66</v>
      </c>
      <c r="AH96" s="57">
        <f t="shared" si="81"/>
        <v>6775.36</v>
      </c>
      <c r="AI96" s="57">
        <f t="shared" si="81"/>
        <v>6098.79</v>
      </c>
      <c r="AJ96" s="57">
        <f t="shared" si="81"/>
        <v>5555.75</v>
      </c>
      <c r="AK96" s="57">
        <f t="shared" si="81"/>
        <v>-26268.92</v>
      </c>
      <c r="AL96" s="57">
        <f t="shared" si="81"/>
        <v>-2929.98</v>
      </c>
      <c r="AM96" s="57">
        <f t="shared" si="81"/>
        <v>3300.86</v>
      </c>
      <c r="AN96" s="57">
        <f t="shared" si="81"/>
        <v>0</v>
      </c>
      <c r="AO96" s="57">
        <f t="shared" si="81"/>
        <v>0</v>
      </c>
      <c r="AP96" s="57">
        <v>360137.679</v>
      </c>
      <c r="AQ96" s="57">
        <f>AQ90-AQ91-AQ92-AQ93</f>
        <v>0</v>
      </c>
      <c r="AR96" s="140"/>
    </row>
    <row r="97" ht="14.6" spans="1:44">
      <c r="A97" s="24"/>
      <c r="B97" s="24"/>
      <c r="C97" s="24"/>
      <c r="D97" s="24"/>
      <c r="E97" s="14"/>
      <c r="F97" s="24"/>
      <c r="G97" s="24"/>
      <c r="H97" s="24"/>
      <c r="I97" s="24"/>
      <c r="J97" s="24"/>
      <c r="K97" s="24"/>
      <c r="L97" s="24"/>
      <c r="M97" s="60" t="s">
        <v>3498</v>
      </c>
      <c r="N97" s="61">
        <f t="shared" ref="N97:Y97" si="82">N96/N90</f>
        <v>0.225272339181287</v>
      </c>
      <c r="O97" s="62">
        <f t="shared" si="82"/>
        <v>-0.0856864540648408</v>
      </c>
      <c r="P97" s="61" t="e">
        <f t="shared" si="82"/>
        <v>#DIV/0!</v>
      </c>
      <c r="Q97" s="62">
        <f t="shared" si="82"/>
        <v>-0.0856864540648408</v>
      </c>
      <c r="R97" s="62">
        <f t="shared" si="82"/>
        <v>-0.0653808498808362</v>
      </c>
      <c r="S97" s="69">
        <f t="shared" si="82"/>
        <v>-0.132874742035398</v>
      </c>
      <c r="T97" s="69">
        <f t="shared" si="82"/>
        <v>-0.201444653073423</v>
      </c>
      <c r="U97" s="62">
        <f t="shared" si="82"/>
        <v>-0.271319893077205</v>
      </c>
      <c r="V97" s="62">
        <f t="shared" si="82"/>
        <v>0.00744429524274033</v>
      </c>
      <c r="W97" s="62">
        <f t="shared" si="82"/>
        <v>0.0714553215366078</v>
      </c>
      <c r="X97" s="62" t="e">
        <f t="shared" si="82"/>
        <v>#DIV/0!</v>
      </c>
      <c r="Y97" s="62" t="e">
        <f t="shared" si="82"/>
        <v>#DIV/0!</v>
      </c>
      <c r="Z97" s="82">
        <f>O97-N97</f>
        <v>-0.310958793246127</v>
      </c>
      <c r="AA97" s="82">
        <f>R97-N97</f>
        <v>-0.290653189062123</v>
      </c>
      <c r="AB97" s="24"/>
      <c r="AC97" s="24"/>
      <c r="AD97" s="14"/>
      <c r="AE97" s="24"/>
      <c r="AF97" s="24"/>
      <c r="AG97" s="113">
        <f t="shared" ref="AG97:AO97" si="83">AG96/AG90</f>
        <v>-0.270692200747071</v>
      </c>
      <c r="AH97" s="113">
        <f t="shared" si="83"/>
        <v>0.96374382134348</v>
      </c>
      <c r="AI97" s="113">
        <f t="shared" si="83"/>
        <v>0.981631795728572</v>
      </c>
      <c r="AJ97" s="113">
        <f t="shared" si="83"/>
        <v>1.00466005302008</v>
      </c>
      <c r="AK97" s="113">
        <f t="shared" si="83"/>
        <v>-0.575677029060065</v>
      </c>
      <c r="AL97" s="113">
        <f t="shared" si="83"/>
        <v>-0.808056349215104</v>
      </c>
      <c r="AM97" s="62">
        <f t="shared" si="83"/>
        <v>0.0714553215366078</v>
      </c>
      <c r="AN97" s="62" t="e">
        <f t="shared" si="83"/>
        <v>#DIV/0!</v>
      </c>
      <c r="AO97" s="62" t="e">
        <f t="shared" si="83"/>
        <v>#DIV/0!</v>
      </c>
      <c r="AP97" s="62">
        <v>0.282401363711126</v>
      </c>
      <c r="AQ97" s="62" t="e">
        <f>AQ96/AQ90</f>
        <v>#DIV/0!</v>
      </c>
      <c r="AR97" s="163"/>
    </row>
    <row r="98" ht="13.85" spans="1:44">
      <c r="A98" s="157" t="s">
        <v>456</v>
      </c>
      <c r="B98" s="158" t="s">
        <v>457</v>
      </c>
      <c r="C98" s="159">
        <v>45658</v>
      </c>
      <c r="D98" s="159">
        <v>46022</v>
      </c>
      <c r="E98" s="160" t="s">
        <v>3683</v>
      </c>
      <c r="F98" s="161"/>
      <c r="G98" s="161"/>
      <c r="H98" s="161"/>
      <c r="I98" s="161"/>
      <c r="J98" s="161" t="s">
        <v>3684</v>
      </c>
      <c r="K98" s="161" t="s">
        <v>3684</v>
      </c>
      <c r="L98" s="161" t="s">
        <v>3485</v>
      </c>
      <c r="M98" s="55" t="s">
        <v>3486</v>
      </c>
      <c r="N98" s="56">
        <v>106132.08</v>
      </c>
      <c r="O98" s="57">
        <f>SUM(AG98:AQ98)</f>
        <v>104536.25</v>
      </c>
      <c r="P98" s="58">
        <f>SUM(AP98:AQ98)</f>
        <v>0</v>
      </c>
      <c r="Q98" s="70">
        <f>SUM(AG98:AO98)</f>
        <v>104536.25</v>
      </c>
      <c r="R98" s="70">
        <f>SUM(AH98:AO98)</f>
        <v>104536.25</v>
      </c>
      <c r="S98" s="66">
        <f>SUM(AI98:AO98)</f>
        <v>104536.25</v>
      </c>
      <c r="T98" s="66">
        <f>SUM(AJ98:AO98)</f>
        <v>215349.85</v>
      </c>
      <c r="U98" s="70">
        <f>SUM(AK98:AO98)</f>
        <v>215349.85</v>
      </c>
      <c r="V98" s="70">
        <f>SUM(AL98:AO98)</f>
        <v>215349.85</v>
      </c>
      <c r="W98" s="70">
        <f>SUM(AM98:AO98)</f>
        <v>168423.4</v>
      </c>
      <c r="X98" s="70">
        <f>SUM(AN98:AO98)</f>
        <v>129726.76</v>
      </c>
      <c r="Y98" s="70">
        <f>SUM(AO98:AO98)</f>
        <v>72263.23</v>
      </c>
      <c r="Z98" s="75"/>
      <c r="AA98" s="75"/>
      <c r="AB98" s="96"/>
      <c r="AC98" s="99"/>
      <c r="AD98" s="93"/>
      <c r="AE98" s="96"/>
      <c r="AF98" s="94"/>
      <c r="AG98" s="104">
        <v>0</v>
      </c>
      <c r="AH98" s="104">
        <v>0</v>
      </c>
      <c r="AI98" s="104">
        <v>-110813.6</v>
      </c>
      <c r="AJ98" s="104">
        <v>0</v>
      </c>
      <c r="AK98" s="104">
        <v>0</v>
      </c>
      <c r="AL98" s="105">
        <v>46926.45</v>
      </c>
      <c r="AM98" s="114">
        <v>38696.64</v>
      </c>
      <c r="AN98" s="114">
        <v>57463.53</v>
      </c>
      <c r="AO98" s="114">
        <v>72263.23</v>
      </c>
      <c r="AP98" s="164"/>
      <c r="AQ98" s="155"/>
      <c r="AR98" s="140"/>
    </row>
    <row r="99" ht="13.85" spans="1:44">
      <c r="A99" s="22"/>
      <c r="B99" s="22"/>
      <c r="C99" s="22"/>
      <c r="D99" s="22"/>
      <c r="E99" s="13"/>
      <c r="F99" s="22"/>
      <c r="G99" s="22"/>
      <c r="H99" s="22"/>
      <c r="I99" s="22"/>
      <c r="J99" s="22"/>
      <c r="K99" s="22"/>
      <c r="L99" s="22"/>
      <c r="M99" s="55" t="s">
        <v>3490</v>
      </c>
      <c r="N99" s="56">
        <v>184376.31</v>
      </c>
      <c r="O99" s="57">
        <f>SUM(AG99:AQ99)</f>
        <v>170765.74</v>
      </c>
      <c r="P99" s="58">
        <f>SUM(AP99:AQ99)</f>
        <v>0</v>
      </c>
      <c r="Q99" s="70">
        <f>SUM(AG99:AO99)</f>
        <v>170765.74</v>
      </c>
      <c r="R99" s="70">
        <f>SUM(AH99:AO99)</f>
        <v>170765.74</v>
      </c>
      <c r="S99" s="66">
        <f>SUM(AI99:AO99)</f>
        <v>170765.74</v>
      </c>
      <c r="T99" s="66">
        <f>SUM(AJ99:AO99)</f>
        <v>170765.74</v>
      </c>
      <c r="U99" s="70">
        <f>SUM(AK99:AO99)</f>
        <v>170765.74</v>
      </c>
      <c r="V99" s="70">
        <f>SUM(AL99:AO99)</f>
        <v>170765.74</v>
      </c>
      <c r="W99" s="70">
        <f>SUM(AM99:AO99)</f>
        <v>170765.74</v>
      </c>
      <c r="X99" s="70">
        <f>SUM(AN99:AO99)</f>
        <v>142422.66</v>
      </c>
      <c r="Y99" s="70">
        <f>SUM(AO99:AO99)</f>
        <v>71211.86</v>
      </c>
      <c r="Z99" s="75"/>
      <c r="AA99" s="75"/>
      <c r="AB99" s="22"/>
      <c r="AC99" s="22"/>
      <c r="AD99" s="13"/>
      <c r="AE99" s="22"/>
      <c r="AF99" s="22"/>
      <c r="AG99" s="108">
        <v>0</v>
      </c>
      <c r="AH99" s="108">
        <v>0</v>
      </c>
      <c r="AI99" s="108">
        <v>0</v>
      </c>
      <c r="AJ99" s="115">
        <v>0</v>
      </c>
      <c r="AK99" s="115">
        <v>0</v>
      </c>
      <c r="AL99" s="115">
        <v>0</v>
      </c>
      <c r="AM99" s="115">
        <v>28343.08</v>
      </c>
      <c r="AN99" s="115">
        <v>71210.8</v>
      </c>
      <c r="AO99" s="115">
        <v>71211.86</v>
      </c>
      <c r="AP99" s="145"/>
      <c r="AQ99" s="150"/>
      <c r="AR99" s="140"/>
    </row>
    <row r="100" ht="13.85" spans="1:44">
      <c r="A100" s="22"/>
      <c r="B100" s="22"/>
      <c r="C100" s="22"/>
      <c r="D100" s="22"/>
      <c r="E100" s="13"/>
      <c r="F100" s="22"/>
      <c r="G100" s="22"/>
      <c r="H100" s="22"/>
      <c r="I100" s="22"/>
      <c r="J100" s="22"/>
      <c r="K100" s="22"/>
      <c r="L100" s="22"/>
      <c r="M100" s="55" t="s">
        <v>3492</v>
      </c>
      <c r="N100" s="56">
        <v>0</v>
      </c>
      <c r="O100" s="57">
        <f>SUM(AG100:AQ100)</f>
        <v>0</v>
      </c>
      <c r="P100" s="58">
        <f>SUM(AP100:AQ100)</f>
        <v>0</v>
      </c>
      <c r="Q100" s="70">
        <f>SUM(AG100:AO100)</f>
        <v>0</v>
      </c>
      <c r="R100" s="70">
        <f>SUM(AH100:AO100)</f>
        <v>0</v>
      </c>
      <c r="S100" s="66">
        <f>SUM(AI100:AO100)</f>
        <v>0</v>
      </c>
      <c r="T100" s="66">
        <f>SUM(AJ100:AO100)</f>
        <v>0</v>
      </c>
      <c r="U100" s="70">
        <f>SUM(AK100:AO100)</f>
        <v>0</v>
      </c>
      <c r="V100" s="70">
        <f>SUM(AL100:AO100)</f>
        <v>0</v>
      </c>
      <c r="W100" s="70">
        <f>SUM(AM100:AO100)</f>
        <v>0</v>
      </c>
      <c r="X100" s="70">
        <f>SUM(AN100:AO100)</f>
        <v>0</v>
      </c>
      <c r="Y100" s="70">
        <f>SUM(AO100:AO100)</f>
        <v>0</v>
      </c>
      <c r="Z100" s="75"/>
      <c r="AA100" s="75"/>
      <c r="AB100" s="22"/>
      <c r="AC100" s="22"/>
      <c r="AD100" s="13"/>
      <c r="AE100" s="22"/>
      <c r="AF100" s="22"/>
      <c r="AG100" s="110">
        <v>0</v>
      </c>
      <c r="AH100" s="110">
        <v>0</v>
      </c>
      <c r="AI100" s="111">
        <v>0</v>
      </c>
      <c r="AJ100" s="115">
        <v>0</v>
      </c>
      <c r="AK100" s="115">
        <v>0</v>
      </c>
      <c r="AL100" s="115">
        <v>0</v>
      </c>
      <c r="AM100" s="115">
        <v>0</v>
      </c>
      <c r="AN100" s="115">
        <v>0</v>
      </c>
      <c r="AO100" s="115">
        <v>0</v>
      </c>
      <c r="AP100" s="115"/>
      <c r="AQ100" s="142"/>
      <c r="AR100" s="140"/>
    </row>
    <row r="101" ht="13.85" spans="1:44">
      <c r="A101" s="22"/>
      <c r="B101" s="22"/>
      <c r="C101" s="22"/>
      <c r="D101" s="22"/>
      <c r="E101" s="13"/>
      <c r="F101" s="22"/>
      <c r="G101" s="22"/>
      <c r="H101" s="22"/>
      <c r="I101" s="22"/>
      <c r="J101" s="22"/>
      <c r="K101" s="22"/>
      <c r="L101" s="22"/>
      <c r="M101" s="55" t="s">
        <v>3493</v>
      </c>
      <c r="N101" s="56">
        <v>300</v>
      </c>
      <c r="O101" s="57">
        <f>SUM(AG101:AQ101)</f>
        <v>1442.22</v>
      </c>
      <c r="P101" s="58">
        <f>SUM(AP101:AQ101)</f>
        <v>0</v>
      </c>
      <c r="Q101" s="70">
        <f>SUM(AG101:AO101)</f>
        <v>1442.22</v>
      </c>
      <c r="R101" s="70">
        <f>SUM(AH101:AO101)</f>
        <v>1323.35</v>
      </c>
      <c r="S101" s="66">
        <f>SUM(AI101:AO101)</f>
        <v>1204.48</v>
      </c>
      <c r="T101" s="66">
        <f>SUM(AJ101:AO101)</f>
        <v>1085.61</v>
      </c>
      <c r="U101" s="70">
        <f>SUM(AK101:AO101)</f>
        <v>855.61</v>
      </c>
      <c r="V101" s="70">
        <f>SUM(AL101:AO101)</f>
        <v>625.61</v>
      </c>
      <c r="W101" s="70">
        <f>SUM(AM101:AO101)</f>
        <v>395.61</v>
      </c>
      <c r="X101" s="70">
        <f>SUM(AN101:AO101)</f>
        <v>215.73</v>
      </c>
      <c r="Y101" s="70">
        <f>SUM(AO101:AO101)</f>
        <v>77.18</v>
      </c>
      <c r="Z101" s="75"/>
      <c r="AA101" s="75"/>
      <c r="AB101" s="22"/>
      <c r="AC101" s="22"/>
      <c r="AD101" s="13"/>
      <c r="AE101" s="22"/>
      <c r="AF101" s="22"/>
      <c r="AG101" s="104">
        <v>118.87</v>
      </c>
      <c r="AH101" s="104">
        <v>118.87</v>
      </c>
      <c r="AI101" s="104">
        <v>118.87</v>
      </c>
      <c r="AJ101" s="105">
        <v>230</v>
      </c>
      <c r="AK101" s="105">
        <v>230</v>
      </c>
      <c r="AL101" s="109">
        <v>230</v>
      </c>
      <c r="AM101" s="115">
        <v>179.88</v>
      </c>
      <c r="AN101" s="115">
        <v>138.55</v>
      </c>
      <c r="AO101" s="144">
        <v>77.18</v>
      </c>
      <c r="AP101" s="143"/>
      <c r="AQ101" s="150"/>
      <c r="AR101" s="140"/>
    </row>
    <row r="102" ht="13.85" spans="1:44">
      <c r="A102" s="22"/>
      <c r="B102" s="22"/>
      <c r="C102" s="22"/>
      <c r="D102" s="22"/>
      <c r="E102" s="13"/>
      <c r="F102" s="22"/>
      <c r="G102" s="22"/>
      <c r="H102" s="22"/>
      <c r="I102" s="22"/>
      <c r="J102" s="22"/>
      <c r="K102" s="22"/>
      <c r="L102" s="22"/>
      <c r="M102" s="55" t="s">
        <v>3495</v>
      </c>
      <c r="N102" s="59">
        <f t="shared" ref="N102:Y102" si="84">N98-N99</f>
        <v>-78244.23</v>
      </c>
      <c r="O102" s="57">
        <f t="shared" si="84"/>
        <v>-66229.49</v>
      </c>
      <c r="P102" s="58">
        <f t="shared" si="84"/>
        <v>0</v>
      </c>
      <c r="Q102" s="57">
        <f t="shared" si="84"/>
        <v>-66229.49</v>
      </c>
      <c r="R102" s="57">
        <f t="shared" si="84"/>
        <v>-66229.49</v>
      </c>
      <c r="S102" s="68">
        <f t="shared" si="84"/>
        <v>-66229.49</v>
      </c>
      <c r="T102" s="68">
        <f t="shared" si="84"/>
        <v>44584.11</v>
      </c>
      <c r="U102" s="57">
        <f t="shared" si="84"/>
        <v>44584.11</v>
      </c>
      <c r="V102" s="57">
        <f t="shared" si="84"/>
        <v>44584.11</v>
      </c>
      <c r="W102" s="57">
        <f t="shared" si="84"/>
        <v>-2342.34</v>
      </c>
      <c r="X102" s="57">
        <f t="shared" si="84"/>
        <v>-12695.9</v>
      </c>
      <c r="Y102" s="57">
        <f t="shared" si="84"/>
        <v>1051.37</v>
      </c>
      <c r="Z102" s="75"/>
      <c r="AA102" s="75"/>
      <c r="AB102" s="22"/>
      <c r="AC102" s="22"/>
      <c r="AD102" s="13"/>
      <c r="AE102" s="22"/>
      <c r="AF102" s="22"/>
      <c r="AG102" s="57">
        <f t="shared" ref="AG102:AO102" si="85">AG98-AG99</f>
        <v>0</v>
      </c>
      <c r="AH102" s="57">
        <f t="shared" si="85"/>
        <v>0</v>
      </c>
      <c r="AI102" s="57">
        <f t="shared" si="85"/>
        <v>-110813.6</v>
      </c>
      <c r="AJ102" s="57">
        <f t="shared" si="85"/>
        <v>0</v>
      </c>
      <c r="AK102" s="57">
        <f t="shared" si="85"/>
        <v>0</v>
      </c>
      <c r="AL102" s="57">
        <f t="shared" si="85"/>
        <v>46926.45</v>
      </c>
      <c r="AM102" s="57">
        <f t="shared" si="85"/>
        <v>10353.56</v>
      </c>
      <c r="AN102" s="57">
        <f t="shared" si="85"/>
        <v>-13747.27</v>
      </c>
      <c r="AO102" s="57">
        <f t="shared" si="85"/>
        <v>1051.37</v>
      </c>
      <c r="AP102" s="57">
        <v>361363.579</v>
      </c>
      <c r="AQ102" s="57">
        <f>AQ98-AQ99</f>
        <v>0</v>
      </c>
      <c r="AR102" s="140"/>
    </row>
    <row r="103" ht="13.85" spans="1:44">
      <c r="A103" s="22"/>
      <c r="B103" s="22"/>
      <c r="C103" s="22"/>
      <c r="D103" s="22"/>
      <c r="E103" s="13"/>
      <c r="F103" s="22"/>
      <c r="G103" s="22"/>
      <c r="H103" s="22"/>
      <c r="I103" s="22"/>
      <c r="J103" s="22"/>
      <c r="K103" s="22"/>
      <c r="L103" s="22"/>
      <c r="M103" s="60" t="s">
        <v>3496</v>
      </c>
      <c r="N103" s="61">
        <f t="shared" ref="N103:Y103" si="86">N102/N98</f>
        <v>-0.737234491211328</v>
      </c>
      <c r="O103" s="62">
        <f t="shared" si="86"/>
        <v>-0.633555249973096</v>
      </c>
      <c r="P103" s="61" t="e">
        <f t="shared" si="86"/>
        <v>#DIV/0!</v>
      </c>
      <c r="Q103" s="62">
        <f t="shared" si="86"/>
        <v>-0.633555249973096</v>
      </c>
      <c r="R103" s="62">
        <f t="shared" si="86"/>
        <v>-0.633555249973096</v>
      </c>
      <c r="S103" s="69">
        <f t="shared" si="86"/>
        <v>-0.633555249973096</v>
      </c>
      <c r="T103" s="69">
        <f t="shared" si="86"/>
        <v>0.207031070604414</v>
      </c>
      <c r="U103" s="62">
        <f t="shared" si="86"/>
        <v>0.207031070604414</v>
      </c>
      <c r="V103" s="62">
        <f t="shared" si="86"/>
        <v>0.207031070604414</v>
      </c>
      <c r="W103" s="62">
        <f t="shared" si="86"/>
        <v>-0.0139074499149168</v>
      </c>
      <c r="X103" s="62">
        <f t="shared" si="86"/>
        <v>-0.0978664694932642</v>
      </c>
      <c r="Y103" s="62">
        <f t="shared" si="86"/>
        <v>0.0145491697506463</v>
      </c>
      <c r="Z103" s="82">
        <f>O103-N103</f>
        <v>0.103679241238233</v>
      </c>
      <c r="AA103" s="82">
        <f>R103-N103</f>
        <v>0.103679241238233</v>
      </c>
      <c r="AB103" s="22"/>
      <c r="AC103" s="22"/>
      <c r="AD103" s="13"/>
      <c r="AE103" s="22"/>
      <c r="AF103" s="22"/>
      <c r="AG103" s="113" t="e">
        <f t="shared" ref="AG103:AO103" si="87">AG102/AG98</f>
        <v>#DIV/0!</v>
      </c>
      <c r="AH103" s="113" t="e">
        <f t="shared" si="87"/>
        <v>#DIV/0!</v>
      </c>
      <c r="AI103" s="113">
        <f t="shared" si="87"/>
        <v>1</v>
      </c>
      <c r="AJ103" s="113" t="e">
        <f t="shared" si="87"/>
        <v>#DIV/0!</v>
      </c>
      <c r="AK103" s="113" t="e">
        <f t="shared" si="87"/>
        <v>#DIV/0!</v>
      </c>
      <c r="AL103" s="113">
        <f t="shared" si="87"/>
        <v>1</v>
      </c>
      <c r="AM103" s="62">
        <f t="shared" si="87"/>
        <v>0.267557079891174</v>
      </c>
      <c r="AN103" s="62">
        <f t="shared" si="87"/>
        <v>-0.239234693726612</v>
      </c>
      <c r="AO103" s="62">
        <f t="shared" si="87"/>
        <v>0.0145491697506463</v>
      </c>
      <c r="AP103" s="62">
        <v>0.283362651163011</v>
      </c>
      <c r="AQ103" s="62" t="e">
        <f>AQ102/AQ98</f>
        <v>#DIV/0!</v>
      </c>
      <c r="AR103" s="140"/>
    </row>
    <row r="104" ht="13.85" spans="1:44">
      <c r="A104" s="22"/>
      <c r="B104" s="22"/>
      <c r="C104" s="22"/>
      <c r="D104" s="22"/>
      <c r="E104" s="13"/>
      <c r="F104" s="22"/>
      <c r="G104" s="22"/>
      <c r="H104" s="22"/>
      <c r="I104" s="22"/>
      <c r="J104" s="22"/>
      <c r="K104" s="22"/>
      <c r="L104" s="22"/>
      <c r="M104" s="55" t="s">
        <v>3497</v>
      </c>
      <c r="N104" s="58">
        <f t="shared" ref="N104:Y104" si="88">N98-N99-N100-N101</f>
        <v>-78544.23</v>
      </c>
      <c r="O104" s="57">
        <f t="shared" si="88"/>
        <v>-67671.71</v>
      </c>
      <c r="P104" s="58">
        <f t="shared" si="88"/>
        <v>0</v>
      </c>
      <c r="Q104" s="57">
        <f t="shared" si="88"/>
        <v>-67671.71</v>
      </c>
      <c r="R104" s="57">
        <f t="shared" si="88"/>
        <v>-67552.84</v>
      </c>
      <c r="S104" s="68">
        <f t="shared" si="88"/>
        <v>-67433.97</v>
      </c>
      <c r="T104" s="68">
        <f t="shared" si="88"/>
        <v>43498.5</v>
      </c>
      <c r="U104" s="57">
        <f t="shared" si="88"/>
        <v>43728.5</v>
      </c>
      <c r="V104" s="57">
        <f t="shared" si="88"/>
        <v>43958.5</v>
      </c>
      <c r="W104" s="57">
        <f t="shared" si="88"/>
        <v>-2737.95</v>
      </c>
      <c r="X104" s="57">
        <f t="shared" si="88"/>
        <v>-12911.63</v>
      </c>
      <c r="Y104" s="57">
        <f t="shared" si="88"/>
        <v>974.189999999995</v>
      </c>
      <c r="Z104" s="82"/>
      <c r="AA104" s="82"/>
      <c r="AB104" s="22"/>
      <c r="AC104" s="22"/>
      <c r="AD104" s="13"/>
      <c r="AE104" s="22"/>
      <c r="AF104" s="22"/>
      <c r="AG104" s="57">
        <f t="shared" ref="AG104:AO104" si="89">AG98-AG99-AG100-AG101</f>
        <v>-118.87</v>
      </c>
      <c r="AH104" s="57">
        <f t="shared" si="89"/>
        <v>-118.87</v>
      </c>
      <c r="AI104" s="57">
        <f t="shared" si="89"/>
        <v>-110932.47</v>
      </c>
      <c r="AJ104" s="57">
        <f t="shared" si="89"/>
        <v>-230</v>
      </c>
      <c r="AK104" s="57">
        <f t="shared" si="89"/>
        <v>-230</v>
      </c>
      <c r="AL104" s="57">
        <f t="shared" si="89"/>
        <v>46696.45</v>
      </c>
      <c r="AM104" s="57">
        <f t="shared" si="89"/>
        <v>10173.68</v>
      </c>
      <c r="AN104" s="57">
        <f t="shared" si="89"/>
        <v>-13885.82</v>
      </c>
      <c r="AO104" s="57">
        <f t="shared" si="89"/>
        <v>974.189999999995</v>
      </c>
      <c r="AP104" s="57">
        <v>360137.679</v>
      </c>
      <c r="AQ104" s="57">
        <f>AQ98-AQ99-AQ100-AQ101</f>
        <v>0</v>
      </c>
      <c r="AR104" s="140"/>
    </row>
    <row r="105" ht="14.6" spans="1:44">
      <c r="A105" s="24"/>
      <c r="B105" s="24"/>
      <c r="C105" s="24"/>
      <c r="D105" s="24"/>
      <c r="E105" s="14"/>
      <c r="F105" s="24"/>
      <c r="G105" s="24"/>
      <c r="H105" s="24"/>
      <c r="I105" s="24"/>
      <c r="J105" s="24"/>
      <c r="K105" s="24"/>
      <c r="L105" s="24"/>
      <c r="M105" s="60" t="s">
        <v>3498</v>
      </c>
      <c r="N105" s="61">
        <f t="shared" ref="N105:Y105" si="90">N104/N98</f>
        <v>-0.740061157757391</v>
      </c>
      <c r="O105" s="62">
        <f t="shared" si="90"/>
        <v>-0.647351612478925</v>
      </c>
      <c r="P105" s="61" t="e">
        <f t="shared" si="90"/>
        <v>#DIV/0!</v>
      </c>
      <c r="Q105" s="62">
        <f t="shared" si="90"/>
        <v>-0.647351612478925</v>
      </c>
      <c r="R105" s="62">
        <f t="shared" si="90"/>
        <v>-0.64621449497184</v>
      </c>
      <c r="S105" s="69">
        <f t="shared" si="90"/>
        <v>-0.645077377464755</v>
      </c>
      <c r="T105" s="69">
        <f t="shared" si="90"/>
        <v>0.201989924766606</v>
      </c>
      <c r="U105" s="62">
        <f t="shared" si="90"/>
        <v>0.203057954300874</v>
      </c>
      <c r="V105" s="62">
        <f t="shared" si="90"/>
        <v>0.204125983835141</v>
      </c>
      <c r="W105" s="62">
        <f t="shared" si="90"/>
        <v>-0.0162563515521002</v>
      </c>
      <c r="X105" s="62">
        <f t="shared" si="90"/>
        <v>-0.0995294263111174</v>
      </c>
      <c r="Y105" s="62">
        <f t="shared" si="90"/>
        <v>0.0134811300297537</v>
      </c>
      <c r="Z105" s="82">
        <f>O105-N105</f>
        <v>0.0927095452784656</v>
      </c>
      <c r="AA105" s="82">
        <f>R105-N105</f>
        <v>0.0938466627855504</v>
      </c>
      <c r="AB105" s="24"/>
      <c r="AC105" s="24"/>
      <c r="AD105" s="14"/>
      <c r="AE105" s="24"/>
      <c r="AF105" s="24"/>
      <c r="AG105" s="113" t="e">
        <f t="shared" ref="AG105:AO105" si="91">AG104/AG98</f>
        <v>#DIV/0!</v>
      </c>
      <c r="AH105" s="113" t="e">
        <f t="shared" si="91"/>
        <v>#DIV/0!</v>
      </c>
      <c r="AI105" s="113">
        <f t="shared" si="91"/>
        <v>1.00107270226759</v>
      </c>
      <c r="AJ105" s="113" t="e">
        <f t="shared" si="91"/>
        <v>#DIV/0!</v>
      </c>
      <c r="AK105" s="113" t="e">
        <f t="shared" si="91"/>
        <v>#DIV/0!</v>
      </c>
      <c r="AL105" s="113">
        <f t="shared" si="91"/>
        <v>0.99509871298596</v>
      </c>
      <c r="AM105" s="62">
        <f t="shared" si="91"/>
        <v>0.262908614287959</v>
      </c>
      <c r="AN105" s="62">
        <f t="shared" si="91"/>
        <v>-0.241645788206885</v>
      </c>
      <c r="AO105" s="62">
        <f t="shared" si="91"/>
        <v>0.0134811300297537</v>
      </c>
      <c r="AP105" s="62">
        <v>0.282401363711126</v>
      </c>
      <c r="AQ105" s="62" t="e">
        <f>AQ104/AQ98</f>
        <v>#DIV/0!</v>
      </c>
      <c r="AR105" s="163"/>
    </row>
  </sheetData>
  <autoFilter xmlns:etc="http://www.wps.cn/officeDocument/2017/etCustomData" ref="A1:BN105" etc:filterBottomFollowUsedRange="0">
    <extLst/>
  </autoFilter>
  <mergeCells count="217">
    <mergeCell ref="A2:A9"/>
    <mergeCell ref="A10:A17"/>
    <mergeCell ref="A18:A25"/>
    <mergeCell ref="A26:A33"/>
    <mergeCell ref="A34:A41"/>
    <mergeCell ref="A42:A49"/>
    <mergeCell ref="A50:A57"/>
    <mergeCell ref="A58:A65"/>
    <mergeCell ref="A66:A73"/>
    <mergeCell ref="A74:A81"/>
    <mergeCell ref="A82:A89"/>
    <mergeCell ref="A90:A97"/>
    <mergeCell ref="A98:A105"/>
    <mergeCell ref="B2:B9"/>
    <mergeCell ref="B10:B17"/>
    <mergeCell ref="B18:B25"/>
    <mergeCell ref="B26:B33"/>
    <mergeCell ref="B34:B41"/>
    <mergeCell ref="B42:B49"/>
    <mergeCell ref="B50:B57"/>
    <mergeCell ref="B58:B65"/>
    <mergeCell ref="B66:B73"/>
    <mergeCell ref="B74:B81"/>
    <mergeCell ref="B82:B89"/>
    <mergeCell ref="B90:B97"/>
    <mergeCell ref="B98:B105"/>
    <mergeCell ref="C2:C9"/>
    <mergeCell ref="C10:C17"/>
    <mergeCell ref="C18:C25"/>
    <mergeCell ref="C26:C33"/>
    <mergeCell ref="C34:C41"/>
    <mergeCell ref="C42:C49"/>
    <mergeCell ref="C50:C57"/>
    <mergeCell ref="C66:C73"/>
    <mergeCell ref="C74:C81"/>
    <mergeCell ref="C82:C89"/>
    <mergeCell ref="C90:C97"/>
    <mergeCell ref="C98:C105"/>
    <mergeCell ref="D2:D9"/>
    <mergeCell ref="D10:D17"/>
    <mergeCell ref="D18:D25"/>
    <mergeCell ref="D26:D33"/>
    <mergeCell ref="D34:D41"/>
    <mergeCell ref="D42:D49"/>
    <mergeCell ref="D50:D57"/>
    <mergeCell ref="D66:D73"/>
    <mergeCell ref="D74:D81"/>
    <mergeCell ref="D82:D89"/>
    <mergeCell ref="D90:D97"/>
    <mergeCell ref="D98:D105"/>
    <mergeCell ref="E2:E9"/>
    <mergeCell ref="E10:E17"/>
    <mergeCell ref="E18:E25"/>
    <mergeCell ref="E26:E33"/>
    <mergeCell ref="E34:E41"/>
    <mergeCell ref="E42:E49"/>
    <mergeCell ref="E50:E57"/>
    <mergeCell ref="E58:E65"/>
    <mergeCell ref="E66:E73"/>
    <mergeCell ref="E74:E81"/>
    <mergeCell ref="E82:E89"/>
    <mergeCell ref="E90:E97"/>
    <mergeCell ref="E98:E105"/>
    <mergeCell ref="F2:F9"/>
    <mergeCell ref="F10:F17"/>
    <mergeCell ref="F18:F25"/>
    <mergeCell ref="F26:F33"/>
    <mergeCell ref="F34:F41"/>
    <mergeCell ref="F42:F49"/>
    <mergeCell ref="F50:F57"/>
    <mergeCell ref="F58:F65"/>
    <mergeCell ref="F66:F73"/>
    <mergeCell ref="F74:F81"/>
    <mergeCell ref="F82:F89"/>
    <mergeCell ref="F90:F97"/>
    <mergeCell ref="F98:F105"/>
    <mergeCell ref="G2:G9"/>
    <mergeCell ref="G10:G17"/>
    <mergeCell ref="G18:G25"/>
    <mergeCell ref="G26:G33"/>
    <mergeCell ref="G34:G41"/>
    <mergeCell ref="G42:G49"/>
    <mergeCell ref="G50:G57"/>
    <mergeCell ref="G58:G65"/>
    <mergeCell ref="G66:G73"/>
    <mergeCell ref="G74:G81"/>
    <mergeCell ref="G82:G89"/>
    <mergeCell ref="G90:G97"/>
    <mergeCell ref="G98:G105"/>
    <mergeCell ref="H2:H9"/>
    <mergeCell ref="H10:H17"/>
    <mergeCell ref="H18:H25"/>
    <mergeCell ref="H26:H33"/>
    <mergeCell ref="H34:H41"/>
    <mergeCell ref="H42:H49"/>
    <mergeCell ref="H50:H57"/>
    <mergeCell ref="H58:H65"/>
    <mergeCell ref="H66:H73"/>
    <mergeCell ref="H74:H81"/>
    <mergeCell ref="H82:H89"/>
    <mergeCell ref="H90:H97"/>
    <mergeCell ref="H98:H105"/>
    <mergeCell ref="I2:I9"/>
    <mergeCell ref="I10:I17"/>
    <mergeCell ref="I18:I25"/>
    <mergeCell ref="I26:I33"/>
    <mergeCell ref="I34:I41"/>
    <mergeCell ref="I42:I49"/>
    <mergeCell ref="I50:I57"/>
    <mergeCell ref="I58:I65"/>
    <mergeCell ref="I66:I73"/>
    <mergeCell ref="I74:I81"/>
    <mergeCell ref="I82:I89"/>
    <mergeCell ref="I90:I97"/>
    <mergeCell ref="I98:I105"/>
    <mergeCell ref="J2:J9"/>
    <mergeCell ref="J10:J17"/>
    <mergeCell ref="J18:J25"/>
    <mergeCell ref="J26:J33"/>
    <mergeCell ref="J34:J41"/>
    <mergeCell ref="J42:J49"/>
    <mergeCell ref="J50:J57"/>
    <mergeCell ref="J58:J65"/>
    <mergeCell ref="J66:J73"/>
    <mergeCell ref="J74:J81"/>
    <mergeCell ref="J82:J89"/>
    <mergeCell ref="J90:J97"/>
    <mergeCell ref="J98:J105"/>
    <mergeCell ref="K2:K9"/>
    <mergeCell ref="K10:K17"/>
    <mergeCell ref="K18:K25"/>
    <mergeCell ref="K26:K33"/>
    <mergeCell ref="K34:K41"/>
    <mergeCell ref="K42:K49"/>
    <mergeCell ref="K50:K57"/>
    <mergeCell ref="K58:K65"/>
    <mergeCell ref="K66:K73"/>
    <mergeCell ref="K74:K81"/>
    <mergeCell ref="K82:K89"/>
    <mergeCell ref="K90:K97"/>
    <mergeCell ref="K98:K105"/>
    <mergeCell ref="L2:L9"/>
    <mergeCell ref="L10:L17"/>
    <mergeCell ref="L18:L25"/>
    <mergeCell ref="L26:L33"/>
    <mergeCell ref="L34:L41"/>
    <mergeCell ref="L42:L49"/>
    <mergeCell ref="L50:L57"/>
    <mergeCell ref="L58:L65"/>
    <mergeCell ref="L66:L73"/>
    <mergeCell ref="L74:L81"/>
    <mergeCell ref="L82:L89"/>
    <mergeCell ref="L90:L97"/>
    <mergeCell ref="L98:L105"/>
    <mergeCell ref="AB2:AB9"/>
    <mergeCell ref="AB10:AB17"/>
    <mergeCell ref="AB18:AB25"/>
    <mergeCell ref="AB26:AB33"/>
    <mergeCell ref="AB34:AB41"/>
    <mergeCell ref="AB42:AB49"/>
    <mergeCell ref="AB50:AB57"/>
    <mergeCell ref="AB58:AB65"/>
    <mergeCell ref="AB66:AB73"/>
    <mergeCell ref="AB74:AB81"/>
    <mergeCell ref="AB82:AB89"/>
    <mergeCell ref="AB90:AB97"/>
    <mergeCell ref="AB98:AB105"/>
    <mergeCell ref="AC2:AC9"/>
    <mergeCell ref="AC10:AC17"/>
    <mergeCell ref="AC18:AC25"/>
    <mergeCell ref="AC26:AC33"/>
    <mergeCell ref="AC34:AC41"/>
    <mergeCell ref="AC42:AC49"/>
    <mergeCell ref="AC50:AC57"/>
    <mergeCell ref="AC58:AC65"/>
    <mergeCell ref="AC66:AC73"/>
    <mergeCell ref="AC74:AC81"/>
    <mergeCell ref="AC82:AC89"/>
    <mergeCell ref="AC90:AC97"/>
    <mergeCell ref="AC98:AC105"/>
    <mergeCell ref="AD26:AD33"/>
    <mergeCell ref="AD34:AD41"/>
    <mergeCell ref="AD42:AD49"/>
    <mergeCell ref="AD50:AD57"/>
    <mergeCell ref="AD58:AD65"/>
    <mergeCell ref="AD66:AD73"/>
    <mergeCell ref="AD74:AD81"/>
    <mergeCell ref="AD82:AD89"/>
    <mergeCell ref="AD90:AD97"/>
    <mergeCell ref="AD98:AD105"/>
    <mergeCell ref="AE2:AE9"/>
    <mergeCell ref="AE10:AE17"/>
    <mergeCell ref="AE18:AE25"/>
    <mergeCell ref="AE26:AE33"/>
    <mergeCell ref="AE34:AE41"/>
    <mergeCell ref="AE42:AE49"/>
    <mergeCell ref="AE50:AE57"/>
    <mergeCell ref="AE58:AE65"/>
    <mergeCell ref="AE66:AE73"/>
    <mergeCell ref="AE74:AE81"/>
    <mergeCell ref="AE82:AE89"/>
    <mergeCell ref="AE90:AE97"/>
    <mergeCell ref="AE98:AE105"/>
    <mergeCell ref="AF2:AF9"/>
    <mergeCell ref="AF10:AF17"/>
    <mergeCell ref="AF18:AF25"/>
    <mergeCell ref="AF26:AF33"/>
    <mergeCell ref="AF34:AF41"/>
    <mergeCell ref="AF42:AF49"/>
    <mergeCell ref="AF50:AF57"/>
    <mergeCell ref="AF58:AF65"/>
    <mergeCell ref="AF66:AF73"/>
    <mergeCell ref="AF74:AF81"/>
    <mergeCell ref="AF82:AF89"/>
    <mergeCell ref="AF90:AF97"/>
    <mergeCell ref="AF98:AF105"/>
    <mergeCell ref="C58:D65"/>
  </mergeCells>
  <conditionalFormatting sqref="N7:N9">
    <cfRule type="cellIs" dxfId="4" priority="197" operator="lessThan">
      <formula>0</formula>
    </cfRule>
  </conditionalFormatting>
  <conditionalFormatting sqref="N15:N17">
    <cfRule type="cellIs" dxfId="4" priority="196" operator="lessThan">
      <formula>0</formula>
    </cfRule>
  </conditionalFormatting>
  <conditionalFormatting sqref="N23:N25">
    <cfRule type="cellIs" dxfId="4" priority="211" operator="lessThan">
      <formula>0</formula>
    </cfRule>
  </conditionalFormatting>
  <conditionalFormatting sqref="N31:N33">
    <cfRule type="cellIs" dxfId="4" priority="198" operator="lessThan">
      <formula>0</formula>
    </cfRule>
  </conditionalFormatting>
  <conditionalFormatting sqref="N39:N41">
    <cfRule type="cellIs" dxfId="4" priority="195" operator="lessThan">
      <formula>0</formula>
    </cfRule>
  </conditionalFormatting>
  <conditionalFormatting sqref="N47:N49">
    <cfRule type="cellIs" dxfId="4" priority="21" operator="lessThan">
      <formula>0</formula>
    </cfRule>
  </conditionalFormatting>
  <conditionalFormatting sqref="N55:N57">
    <cfRule type="cellIs" dxfId="4" priority="32" operator="lessThan">
      <formula>0</formula>
    </cfRule>
  </conditionalFormatting>
  <conditionalFormatting sqref="N63:N65">
    <cfRule type="cellIs" dxfId="4" priority="210" operator="lessThan">
      <formula>0</formula>
    </cfRule>
  </conditionalFormatting>
  <conditionalFormatting sqref="N71:N73">
    <cfRule type="cellIs" dxfId="4" priority="145" operator="lessThan">
      <formula>0</formula>
    </cfRule>
  </conditionalFormatting>
  <conditionalFormatting sqref="N79:N81">
    <cfRule type="cellIs" dxfId="4" priority="119" operator="lessThan">
      <formula>0</formula>
    </cfRule>
  </conditionalFormatting>
  <conditionalFormatting sqref="N87:N89">
    <cfRule type="cellIs" dxfId="4" priority="10" operator="lessThan">
      <formula>0</formula>
    </cfRule>
  </conditionalFormatting>
  <conditionalFormatting sqref="N95:N97">
    <cfRule type="cellIs" dxfId="4" priority="93" operator="lessThan">
      <formula>0</formula>
    </cfRule>
  </conditionalFormatting>
  <conditionalFormatting sqref="N103:N105">
    <cfRule type="cellIs" dxfId="4" priority="67" operator="lessThan">
      <formula>0</formula>
    </cfRule>
  </conditionalFormatting>
  <conditionalFormatting sqref="O46:O49">
    <cfRule type="cellIs" dxfId="4" priority="22" operator="lessThan">
      <formula>0</formula>
    </cfRule>
  </conditionalFormatting>
  <conditionalFormatting sqref="O54:O57">
    <cfRule type="cellIs" dxfId="4" priority="33" operator="lessThan">
      <formula>0</formula>
    </cfRule>
  </conditionalFormatting>
  <conditionalFormatting sqref="O86:O89">
    <cfRule type="cellIs" dxfId="4" priority="11" operator="lessThan">
      <formula>0</formula>
    </cfRule>
  </conditionalFormatting>
  <conditionalFormatting sqref="P47:P49">
    <cfRule type="cellIs" dxfId="4" priority="20" operator="lessThan">
      <formula>0</formula>
    </cfRule>
  </conditionalFormatting>
  <conditionalFormatting sqref="P55:P57">
    <cfRule type="cellIs" dxfId="4" priority="31" operator="lessThan">
      <formula>0</formula>
    </cfRule>
  </conditionalFormatting>
  <conditionalFormatting sqref="P71:P73">
    <cfRule type="cellIs" dxfId="4" priority="144" operator="lessThan">
      <formula>0</formula>
    </cfRule>
  </conditionalFormatting>
  <conditionalFormatting sqref="P79:P81">
    <cfRule type="cellIs" dxfId="4" priority="118" operator="lessThan">
      <formula>0</formula>
    </cfRule>
  </conditionalFormatting>
  <conditionalFormatting sqref="P87:P89">
    <cfRule type="cellIs" dxfId="4" priority="9" operator="lessThan">
      <formula>0</formula>
    </cfRule>
  </conditionalFormatting>
  <conditionalFormatting sqref="P95:P97">
    <cfRule type="cellIs" dxfId="4" priority="92" operator="lessThan">
      <formula>0</formula>
    </cfRule>
  </conditionalFormatting>
  <conditionalFormatting sqref="P103:P105">
    <cfRule type="cellIs" dxfId="4" priority="66" operator="lessThan">
      <formula>0</formula>
    </cfRule>
  </conditionalFormatting>
  <conditionalFormatting sqref="O6:O9 O14:O17 O22:O25 O30:O33 O38:O41 O62:O65 O70:O73 O78:O81 O94:O97 O102:O105 AO6:AQ9 AO14:AQ17 AO22:AQ25">
    <cfRule type="cellIs" dxfId="4" priority="264" operator="lessThan">
      <formula>0</formula>
    </cfRule>
  </conditionalFormatting>
  <conditionalFormatting sqref="Q6:Y9 Q14:Y17 Q22:Y25 Q30:Y33 Q38:Y41 Q62:Y65 Q70:Y73 Q78:Y81 Q94:Y97 Q102:Y105">
    <cfRule type="cellIs" dxfId="4" priority="38" operator="lessThan">
      <formula>0</formula>
    </cfRule>
  </conditionalFormatting>
  <conditionalFormatting sqref="P7:P9 P15:P17 P23:P25 P31:P33 P39:P41 P63:P65">
    <cfRule type="cellIs" dxfId="4" priority="194" operator="lessThan">
      <formula>0</formula>
    </cfRule>
  </conditionalFormatting>
  <conditionalFormatting sqref="AG30:AQ33 AG38:AQ41 AG62:AQ65 AG70:AQ73 AG78:AQ81 AG94:AQ97 AG102:AQ105">
    <cfRule type="cellIs" dxfId="4" priority="43" operator="lessThan">
      <formula>0</formula>
    </cfRule>
  </conditionalFormatting>
  <conditionalFormatting sqref="Q46:Y49">
    <cfRule type="cellIs" dxfId="4" priority="12" operator="lessThan">
      <formula>0</formula>
    </cfRule>
  </conditionalFormatting>
  <conditionalFormatting sqref="AG46:AQ49">
    <cfRule type="cellIs" dxfId="4" priority="13" operator="lessThan">
      <formula>0</formula>
    </cfRule>
  </conditionalFormatting>
  <conditionalFormatting sqref="Q54:Y57">
    <cfRule type="cellIs" dxfId="4" priority="23" operator="lessThan">
      <formula>0</formula>
    </cfRule>
  </conditionalFormatting>
  <conditionalFormatting sqref="AG54:AQ57">
    <cfRule type="cellIs" dxfId="4" priority="24" operator="lessThan">
      <formula>0</formula>
    </cfRule>
  </conditionalFormatting>
  <conditionalFormatting sqref="Q86:Y89">
    <cfRule type="cellIs" dxfId="4" priority="1" operator="lessThan">
      <formula>0</formula>
    </cfRule>
  </conditionalFormatting>
  <conditionalFormatting sqref="AG86:AQ89">
    <cfRule type="cellIs" dxfId="4" priority="2" operator="lessThan">
      <formula>0</formula>
    </cfRule>
  </conditionalFormatting>
  <pageMargins left="0.75" right="0.75" top="1" bottom="1" header="0.5" footer="0.5"/>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B6" sqref="B6"/>
    </sheetView>
  </sheetViews>
  <sheetFormatPr defaultColWidth="8.89380530973451" defaultRowHeight="13.85" outlineLevelRow="1"/>
  <cols>
    <col min="1" max="1" width="73.4424778761062" customWidth="1"/>
  </cols>
  <sheetData>
    <row r="1" spans="1:1">
      <c r="A1" t="s">
        <v>3688</v>
      </c>
    </row>
    <row r="2" spans="1:1">
      <c r="A2" t="s">
        <v>3689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13</vt:i4>
      </vt:variant>
    </vt:vector>
  </HeadingPairs>
  <TitlesOfParts>
    <vt:vector size="13" baseType="lpstr">
      <vt:lpstr>辅助</vt:lpstr>
      <vt:lpstr>项目清单</vt:lpstr>
      <vt:lpstr>在行项目毛利率达标偏差分析</vt:lpstr>
      <vt:lpstr>Sheet10</vt:lpstr>
      <vt:lpstr>合同毛利率</vt:lpstr>
      <vt:lpstr>在行假FP项目毛利率达标偏差分析</vt:lpstr>
      <vt:lpstr>结项项目毛利率达标偏差分析</vt:lpstr>
      <vt:lpstr>毛利评审会议纪要</vt:lpstr>
      <vt:lpstr>实际运营数据-李陶</vt:lpstr>
      <vt:lpstr>实际运营数据-崔哲</vt:lpstr>
      <vt:lpstr>实际运营数据-赵云平</vt:lpstr>
      <vt:lpstr>实际运营数据-刘科源</vt:lpstr>
      <vt:lpstr>备注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litao</dc:creator>
  <cp:lastModifiedBy>Cuizhe</cp:lastModifiedBy>
  <dcterms:created xsi:type="dcterms:W3CDTF">2015-10-08T18:19:00Z</dcterms:created>
  <dcterms:modified xsi:type="dcterms:W3CDTF">2026-04-17T09:22:54Z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666EB233F1AE4E7C9DABB927F7560E44_13</vt:lpwstr>
  </property>
  <property fmtid="{D5CDD505-2E9C-101B-9397-08002B2CF9AE}" pid="3" name="KSOProductBuildVer">
    <vt:lpwstr>2052-12.8.2.18205</vt:lpwstr>
  </property>
</Properties>
</file>